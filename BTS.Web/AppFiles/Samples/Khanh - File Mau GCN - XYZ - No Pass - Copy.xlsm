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E:\Projects\BTS\BTS.Web\AppFiles\Samples\"/>
    </mc:Choice>
  </mc:AlternateContent>
  <bookViews>
    <workbookView xWindow="0" yWindow="0" windowWidth="20490" windowHeight="7755" tabRatio="878" firstSheet="4" activeTab="6"/>
  </bookViews>
  <sheets>
    <sheet name="Hướng dẫn" sheetId="26" r:id="rId1"/>
    <sheet name="InCaseOf" sheetId="33" r:id="rId2"/>
    <sheet name="Lab" sheetId="34" r:id="rId3"/>
    <sheet name="City" sheetId="35" r:id="rId4"/>
    <sheet name="Operator" sheetId="36" r:id="rId5"/>
    <sheet name="Applicant" sheetId="37" r:id="rId6"/>
    <sheet name="Profile" sheetId="38" r:id="rId7"/>
    <sheet name="BTS" sheetId="31" r:id="rId8"/>
    <sheet name="Tonghop" sheetId="4" r:id="rId9"/>
    <sheet name="Detail" sheetId="44" r:id="rId10"/>
    <sheet name="DSCAP" sheetId="50" r:id="rId11"/>
    <sheet name="MauGCN" sheetId="51" r:id="rId12"/>
    <sheet name="Tonghop_old" sheetId="30" r:id="rId13"/>
    <sheet name="Temp" sheetId="39" r:id="rId14"/>
    <sheet name="Certificate" sheetId="41" r:id="rId15"/>
    <sheet name="DSCAP_Old" sheetId="5" r:id="rId16"/>
    <sheet name="DS CAP" sheetId="32" r:id="rId17"/>
    <sheet name="LP" sheetId="1" r:id="rId18"/>
    <sheet name="DS1" sheetId="3" r:id="rId19"/>
    <sheet name="DS2" sheetId="6" r:id="rId20"/>
    <sheet name="GCN1" sheetId="27" r:id="rId21"/>
    <sheet name="GCN2" sheetId="8" r:id="rId22"/>
    <sheet name="GCN3" sheetId="28" r:id="rId23"/>
    <sheet name="GCN4" sheetId="29" r:id="rId24"/>
  </sheets>
  <functionGroups builtInGroupCount="18"/>
  <externalReferences>
    <externalReference r:id="rId25"/>
    <externalReference r:id="rId26"/>
    <externalReference r:id="rId27"/>
    <externalReference r:id="rId28"/>
    <externalReference r:id="rId29"/>
  </externalReferences>
  <definedNames>
    <definedName name="_xlnm._FilterDatabase" localSheetId="14" hidden="1">Certificate!$A$1:$AB$404</definedName>
    <definedName name="_xlnm._FilterDatabase" localSheetId="9" hidden="1">Detail!$A$1:$AD$1</definedName>
    <definedName name="_xlnm._FilterDatabase" localSheetId="16" hidden="1">'DS CAP'!$A$1:$EJ$2</definedName>
    <definedName name="_xlnm._FilterDatabase" localSheetId="10" hidden="1">DSCAP!$A$1:$AD$1</definedName>
    <definedName name="_xlnm._FilterDatabase" localSheetId="15" hidden="1">DSCAP_Old!$A$1:$EJ$2</definedName>
    <definedName name="_xlnm._FilterDatabase" localSheetId="13" hidden="1">Temp!$A$1:$EQ$2</definedName>
    <definedName name="_xlnm._FilterDatabase" localSheetId="8" hidden="1">Tonghop!$A$1:$AG$2</definedName>
    <definedName name="_xlnm._FilterDatabase" localSheetId="12" hidden="1">Tonghop_old!$A$1:$AE$1</definedName>
    <definedName name="AntName">[1]Params!$A$2:$A$10</definedName>
    <definedName name="AntType">[2]Thamso!$B$2:$B$10</definedName>
    <definedName name="ApplicantIDList">Applicant!$B$1:INDEX(Applicant!$B:$B,COUNTA(Applicant!$B:$B))</definedName>
    <definedName name="ApplicantNameList">Applicant!$C$1:INDEX(Applicant!$C:$C,COUNTA(Applicant!$C:$C))</definedName>
    <definedName name="CH" localSheetId="7">[3]Data!$BB$3:$BB$23</definedName>
    <definedName name="CH" localSheetId="14">[3]Data!$BB$3:$BB$23</definedName>
    <definedName name="CH">[4]Data!$BB$3:$BB$23</definedName>
    <definedName name="CityIDList">City!$B$1:INDEX(City!$B:$B,COUNTA(City!$B:$B))</definedName>
    <definedName name="CityNameList">City!$C$1:INDEX(City!$C:$C,COUNTA(City!$C:$C))</definedName>
    <definedName name="LabIDList">Lab!$B$1:INDEX(Lab!$B:$B,COUNTA(Lab!$B:$B))</definedName>
    <definedName name="LabNameList">Lab!$C$1:INDEX(Lab!$C:$C,COUNTA(Lab!$C:$C))</definedName>
    <definedName name="loaitu">[5]Params!$H$15:$H$20</definedName>
    <definedName name="NV" localSheetId="7">[3]Drawing!$ED$1:$EL$1</definedName>
    <definedName name="NV" localSheetId="14">[3]Drawing!$ED$1:$EL$1</definedName>
    <definedName name="NV">[4]Drawing!$ED$1:$EL$1</definedName>
    <definedName name="OperatorIDList">Operator!$B$1:INDEX(Operator!$B:$B,COUNTA(Operator!$B:$B))</definedName>
    <definedName name="OperatorNameList">Operator!$C$1:INDEX(Operator!$C:$C,COUNTA(Operator!$C:$C))</definedName>
    <definedName name="Operators">Operator!$A$1:$C$6</definedName>
    <definedName name="_xlnm.Print_Area" localSheetId="20">'GCN1'!$A$1:$AE$82</definedName>
    <definedName name="_xlnm.Print_Area" localSheetId="21">'GCN2'!$A$1:$AE$82</definedName>
    <definedName name="_xlnm.Print_Area" localSheetId="22">'GCN3'!$A$1:$AE$82</definedName>
    <definedName name="_xlnm.Print_Area" localSheetId="23">'GCN4'!$A$1:$AG$82</definedName>
    <definedName name="_xlnm.Print_Area" localSheetId="17">LP!$A$1:$Z$34</definedName>
  </definedNames>
  <calcPr calcId="162913"/>
</workbook>
</file>

<file path=xl/calcChain.xml><?xml version="1.0" encoding="utf-8"?>
<calcChain xmlns="http://schemas.openxmlformats.org/spreadsheetml/2006/main">
  <c r="GZ1" i="50" l="1"/>
  <c r="HB1" i="50"/>
  <c r="AZ2" i="50" l="1"/>
  <c r="AE2" i="44"/>
  <c r="AL2" i="50"/>
  <c r="AJ2" i="50" s="1"/>
  <c r="AG2" i="50"/>
  <c r="AE2" i="50" s="1"/>
  <c r="AI2" i="50"/>
  <c r="BC2" i="50"/>
  <c r="W2" i="44" l="1"/>
  <c r="W2" i="50" s="1"/>
  <c r="X2" i="44"/>
  <c r="X2" i="50" s="1"/>
  <c r="Y2" i="44"/>
  <c r="Y2" i="50" s="1"/>
  <c r="Z2" i="44"/>
  <c r="Z2" i="50" s="1"/>
  <c r="AA2" i="44"/>
  <c r="AA2" i="50" s="1"/>
  <c r="AB2" i="44"/>
  <c r="AB2" i="50" s="1"/>
  <c r="AC2" i="44"/>
  <c r="AC2" i="50" s="1"/>
  <c r="P2" i="44" l="1"/>
  <c r="P2" i="50" s="1"/>
  <c r="Q2" i="44"/>
  <c r="Q2" i="50" s="1"/>
  <c r="I2" i="44"/>
  <c r="I2" i="50" s="1"/>
  <c r="N2" i="44"/>
  <c r="N2" i="50" s="1"/>
  <c r="BD2" i="44" l="1"/>
  <c r="BY2" i="50" s="1"/>
  <c r="AW2" i="44"/>
  <c r="BR2" i="50" s="1"/>
  <c r="BQ2" i="44"/>
  <c r="CL2" i="50" s="1"/>
  <c r="AZ2" i="44"/>
  <c r="BU2" i="50" s="1"/>
  <c r="CP2" i="44"/>
  <c r="DK2" i="50" s="1"/>
  <c r="BN2" i="44"/>
  <c r="BA2" i="44"/>
  <c r="BV2" i="50" s="1"/>
  <c r="BV2" i="44"/>
  <c r="CQ2" i="50" s="1"/>
  <c r="BM2" i="44"/>
  <c r="BO2" i="44"/>
  <c r="BB2" i="44"/>
  <c r="BW2" i="50" s="1"/>
  <c r="CF2" i="44"/>
  <c r="DA2" i="50" s="1"/>
  <c r="BK2" i="44"/>
  <c r="BP2" i="44"/>
  <c r="BC2" i="44"/>
  <c r="BX2" i="50" s="1"/>
  <c r="CK2" i="44"/>
  <c r="DF2" i="50" s="1"/>
  <c r="BL2" i="44"/>
  <c r="CA2" i="44"/>
  <c r="CV2" i="50" s="1"/>
  <c r="AY2" i="44"/>
  <c r="BT2" i="50" s="1"/>
  <c r="FN2" i="44"/>
  <c r="FT2" i="44"/>
  <c r="FH2" i="44"/>
  <c r="GO2" i="50" l="1"/>
  <c r="GI2" i="50"/>
  <c r="GC2" i="50"/>
  <c r="CH2" i="50"/>
  <c r="CF2" i="50"/>
  <c r="CG2" i="50"/>
  <c r="CK2" i="50"/>
  <c r="CJ2" i="50"/>
  <c r="CI2" i="50"/>
  <c r="FS2" i="44"/>
  <c r="GN2" i="50" s="1"/>
  <c r="EA2" i="44"/>
  <c r="EV2" i="50" s="1"/>
  <c r="CT2" i="44"/>
  <c r="DO2" i="50" s="1"/>
  <c r="DZ2" i="44"/>
  <c r="EU2" i="50" s="1"/>
  <c r="CS2" i="44"/>
  <c r="DN2" i="50" s="1"/>
  <c r="EC2" i="44"/>
  <c r="EX2" i="50" s="1"/>
  <c r="CR2" i="44"/>
  <c r="DM2" i="50" s="1"/>
  <c r="EB2" i="44"/>
  <c r="EW2" i="50" s="1"/>
  <c r="CQ2" i="44"/>
  <c r="DL2" i="50" s="1"/>
  <c r="FM2" i="44"/>
  <c r="GH2" i="50" s="1"/>
  <c r="CO2" i="44"/>
  <c r="DJ2" i="50" s="1"/>
  <c r="CN2" i="44"/>
  <c r="DI2" i="50" s="1"/>
  <c r="DW2" i="44"/>
  <c r="ER2" i="50" s="1"/>
  <c r="CM2" i="44"/>
  <c r="DH2" i="50" s="1"/>
  <c r="CL2" i="44"/>
  <c r="DG2" i="50" s="1"/>
  <c r="FG2" i="44"/>
  <c r="GB2" i="50" s="1"/>
  <c r="DQ2" i="44"/>
  <c r="EL2" i="50" s="1"/>
  <c r="FA2" i="44"/>
  <c r="FV2" i="50" s="1"/>
  <c r="DK2" i="44"/>
  <c r="EF2" i="50" s="1"/>
  <c r="CG2" i="44"/>
  <c r="DB2" i="50" s="1"/>
  <c r="CI2" i="44"/>
  <c r="DD2" i="50" s="1"/>
  <c r="CH2" i="44"/>
  <c r="DC2" i="50" s="1"/>
  <c r="CJ2" i="44"/>
  <c r="DE2" i="50" s="1"/>
  <c r="CE2" i="44"/>
  <c r="CZ2" i="50" s="1"/>
  <c r="CD2" i="44"/>
  <c r="CY2" i="50" s="1"/>
  <c r="CC2" i="44"/>
  <c r="CX2" i="50" s="1"/>
  <c r="CB2" i="44"/>
  <c r="CW2" i="50" s="1"/>
  <c r="BR2" i="44"/>
  <c r="CM2" i="50" s="1"/>
  <c r="BU2" i="44"/>
  <c r="CP2" i="50" s="1"/>
  <c r="BT2" i="44"/>
  <c r="CO2" i="50" s="1"/>
  <c r="BS2" i="44"/>
  <c r="CN2" i="50" s="1"/>
  <c r="BW2" i="44"/>
  <c r="CR2" i="50" s="1"/>
  <c r="BZ2" i="44"/>
  <c r="CU2" i="50" s="1"/>
  <c r="BY2" i="44"/>
  <c r="CT2" i="50" s="1"/>
  <c r="BX2" i="44"/>
  <c r="CS2" i="50" s="1"/>
  <c r="ED2" i="44"/>
  <c r="EY2" i="50" l="1"/>
  <c r="B2" i="4"/>
  <c r="B2" i="44" s="1"/>
  <c r="B2" i="50" s="1"/>
  <c r="H3" i="31"/>
  <c r="H4" i="31"/>
  <c r="H5" i="31"/>
  <c r="H2" i="31"/>
  <c r="L2" i="38"/>
  <c r="M2" i="38" s="1"/>
  <c r="B2" i="38"/>
  <c r="F4" i="35"/>
  <c r="D2" i="44"/>
  <c r="D2" i="50" s="1"/>
  <c r="E2" i="44"/>
  <c r="E2" i="50" s="1"/>
  <c r="F2" i="44"/>
  <c r="F2" i="50" s="1"/>
  <c r="G2" i="44"/>
  <c r="G2" i="50" s="1"/>
  <c r="H2" i="44"/>
  <c r="H2" i="50" s="1"/>
  <c r="J2" i="44"/>
  <c r="J2" i="50" s="1"/>
  <c r="K2" i="44"/>
  <c r="K2" i="50" s="1"/>
  <c r="L2" i="44"/>
  <c r="L2" i="50" s="1"/>
  <c r="M2" i="44"/>
  <c r="M2" i="50" s="1"/>
  <c r="O2" i="44"/>
  <c r="O2" i="50" s="1"/>
  <c r="R2" i="44"/>
  <c r="R2" i="50" s="1"/>
  <c r="S2" i="44"/>
  <c r="S2" i="50" s="1"/>
  <c r="T2" i="44"/>
  <c r="T2" i="50" s="1"/>
  <c r="U2" i="44"/>
  <c r="U2" i="50" s="1"/>
  <c r="V2" i="44"/>
  <c r="V2" i="50" s="1"/>
  <c r="AD2" i="44"/>
  <c r="AD2" i="50" s="1"/>
  <c r="AF2" i="44"/>
  <c r="BA2" i="50" s="1"/>
  <c r="AG2" i="44"/>
  <c r="BB2" i="50" s="1"/>
  <c r="A2" i="44"/>
  <c r="A2" i="50" s="1"/>
  <c r="AN2" i="50" l="1"/>
  <c r="AM2" i="50"/>
  <c r="AK2" i="44"/>
  <c r="BF2" i="50" s="1"/>
  <c r="FU2" i="44"/>
  <c r="GP2" i="50" s="1"/>
  <c r="AI2" i="44"/>
  <c r="BD2" i="50" s="1"/>
  <c r="C2" i="4"/>
  <c r="AN2" i="44"/>
  <c r="BI2" i="50" s="1"/>
  <c r="AP2" i="44"/>
  <c r="AQ2" i="44"/>
  <c r="BL2" i="50" s="1"/>
  <c r="AU2" i="50" s="1"/>
  <c r="AO2" i="44"/>
  <c r="BJ2" i="50" s="1"/>
  <c r="AS2" i="50" s="1"/>
  <c r="BE2" i="44"/>
  <c r="BZ2" i="50" s="1"/>
  <c r="BI2" i="44"/>
  <c r="CD2" i="50" s="1"/>
  <c r="BH2" i="44"/>
  <c r="CC2" i="50" s="1"/>
  <c r="BF2" i="44"/>
  <c r="CA2" i="50" s="1"/>
  <c r="BG2" i="44"/>
  <c r="CB2" i="50" s="1"/>
  <c r="BJ2" i="44"/>
  <c r="CE2" i="50" s="1"/>
  <c r="EE2" i="44"/>
  <c r="EZ2" i="50" s="1"/>
  <c r="EJ2" i="44"/>
  <c r="FE2" i="50" s="1"/>
  <c r="EF2" i="44"/>
  <c r="FA2" i="50" s="1"/>
  <c r="EI2" i="44"/>
  <c r="FD2" i="50" s="1"/>
  <c r="EH2" i="44"/>
  <c r="FC2" i="50" s="1"/>
  <c r="EG2" i="44"/>
  <c r="FB2" i="50" s="1"/>
  <c r="EK2" i="44"/>
  <c r="FF2" i="50" s="1"/>
  <c r="FO2" i="44"/>
  <c r="GJ2" i="50" s="1"/>
  <c r="EQ2" i="44"/>
  <c r="FL2" i="50" s="1"/>
  <c r="FI2" i="44"/>
  <c r="GD2" i="50" s="1"/>
  <c r="FC2" i="44"/>
  <c r="FX2" i="50" s="1"/>
  <c r="EW2" i="44"/>
  <c r="FR2" i="50" s="1"/>
  <c r="DY2" i="44"/>
  <c r="ET2" i="50" s="1"/>
  <c r="DA2" i="44"/>
  <c r="DV2" i="50" s="1"/>
  <c r="DG2" i="44"/>
  <c r="EB2" i="50" s="1"/>
  <c r="DS2" i="44"/>
  <c r="EN2" i="50" s="1"/>
  <c r="CU2" i="44"/>
  <c r="DP2" i="50" s="1"/>
  <c r="DM2" i="44"/>
  <c r="EH2" i="50" s="1"/>
  <c r="AM2" i="44"/>
  <c r="BH2" i="50" s="1"/>
  <c r="AL2" i="44"/>
  <c r="BG2" i="50" s="1"/>
  <c r="AO2" i="50" l="1"/>
  <c r="AQ2" i="50"/>
  <c r="AR2" i="50"/>
  <c r="AV2" i="44"/>
  <c r="BQ2" i="50" s="1"/>
  <c r="BK2" i="50"/>
  <c r="AT2" i="50" s="1"/>
  <c r="C2" i="44"/>
  <c r="C2" i="50" s="1"/>
  <c r="AS2" i="44"/>
  <c r="BN2" i="50" s="1"/>
  <c r="EO2" i="44"/>
  <c r="FJ2" i="50" s="1"/>
  <c r="AT2" i="44"/>
  <c r="BO2" i="50" s="1"/>
  <c r="DE2" i="44"/>
  <c r="DZ2" i="50" s="1"/>
  <c r="AU2" i="44"/>
  <c r="BP2" i="50" s="1"/>
  <c r="EU2" i="44"/>
  <c r="FP2" i="50" s="1"/>
  <c r="AR2" i="44"/>
  <c r="BM2" i="50" s="1"/>
  <c r="CX2" i="44"/>
  <c r="DS2" i="50" s="1"/>
  <c r="CY2" i="44"/>
  <c r="DT2" i="50" s="1"/>
  <c r="DT2" i="44"/>
  <c r="EO2" i="50" s="1"/>
  <c r="DV2" i="44"/>
  <c r="EQ2" i="50" s="1"/>
  <c r="DU2" i="44"/>
  <c r="EP2" i="50" s="1"/>
  <c r="DI2" i="44"/>
  <c r="ED2" i="50" s="1"/>
  <c r="DJ2" i="44"/>
  <c r="EE2" i="50" s="1"/>
  <c r="DH2" i="44"/>
  <c r="EC2" i="50" s="1"/>
  <c r="DO2" i="44"/>
  <c r="EJ2" i="50" s="1"/>
  <c r="DP2" i="44"/>
  <c r="EK2" i="50" s="1"/>
  <c r="DN2" i="44"/>
  <c r="EI2" i="50" s="1"/>
  <c r="DD2" i="44"/>
  <c r="DY2" i="50" s="1"/>
  <c r="DC2" i="44"/>
  <c r="DX2" i="50" s="1"/>
  <c r="DB2" i="44"/>
  <c r="DW2" i="50" s="1"/>
  <c r="EX2" i="44"/>
  <c r="FS2" i="50" s="1"/>
  <c r="EZ2" i="44"/>
  <c r="EY2" i="44"/>
  <c r="FT2" i="50" s="1"/>
  <c r="FR2" i="44"/>
  <c r="GM2" i="50" s="1"/>
  <c r="FQ2" i="44"/>
  <c r="GL2" i="50" s="1"/>
  <c r="FP2" i="44"/>
  <c r="GK2" i="50" s="1"/>
  <c r="FF2" i="44"/>
  <c r="GA2" i="50" s="1"/>
  <c r="FE2" i="44"/>
  <c r="FZ2" i="50" s="1"/>
  <c r="FD2" i="44"/>
  <c r="FY2" i="50" s="1"/>
  <c r="FL2" i="44"/>
  <c r="GG2" i="50" s="1"/>
  <c r="FK2" i="44"/>
  <c r="GF2" i="50" s="1"/>
  <c r="FJ2" i="44"/>
  <c r="GE2" i="50" s="1"/>
  <c r="EN2" i="44"/>
  <c r="EM2" i="44"/>
  <c r="FH2" i="50" s="1"/>
  <c r="ER2" i="44"/>
  <c r="FM2" i="50" s="1"/>
  <c r="ET2" i="44"/>
  <c r="ES2" i="44"/>
  <c r="FN2" i="50" s="1"/>
  <c r="EL2" i="44"/>
  <c r="FG2" i="50" s="1"/>
  <c r="CW2" i="44"/>
  <c r="DR2" i="50" s="1"/>
  <c r="CV2" i="44"/>
  <c r="DQ2" i="50" s="1"/>
  <c r="Y4" i="41"/>
  <c r="M4" i="41"/>
  <c r="L4" i="41"/>
  <c r="Y3" i="41"/>
  <c r="M3" i="41"/>
  <c r="L3" i="41"/>
  <c r="Y2" i="41"/>
  <c r="M2" i="41"/>
  <c r="L2" i="41"/>
  <c r="EP2" i="44"/>
  <c r="DR2" i="44"/>
  <c r="FX2" i="44"/>
  <c r="FV2" i="44"/>
  <c r="DF2" i="44"/>
  <c r="DX2" i="44"/>
  <c r="FW2" i="44"/>
  <c r="GB2" i="44" s="1"/>
  <c r="FB2" i="44"/>
  <c r="DL2" i="44"/>
  <c r="GA2" i="44"/>
  <c r="FZ2" i="44"/>
  <c r="EV2" i="44"/>
  <c r="FY2" i="44"/>
  <c r="CZ2" i="44"/>
  <c r="AX2" i="44"/>
  <c r="FQ2" i="50" l="1"/>
  <c r="FW2" i="50"/>
  <c r="FK2" i="50"/>
  <c r="AV2" i="50"/>
  <c r="FO2" i="50"/>
  <c r="FU2" i="50"/>
  <c r="FI2" i="50"/>
  <c r="BS2" i="50"/>
  <c r="GW2" i="50"/>
  <c r="GU2" i="50"/>
  <c r="GQ2" i="50"/>
  <c r="GR2" i="50"/>
  <c r="GT2" i="50"/>
  <c r="GV2" i="50"/>
  <c r="GS2" i="50"/>
  <c r="DU2" i="50"/>
  <c r="EA2" i="50"/>
  <c r="EG2" i="50"/>
  <c r="EM2" i="50"/>
  <c r="ES2" i="50"/>
  <c r="AJ2" i="44"/>
  <c r="BE2" i="50" s="1"/>
  <c r="GC2" i="44"/>
  <c r="AH2" i="4"/>
  <c r="EA3" i="39"/>
  <c r="EB3" i="39"/>
  <c r="EC3" i="39"/>
  <c r="ED3" i="39"/>
  <c r="EE3" i="39"/>
  <c r="EF3" i="39"/>
  <c r="EG3" i="39"/>
  <c r="EH3" i="39"/>
  <c r="EI3" i="39"/>
  <c r="EA4" i="39"/>
  <c r="EB4" i="39"/>
  <c r="EC4" i="39"/>
  <c r="ED4" i="39"/>
  <c r="EE4" i="39"/>
  <c r="EF4" i="39"/>
  <c r="EG4" i="39"/>
  <c r="EH4" i="39"/>
  <c r="EI4" i="39"/>
  <c r="EA5" i="39"/>
  <c r="EB5" i="39"/>
  <c r="EC5" i="39"/>
  <c r="ED5" i="39"/>
  <c r="EE5" i="39"/>
  <c r="EF5" i="39"/>
  <c r="EG5" i="39"/>
  <c r="EH5" i="39"/>
  <c r="EI5" i="39"/>
  <c r="EA6" i="39"/>
  <c r="EB6" i="39"/>
  <c r="EC6" i="39"/>
  <c r="ED6" i="39"/>
  <c r="EE6" i="39"/>
  <c r="EF6" i="39"/>
  <c r="EG6" i="39"/>
  <c r="EH6" i="39"/>
  <c r="EI6" i="39"/>
  <c r="EB2" i="39"/>
  <c r="EC2" i="39"/>
  <c r="ED2" i="39"/>
  <c r="EE2" i="39"/>
  <c r="EF2" i="39"/>
  <c r="EG2" i="39"/>
  <c r="EH2" i="39"/>
  <c r="EI2" i="39"/>
  <c r="EA2" i="39"/>
  <c r="AW2" i="50" l="1"/>
  <c r="AP2" i="50"/>
  <c r="AI2" i="4"/>
  <c r="GX2" i="50"/>
  <c r="A2" i="5"/>
  <c r="AY2" i="50" l="1"/>
  <c r="AX2" i="50"/>
  <c r="EJ6" i="39"/>
  <c r="E6" i="39"/>
  <c r="DL6" i="39" s="1"/>
  <c r="D6" i="39"/>
  <c r="DB6" i="39" s="1"/>
  <c r="C6" i="39"/>
  <c r="B6" i="39"/>
  <c r="A6" i="39"/>
  <c r="EJ5" i="39"/>
  <c r="E5" i="39"/>
  <c r="DL5" i="39" s="1"/>
  <c r="DK5" i="39" s="1"/>
  <c r="D5" i="39"/>
  <c r="DB5" i="39" s="1"/>
  <c r="C5" i="39"/>
  <c r="B5" i="39"/>
  <c r="A5" i="39"/>
  <c r="EJ4" i="39"/>
  <c r="E4" i="39"/>
  <c r="DH4" i="39" s="1"/>
  <c r="D4" i="39"/>
  <c r="DB4" i="39" s="1"/>
  <c r="C4" i="39"/>
  <c r="B4" i="39"/>
  <c r="A4" i="39"/>
  <c r="EJ3" i="39"/>
  <c r="E3" i="39"/>
  <c r="DC3" i="39" s="1"/>
  <c r="D3" i="39"/>
  <c r="DB3" i="39" s="1"/>
  <c r="C3" i="39"/>
  <c r="B3" i="39"/>
  <c r="A3" i="39"/>
  <c r="W3" i="39" l="1"/>
  <c r="AK3" i="39"/>
  <c r="BX3" i="39"/>
  <c r="BU3" i="39" s="1"/>
  <c r="CC3" i="39"/>
  <c r="CM3" i="39" s="1"/>
  <c r="BX5" i="39"/>
  <c r="BW5" i="39" s="1"/>
  <c r="L5" i="39"/>
  <c r="CG5" i="39"/>
  <c r="CX5" i="39" s="1"/>
  <c r="AO3" i="39"/>
  <c r="AY3" i="39" s="1"/>
  <c r="DH3" i="39"/>
  <c r="DG3" i="39" s="1"/>
  <c r="AO5" i="39"/>
  <c r="AY5" i="39" s="1"/>
  <c r="DC5" i="39"/>
  <c r="L3" i="39"/>
  <c r="AT3" i="39"/>
  <c r="BK3" i="39" s="1"/>
  <c r="BM5" i="39"/>
  <c r="W5" i="39"/>
  <c r="AP5" i="39"/>
  <c r="AZ5" i="39" s="1"/>
  <c r="BN5" i="39"/>
  <c r="BZ5" i="39"/>
  <c r="CH5" i="39"/>
  <c r="CY5" i="39" s="1"/>
  <c r="DJ5" i="39"/>
  <c r="J5" i="39"/>
  <c r="Y5" i="39"/>
  <c r="AJ5" i="39"/>
  <c r="AS5" i="39"/>
  <c r="BJ5" i="39" s="1"/>
  <c r="BT5" i="39"/>
  <c r="BS5" i="39" s="1"/>
  <c r="CC5" i="39"/>
  <c r="CM5" i="39" s="1"/>
  <c r="DA5" i="39"/>
  <c r="DM5" i="39"/>
  <c r="AF3" i="39"/>
  <c r="AE3" i="39" s="1"/>
  <c r="BM3" i="39"/>
  <c r="DM3" i="39"/>
  <c r="K5" i="39"/>
  <c r="AA5" i="39"/>
  <c r="AN5" i="39"/>
  <c r="AX5" i="39" s="1"/>
  <c r="AT5" i="39"/>
  <c r="BK5" i="39" s="1"/>
  <c r="CD5" i="39"/>
  <c r="CN5" i="39" s="1"/>
  <c r="DN5" i="39"/>
  <c r="AQ6" i="39"/>
  <c r="BE6" i="39" s="1"/>
  <c r="Q4" i="39"/>
  <c r="AO4" i="39"/>
  <c r="AY4" i="39" s="1"/>
  <c r="BM4" i="39"/>
  <c r="BZ4" i="39"/>
  <c r="DN4" i="39"/>
  <c r="K4" i="39"/>
  <c r="U4" i="39"/>
  <c r="T4" i="39" s="1"/>
  <c r="AP4" i="39"/>
  <c r="AZ4" i="39" s="1"/>
  <c r="BN4" i="39"/>
  <c r="CD4" i="39"/>
  <c r="CN4" i="39" s="1"/>
  <c r="CG6" i="39"/>
  <c r="CX6" i="39" s="1"/>
  <c r="Y3" i="39"/>
  <c r="AP3" i="39"/>
  <c r="AZ3" i="39" s="1"/>
  <c r="BN3" i="39"/>
  <c r="CE3" i="39"/>
  <c r="CS3" i="39" s="1"/>
  <c r="L4" i="39"/>
  <c r="W4" i="39"/>
  <c r="AJ4" i="39"/>
  <c r="AS4" i="39"/>
  <c r="BJ4" i="39" s="1"/>
  <c r="BO4" i="39"/>
  <c r="CE4" i="39"/>
  <c r="CS4" i="39" s="1"/>
  <c r="CQ4" i="39" s="1"/>
  <c r="DC4" i="39"/>
  <c r="BQ5" i="39"/>
  <c r="Z6" i="39"/>
  <c r="K3" i="39"/>
  <c r="AJ3" i="39"/>
  <c r="AG3" i="39" s="1"/>
  <c r="AS3" i="39"/>
  <c r="BJ3" i="39" s="1"/>
  <c r="Y4" i="39"/>
  <c r="AL4" i="39"/>
  <c r="AT4" i="39"/>
  <c r="BK4" i="39" s="1"/>
  <c r="BY4" i="39"/>
  <c r="CF4" i="39"/>
  <c r="CW4" i="39" s="1"/>
  <c r="V5" i="39"/>
  <c r="AF5" i="39"/>
  <c r="AB5" i="39" s="1"/>
  <c r="AK5" i="39"/>
  <c r="AR5" i="39"/>
  <c r="BI5" i="39" s="1"/>
  <c r="BF5" i="39" s="1"/>
  <c r="BY5" i="39"/>
  <c r="CE5" i="39"/>
  <c r="CS5" i="39" s="1"/>
  <c r="CP5" i="39" s="1"/>
  <c r="DI5" i="39"/>
  <c r="AJ6" i="39"/>
  <c r="AH6" i="39" s="1"/>
  <c r="DE4" i="39"/>
  <c r="DG4" i="39"/>
  <c r="DF4" i="39"/>
  <c r="DD4" i="39"/>
  <c r="DK6" i="39"/>
  <c r="DJ6" i="39"/>
  <c r="DI6" i="39"/>
  <c r="AD3" i="39"/>
  <c r="DC6" i="39"/>
  <c r="CE6" i="39"/>
  <c r="CS6" i="39" s="1"/>
  <c r="BZ6" i="39"/>
  <c r="BN6" i="39"/>
  <c r="AT6" i="39"/>
  <c r="BK6" i="39" s="1"/>
  <c r="AP6" i="39"/>
  <c r="AZ6" i="39" s="1"/>
  <c r="AK6" i="39"/>
  <c r="Y6" i="39"/>
  <c r="L6" i="39"/>
  <c r="CF6" i="39"/>
  <c r="CW6" i="39" s="1"/>
  <c r="BY6" i="39"/>
  <c r="BT6" i="39"/>
  <c r="BO6" i="39"/>
  <c r="AO6" i="39"/>
  <c r="AY6" i="39" s="1"/>
  <c r="W6" i="39"/>
  <c r="DN6" i="39"/>
  <c r="CD6" i="39"/>
  <c r="CN6" i="39" s="1"/>
  <c r="BX6" i="39"/>
  <c r="BM6" i="39"/>
  <c r="AS6" i="39"/>
  <c r="BJ6" i="39" s="1"/>
  <c r="AN6" i="39"/>
  <c r="AX6" i="39" s="1"/>
  <c r="V6" i="39"/>
  <c r="Q6" i="39"/>
  <c r="K6" i="39"/>
  <c r="DM6" i="39"/>
  <c r="DH6" i="39"/>
  <c r="CH6" i="39"/>
  <c r="CY6" i="39" s="1"/>
  <c r="CC6" i="39"/>
  <c r="CM6" i="39" s="1"/>
  <c r="AR6" i="39"/>
  <c r="BI6" i="39" s="1"/>
  <c r="AL6" i="39"/>
  <c r="AF6" i="39"/>
  <c r="AA6" i="39"/>
  <c r="U6" i="39"/>
  <c r="J6" i="39"/>
  <c r="CB6" i="39"/>
  <c r="CL6" i="39" s="1"/>
  <c r="DA6" i="39"/>
  <c r="DN3" i="39"/>
  <c r="CH3" i="39"/>
  <c r="CY3" i="39" s="1"/>
  <c r="CD3" i="39"/>
  <c r="CN3" i="39" s="1"/>
  <c r="BY3" i="39"/>
  <c r="Q3" i="39"/>
  <c r="U3" i="39"/>
  <c r="Z3" i="39"/>
  <c r="AL3" i="39"/>
  <c r="AQ3" i="39"/>
  <c r="BE3" i="39" s="1"/>
  <c r="BO3" i="39"/>
  <c r="BT3" i="39"/>
  <c r="BZ3" i="39"/>
  <c r="CF3" i="39"/>
  <c r="CW3" i="39" s="1"/>
  <c r="J3" i="39"/>
  <c r="V3" i="39"/>
  <c r="AA3" i="39"/>
  <c r="AN3" i="39"/>
  <c r="AX3" i="39" s="1"/>
  <c r="AR3" i="39"/>
  <c r="BI3" i="39" s="1"/>
  <c r="CB3" i="39"/>
  <c r="CL3" i="39" s="1"/>
  <c r="CG3" i="39"/>
  <c r="CX3" i="39" s="1"/>
  <c r="DA3" i="39"/>
  <c r="DL3" i="39"/>
  <c r="DM4" i="39"/>
  <c r="DA4" i="39"/>
  <c r="CG4" i="39"/>
  <c r="CX4" i="39" s="1"/>
  <c r="CC4" i="39"/>
  <c r="CM4" i="39" s="1"/>
  <c r="BX4" i="39"/>
  <c r="BT4" i="39"/>
  <c r="AR4" i="39"/>
  <c r="BI4" i="39" s="1"/>
  <c r="AN4" i="39"/>
  <c r="AX4" i="39" s="1"/>
  <c r="AA4" i="39"/>
  <c r="V4" i="39"/>
  <c r="J4" i="39"/>
  <c r="Z4" i="39"/>
  <c r="AF4" i="39"/>
  <c r="AK4" i="39"/>
  <c r="AQ4" i="39"/>
  <c r="BE4" i="39" s="1"/>
  <c r="CB4" i="39"/>
  <c r="CL4" i="39" s="1"/>
  <c r="CH4" i="39"/>
  <c r="CY4" i="39" s="1"/>
  <c r="DL4" i="39"/>
  <c r="Q5" i="39"/>
  <c r="U5" i="39"/>
  <c r="Z5" i="39"/>
  <c r="AL5" i="39"/>
  <c r="AQ5" i="39"/>
  <c r="BE5" i="39" s="1"/>
  <c r="BO5" i="39"/>
  <c r="CB5" i="39"/>
  <c r="CL5" i="39" s="1"/>
  <c r="CF5" i="39"/>
  <c r="CW5" i="39" s="1"/>
  <c r="DH5" i="39"/>
  <c r="EJ2" i="39"/>
  <c r="E2" i="39"/>
  <c r="DL2" i="39" s="1"/>
  <c r="D2" i="39"/>
  <c r="DB2" i="39" s="1"/>
  <c r="C2" i="39"/>
  <c r="B2" i="39"/>
  <c r="A2" i="39"/>
  <c r="BU5" i="39" l="1"/>
  <c r="DF3" i="39"/>
  <c r="AI3" i="39"/>
  <c r="BW3" i="39"/>
  <c r="BV3" i="39"/>
  <c r="DD3" i="39"/>
  <c r="BR5" i="39"/>
  <c r="AI6" i="39"/>
  <c r="BP5" i="39"/>
  <c r="DE3" i="39"/>
  <c r="AC5" i="39"/>
  <c r="S4" i="39"/>
  <c r="BV5" i="39"/>
  <c r="AH3" i="39"/>
  <c r="R4" i="39"/>
  <c r="AD5" i="39"/>
  <c r="AG6" i="39"/>
  <c r="BG5" i="39"/>
  <c r="CR4" i="39"/>
  <c r="AH5" i="39"/>
  <c r="AI5" i="39"/>
  <c r="AG5" i="39"/>
  <c r="CR5" i="39"/>
  <c r="AE5" i="39"/>
  <c r="AB3" i="39"/>
  <c r="AC3" i="39"/>
  <c r="CT4" i="39"/>
  <c r="CV4" i="39"/>
  <c r="CU4" i="39"/>
  <c r="CO5" i="39"/>
  <c r="BH5" i="39"/>
  <c r="N4" i="39"/>
  <c r="P4" i="39"/>
  <c r="M4" i="39"/>
  <c r="CQ5" i="39"/>
  <c r="CO4" i="39"/>
  <c r="O4" i="39"/>
  <c r="CP4" i="39"/>
  <c r="AI4" i="39"/>
  <c r="AH4" i="39"/>
  <c r="AG4" i="39"/>
  <c r="CP6" i="39"/>
  <c r="CR6" i="39"/>
  <c r="CQ6" i="39"/>
  <c r="CO6" i="39"/>
  <c r="BC4" i="39"/>
  <c r="BD4" i="39"/>
  <c r="BB4" i="39"/>
  <c r="BA4" i="39"/>
  <c r="DD5" i="39"/>
  <c r="DF5" i="39"/>
  <c r="DE5" i="39"/>
  <c r="DG5" i="39"/>
  <c r="BB5" i="39"/>
  <c r="BD5" i="39"/>
  <c r="BC5" i="39"/>
  <c r="BA5" i="39"/>
  <c r="M5" i="39"/>
  <c r="N5" i="39"/>
  <c r="P5" i="39"/>
  <c r="O5" i="39"/>
  <c r="DJ3" i="39"/>
  <c r="DK3" i="39"/>
  <c r="DI3" i="39"/>
  <c r="R3" i="39"/>
  <c r="T3" i="39"/>
  <c r="S3" i="39"/>
  <c r="DG6" i="39"/>
  <c r="DE6" i="39"/>
  <c r="DD6" i="39"/>
  <c r="DF6" i="39"/>
  <c r="BV6" i="39"/>
  <c r="BW6" i="39"/>
  <c r="BU6" i="39"/>
  <c r="BA6" i="39"/>
  <c r="BC6" i="39"/>
  <c r="BB6" i="39"/>
  <c r="BD6" i="39"/>
  <c r="BP4" i="39"/>
  <c r="BQ4" i="39"/>
  <c r="BS4" i="39"/>
  <c r="BR4" i="39"/>
  <c r="BQ3" i="39"/>
  <c r="BP3" i="39"/>
  <c r="BS3" i="39"/>
  <c r="BR3" i="39"/>
  <c r="BC3" i="39"/>
  <c r="BB3" i="39"/>
  <c r="BD3" i="39"/>
  <c r="BA3" i="39"/>
  <c r="N3" i="39"/>
  <c r="M3" i="39"/>
  <c r="O3" i="39"/>
  <c r="P3" i="39"/>
  <c r="CO3" i="39"/>
  <c r="CP3" i="39"/>
  <c r="CR3" i="39"/>
  <c r="CQ3" i="39"/>
  <c r="AC6" i="39"/>
  <c r="AD6" i="39"/>
  <c r="AB6" i="39"/>
  <c r="AE6" i="39"/>
  <c r="BR6" i="39"/>
  <c r="BS6" i="39"/>
  <c r="BQ6" i="39"/>
  <c r="BP6" i="39"/>
  <c r="BH6" i="39"/>
  <c r="BG6" i="39"/>
  <c r="BF6" i="39"/>
  <c r="BG4" i="39"/>
  <c r="BH4" i="39"/>
  <c r="BF4" i="39"/>
  <c r="BV4" i="39"/>
  <c r="BU4" i="39"/>
  <c r="BW4" i="39"/>
  <c r="CU3" i="39"/>
  <c r="CT3" i="39"/>
  <c r="CV3" i="39"/>
  <c r="CU5" i="39"/>
  <c r="CT5" i="39"/>
  <c r="CV5" i="39"/>
  <c r="S5" i="39"/>
  <c r="R5" i="39"/>
  <c r="T5" i="39"/>
  <c r="DI4" i="39"/>
  <c r="DK4" i="39"/>
  <c r="DJ4" i="39"/>
  <c r="AE4" i="39"/>
  <c r="AD4" i="39"/>
  <c r="AC4" i="39"/>
  <c r="AB4" i="39"/>
  <c r="BG3" i="39"/>
  <c r="BF3" i="39"/>
  <c r="BH3" i="39"/>
  <c r="T6" i="39"/>
  <c r="R6" i="39"/>
  <c r="S6" i="39"/>
  <c r="P6" i="39"/>
  <c r="M6" i="39"/>
  <c r="O6" i="39"/>
  <c r="N6" i="39"/>
  <c r="CT6" i="39"/>
  <c r="CV6" i="39"/>
  <c r="CU6" i="39"/>
  <c r="CG2" i="39"/>
  <c r="CX2" i="39" s="1"/>
  <c r="DA2" i="39"/>
  <c r="V2" i="39"/>
  <c r="BT2" i="39"/>
  <c r="BS2" i="39" s="1"/>
  <c r="BX2" i="39"/>
  <c r="BW2" i="39" s="1"/>
  <c r="DM2" i="39"/>
  <c r="J2" i="39"/>
  <c r="CC2" i="39"/>
  <c r="CM2" i="39" s="1"/>
  <c r="AN2" i="39"/>
  <c r="AX2" i="39" s="1"/>
  <c r="DK2" i="39"/>
  <c r="DJ2" i="39"/>
  <c r="DI2" i="39"/>
  <c r="K2" i="39"/>
  <c r="Z2" i="39" s="1"/>
  <c r="AO2" i="39" s="1"/>
  <c r="AY2" i="39" s="1"/>
  <c r="W2" i="39"/>
  <c r="BM2" i="39"/>
  <c r="BY2" i="39"/>
  <c r="CD2" i="39"/>
  <c r="CN2" i="39" s="1"/>
  <c r="CH2" i="39"/>
  <c r="CY2" i="39" s="1"/>
  <c r="DN2" i="39"/>
  <c r="L2" i="39"/>
  <c r="AA2" i="39" s="1"/>
  <c r="Y2" i="39"/>
  <c r="AK2" i="39"/>
  <c r="AS2" i="39" s="1"/>
  <c r="BJ2" i="39" s="1"/>
  <c r="AT2" i="39"/>
  <c r="BK2" i="39" s="1"/>
  <c r="BN2" i="39"/>
  <c r="BZ2" i="39"/>
  <c r="CE2" i="39"/>
  <c r="CS2" i="39" s="1"/>
  <c r="DC2" i="39"/>
  <c r="Q2" i="39"/>
  <c r="U2" i="39"/>
  <c r="AL2" i="39"/>
  <c r="BO2" i="39"/>
  <c r="CB2" i="39"/>
  <c r="CL2" i="39" s="1"/>
  <c r="CF2" i="39"/>
  <c r="CW2" i="39" s="1"/>
  <c r="DH2" i="39"/>
  <c r="BQ2" i="39" l="1"/>
  <c r="BP2" i="39"/>
  <c r="BV2" i="39"/>
  <c r="BR2" i="39"/>
  <c r="BU2" i="39"/>
  <c r="CU2" i="39"/>
  <c r="CT2" i="39"/>
  <c r="CV2" i="39"/>
  <c r="CQ2" i="39"/>
  <c r="CP2" i="39"/>
  <c r="CR2" i="39"/>
  <c r="CO2" i="39"/>
  <c r="T2" i="39"/>
  <c r="R2" i="39"/>
  <c r="S2" i="39"/>
  <c r="DD2" i="39"/>
  <c r="DG2" i="39"/>
  <c r="DF2" i="39"/>
  <c r="DE2" i="39"/>
  <c r="M2" i="39"/>
  <c r="P2" i="39"/>
  <c r="N2" i="39"/>
  <c r="O2" i="39"/>
  <c r="AP2" i="39"/>
  <c r="AZ2" i="39" s="1"/>
  <c r="AJ2" i="39"/>
  <c r="AF2" i="39"/>
  <c r="AD2" i="39" l="1"/>
  <c r="AE2" i="39"/>
  <c r="AC2" i="39"/>
  <c r="AB2" i="39"/>
  <c r="AQ2" i="39"/>
  <c r="BE2" i="39" s="1"/>
  <c r="AH2" i="39"/>
  <c r="AI2" i="39"/>
  <c r="AG2" i="39"/>
  <c r="AR2" i="39"/>
  <c r="BI2" i="39" s="1"/>
  <c r="BF2" i="39" l="1"/>
  <c r="BG2" i="39"/>
  <c r="BH2" i="39"/>
  <c r="BB2" i="39"/>
  <c r="BA2" i="39"/>
  <c r="BC2" i="39"/>
  <c r="BD2" i="39"/>
  <c r="DW2" i="32" l="1"/>
  <c r="DV2" i="32"/>
  <c r="DT2" i="32"/>
  <c r="DS2" i="32"/>
  <c r="DQ2" i="32"/>
  <c r="EH2" i="32" s="1"/>
  <c r="DP2" i="32"/>
  <c r="DO2" i="32"/>
  <c r="DN2" i="32"/>
  <c r="DM2" i="32"/>
  <c r="DL2" i="32"/>
  <c r="DJ2" i="32"/>
  <c r="DG2" i="32"/>
  <c r="DC2" i="32"/>
  <c r="CS2" i="32"/>
  <c r="CO2" i="32"/>
  <c r="CE2" i="32"/>
  <c r="CA2" i="32"/>
  <c r="BQ2" i="32"/>
  <c r="BL2" i="32"/>
  <c r="BA2" i="32"/>
  <c r="AV2" i="32"/>
  <c r="AK2" i="32"/>
  <c r="AF2" i="32"/>
  <c r="S2" i="32"/>
  <c r="DU2" i="32" s="1"/>
  <c r="R2" i="32"/>
  <c r="P2" i="32"/>
  <c r="N2" i="32" s="1"/>
  <c r="A2" i="32"/>
  <c r="EI2" i="32" l="1"/>
  <c r="EF2" i="32"/>
  <c r="DK2" i="32"/>
  <c r="EG2" i="32"/>
  <c r="E5" i="3" l="1"/>
  <c r="H5" i="3"/>
  <c r="M5" i="3"/>
  <c r="CS2" i="5" l="1"/>
  <c r="DG2" i="5"/>
  <c r="CE2" i="5"/>
  <c r="R2" i="5" l="1"/>
  <c r="BQ2" i="5" l="1"/>
  <c r="BA2" i="5"/>
  <c r="AK2" i="5"/>
  <c r="AS29" i="29" l="1"/>
  <c r="AQ29" i="29"/>
  <c r="C28" i="29" s="1"/>
  <c r="AQ29" i="28"/>
  <c r="AO29" i="28" s="1"/>
  <c r="C28" i="28" s="1"/>
  <c r="AQ29" i="8"/>
  <c r="AO29" i="8" s="1"/>
  <c r="C28" i="8" s="1"/>
  <c r="AQ29" i="27"/>
  <c r="AO29" i="27" s="1"/>
  <c r="C28" i="27" s="1"/>
  <c r="I36" i="29" l="1"/>
  <c r="AO31" i="27"/>
  <c r="C30" i="27"/>
  <c r="AO31" i="28"/>
  <c r="C30" i="28" s="1"/>
  <c r="AO31" i="8"/>
  <c r="C30" i="8"/>
  <c r="M17" i="29" l="1"/>
  <c r="M17" i="28"/>
  <c r="M17" i="8"/>
  <c r="M17" i="27"/>
  <c r="M16" i="28" l="1"/>
  <c r="DV2" i="5" l="1"/>
  <c r="M25" i="8" l="1"/>
  <c r="M25" i="27"/>
  <c r="W65" i="29"/>
  <c r="W61" i="29"/>
  <c r="W57" i="29"/>
  <c r="W53" i="29"/>
  <c r="W49" i="29"/>
  <c r="V61" i="28"/>
  <c r="V65" i="28"/>
  <c r="V57" i="28"/>
  <c r="V53" i="28"/>
  <c r="V49" i="28"/>
  <c r="V57" i="8"/>
  <c r="V65" i="8"/>
  <c r="V61" i="8"/>
  <c r="V53" i="8"/>
  <c r="V49" i="8"/>
  <c r="V65" i="27"/>
  <c r="V61" i="27"/>
  <c r="V57" i="27"/>
  <c r="V53" i="27"/>
  <c r="V49" i="27"/>
  <c r="Y65" i="27"/>
  <c r="Q65" i="27"/>
  <c r="N65" i="27"/>
  <c r="H65" i="27"/>
  <c r="B65" i="27"/>
  <c r="Y61" i="27"/>
  <c r="Q61" i="27"/>
  <c r="N61" i="27"/>
  <c r="H61" i="27"/>
  <c r="B61" i="27"/>
  <c r="Y57" i="27"/>
  <c r="Q57" i="27"/>
  <c r="N57" i="27"/>
  <c r="H57" i="27"/>
  <c r="B57" i="27"/>
  <c r="Y53" i="27"/>
  <c r="Q53" i="27"/>
  <c r="N53" i="27"/>
  <c r="H53" i="27"/>
  <c r="B53" i="27"/>
  <c r="Y49" i="27"/>
  <c r="Q49" i="27"/>
  <c r="N49" i="27"/>
  <c r="H49" i="27"/>
  <c r="B49" i="27"/>
  <c r="T5" i="6"/>
  <c r="O5" i="6"/>
  <c r="A31" i="1" l="1"/>
  <c r="A30" i="1"/>
  <c r="T34" i="29"/>
  <c r="T41" i="29"/>
  <c r="T35" i="29"/>
  <c r="T34" i="28"/>
  <c r="T41" i="28"/>
  <c r="T35" i="28"/>
  <c r="T41" i="8"/>
  <c r="T35" i="8"/>
  <c r="T34" i="8"/>
  <c r="O28" i="1"/>
  <c r="T35" i="27"/>
  <c r="T34" i="27"/>
  <c r="O29" i="1"/>
  <c r="O34" i="1"/>
  <c r="T41" i="27"/>
  <c r="D10" i="1"/>
  <c r="AB25" i="29"/>
  <c r="W25" i="29"/>
  <c r="R25" i="29"/>
  <c r="M25" i="29"/>
  <c r="Y25" i="28"/>
  <c r="S25" i="28"/>
  <c r="M25" i="28"/>
  <c r="V25" i="8"/>
  <c r="R61" i="29"/>
  <c r="R65" i="29"/>
  <c r="R53" i="29"/>
  <c r="R57" i="29"/>
  <c r="R49" i="29"/>
  <c r="Q61" i="28"/>
  <c r="Q65" i="28"/>
  <c r="Q53" i="28"/>
  <c r="Q57" i="28"/>
  <c r="Q49" i="28"/>
  <c r="Y21" i="28"/>
  <c r="Q65" i="8"/>
  <c r="Q61" i="8"/>
  <c r="Q57" i="8"/>
  <c r="Q53" i="8"/>
  <c r="Q49" i="8"/>
  <c r="BL2" i="5" l="1"/>
  <c r="AV2" i="5"/>
  <c r="AF2" i="5"/>
  <c r="AB22" i="29"/>
  <c r="AB24" i="29" s="1"/>
  <c r="W22" i="29"/>
  <c r="W24" i="29" s="1"/>
  <c r="R22" i="29"/>
  <c r="R24" i="29" s="1"/>
  <c r="M19" i="29"/>
  <c r="M22" i="28"/>
  <c r="M24" i="28" s="1"/>
  <c r="M22" i="8"/>
  <c r="M24" i="8" s="1"/>
  <c r="M22" i="27"/>
  <c r="M24" i="27" s="1"/>
  <c r="M19" i="27"/>
  <c r="Y65" i="28"/>
  <c r="N65" i="28"/>
  <c r="H65" i="28"/>
  <c r="B65" i="28"/>
  <c r="Y61" i="28"/>
  <c r="N61" i="28"/>
  <c r="H61" i="28"/>
  <c r="B61" i="28"/>
  <c r="Y57" i="28"/>
  <c r="N57" i="28"/>
  <c r="H57" i="28"/>
  <c r="B57" i="28"/>
  <c r="Y53" i="28"/>
  <c r="N53" i="28"/>
  <c r="H53" i="28"/>
  <c r="B53" i="28"/>
  <c r="Y49" i="28"/>
  <c r="N49" i="28"/>
  <c r="H49" i="28"/>
  <c r="B49" i="28"/>
  <c r="Y65" i="8"/>
  <c r="N65" i="8"/>
  <c r="H65" i="8"/>
  <c r="B65" i="8"/>
  <c r="Y61" i="8"/>
  <c r="N61" i="8"/>
  <c r="H61" i="8"/>
  <c r="B61" i="8"/>
  <c r="Y57" i="8"/>
  <c r="N57" i="8"/>
  <c r="H57" i="8"/>
  <c r="B57" i="8"/>
  <c r="Y53" i="8"/>
  <c r="N53" i="8"/>
  <c r="H53" i="8"/>
  <c r="B53" i="8"/>
  <c r="Y49" i="8"/>
  <c r="N49" i="8"/>
  <c r="H49" i="8"/>
  <c r="B49" i="8"/>
  <c r="AQ31" i="29"/>
  <c r="C30" i="29" s="1"/>
  <c r="C4" i="1" l="1"/>
  <c r="AH14" i="1"/>
  <c r="AG14" i="1"/>
  <c r="AF14" i="1"/>
  <c r="A14" i="1" l="1"/>
  <c r="V22" i="8"/>
  <c r="V24" i="8" s="1"/>
  <c r="DJ2" i="5" l="1"/>
  <c r="AF4" i="1" l="1"/>
  <c r="S2" i="5" l="1"/>
  <c r="DU2" i="5" l="1"/>
  <c r="AG4" i="1"/>
  <c r="AH4" i="1"/>
  <c r="N4" i="1" l="1"/>
  <c r="M26" i="29"/>
  <c r="R26" i="29"/>
  <c r="AB26" i="29"/>
  <c r="W26" i="29"/>
  <c r="Y23" i="28"/>
  <c r="Y22" i="28"/>
  <c r="Y24" i="28" s="1"/>
  <c r="Y26" i="28"/>
  <c r="S26" i="28"/>
  <c r="M26" i="28"/>
  <c r="AA65" i="29"/>
  <c r="AA61" i="29"/>
  <c r="AA57" i="29"/>
  <c r="AA53" i="29"/>
  <c r="AA49" i="29"/>
  <c r="V26" i="8"/>
  <c r="M26" i="8"/>
  <c r="M26" i="27"/>
  <c r="O57" i="29"/>
  <c r="O61" i="29"/>
  <c r="O65" i="29"/>
  <c r="O53" i="29"/>
  <c r="O49" i="29"/>
  <c r="AB23" i="29"/>
  <c r="W23" i="29"/>
  <c r="M22" i="29"/>
  <c r="M24" i="29" s="1"/>
  <c r="AB21" i="29"/>
  <c r="W21" i="29"/>
  <c r="B53" i="29"/>
  <c r="B57" i="29"/>
  <c r="B61" i="29"/>
  <c r="B65" i="29"/>
  <c r="R23" i="29"/>
  <c r="M23" i="29"/>
  <c r="H65" i="29"/>
  <c r="H61" i="29"/>
  <c r="H57" i="29"/>
  <c r="H53" i="29"/>
  <c r="H49" i="29"/>
  <c r="B49" i="29"/>
  <c r="I37" i="29"/>
  <c r="R21" i="29"/>
  <c r="M21" i="29"/>
  <c r="M18" i="29"/>
  <c r="M16" i="29"/>
  <c r="C9" i="29"/>
  <c r="I37" i="28"/>
  <c r="I36" i="28"/>
  <c r="S23" i="28"/>
  <c r="M23" i="28"/>
  <c r="S22" i="28"/>
  <c r="S24" i="28" s="1"/>
  <c r="S21" i="28"/>
  <c r="M21" i="28"/>
  <c r="M19" i="28"/>
  <c r="M18" i="28"/>
  <c r="C9" i="28"/>
  <c r="I37" i="27"/>
  <c r="I36" i="27"/>
  <c r="M23" i="27"/>
  <c r="M21" i="27"/>
  <c r="M18" i="27"/>
  <c r="M16" i="27"/>
  <c r="C9" i="27"/>
  <c r="M23" i="8"/>
  <c r="V23" i="8"/>
  <c r="M21" i="8"/>
  <c r="Q13" i="1"/>
  <c r="G13" i="1"/>
  <c r="G11" i="1"/>
  <c r="I37" i="8"/>
  <c r="I36" i="8"/>
  <c r="V21" i="8"/>
  <c r="M19" i="8"/>
  <c r="M18" i="8"/>
  <c r="M16" i="8"/>
  <c r="C9" i="8"/>
  <c r="R17" i="1" l="1"/>
  <c r="U17" i="1" s="1"/>
  <c r="U18" i="1" s="1"/>
  <c r="AD18" i="1" s="1"/>
  <c r="P2" i="5"/>
  <c r="CA2" i="5"/>
  <c r="CO2" i="5"/>
  <c r="DC2" i="5"/>
  <c r="DL2" i="5"/>
  <c r="DM2" i="5"/>
  <c r="DN2" i="5"/>
  <c r="DO2" i="5"/>
  <c r="DP2" i="5"/>
  <c r="DS2" i="5"/>
  <c r="DT2" i="5"/>
  <c r="DW2" i="5"/>
  <c r="N2" i="5" l="1"/>
  <c r="B19" i="1"/>
  <c r="DQ2" i="5"/>
  <c r="DK2" i="5" l="1"/>
  <c r="EG2" i="5"/>
  <c r="EH2" i="5"/>
  <c r="EF2" i="5" l="1"/>
  <c r="EI2" i="5"/>
</calcChain>
</file>

<file path=xl/comments1.xml><?xml version="1.0" encoding="utf-8"?>
<comments xmlns="http://schemas.openxmlformats.org/spreadsheetml/2006/main">
  <authors>
    <author>Dell</author>
  </authors>
  <commentList>
    <comment ref="B1" authorId="0" shapeId="0">
      <text>
        <r>
          <rPr>
            <b/>
            <sz val="8"/>
            <color indexed="81"/>
            <rFont val="Tahoma"/>
            <charset val="1"/>
          </rPr>
          <t>Dell:</t>
        </r>
        <r>
          <rPr>
            <sz val="8"/>
            <color indexed="81"/>
            <rFont val="Tahoma"/>
            <charset val="1"/>
          </rPr>
          <t xml:space="preserve">
- Mã Trường hợp Kiểm định: Số nguyên.
- Cần khai báo và dùng thống nhất ngay từ đầu</t>
        </r>
      </text>
    </comment>
    <comment ref="C1" authorId="0" shapeId="0">
      <text>
        <r>
          <rPr>
            <b/>
            <sz val="8"/>
            <color indexed="81"/>
            <rFont val="Tahoma"/>
            <charset val="1"/>
          </rPr>
          <t>Dell:</t>
        </r>
        <r>
          <rPr>
            <sz val="8"/>
            <color indexed="81"/>
            <rFont val="Tahoma"/>
            <charset val="1"/>
          </rPr>
          <t xml:space="preserve">
- Tên Trường hợp Kiểm định không quá 50 ký tự.</t>
        </r>
      </text>
    </comment>
  </commentList>
</comments>
</file>

<file path=xl/comments2.xml><?xml version="1.0" encoding="utf-8"?>
<comments xmlns="http://schemas.openxmlformats.org/spreadsheetml/2006/main">
  <authors>
    <author>Dell</author>
  </authors>
  <commentList>
    <comment ref="B1" authorId="0" shapeId="0">
      <text>
        <r>
          <rPr>
            <b/>
            <sz val="8"/>
            <color indexed="81"/>
            <rFont val="Tahoma"/>
            <charset val="1"/>
          </rPr>
          <t>Dell:</t>
        </r>
        <r>
          <rPr>
            <sz val="8"/>
            <color indexed="81"/>
            <rFont val="Tahoma"/>
            <charset val="1"/>
          </rPr>
          <t xml:space="preserve">
- Mã Phòng Đo kiểm không quá 20 ký tự.
- Cần khai báo và dùng thống nhất ngay từ đầu</t>
        </r>
      </text>
    </comment>
    <comment ref="C1" authorId="0" shapeId="0">
      <text>
        <r>
          <rPr>
            <b/>
            <sz val="8"/>
            <color indexed="81"/>
            <rFont val="Tahoma"/>
            <charset val="1"/>
          </rPr>
          <t>Dell:</t>
        </r>
        <r>
          <rPr>
            <sz val="8"/>
            <color indexed="81"/>
            <rFont val="Tahoma"/>
            <charset val="1"/>
          </rPr>
          <t xml:space="preserve">
- Tên Phòng Đo kiểm không quá 255 ký tự.</t>
        </r>
      </text>
    </comment>
    <comment ref="D1" authorId="0" shapeId="0">
      <text>
        <r>
          <rPr>
            <b/>
            <sz val="8"/>
            <color indexed="81"/>
            <rFont val="Tahoma"/>
            <charset val="1"/>
          </rPr>
          <t>Dell:</t>
        </r>
        <r>
          <rPr>
            <sz val="8"/>
            <color indexed="81"/>
            <rFont val="Tahoma"/>
            <charset val="1"/>
          </rPr>
          <t xml:space="preserve">
- Địa chỉ không quá 255 ký tự.</t>
        </r>
      </text>
    </comment>
    <comment ref="E1" authorId="0" shapeId="0">
      <text>
        <r>
          <rPr>
            <b/>
            <sz val="8"/>
            <color indexed="81"/>
            <rFont val="Tahoma"/>
            <charset val="1"/>
          </rPr>
          <t>Dell:</t>
        </r>
        <r>
          <rPr>
            <sz val="8"/>
            <color indexed="81"/>
            <rFont val="Tahoma"/>
            <charset val="1"/>
          </rPr>
          <t xml:space="preserve">
- Số điện thoại không quá 30 ký tự.</t>
        </r>
      </text>
    </comment>
    <comment ref="F1" authorId="0" shapeId="0">
      <text>
        <r>
          <rPr>
            <b/>
            <sz val="8"/>
            <color indexed="81"/>
            <rFont val="Tahoma"/>
            <charset val="1"/>
          </rPr>
          <t>Dell:</t>
        </r>
        <r>
          <rPr>
            <sz val="8"/>
            <color indexed="81"/>
            <rFont val="Tahoma"/>
            <charset val="1"/>
          </rPr>
          <t xml:space="preserve">
- Số Fax không quá 30 ký tự.</t>
        </r>
      </text>
    </comment>
  </commentList>
</comments>
</file>

<file path=xl/comments3.xml><?xml version="1.0" encoding="utf-8"?>
<comments xmlns="http://schemas.openxmlformats.org/spreadsheetml/2006/main">
  <authors>
    <author>Dell</author>
  </authors>
  <commentList>
    <comment ref="B1" authorId="0" shapeId="0">
      <text>
        <r>
          <rPr>
            <b/>
            <sz val="8"/>
            <color indexed="81"/>
            <rFont val="Tahoma"/>
            <charset val="1"/>
          </rPr>
          <t>Dell:</t>
        </r>
        <r>
          <rPr>
            <sz val="8"/>
            <color indexed="81"/>
            <rFont val="Tahoma"/>
            <charset val="1"/>
          </rPr>
          <t xml:space="preserve">
- Tên viết tắt gồm 3 ký tự.
- Cần khai báo và dùng thống nhất ngay từ đầu.</t>
        </r>
      </text>
    </comment>
    <comment ref="C1" authorId="0" shapeId="0">
      <text>
        <r>
          <rPr>
            <b/>
            <sz val="8"/>
            <color indexed="81"/>
            <rFont val="Tahoma"/>
            <charset val="1"/>
          </rPr>
          <t>Dell:</t>
        </r>
        <r>
          <rPr>
            <sz val="8"/>
            <color indexed="81"/>
            <rFont val="Tahoma"/>
            <charset val="1"/>
          </rPr>
          <t xml:space="preserve">
- Tên Tỉnh/Thành phố không quá 50 ký tự.</t>
        </r>
      </text>
    </comment>
  </commentList>
</comments>
</file>

<file path=xl/comments4.xml><?xml version="1.0" encoding="utf-8"?>
<comments xmlns="http://schemas.openxmlformats.org/spreadsheetml/2006/main">
  <authors>
    <author>Dell</author>
  </authors>
  <commentList>
    <comment ref="B1" authorId="0" shapeId="0">
      <text>
        <r>
          <rPr>
            <b/>
            <sz val="8"/>
            <color indexed="81"/>
            <rFont val="Tahoma"/>
            <charset val="1"/>
          </rPr>
          <t>Dell:</t>
        </r>
        <r>
          <rPr>
            <sz val="8"/>
            <color indexed="81"/>
            <rFont val="Tahoma"/>
            <charset val="1"/>
          </rPr>
          <t xml:space="preserve">
- Mã Nhà mạng tối đa 10 ký tự.
- Cần khai báo và dùng thống nhất ngay từ đầu.</t>
        </r>
      </text>
    </comment>
    <comment ref="C1" authorId="0" shapeId="0">
      <text>
        <r>
          <rPr>
            <b/>
            <sz val="8"/>
            <color indexed="81"/>
            <rFont val="Tahoma"/>
            <charset val="1"/>
          </rPr>
          <t>Dell:</t>
        </r>
        <r>
          <rPr>
            <sz val="8"/>
            <color indexed="81"/>
            <rFont val="Tahoma"/>
            <charset val="1"/>
          </rPr>
          <t xml:space="preserve">
- Tên Nhà mạng tối đa 255 ký tự</t>
        </r>
      </text>
    </comment>
  </commentList>
</comments>
</file>

<file path=xl/comments5.xml><?xml version="1.0" encoding="utf-8"?>
<comments xmlns="http://schemas.openxmlformats.org/spreadsheetml/2006/main">
  <authors>
    <author>Dell</author>
  </authors>
  <commentList>
    <comment ref="B1" authorId="0" shapeId="0">
      <text>
        <r>
          <rPr>
            <b/>
            <sz val="8"/>
            <color indexed="81"/>
            <rFont val="Tahoma"/>
            <charset val="1"/>
          </rPr>
          <t>Dell:</t>
        </r>
        <r>
          <rPr>
            <sz val="8"/>
            <color indexed="81"/>
            <rFont val="Tahoma"/>
            <charset val="1"/>
          </rPr>
          <t xml:space="preserve">
- Mã đơn vị nộp hồ sơ không quá 50 ký tự.
- Cần khai báo và dùng thống nhất ngay từ đầu.</t>
        </r>
      </text>
    </comment>
    <comment ref="C1" authorId="0" shapeId="0">
      <text>
        <r>
          <rPr>
            <b/>
            <sz val="8"/>
            <color indexed="81"/>
            <rFont val="Tahoma"/>
            <charset val="1"/>
          </rPr>
          <t>Dell:</t>
        </r>
        <r>
          <rPr>
            <sz val="8"/>
            <color indexed="81"/>
            <rFont val="Tahoma"/>
            <charset val="1"/>
          </rPr>
          <t xml:space="preserve">
- Tên đơn vị nộp hồ sơ không quá 255 ký tự.</t>
        </r>
      </text>
    </comment>
    <comment ref="D1" authorId="0" shapeId="0">
      <text>
        <r>
          <rPr>
            <b/>
            <sz val="8"/>
            <color indexed="81"/>
            <rFont val="Tahoma"/>
            <charset val="1"/>
          </rPr>
          <t>Dell:</t>
        </r>
        <r>
          <rPr>
            <sz val="8"/>
            <color indexed="81"/>
            <rFont val="Tahoma"/>
            <charset val="1"/>
          </rPr>
          <t xml:space="preserve">
- Địa chỉ không quá 255 ký tự.</t>
        </r>
      </text>
    </comment>
    <comment ref="E1" authorId="0" shapeId="0">
      <text>
        <r>
          <rPr>
            <b/>
            <sz val="8"/>
            <color indexed="81"/>
            <rFont val="Tahoma"/>
            <charset val="1"/>
          </rPr>
          <t>Dell:</t>
        </r>
        <r>
          <rPr>
            <sz val="8"/>
            <color indexed="81"/>
            <rFont val="Tahoma"/>
            <charset val="1"/>
          </rPr>
          <t xml:space="preserve">
- Số điện thoại không quá 30 ký tự.</t>
        </r>
      </text>
    </comment>
    <comment ref="F1" authorId="0" shapeId="0">
      <text>
        <r>
          <rPr>
            <b/>
            <sz val="8"/>
            <color indexed="81"/>
            <rFont val="Tahoma"/>
            <charset val="1"/>
          </rPr>
          <t>Dell:</t>
        </r>
        <r>
          <rPr>
            <sz val="8"/>
            <color indexed="81"/>
            <rFont val="Tahoma"/>
            <charset val="1"/>
          </rPr>
          <t xml:space="preserve">
- Số Fax không quá 30 ký tự.</t>
        </r>
      </text>
    </comment>
    <comment ref="G1" authorId="0" shapeId="0">
      <text>
        <r>
          <rPr>
            <b/>
            <sz val="8"/>
            <color indexed="81"/>
            <rFont val="Tahoma"/>
            <charset val="1"/>
          </rPr>
          <t>Dell:</t>
        </r>
        <r>
          <rPr>
            <sz val="8"/>
            <color indexed="81"/>
            <rFont val="Tahoma"/>
            <charset val="1"/>
          </rPr>
          <t xml:space="preserve">
- Đầu mối liên hệ không quá 100 ký tự</t>
        </r>
      </text>
    </comment>
    <comment ref="H1" authorId="0" shapeId="0">
      <text>
        <r>
          <rPr>
            <b/>
            <sz val="8"/>
            <color indexed="81"/>
            <rFont val="Tahoma"/>
            <charset val="1"/>
          </rPr>
          <t>Dell:</t>
        </r>
        <r>
          <rPr>
            <sz val="8"/>
            <color indexed="81"/>
            <rFont val="Tahoma"/>
            <charset val="1"/>
          </rPr>
          <t xml:space="preserve">
- Mã nhà mạng (Optional) phải thuộc trong danh sách Mã nhà mạng thuộc Sheet Operator đã khai báo.</t>
        </r>
      </text>
    </comment>
  </commentList>
</comments>
</file>

<file path=xl/comments6.xml><?xml version="1.0" encoding="utf-8"?>
<comments xmlns="http://schemas.openxmlformats.org/spreadsheetml/2006/main">
  <authors>
    <author>Dell</author>
  </authors>
  <commentList>
    <comment ref="A1" authorId="0" shapeId="0">
      <text>
        <r>
          <rPr>
            <b/>
            <sz val="8"/>
            <color indexed="81"/>
            <rFont val="Tahoma"/>
            <charset val="1"/>
          </rPr>
          <t>Dell:</t>
        </r>
        <r>
          <rPr>
            <sz val="8"/>
            <color indexed="81"/>
            <rFont val="Tahoma"/>
            <charset val="1"/>
          </rPr>
          <t xml:space="preserve">
- Mã đơn vị (Optional) phải thuộc trong danh sách Đơn vị thuộc Sheet Applicant đã khai báo.</t>
        </r>
      </text>
    </comment>
    <comment ref="B1" authorId="0" shapeId="0">
      <text>
        <r>
          <rPr>
            <b/>
            <sz val="8"/>
            <color indexed="81"/>
            <rFont val="Tahoma"/>
            <charset val="1"/>
          </rPr>
          <t>Dell:</t>
        </r>
        <r>
          <rPr>
            <sz val="8"/>
            <color indexed="81"/>
            <rFont val="Tahoma"/>
            <charset val="1"/>
          </rPr>
          <t xml:space="preserve">
- Tên đơn vị không quá 255 ký tự phải thuộc trong danh sách Đơn vị thuộc Sheet Applicant đã khai báo.</t>
        </r>
      </text>
    </comment>
    <comment ref="C1" authorId="0" shapeId="0">
      <text>
        <r>
          <rPr>
            <b/>
            <sz val="8"/>
            <color indexed="81"/>
            <rFont val="Tahoma"/>
            <charset val="1"/>
          </rPr>
          <t>Dell:</t>
        </r>
        <r>
          <rPr>
            <sz val="8"/>
            <color indexed="81"/>
            <rFont val="Tahoma"/>
            <charset val="1"/>
          </rPr>
          <t xml:space="preserve">
- Số Đơn KĐ không quá 30 ký tự.</t>
        </r>
      </text>
    </comment>
    <comment ref="D1" authorId="0" shapeId="0">
      <text>
        <r>
          <rPr>
            <b/>
            <sz val="8"/>
            <color indexed="81"/>
            <rFont val="Tahoma"/>
            <charset val="1"/>
          </rPr>
          <t>Dell:</t>
        </r>
        <r>
          <rPr>
            <sz val="8"/>
            <color indexed="81"/>
            <rFont val="Tahoma"/>
            <charset val="1"/>
          </rPr>
          <t xml:space="preserve">
- Ngày Đơn KĐ có định dạng dd/mm/yyyy.</t>
        </r>
      </text>
    </comment>
    <comment ref="E1" authorId="0" shapeId="0">
      <text>
        <r>
          <rPr>
            <b/>
            <sz val="8"/>
            <color indexed="81"/>
            <rFont val="Tahoma"/>
            <charset val="1"/>
          </rPr>
          <t>Dell:</t>
        </r>
        <r>
          <rPr>
            <sz val="8"/>
            <color indexed="81"/>
            <rFont val="Tahoma"/>
            <charset val="1"/>
          </rPr>
          <t xml:space="preserve">
- Số Trạm BTS KĐ theo đơn: Số nguyên.</t>
        </r>
      </text>
    </comment>
    <comment ref="F1" authorId="0" shapeId="0">
      <text>
        <r>
          <rPr>
            <b/>
            <sz val="8"/>
            <color indexed="81"/>
            <rFont val="Tahoma"/>
            <charset val="1"/>
          </rPr>
          <t>Dell:</t>
        </r>
        <r>
          <rPr>
            <sz val="8"/>
            <color indexed="81"/>
            <rFont val="Tahoma"/>
            <charset val="1"/>
          </rPr>
          <t xml:space="preserve">
- Số Trạm BTS KĐ được tiếp nhận: Số nguyên.</t>
        </r>
      </text>
    </comment>
    <comment ref="G1" authorId="0" shapeId="0">
      <text>
        <r>
          <rPr>
            <b/>
            <sz val="8"/>
            <color indexed="81"/>
            <rFont val="Tahoma"/>
            <charset val="1"/>
          </rPr>
          <t>Dell:</t>
        </r>
        <r>
          <rPr>
            <sz val="8"/>
            <color indexed="81"/>
            <rFont val="Tahoma"/>
            <charset val="1"/>
          </rPr>
          <t xml:space="preserve">
- Ngày nộp Đơn KĐ: Có định dạng dd/mm/yyyy.</t>
        </r>
      </text>
    </comment>
    <comment ref="H1" authorId="0" shapeId="0">
      <text>
        <r>
          <rPr>
            <b/>
            <sz val="8"/>
            <color indexed="81"/>
            <rFont val="Tahoma"/>
            <charset val="1"/>
          </rPr>
          <t>Dell:</t>
        </r>
        <r>
          <rPr>
            <sz val="8"/>
            <color indexed="81"/>
            <rFont val="Tahoma"/>
            <charset val="1"/>
          </rPr>
          <t xml:space="preserve">
- Phí Kiểm định: Số nguyên, định dạng kiểu ViệtNam.</t>
        </r>
      </text>
    </comment>
    <comment ref="I1" authorId="0" shapeId="0">
      <text>
        <r>
          <rPr>
            <b/>
            <sz val="8"/>
            <color indexed="81"/>
            <rFont val="Tahoma"/>
            <charset val="1"/>
          </rPr>
          <t>Dell:</t>
        </r>
        <r>
          <rPr>
            <sz val="8"/>
            <color indexed="81"/>
            <rFont val="Tahoma"/>
            <charset val="1"/>
          </rPr>
          <t xml:space="preserve">
- Số CV Báo phí không quá 30 ký tự.</t>
        </r>
      </text>
    </comment>
    <comment ref="J1" authorId="0" shapeId="0">
      <text>
        <r>
          <rPr>
            <b/>
            <sz val="8"/>
            <color indexed="81"/>
            <rFont val="Tahoma"/>
            <charset val="1"/>
          </rPr>
          <t>Dell:</t>
        </r>
        <r>
          <rPr>
            <sz val="8"/>
            <color indexed="81"/>
            <rFont val="Tahoma"/>
            <charset val="1"/>
          </rPr>
          <t xml:space="preserve">
- Ngày Báo phí: Định dạng kiểu dd/mm/yyyy.</t>
        </r>
      </text>
    </comment>
    <comment ref="K1" authorId="0" shapeId="0">
      <text>
        <r>
          <rPr>
            <b/>
            <sz val="8"/>
            <color indexed="81"/>
            <rFont val="Tahoma"/>
            <charset val="1"/>
          </rPr>
          <t>Dell:</t>
        </r>
        <r>
          <rPr>
            <sz val="8"/>
            <color indexed="81"/>
            <rFont val="Tahoma"/>
            <charset val="1"/>
          </rPr>
          <t xml:space="preserve">
- Ngày Nộp phí: Định dạng kiểu dd/mm/yyyy.</t>
        </r>
      </text>
    </comment>
  </commentList>
</comments>
</file>

<file path=xl/comments7.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 ref="C1" authorId="0" shapeId="0">
      <text>
        <r>
          <rPr>
            <b/>
            <sz val="8"/>
            <color indexed="81"/>
            <rFont val="Tahoma"/>
            <family val="2"/>
          </rPr>
          <t>Dell:</t>
        </r>
        <r>
          <rPr>
            <sz val="8"/>
            <color indexed="81"/>
            <rFont val="Tahoma"/>
            <family val="2"/>
          </rPr>
          <t xml:space="preserve">
- Địa chỉ trạm BTS không quá 255 ký tự.</t>
        </r>
      </text>
    </comment>
    <comment ref="D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 ref="E1" authorId="0" shapeId="0">
      <text>
        <r>
          <rPr>
            <b/>
            <sz val="8"/>
            <color indexed="81"/>
            <rFont val="Tahoma"/>
            <family val="2"/>
          </rPr>
          <t>Dell:</t>
        </r>
        <r>
          <rPr>
            <sz val="8"/>
            <color indexed="81"/>
            <rFont val="Tahoma"/>
            <family val="2"/>
          </rPr>
          <t xml:space="preserve">
- Kinh độ: Số thập phân định dạng theo kiểu Việt Nam.</t>
        </r>
      </text>
    </comment>
    <comment ref="F1" authorId="0" shapeId="0">
      <text>
        <r>
          <rPr>
            <b/>
            <sz val="8"/>
            <color indexed="81"/>
            <rFont val="Tahoma"/>
            <family val="2"/>
          </rPr>
          <t>Dell:</t>
        </r>
        <r>
          <rPr>
            <sz val="8"/>
            <color indexed="81"/>
            <rFont val="Tahoma"/>
            <family val="2"/>
          </rPr>
          <t xml:space="preserve">
- Vĩ độ: Số thập phân định dạng theo kiểu Việt Nam.</t>
        </r>
      </text>
    </comment>
    <comment ref="G1" authorId="0" shapeId="0">
      <text>
        <r>
          <rPr>
            <b/>
            <sz val="8"/>
            <color indexed="81"/>
            <rFont val="Tahoma"/>
            <family val="2"/>
          </rPr>
          <t>Dell:</t>
        </r>
        <r>
          <rPr>
            <sz val="8"/>
            <color indexed="81"/>
            <rFont val="Tahoma"/>
            <family val="2"/>
          </rPr>
          <t xml:space="preserve">
- Mã Trường hợp KĐ: phải thuộc trong danh sách Mã Trường hợp KĐ thuộc Sheet InCaseOf đã khai báo.</t>
        </r>
      </text>
    </comment>
    <comment ref="H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List>
</comments>
</file>

<file path=xl/comments8.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List>
</comments>
</file>

<file path=xl/comments9.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List>
</comments>
</file>

<file path=xl/comments10.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AF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11.xml><?xml version="1.0" encoding="utf-8"?>
<comments xmlns="http://schemas.openxmlformats.org/spreadsheetml/2006/main">
  <authors>
    <author>Nguyen Quoc Cuong</author>
  </authors>
  <commentList>
    <comment ref="O1" authorId="0"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12.xml><?xml version="1.0" encoding="utf-8"?>
<comments xmlns="http://schemas.openxmlformats.org/spreadsheetml/2006/main">
  <authors>
    <author>Nguyen Quoc Cuong</author>
  </authors>
  <commentList>
    <comment ref="O1" authorId="0"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sharedStrings.xml><?xml version="1.0" encoding="utf-8"?>
<sst xmlns="http://schemas.openxmlformats.org/spreadsheetml/2006/main" count="5865" uniqueCount="1886">
  <si>
    <t>STT</t>
  </si>
  <si>
    <t>Tỉnh/TP</t>
  </si>
  <si>
    <t>Ngày đo kiểm</t>
  </si>
  <si>
    <t>Chủng loại thiết bị phát</t>
  </si>
  <si>
    <t>Số anten phát</t>
  </si>
  <si>
    <t>Số máy phát, thu-phát (số sóng mang)</t>
  </si>
  <si>
    <t>Tổng công suất phát từng anten</t>
  </si>
  <si>
    <t>Dải tần hoạt động</t>
  </si>
  <si>
    <t>Chủng loại anten</t>
  </si>
  <si>
    <t>Doanh nghiệp đề nghị kiểm định</t>
  </si>
  <si>
    <t>Địa điểm lắp đặt thực tế</t>
  </si>
  <si>
    <t>Kinh độ (Long)</t>
  </si>
  <si>
    <t>Vĩ độ (Lat)</t>
  </si>
  <si>
    <t>Số lượng trạm gốc</t>
  </si>
  <si>
    <t>Số BBKĐ</t>
  </si>
  <si>
    <t>Ngày kí BBKĐ</t>
  </si>
  <si>
    <t>Doanh nghiệp cung cấp dịch vụ</t>
  </si>
  <si>
    <t>Mã trạm gốc</t>
  </si>
  <si>
    <t>Trường hợp kiểm định</t>
  </si>
  <si>
    <t>Doanh nghiệp</t>
  </si>
  <si>
    <t>Cấp GCN</t>
  </si>
  <si>
    <t>Giới hạn an toàn</t>
  </si>
  <si>
    <t>Số quản lý</t>
  </si>
  <si>
    <t>Số hồ sơ</t>
  </si>
  <si>
    <t>Địa điểm lắp đặt</t>
  </si>
  <si>
    <t>Số biên bản kiểm định</t>
  </si>
  <si>
    <t>Ngày cấp BBKĐ</t>
  </si>
  <si>
    <t>Ngày kiểm định</t>
  </si>
  <si>
    <t>Số Giấy CN</t>
  </si>
  <si>
    <t>Số GCN</t>
  </si>
  <si>
    <t>DDMMYY</t>
  </si>
  <si>
    <t>PPTL</t>
  </si>
  <si>
    <t>Ngày cấp</t>
  </si>
  <si>
    <t>Ngày hết hạn</t>
  </si>
  <si>
    <t>Ban hành</t>
  </si>
  <si>
    <t>Hết hạn</t>
  </si>
  <si>
    <t>Giới hạn an toàn</t>
  </si>
  <si>
    <t>Tên doanh nghiệp</t>
  </si>
  <si>
    <t>Loại thiết bị</t>
  </si>
  <si>
    <t>Số Anten phát</t>
  </si>
  <si>
    <t>Số máy phát Anten 1</t>
  </si>
  <si>
    <t>Số máy phát Anten 2</t>
  </si>
  <si>
    <t>Số máy phát Anten 3</t>
  </si>
  <si>
    <t>Cấu hình máy phát</t>
  </si>
  <si>
    <t>Tổng công suất phát Anten 1</t>
  </si>
  <si>
    <t>Tổng công suất phát Anten 2</t>
  </si>
  <si>
    <t>Tổng công suất phát Anten 3</t>
  </si>
  <si>
    <t>Cấu hình tổng công suất</t>
  </si>
  <si>
    <t>Độ cao từng anten</t>
  </si>
  <si>
    <t>Tên doanh nghiệp 1</t>
  </si>
  <si>
    <t>Tên doanh nghiệp 2</t>
  </si>
  <si>
    <t>Tên doanh nghiệp 3</t>
  </si>
  <si>
    <t>Tên doanh nghiệp 4</t>
  </si>
  <si>
    <t>Tên doanh nghiệp 5</t>
  </si>
  <si>
    <t>Số lượng công trình thực tế</t>
  </si>
  <si>
    <t>Số công trình thực tế/ Số lượng trạm chung</t>
  </si>
  <si>
    <t>Xét công trình 2 so với công trình 1</t>
  </si>
  <si>
    <t>Xét công trình 3 so với công trình 1</t>
  </si>
  <si>
    <t>Xét công trình 4 so với công trình 1</t>
  </si>
  <si>
    <t>Xét công trình 5 so với công trình 1</t>
  </si>
  <si>
    <t>Xét công trình 6 so với công trình 1</t>
  </si>
  <si>
    <t>Số lượng trạm chung</t>
  </si>
  <si>
    <t>Ghi chú</t>
  </si>
  <si>
    <t>Kiểm tra tỉnh</t>
  </si>
  <si>
    <t>Kiểm tra ngày cấp CNKĐ</t>
  </si>
  <si>
    <t>Kiểm tra số lượng công trình</t>
  </si>
  <si>
    <t>Kiểm tra thứ tự công trình</t>
  </si>
  <si>
    <t>Số thông báo lệ phí cấp giấy</t>
  </si>
  <si>
    <t>Doanh nghiệp đề nghị kiểm định</t>
  </si>
  <si>
    <t>Doanh nghiệp cung cấp dịch vụ</t>
  </si>
  <si>
    <t>Yes</t>
  </si>
  <si>
    <t>Độ cao giới hạn an toàn</t>
  </si>
  <si>
    <t>Độ cao anten</t>
  </si>
  <si>
    <t>A1</t>
  </si>
  <si>
    <t>A2</t>
  </si>
  <si>
    <t>A3</t>
  </si>
  <si>
    <t>A4</t>
  </si>
  <si>
    <t>A5</t>
  </si>
  <si>
    <t>A6</t>
  </si>
  <si>
    <t>Mã trạm</t>
  </si>
  <si>
    <t xml:space="preserve">TRUNG TÂM KIỂM ĐỊNH VÀ </t>
  </si>
  <si>
    <t>CỘNG HÒA XÃ HỘI CHỦ NGHĨA VIỆT NAM</t>
  </si>
  <si>
    <t>CHỨNG NHẬN 2</t>
  </si>
  <si>
    <t>GIẤY CHỨNG NHẬN KIỂM ĐỊNH</t>
  </si>
  <si>
    <t>TRẠM GỐC ĐIỆN THOẠI DI ĐỘNG MẶT ĐẤT CÔNG CỘNG</t>
  </si>
  <si>
    <t>TRUNG TÂM KIỂM ĐỊNH VÀ CHỨNG NHẬN 2</t>
  </si>
  <si>
    <t>CHỨNG NHẬN</t>
  </si>
  <si>
    <t>Ấp Bàu Trâu, xã Phước Thạnh, huyện Củ Chi, thành phố Hồ Chí Minh.</t>
  </si>
  <si>
    <t>Thông số kỹ thuật cơ bản tại thời điểm đo kiểm định</t>
  </si>
  <si>
    <t xml:space="preserve">  Chủng loại thiết bị phát</t>
  </si>
  <si>
    <t>A</t>
  </si>
  <si>
    <t>B</t>
  </si>
  <si>
    <t>C</t>
  </si>
  <si>
    <t>D</t>
  </si>
  <si>
    <t xml:space="preserve">  Số anten phát</t>
  </si>
  <si>
    <t xml:space="preserve">  Số máy phát, thu – phát</t>
  </si>
  <si>
    <t>4/4/4</t>
  </si>
  <si>
    <t>2/2/2</t>
  </si>
  <si>
    <t>5/5/5</t>
  </si>
  <si>
    <t>4/2/4</t>
  </si>
  <si>
    <t xml:space="preserve">  Băng tần hoạt động</t>
  </si>
  <si>
    <t>900;1800</t>
  </si>
  <si>
    <t>Được kiểm định phù hợp quy chuẩn kỹ thuật: QCVN 8:2010/BTTTT.</t>
  </si>
  <si>
    <t>GIÁM ĐỐC</t>
  </si>
  <si>
    <t>Nơi cấp</t>
  </si>
  <si>
    <t>:</t>
  </si>
  <si>
    <t>TP. Hồ Chí Minh</t>
  </si>
  <si>
    <t xml:space="preserve">Ngày cấp </t>
  </si>
  <si>
    <t>Có giá trị đến</t>
  </si>
  <si>
    <t>Lỗ Quốc Việt</t>
  </si>
  <si>
    <t>DOANH NGHIỆP CUNG CẤP DỊCH VỤ</t>
  </si>
  <si>
    <t>Số máy phát, thu - phát</t>
  </si>
  <si>
    <t>Băng tần hoạt động</t>
  </si>
  <si>
    <t>Độ cao từng anten (tính từ mặt đất đến mép thấp nhất của anten)</t>
  </si>
  <si>
    <t>TB1</t>
  </si>
  <si>
    <t>TB2</t>
  </si>
  <si>
    <t>Nội dung</t>
  </si>
  <si>
    <t>CỤC VIỄN THÔNG</t>
  </si>
  <si>
    <t>Fax:</t>
  </si>
  <si>
    <t>Thành tiền
(đồng)</t>
  </si>
  <si>
    <t>Lệ phí cấp giấy chứng nhận kiểm định</t>
  </si>
  <si>
    <t>Tổng cộng</t>
  </si>
  <si>
    <t xml:space="preserve">Phương thức thanh toán: </t>
  </si>
  <si>
    <t>Đơn vị thụ hưởng:</t>
  </si>
  <si>
    <t xml:space="preserve">Số tài khoản: </t>
  </si>
  <si>
    <t>Tiền mặt hoặc chuyển khoản</t>
  </si>
  <si>
    <t>Trung tâm Kiểm định và Chứng nhận 2</t>
  </si>
  <si>
    <t>Kho bạc Nhà nước quận 1, TP. Hồ Chí Minh</t>
  </si>
  <si>
    <t>Nơi nhận:</t>
  </si>
  <si>
    <t>-    Như trên;</t>
  </si>
  <si>
    <t/>
  </si>
  <si>
    <t>Nguyễn Thanh Hùng</t>
  </si>
  <si>
    <t>CÔNG TY CỔ PHẦN VIỄN THÔNG DI ĐỘNG TOÀN CẦU</t>
  </si>
  <si>
    <t xml:space="preserve">  Tổng công suất phát từng anten</t>
  </si>
  <si>
    <t xml:space="preserve">  Độ cao từng anten (tính từ mặt đất
  đến mép thấp nhất của anten)</t>
  </si>
  <si>
    <t>TRƯỞNG PHÒNG KIỂM ĐỊNH</t>
  </si>
  <si>
    <t>Các bước thực hiện :</t>
  </si>
  <si>
    <t>Tại cửa sổ này chúng ta nhập thông tin của Doanh nghiệp đề nghị kiểm định và doanh nghiệp cung cấp dịch vụ</t>
  </si>
  <si>
    <t>Trong thẻ "Add-Ins" trong thanh Toolbar chọn "SET UP" Chọn mục "DS CAP" :</t>
  </si>
  <si>
    <t>Tại cửa sổ có 2 lựa chọn để xử lí dữ liệu DSCAP</t>
  </si>
  <si>
    <t>Trong thẻ "Add-Ins" trong thanh Toolbar chọn "GCN Exporting" Chọn mục "Start exporting" :</t>
  </si>
  <si>
    <t>Xuất hiện cửa số xuất hiện 2 pages</t>
  </si>
  <si>
    <t>Tại Page 1, chúng ta nhập thông tin bổ sung hồ sơ.</t>
  </si>
  <si>
    <t>(chương trình chỉ hỗ trợ số lượng doanh nghiệp cung cấp dịch vụ là 1 )</t>
  </si>
  <si>
    <t>Chọn "Thực hiện" để thực thi lựa chọn.</t>
  </si>
  <si>
    <t>Tại Page 2, chúng ta thực hiện lựa chọn để xuất giấy chứng nhận và giấy báo lệ phí</t>
  </si>
  <si>
    <t xml:space="preserve">  Độ cao từng anten (tính từ mặt  
  đất đến mép thấp nhất của anten)</t>
  </si>
  <si>
    <t xml:space="preserve">  Độ cao từng anten (tính từ mặt 
  đất đến mép thấp nhất của anten)</t>
  </si>
  <si>
    <t>Trạm gốc điện thoại di động mặt đất công cộng này có mức an toàn phơi nhiễm trường điện từ tuân thủ quy chuẩn kỹ thuật trên.</t>
  </si>
  <si>
    <t xml:space="preserve">DANH SÁCH TRẠM GỐC ĐIỆN THOẠI DI ĐỘNG MẶT ĐẤT CÔNG CỘNG </t>
  </si>
  <si>
    <t>Số Giấy chứng nhận kiểm định</t>
  </si>
  <si>
    <t>GIẤY BÁO LỆ PHÍ CẤP GIẤY CHỨNG NHẬN KIỂM ĐỊNH</t>
  </si>
  <si>
    <t xml:space="preserve"> Độc lập - Tự do - Hạnh phúc</t>
  </si>
  <si>
    <t>Độc lập - Tự do - Hạnh phúc</t>
  </si>
  <si>
    <t>Địa chỉ:</t>
  </si>
  <si>
    <t>Điện thoại:</t>
  </si>
  <si>
    <t xml:space="preserve">    CỘNG HÒA XÃ HỘI CHỦ NGHĨA VIỆT NAM    </t>
  </si>
  <si>
    <t>100,45</t>
  </si>
  <si>
    <t>MOTOROLA HORIZON II MACRO</t>
  </si>
  <si>
    <t>CÔNG TY CỔ PHẦN VIỄN THÔNG DI ĐỘNG TOÀN CẦU
GTEL</t>
  </si>
  <si>
    <t>100,69</t>
  </si>
  <si>
    <t>Số máy phát Anten 4</t>
  </si>
  <si>
    <t>Tổng công suất phát Anten 4</t>
  </si>
  <si>
    <t>Chú thích</t>
  </si>
  <si>
    <t xml:space="preserve">Lưu ý: </t>
  </si>
  <si>
    <t xml:space="preserve">Cần tạo 2 thư mục "GCN 1 side" và "GCN 2side" để lưu giấy chứng nhận xuất ra. Theo đó thì giấy </t>
  </si>
  <si>
    <t>chứng nhận 1 mặt hay 2 mặt sẽ ở trong thư mục tương ứng khi xuất ra</t>
  </si>
  <si>
    <t>Trong tab Set up của Add-ins thì tab Thop from BBKD chưa xử lí hết các trường hợp nên còn lỗi =&gt;</t>
  </si>
  <si>
    <t xml:space="preserve"> cần tiết hành thủ công để có kết quả như B.2</t>
  </si>
  <si>
    <t>B.1</t>
  </si>
  <si>
    <t>B.2</t>
  </si>
  <si>
    <t>B.3</t>
  </si>
  <si>
    <t>B.4</t>
  </si>
  <si>
    <t xml:space="preserve">Ghi chú </t>
  </si>
  <si>
    <t>DS GCN không cấp</t>
  </si>
  <si>
    <t>Có mặt sau hay không? (dùng để sort)</t>
  </si>
  <si>
    <t>Slct tổng</t>
  </si>
  <si>
    <t>Số lượng ct mặt sau</t>
  </si>
  <si>
    <t>Mức thu
(đồng)</t>
  </si>
  <si>
    <t>Kiểm tra ngày cấp BBKĐ</t>
  </si>
  <si>
    <t>900 &amp; 1800</t>
  </si>
  <si>
    <t>9000 &amp; 1800</t>
  </si>
  <si>
    <t>9000 &amp; 2100</t>
  </si>
  <si>
    <t>1800 &amp; 2100</t>
  </si>
  <si>
    <t>PHÓ GIÁM ĐỐC</t>
  </si>
  <si>
    <t>Trần Công Khanh</t>
  </si>
  <si>
    <t>TUQ. GIÁM ĐỐC</t>
  </si>
  <si>
    <t>KT. GIÁM ĐỐC</t>
  </si>
  <si>
    <t>-    GĐTT (để báo cáo);</t>
  </si>
  <si>
    <t>B08600120811TG05</t>
  </si>
  <si>
    <t>Sort be-af</t>
  </si>
  <si>
    <t>CH1</t>
  </si>
  <si>
    <t>CH2</t>
  </si>
  <si>
    <t>CH3</t>
  </si>
  <si>
    <t>CH4</t>
  </si>
  <si>
    <t>Tt CH</t>
  </si>
  <si>
    <t>CS1</t>
  </si>
  <si>
    <t>CS2</t>
  </si>
  <si>
    <t>CS3</t>
  </si>
  <si>
    <t>CS4</t>
  </si>
  <si>
    <t>Tt CS</t>
  </si>
  <si>
    <t>Toạ độ</t>
  </si>
  <si>
    <t>IF(RC[-10]=1;TEXT(RC[-4];"#,00")&amp;"W";IF(RC[-10]=2;TEXT(RC[-4];"#,00")&amp;"W/"&amp;TEXT(RC[-3];"#,00")&amp;"W";IF(RC[-10]=3;TEXT(RC[-4];"#,00")&amp;"W/"&amp;TEXT(RC[-3];"#,00")&amp;"W/"&amp;TEXT(RC[-2];"#,00")&amp;"W";IF(RC[-10]=4;TEXT(RC[-4];"#,00")&amp;"W/"&amp;TEXT(RC[-3];"#,00")&amp;"W/"&amp;TEXT(RC[-2];"#,00")&amp;"W/"&amp;TEXT(RC[-1];"#,00")&amp;"W";""))))</t>
  </si>
  <si>
    <t>IF(RC[-5]=1;RC[-4];IF(RC[-5]=2;RC[-4]&amp;"/"&amp;RC[-3];IF(RC[-5]=3;RC[-4]&amp;"/"&amp;RC[-3]&amp;"/"&amp;RC[-2];IF(RC[-5]=4;RC[-4]&amp;"/"&amp;RC[-3]&amp;"/"&amp;RC[-2]&amp;"/"&amp;RC[-1];""))))</t>
  </si>
  <si>
    <t>TG05</t>
  </si>
  <si>
    <t>Số lượng ct</t>
  </si>
  <si>
    <t>Tỉnh/ Thành phố</t>
  </si>
  <si>
    <t>Mã trạm gốc 2</t>
  </si>
  <si>
    <t>Mã trạm gốc 3</t>
  </si>
  <si>
    <t>Mã trạm gốc 4</t>
  </si>
  <si>
    <t>Mã trạm gốc 5</t>
  </si>
  <si>
    <t>Mã trạm gốc 1</t>
  </si>
  <si>
    <t>60 – Tân Canh – Phường 1 – Quận Tân Bình  – TP. Hồ Chí Minh</t>
  </si>
  <si>
    <t xml:space="preserve">            2. Mức lệ phí cấp Giấy chứng nhận kiểm định theo quy định tại mục E – Biểu mức thu phí, lệ phí quản lý chất lượng Bưu điện và hoạt động Bưu chính Viễn thông kèm theo Quyết định số 24/2007/QĐ-BTC ngày 11/04/2007 của Bộ trưởng Bộ Tài chính về việc sửa đổi, bổ sung Quyết định số 89/2004/QĐ-BTC ngày 22/11/2004 của Bộ trưởng Bộ Tài chính qui định về phí, lệ phí quản lý chất lượng bưu điện và hoạt động bưu chính viễn thông.</t>
  </si>
  <si>
    <t xml:space="preserve">         Thời hạn nộp lệ phí trong vòng 15 ngày kể từ ngày ký Giấy báo lệ phí cấp Giấy chứng nhận kiểm định trạm gốc điện thoại di động mặt đất công cộng. Quá thời hạn nêu trên, Trung tâm sẽ hủy bỏ Giấy chứng nhận kiểm định đã cấp theo danh sách báo lệ phí.</t>
  </si>
  <si>
    <t>Trong thẻ "Add-Ins" trong thanh Toolbar chọn "SET UP" Chọn mục "Khai báo" :</t>
  </si>
  <si>
    <t>Chương trình hỗ trợ xuất giấy báo lệ phí và GCN đối với dữ liệu từ sheet "TH" của chương trình tạo BBKĐ</t>
  </si>
  <si>
    <t>Chúng ta nhập số lượng trạm BTS cần thực hiện xử lí. Sau khi khai báo thông tin, chọn "Bắt đầu"</t>
  </si>
  <si>
    <t>Lựa chọn 1: khi bạn muốn xuất dữ liệu trong sheet "Tonghop"</t>
  </si>
  <si>
    <t>Lựa chọn 2: khi bạn muốn xuất lại một số dữ liệu đă chỉnh sửa trong trong sheet "Tonghop"</t>
  </si>
  <si>
    <t>Tại sheet "Tonghop" chúng ta paste dữ liệu ở sheet "TH" ở chương trình tạo KQĐK.</t>
  </si>
  <si>
    <t>-    Lưu: PTH, PKĐ.</t>
  </si>
  <si>
    <t>38</t>
  </si>
  <si>
    <t>Ba triệu năm trăm ngàn đồng chẵn.</t>
  </si>
  <si>
    <t>25/12/2013</t>
  </si>
  <si>
    <t>4490/VMS2/KTKT</t>
  </si>
  <si>
    <t>08 38662388</t>
  </si>
  <si>
    <t>08 38662387</t>
  </si>
  <si>
    <t>Số MM18, đường Trường Sơn, phường 14, quận 10, thành phố Hồ Chí Minh.</t>
  </si>
  <si>
    <t>Trung tâm Thông tin di động khu vực II</t>
  </si>
  <si>
    <t>11/07/2014</t>
  </si>
  <si>
    <t>3511.0.1068040.00000</t>
  </si>
  <si>
    <t>Số lượng
trạm gốc</t>
  </si>
  <si>
    <t>Hiệu độ cao</t>
  </si>
  <si>
    <t>Trong khoảng cách 100m tính từ điểm bất kỳ nào thuộc chân cột anten của trạm gốc không có công trình xây dựng trong đó có người sinh sống, làm việc.</t>
  </si>
  <si>
    <t>KT bán kính 100m</t>
  </si>
  <si>
    <t>Trong khoảng cách 100m tính từ điểm bất kỳ nào thuộc chân cột anten của trạm gốc có công trình xây dựng trong đó có người sinh sống, làm việc và có độ cao mép dưới thấp nhất của các anten</t>
  </si>
  <si>
    <t xml:space="preserve">độ cao tính tới nóc, mặt bằng cao nhất của các công trình xây dựng này là </t>
  </si>
  <si>
    <t>TỔNG CÔNG TY VIỄN THÔNG MOBIFONE</t>
  </si>
  <si>
    <t>4</t>
  </si>
  <si>
    <t>G900</t>
  </si>
  <si>
    <t>Cột lắp dưới đất</t>
  </si>
  <si>
    <t>Lắp dưới đất</t>
  </si>
  <si>
    <t>Số 1096, đường Lạc Long Quân, phường 8, quận Tân Bình, thành phố Hồ Chí Minh.</t>
  </si>
  <si>
    <t>Hồ Chí Minh</t>
  </si>
  <si>
    <t>106,65108</t>
  </si>
  <si>
    <t>10,78513</t>
  </si>
  <si>
    <t>00413/2017/PTN-KĐ</t>
  </si>
  <si>
    <t>No</t>
  </si>
  <si>
    <t>Không</t>
  </si>
  <si>
    <t>Số 49/64A, đường Trần Kế Xương, phường 7, quận Phú Nhuận, thành phố Hồ Chí Minh.</t>
  </si>
  <si>
    <t>00459/2017/PTN-KĐ</t>
  </si>
  <si>
    <t>0m</t>
  </si>
  <si>
    <t>HTB028</t>
  </si>
  <si>
    <t>ERICSSON RBS 2216</t>
  </si>
  <si>
    <t>22,5m/ 22,5m/ 22,5m</t>
  </si>
  <si>
    <t>60</t>
  </si>
  <si>
    <t>Anten 6 ngõ vào</t>
  </si>
  <si>
    <t>01/12/2017</t>
  </si>
  <si>
    <t>01/12/2022</t>
  </si>
  <si>
    <t>106,69076;10,79916</t>
  </si>
  <si>
    <t>B00410011217TG05</t>
  </si>
  <si>
    <t>TRUNG TÂM ĐO KIỂM VÀ SỬA CHỮA THIẾT BỊ VIỄN THÔNG MOBIFONE ‑ CHI NHÁNH TỔNG CÔNG TY VIỄN THÔNG MOBIFONE</t>
  </si>
  <si>
    <t>HPN039</t>
  </si>
  <si>
    <t>Thông tin gửi kèm Công văn gửi doanh nghiệp</t>
  </si>
  <si>
    <t>Số HS</t>
  </si>
  <si>
    <t>Số Kết quả đo kiểm định</t>
  </si>
  <si>
    <t>Đo phơi nhiễm</t>
  </si>
  <si>
    <t>Đơn vị dùng chung cơ sở hạ tầng</t>
  </si>
  <si>
    <t>Số GCN dự kiến</t>
  </si>
  <si>
    <t>00129/2018/PTN-KĐ</t>
  </si>
  <si>
    <t>Thông tin gửi kèm Báo cáo</t>
  </si>
  <si>
    <t>Đo Phơi Nhiễm</t>
  </si>
  <si>
    <t>Độ cao công trình trong 100m</t>
  </si>
  <si>
    <t>Độ cao anten thấp nhất tới mặt đất</t>
  </si>
  <si>
    <t>Nhà cao nhất trong BK 100m</t>
  </si>
  <si>
    <t>TRUNG TÂM HẠ TẦNG MẠNG MIỀN NAM - CHI NHÁNH TỔNG CÔNG TY HẠ TẦNG MẠNG</t>
  </si>
  <si>
    <t>TỔNG CÔNG TY HẠ TẦNG MẠNG</t>
  </si>
  <si>
    <t>Số 204, đường Huỳnh Văn Cù, phường Chánh Mỹ, thành phố Thủ Dầu Một, tỉnh Bình Dương.</t>
  </si>
  <si>
    <t>Bình Dương</t>
  </si>
  <si>
    <t>106,647723</t>
  </si>
  <si>
    <t>10,991285</t>
  </si>
  <si>
    <t>K00458221018D005</t>
  </si>
  <si>
    <t>TỔNG CÔNG TY HẠ TẦNG MẠNG/TỔNG CÔNG TY HẠ TẦNG MẠNG/TỔNG CÔNG TY HẠ TẦNG MẠNG</t>
  </si>
  <si>
    <t>BDGTDM002;BDGTDM002;BDGTDM002</t>
  </si>
  <si>
    <t>MOTOROLA HORIZON II MACRO;ERICSSON RBS 6601;NSN FLEXI MULTIRADIO 10 (FHED)</t>
  </si>
  <si>
    <t>4/4/4;2/2/2;1/1/1</t>
  </si>
  <si>
    <t>20W/20W/20W;60W/60W/60W;160W/160W/160W</t>
  </si>
  <si>
    <t>G900/U2100/L1800</t>
  </si>
  <si>
    <t>36m/ 36m/ 36m;36m/ 36m/ 36m;36m/ 36m/ 36m</t>
  </si>
  <si>
    <t>FX-X-CG-00T-900;S-Wave EW/EW/EW-65-18DV2/12I-F-64K-VN;S-Wave EW/EW/EW-65-18DV2/12I-F-64K-VN</t>
  </si>
  <si>
    <t>Có</t>
  </si>
  <si>
    <t>Giấy kiểm định còn thời hạn 1/2022</t>
  </si>
  <si>
    <t>Số 10, đường Đinh Bộ Lĩnh, phường Phú Cường, thành phố Thủ Dầu Một, tỉnh Bình Dương.</t>
  </si>
  <si>
    <t>106,651585</t>
  </si>
  <si>
    <t>10,979697</t>
  </si>
  <si>
    <t>K00459221018D005</t>
  </si>
  <si>
    <t>TỔNG CÔNG TY HẠ TẦNG MẠNG/TỔNG CÔNG TY HẠ TẦNG MẠNG/TỔNG CÔNG TY HẠ TẦNG MẠNG/TỔNG CÔNG TY HẠ TẦNG MẠNG</t>
  </si>
  <si>
    <t>BDGTDM003;BDGTDM003;BDGTDM003;BDGTDM003</t>
  </si>
  <si>
    <t>MOTOROLA HORIZON II MACRO;MOTOROLA HORIZON II MACRO;ERICSSON RBS 3418;NSN FLEXI MULTIRADIO 10 (FHED)</t>
  </si>
  <si>
    <t>2/2/4;2/4/2;2/2/2;1/1/1</t>
  </si>
  <si>
    <t>20W/20W/20W;16W/16W/16W;60W/60W/60W;160W/160W/160W</t>
  </si>
  <si>
    <t>G900/G1800/U2100/L1800</t>
  </si>
  <si>
    <t>45m/ 45m/ 45m;45m/ 45m/ 45m;34m/ 34m/ 34m;34m/ 34m/ 34m</t>
  </si>
  <si>
    <t>FX-X-CG-00T-900;FX-X-CDG-06T-DB-1800;S-Wave EW/EW/EW-65-18DV2/12I-F-64K-VN;S-Wave EW/EW/EW-65-18DV2/12I-F-64K-VN</t>
  </si>
  <si>
    <t>Giấy kiểm định còn thời hạn 5/2023</t>
  </si>
  <si>
    <t>Số 117, đường Phan Đình Giót, phường Chánh Nghĩa, thành phố Thủ Dầu Một, tỉnh Bình Dương.</t>
  </si>
  <si>
    <t>106,660063</t>
  </si>
  <si>
    <t>10,97715</t>
  </si>
  <si>
    <t>K00460221018D005</t>
  </si>
  <si>
    <t>BDGTDM004;BDGTDM004;BDGTDM004</t>
  </si>
  <si>
    <t>MOTOROLA HORIZON II MACRO;ERICSSON RBS 3418;NSN FLEXI MULTIRADIO 10 (FHED)</t>
  </si>
  <si>
    <t>35m/ 35m/ 35m;28m/ 28m/ 28m;28m/ 28m/ 28m</t>
  </si>
  <si>
    <t>Số 47, đường Hoàng Văn Thụ, khu dân cư Chánh Nghĩa, phường Chánh Nghĩa, thành phố Thủ Dầu Một, tỉnh Bình Dương.</t>
  </si>
  <si>
    <t>106,665231</t>
  </si>
  <si>
    <t>10,975973</t>
  </si>
  <si>
    <t>K00461221018D005</t>
  </si>
  <si>
    <t>BDGTDM007;BDGTDM007;BDGTDM007</t>
  </si>
  <si>
    <t>3/3/3;2/2/2;1/1/1</t>
  </si>
  <si>
    <t>16W/16W/16W;60W/60W/60W;160W/160W/160W</t>
  </si>
  <si>
    <t>G1800/U2100/L1800</t>
  </si>
  <si>
    <t>27m/ 27m/ 27m;25m/ 25m/ 25m;25m/ 25m/ 25m</t>
  </si>
  <si>
    <t>FX-X-CDG-06T-DB-1800;S-Wave EW/EW/EW-65-18DV2/12I-F-64K-VN;S-Wave EW/EW/EW-65-18DV2/12I-F-64K-VN</t>
  </si>
  <si>
    <t>26</t>
  </si>
  <si>
    <t>Số 74, đường Bùi Quốc Khánh, phường Chánh Nghĩa, thành phố Thủ Dầu Một, tỉnh Bình Dương.</t>
  </si>
  <si>
    <t>106,66202</t>
  </si>
  <si>
    <t>10,9625</t>
  </si>
  <si>
    <t>K00462221018D005</t>
  </si>
  <si>
    <t>BDGTDM013;BDGTDM013;BDGTDM013</t>
  </si>
  <si>
    <t>MOTOROLA HORIZON II MACRO;ERICSSON RBS 3206;NSN FLEXI MULTIRADIO 10 (FHED)</t>
  </si>
  <si>
    <t>2/2/2;2/2/2;1/1/1</t>
  </si>
  <si>
    <t>20W/20W/20W;40W/40W/40W;160W/160W/160W</t>
  </si>
  <si>
    <t>47m/ 47m/ 47m;35m/ 35m/ 35m;35m/ 35m/ 35m</t>
  </si>
  <si>
    <t>Giấy kiểm định còn thời hạn 05/2023</t>
  </si>
  <si>
    <t>Số 104/6, đường Bàu Bàng, phường Chánh Nghĩa, thành phố Thủ Dầu Một, tỉnh Bình Dương.</t>
  </si>
  <si>
    <t>106,656244</t>
  </si>
  <si>
    <t>10,973269</t>
  </si>
  <si>
    <t>K00463221018D005</t>
  </si>
  <si>
    <t>BDGTDM014;BDGTDM014;BDGTDM014</t>
  </si>
  <si>
    <t>33m/ 33m/ 33m;26m/ 26m/ 26m;26m/ 26m/ 26m</t>
  </si>
  <si>
    <t>Số 3, đường Chùa Hội Khánh, phường Phú Cường, thành phố Thủ Dầu Một, tỉnh Bình Dương.</t>
  </si>
  <si>
    <t>106,658003</t>
  </si>
  <si>
    <t>10,981745</t>
  </si>
  <si>
    <t>K00464221018D005</t>
  </si>
  <si>
    <t>BDGTDM017;BDGTDM017;BDGTDM017</t>
  </si>
  <si>
    <t>27m/ 27m/ 27m;24m/ 24m/ 24m;24m/ 24m/ 24m</t>
  </si>
  <si>
    <t>Số 54-D2, khu dân cư Phú Hòa, phường Phú Hòa, thành phố Thủ Dầu Một, tỉnh Bình Dương.</t>
  </si>
  <si>
    <t>106,67883</t>
  </si>
  <si>
    <t>10,97394</t>
  </si>
  <si>
    <t>K00465221018D005</t>
  </si>
  <si>
    <t>BDGTDM022;BDGTDM022;BDGTDM022</t>
  </si>
  <si>
    <t>28m/ 28m/ 28m;30m/ 30m/ 30m;30m/ 30m/ 30m</t>
  </si>
  <si>
    <t>Số 37, khu 8, đường Hoàng Hoa Thám, phường Hiệp Thành, thành phố Thủ Dầu Một, tỉnh Bình Dương.</t>
  </si>
  <si>
    <t>106,663203</t>
  </si>
  <si>
    <t>10,99383</t>
  </si>
  <si>
    <t>K00466231018D005</t>
  </si>
  <si>
    <t>BDGTDM025;BDGTDM025;BDGTDM025;BDGTDM025</t>
  </si>
  <si>
    <t>2/2/2;2/2/2;2/2/2;1/1/1</t>
  </si>
  <si>
    <t>37m/ 37m/ 37m;34m/ 34m/ 34m;34m/ 34m/ 34m;34m/ 34m/ 34m</t>
  </si>
  <si>
    <t>Số 108/15, đường 30 Tháng 4, khu phố 2, phường Phú Hòa, thành phố Thủ Dầu Một, tỉnh Bình Dương.</t>
  </si>
  <si>
    <t>106,671208</t>
  </si>
  <si>
    <t>10,97728</t>
  </si>
  <si>
    <t>K00476241018D005</t>
  </si>
  <si>
    <t>BDGTDM036;BDGTDM036;BDGTDM036</t>
  </si>
  <si>
    <t>2/4/4;2/2/2;1/1/1</t>
  </si>
  <si>
    <t>23m/ 23m/ 23m;28,5m/ 28,5m/ 28,5m;28m/ 28m/ 28m</t>
  </si>
  <si>
    <t>Số 6A, đường Nguyễn Văn Tiết, phường Hiệp Thành, thành phố Thủ Dầu Một, tỉnh Bình Dương.</t>
  </si>
  <si>
    <t>106,653223</t>
  </si>
  <si>
    <t>10,987938</t>
  </si>
  <si>
    <t>K00468231018D005</t>
  </si>
  <si>
    <t>BDGTDM045;BDGTDM045;BDGTDM045</t>
  </si>
  <si>
    <t>28m/ 28m/ 28m;27m/ 27m/ 27m;27m/ 27m/ 27m</t>
  </si>
  <si>
    <t>Số 238, đường Nguyễn Văn Tiết, phường Phú Cường, thành phố Thủ Dầu Một, tỉnh Bình Dương.</t>
  </si>
  <si>
    <t>106,648572</t>
  </si>
  <si>
    <t>10,985478</t>
  </si>
  <si>
    <t>K00469231018D005</t>
  </si>
  <si>
    <t>BDGTDM046;BDGTDM046;BDGTDM046</t>
  </si>
  <si>
    <t>2/2/4;2/2/2;1/1/1</t>
  </si>
  <si>
    <t>29m/ 29m/ 29m;24m/ 24m/ 24m;24m/ 24m/ 24m</t>
  </si>
  <si>
    <t>Số 2/40/11, đường Trần Bình Trọng, khu 2, phường Phú Thọ, thành phố Thủ Dầu Một, tỉnh Bình Dương.</t>
  </si>
  <si>
    <t>106,67613</t>
  </si>
  <si>
    <t>10,96864</t>
  </si>
  <si>
    <t>K00470231018D005</t>
  </si>
  <si>
    <t>BDGTDM052;BDGTDM052;BDGTDM052</t>
  </si>
  <si>
    <t>35m/ 35m/ 35m;32m/ 32m/ 32m;32m/ 32m/ 32m</t>
  </si>
  <si>
    <t>Số 138A, đường Cách Mạng Tháng Tám, phường Chánh Nghĩa, thành phố Thủ Dầu Một, tỉnh Bình Dương.</t>
  </si>
  <si>
    <t>106,660135</t>
  </si>
  <si>
    <t>10,970218</t>
  </si>
  <si>
    <t>K00471231018D005</t>
  </si>
  <si>
    <t>BDGTDM055;BDGTDM055;BDGTDM055</t>
  </si>
  <si>
    <t>25m/ 25m/ 25m;22m/ 22m/ 22m;22m/ 22m/ 22m</t>
  </si>
  <si>
    <t>Giấy kiểm định còn thời hạn 01/2022</t>
  </si>
  <si>
    <t>Số 311/10, đường 30 Tháng 4, khu phố 4, phường Phú Thọ, thành phố Thủ Dầu Một, tỉnh Bình Dương.</t>
  </si>
  <si>
    <t>106,66878</t>
  </si>
  <si>
    <t>10,96429</t>
  </si>
  <si>
    <t>K00472231018D005</t>
  </si>
  <si>
    <t>BDGTDM059;BDGTDM059;BDGTDM059</t>
  </si>
  <si>
    <t>36m/ 36m/ 36m;31m/ 31m/ 31m;31m/ 31m/ 31m</t>
  </si>
  <si>
    <t>Số 23/9, đường Lê Thị Trung, tổ 12, khu 2, phường Phú Lợi, thành phố Thủ Dầu Một, tỉnh Bình Dương.</t>
  </si>
  <si>
    <t>106,672396</t>
  </si>
  <si>
    <t>10,987665</t>
  </si>
  <si>
    <t>K00473231018D005</t>
  </si>
  <si>
    <t>BDGTDM060;BDGTDM060;BDGTDM060</t>
  </si>
  <si>
    <t>33m/ 33m/ 33m;27m/ 27m/ 27m;27m/ 27m/ 27m</t>
  </si>
  <si>
    <t>Số 326, đại lộ Bình Dương, phường Phú Hòa, thành phố Thủ Dầu Một, tỉnh Bình Dương.</t>
  </si>
  <si>
    <t>106,667217</t>
  </si>
  <si>
    <t>10,981656</t>
  </si>
  <si>
    <t>K00477241018D005</t>
  </si>
  <si>
    <t>BDGTDM065;BDGTDM065;BDGTDM065;BDGTDM065</t>
  </si>
  <si>
    <t>4/4/4;4/4/4;2/2/2;1/1/1</t>
  </si>
  <si>
    <t>27m/ 27m/ 27m;27m/ 27m/ 27m;24m/ 24m/ 24m;24m/ 24m/ 24m</t>
  </si>
  <si>
    <t>30</t>
  </si>
  <si>
    <t>Số 39/15, khu phố 6, phường Chánh Nghĩa, thành phố Thủ Dầu Một, tỉnh Bình Dương.</t>
  </si>
  <si>
    <t>106,65801</t>
  </si>
  <si>
    <t>10,96536</t>
  </si>
  <si>
    <t>K00474241018D005</t>
  </si>
  <si>
    <t>BDGTDM072;BDGTDM072;BDGTDM072</t>
  </si>
  <si>
    <t>25m/ 25m/ 25m;26,5m/ 26,5m/ 26,5m;26,5m/ 26,5m/ 26,5m</t>
  </si>
  <si>
    <t>Số 6, đường số 4, phường Chánh Nghĩa, thành phố Thủ Dầu Một, tỉnh Bình Dương.</t>
  </si>
  <si>
    <t>106,66745</t>
  </si>
  <si>
    <t>10,96977</t>
  </si>
  <si>
    <t>K00467231018D005</t>
  </si>
  <si>
    <t>BDGTDM074;BDGTDM074;BDGTDM074</t>
  </si>
  <si>
    <t>35m/ 35m/ 35m;31m/ 31m/ 31m;31m/ 31m/ 31m</t>
  </si>
  <si>
    <t>Khu phố 6, khu dân cư Hiệp Thành, phường Hiệp Thành, thành phố Thủ Dầu Một, tỉnh Bình Dương.</t>
  </si>
  <si>
    <t>106,653737</t>
  </si>
  <si>
    <t>11,00281</t>
  </si>
  <si>
    <t>K00475241018D005</t>
  </si>
  <si>
    <t>BDGTDM083;BDGTDM083;BDGTDM083</t>
  </si>
  <si>
    <t>2/3/2;2/2/2;1/1/1</t>
  </si>
  <si>
    <t>29m/ 29m/ 29m;29m/ 29m/ 29m;29m/ 29m/ 29m</t>
  </si>
  <si>
    <t>Bưu điện Hiệp Thành, khóm đầu lộ 1, đường Cao Văn Lầu, phường Nhà Mát, thành phố Bạc Liêu, tỉnh Bạc Liêu.</t>
  </si>
  <si>
    <t>Bạc Liêu</t>
  </si>
  <si>
    <t>105,735799</t>
  </si>
  <si>
    <t>9,230595</t>
  </si>
  <si>
    <t>K00645151118D005</t>
  </si>
  <si>
    <t>BLUBLI016;BLUBLI016;BLUBLI016</t>
  </si>
  <si>
    <t>HUAWEI BTS3012;NSN FLEXI MULTIRADIO 10 (FRGY);NSN FLEXI MULTIRADIO 10 (FHED)</t>
  </si>
  <si>
    <t>2/4/2;2/2/2;1/1/1</t>
  </si>
  <si>
    <t>60W/60W/60W;120W/120W/120W;160W/160W/160W</t>
  </si>
  <si>
    <t>36m/ 36m/ 36m;37m/ 37m/ 37m;37m/ 37m/ 37m</t>
  </si>
  <si>
    <t>Agisson DX-806-960-65-18i-0F;S-Wave EW/EW/EW-65-18DV2/12I-F-64K-VN;S-Wave EW/EW/EW-65-18DV2/12I-F-64K-VN</t>
  </si>
  <si>
    <t>Số 233B/7, khóm Nhà Mát, phường Nhà Mát, thành phố Bạc Liêu, tỉnh Bạc Liêu.</t>
  </si>
  <si>
    <t>105,742008</t>
  </si>
  <si>
    <t>9,209651</t>
  </si>
  <si>
    <t>K00646151118D005</t>
  </si>
  <si>
    <t>BLUBLI020;BLUBLI020;BLUBLI020;BLUBLI020</t>
  </si>
  <si>
    <t>HUAWEI BTS3900;HUAWEI BTS3900;NSN FLEXI MULTIRADIO 10 (FRGY);NSN FLEXI MULTIRADIO 10 (FHED)</t>
  </si>
  <si>
    <t>4/3/4;4/4/4;2/2/2;1/1/1</t>
  </si>
  <si>
    <t>71W/71W/71W;63W/63W/63W;120W/120W/120W;160W/160W/160W</t>
  </si>
  <si>
    <t>33m/ 33m/ 33m;24m/ 24m/ 24m;32m/ 32m/ 32m;32m/ 32m/ 32m</t>
  </si>
  <si>
    <t>Agisson DX-806-960-65-18i-0F;Agisson DX-1710-2170-65-18i-0F;S-Wave EW/EW/EW-65-18DV2/12I-F-64K-VN;S-Wave EW/EW/EW-65-18DV2/12I-F-64K-VN</t>
  </si>
  <si>
    <t>Số 400, ấp Anh Dũng, xã An Thạnh, huyện Đông Hải, tỉnh Bạc Liêu.</t>
  </si>
  <si>
    <t>105,342446</t>
  </si>
  <si>
    <t>9,154612</t>
  </si>
  <si>
    <t>K00661111118D005</t>
  </si>
  <si>
    <t>BLUDHA011;BLUDHA011;BLUDHA011</t>
  </si>
  <si>
    <t>HUAWEI BTS3900;NSN FLEXI MULTIRADIO 10 (FRGY);NSN FLEXI MULTIRADIO 10 (FHED)</t>
  </si>
  <si>
    <t>71W/71W/71W;120W/120W/120W;160W/160W/160W</t>
  </si>
  <si>
    <t>30m/ 30m/ 30m;34m/ 34m/ 34m;34m/ 34m/ 34m</t>
  </si>
  <si>
    <t>Bưu điện Kinh Tư, ấp Diêm Điền, xã Long Điền Tây, huyện Đông Hải, tỉnh Bạc Liêu.</t>
  </si>
  <si>
    <t>105,490601</t>
  </si>
  <si>
    <t>9,13307</t>
  </si>
  <si>
    <t>K00648151118D005</t>
  </si>
  <si>
    <t>BLUDHA014;BLUDHA014;BLUDHA014;BLUDHA014</t>
  </si>
  <si>
    <t>4/4/4;4/3/4;2/2/2;1/1/1</t>
  </si>
  <si>
    <t>36m/ 36m/ 36m;35m/ 35m/ 35m;33m/ 33m/ 33m;33m/ 33m/ 33m</t>
  </si>
  <si>
    <t>Đài viễn thông Long Điền Đông, ấp Bửu 2, xã Long Điền Đông, huyện Đông Hải, tỉnh Bạc Liêu.</t>
  </si>
  <si>
    <t>105,52916</t>
  </si>
  <si>
    <t>9,154648</t>
  </si>
  <si>
    <t>K00659151118D005</t>
  </si>
  <si>
    <t>BLUDHA016;BLUDHA016;BLUDHA016;BLUDHA016</t>
  </si>
  <si>
    <t>4/4/4;4;2/2/2;1/1/1</t>
  </si>
  <si>
    <t>71W/71W/71W;63W;120W/120W/120W;160W/160W/160W</t>
  </si>
  <si>
    <t>33m/ 33m/ 33m;32m;34m/ 34m/ 34m;34m/ 34m/ 34m</t>
  </si>
  <si>
    <t>Bưu điện Mỹ Điền, ấp Mỹ Điền, xã Long Điền Đông A, huyện Đông Hải, tỉnh Bạc Liêu.</t>
  </si>
  <si>
    <t>105,538191</t>
  </si>
  <si>
    <t>9,216562</t>
  </si>
  <si>
    <t>K00660161118D005</t>
  </si>
  <si>
    <t>BLUDHA018;BLUDHA018;BLUDHA018;BLUDHA018</t>
  </si>
  <si>
    <t>36m/ 36m/ 36m;37m;37m/ 37m/ 37m;37m/ 37m/ 37m</t>
  </si>
  <si>
    <t>Ấp Ba Mếm, xã An Trạch, huyện Đông Hải, tỉnh Bạc Liêu.</t>
  </si>
  <si>
    <t>105,37475</t>
  </si>
  <si>
    <t>9,189566</t>
  </si>
  <si>
    <t>K00662111118D005</t>
  </si>
  <si>
    <t>BLUDHA023;BLUDHA023;BLUDHA023</t>
  </si>
  <si>
    <t>33m/ 33m/ 33m;33m/ 33m/ 33m;33m/ 33m/ 33m</t>
  </si>
  <si>
    <t>Ấp 18, xã Phong Tân, thị xã Giá Rai, tỉnh Bạc Liêu.</t>
  </si>
  <si>
    <t>105,444055</t>
  </si>
  <si>
    <t>9,263925</t>
  </si>
  <si>
    <t>K00657111118D005</t>
  </si>
  <si>
    <t>BLUGRA001;BLUGRA001;BLUGRA001</t>
  </si>
  <si>
    <t>4/4/3;2/2/2;1/1/1</t>
  </si>
  <si>
    <t>33m/ 33m/ 33m;36m/ 36m/ 36m;36m/ 36m/ 36m</t>
  </si>
  <si>
    <t>Bưu điện Cây Gừa, quốc lộ 1A, ấp Khúc Tréo, xã Tân Phong, thị xã Giá Rai, tỉnh Bạc Liêu.</t>
  </si>
  <si>
    <t>105,366725</t>
  </si>
  <si>
    <t>9,211241</t>
  </si>
  <si>
    <t>K00641121118D005</t>
  </si>
  <si>
    <t>BLUGRA003;BLUGRA003;BLUGRA003;BLUGRA003</t>
  </si>
  <si>
    <t>4/4/4;3/4/4;2/2/2;1/1/1</t>
  </si>
  <si>
    <t>36m/ 36m/ 36m;36m/ 36m/ 36m;36m/ 36m/ 36m;36m/ 36m/ 36m</t>
  </si>
  <si>
    <t>Số 376, quốc lộ 1A, phường 1, thị xã Giá Rai, tỉnh Bạc Liêu.</t>
  </si>
  <si>
    <t>105,45279</t>
  </si>
  <si>
    <t>9,237039</t>
  </si>
  <si>
    <t>K00636121118D005</t>
  </si>
  <si>
    <t>BLUGRA004;BLUGRA004;BLUGRA004;BLUGRA004</t>
  </si>
  <si>
    <t>47m/ 47m/ 47m;40m/ 40m/ 40m;28m/ 28m/ 28m;28m/ 28m/ 28m</t>
  </si>
  <si>
    <t>Bưu điện Hộ Phòng, phường Hộ Phòng, thị xã Giá Rai, tỉnh Bạc Liêu.</t>
  </si>
  <si>
    <t>105,419739</t>
  </si>
  <si>
    <t>9,227491</t>
  </si>
  <si>
    <t>K00637121118D005</t>
  </si>
  <si>
    <t>BLUGRA008;BLUGRA008;BLUGRA008;BLUGRA008</t>
  </si>
  <si>
    <t>28m/ 28m/ 28m;27m/ 27m/ 27m;34m/ 34m/ 34m;34m/ 34m/ 34m</t>
  </si>
  <si>
    <t>Ấp 3, xã Phong Thạnh A, thị xã Giá Rai, tỉnh Bạc Liêu.</t>
  </si>
  <si>
    <t>105,386398</t>
  </si>
  <si>
    <t>9,249287</t>
  </si>
  <si>
    <t>K00658111118D005</t>
  </si>
  <si>
    <t>BLUGRA010;BLUGRA010;BLUGRA010</t>
  </si>
  <si>
    <t>3/2/2;2/2/2;1/1/1</t>
  </si>
  <si>
    <t>Bưu điện Láng Trâm, ấp Xóm Mới, xã Tân Thạnh, thị xã Giá Rai, tỉnh Bạc Liêu.</t>
  </si>
  <si>
    <t>105,280562</t>
  </si>
  <si>
    <t>9,176042</t>
  </si>
  <si>
    <t>K00642121118D005</t>
  </si>
  <si>
    <t>BLUGRA014;BLUGRA014;BLUGRA014;BLUGRA014</t>
  </si>
  <si>
    <t>36m/ 36m/ 36m;22m/ 22m/ 22m;37m/ 37m/ 37m;37m/ 37m/ 37m</t>
  </si>
  <si>
    <t>Bưu điện Láng Tròn, khóm 2, phường Láng Tròn, thị xã Giá Rai, tỉnh Bạc Liêu.</t>
  </si>
  <si>
    <t>105,513544</t>
  </si>
  <si>
    <t>9,251754</t>
  </si>
  <si>
    <t>K00643151118D005</t>
  </si>
  <si>
    <t>BLUGRA015;BLUGRA015;BLUGRA015;BLUGRA015</t>
  </si>
  <si>
    <t>36m/ 36m/ 36m;26m/ 26m/ 26m;35m/ 35m/ 35m;35m/ 35m/ 35m</t>
  </si>
  <si>
    <t>Bưu điện Phong Tân, ấp 16A, xã Phong Tân, thị xã Giá Rai, tỉnh Bạc Liêu.</t>
  </si>
  <si>
    <t>105,462142</t>
  </si>
  <si>
    <t>9,288274</t>
  </si>
  <si>
    <t>K00655111118D005</t>
  </si>
  <si>
    <t>BLUGRA020;BLUGRA020;BLUGRA020</t>
  </si>
  <si>
    <t>Ấp 21, xã Phong Tân, thị xã Giá Rai, tỉnh Bạc Liêu.</t>
  </si>
  <si>
    <t>105,411762</t>
  </si>
  <si>
    <t>9,333078</t>
  </si>
  <si>
    <t>K00656111118D005</t>
  </si>
  <si>
    <t>BLUGRA024;BLUGRA024;BLUGRA024</t>
  </si>
  <si>
    <t>32m/ 32m/ 32m;36m/ 36m/ 36m;36m/ 36m/ 36m</t>
  </si>
  <si>
    <t>Ấp 2, xã Tân Phong, thị xã Giá Rai, tỉnh Bạc Liêu.</t>
  </si>
  <si>
    <t>105,39764</t>
  </si>
  <si>
    <t>9,223019</t>
  </si>
  <si>
    <t>K00644111118D005</t>
  </si>
  <si>
    <t>BLUGRA025;BLUGRA025;BLUGRA025;BLUGRA025</t>
  </si>
  <si>
    <t>2/4/4;3/3/3;2/2/2;1/1/1</t>
  </si>
  <si>
    <t>33m/ 33m/ 33m;34m/ 34m/ 34m;34m/ 34m/ 34m;34m/ 34m/ 34m</t>
  </si>
  <si>
    <t>14</t>
  </si>
  <si>
    <t>Bưu cục Xóm Lung, khóm 1, phường Láng Tròn, thị xã Giá Rai, tỉnh Bạc Liêu.</t>
  </si>
  <si>
    <t>105,542963</t>
  </si>
  <si>
    <t>9,258883</t>
  </si>
  <si>
    <t>K00652151118D005</t>
  </si>
  <si>
    <t>BLUGRA028;BLUGRA028;BLUGRA028;BLUGRA028</t>
  </si>
  <si>
    <t>7</t>
  </si>
  <si>
    <t>Ấp 10B, xã Tân Phong, thị xã Giá Rai, tỉnh Bạc Liêu.</t>
  </si>
  <si>
    <t>105,31547</t>
  </si>
  <si>
    <t>9,21567</t>
  </si>
  <si>
    <t>K00664161118D005</t>
  </si>
  <si>
    <t>BLUGRA033;BLUGRA033;BLUGRA033</t>
  </si>
  <si>
    <t>39m/ 39m/ 39m;37m/ 37m/ 37m;37m/ 37m/ 37m</t>
  </si>
  <si>
    <t>Bưu điện Cái Cùng, ấp Vĩnh Lạc, xã Vĩnh Thịnh, huyện Hòa Bình, tỉnh Bạc Liêu.</t>
  </si>
  <si>
    <t>105,576147</t>
  </si>
  <si>
    <t>9,159991</t>
  </si>
  <si>
    <t>K00647151118D005</t>
  </si>
  <si>
    <t>BLUHBI004;BLUHBI004;BLUHBI004;BLUHBI004</t>
  </si>
  <si>
    <t>36m/ 36m/ 36m;30m/ 30m/ 30m;34m/ 34m/ 34m;34m/ 34m/ 34m</t>
  </si>
  <si>
    <t>Bưu điện Cầu số 2, ấp 15, xã Vĩnh Mỹ B, huyện Hòa Bình, tỉnh Bạc Liêu.</t>
  </si>
  <si>
    <t>105,587687</t>
  </si>
  <si>
    <t>9,270128</t>
  </si>
  <si>
    <t>K00640151118D005</t>
  </si>
  <si>
    <t>BLUHBI007;BLUHBI007;BLUHBI007;BLUHBI007</t>
  </si>
  <si>
    <t>36m/ 36m/ 36m;37m/ 37m/ 37m;37m/ 37m/ 37m;37m/ 37m/ 37m</t>
  </si>
  <si>
    <t>Bưu điện Hòa Bình, ấp A, thị trấn Hòa Bình, huyện Hòa Bình, tỉnh Bạc Liêu.</t>
  </si>
  <si>
    <t>105,627282</t>
  </si>
  <si>
    <t>9,282866</t>
  </si>
  <si>
    <t>K00635141118D005</t>
  </si>
  <si>
    <t>BLUHBI017;BLUHBI017;BLUHBI017;BLUHBI017</t>
  </si>
  <si>
    <t>3/4/4;2/4/4;2/2/2;1/1/1</t>
  </si>
  <si>
    <t>36m/ 36m/ 36m;27m/ 27m/ 27m;37m/ 37m/ 37m;37m/ 37m/ 37m</t>
  </si>
  <si>
    <t>Bưu điện Vĩnh Mỹ A, ấp Xóm Lới B, xã Vĩnh Mỹ A, huyện Hòa Bình, tỉnh Bạc Liêu.</t>
  </si>
  <si>
    <t>105,59412</t>
  </si>
  <si>
    <t>9,253924</t>
  </si>
  <si>
    <t>K00653151118D005</t>
  </si>
  <si>
    <t>BLUHBI021;BLUHBI021;BLUHBI021</t>
  </si>
  <si>
    <t>Bưu cục Chủ Chí, ấp 2A, xã Phong Thạnh Tây B, huyện Phước Long, tỉnh Bạc Liêu.</t>
  </si>
  <si>
    <t>105,318778</t>
  </si>
  <si>
    <t>9,303843</t>
  </si>
  <si>
    <t>K00650101118D005</t>
  </si>
  <si>
    <t>BLUPLO002;BLUPLO002;BLUPLO002;BLUPLO002</t>
  </si>
  <si>
    <t>3/3/4;4/4/4;2/2/2;1/1/1</t>
  </si>
  <si>
    <t>39m/ 39m/ 39m;30m/ 30m/ 30m;40m/ 40m/ 40m;40m/ 40m/ 40m</t>
  </si>
  <si>
    <t>Bưu điện Phó Sinh, ấp Phước Hành, xã Phước Long, huyện Phước Long, tỉnh Bạc Liêu.</t>
  </si>
  <si>
    <t>105,392814</t>
  </si>
  <si>
    <t>9,373468</t>
  </si>
  <si>
    <t>K00649101118D005</t>
  </si>
  <si>
    <t>BLUPLO009;BLUPLO009;BLUPLO009;BLUPLO009</t>
  </si>
  <si>
    <t>3/3/3;4/4/4;2/2/2;1/1/1</t>
  </si>
  <si>
    <t>39m/ 39m/ 39m;24m/ 24m/ 24m;40m/ 40m/ 40m;40m/ 40m/ 40m</t>
  </si>
  <si>
    <t>Bưu cục Trưởng Tòa, ấp Vĩnh Hòa, xã Vĩnh Thanh, huyện Phước Long, tỉnh Bạc Liêu.</t>
  </si>
  <si>
    <t>105,520026</t>
  </si>
  <si>
    <t>9,358279</t>
  </si>
  <si>
    <t>K00651151118D005</t>
  </si>
  <si>
    <t>BLUPLO015;BLUPLO015;BLUPLO015;BLUPLO015</t>
  </si>
  <si>
    <t>4/4/3;4/4/4;2/2/2;1/1/1</t>
  </si>
  <si>
    <t>36m/ 36m/ 36m;32m/ 32m/ 32m;34m/ 34m/ 34m;34m/ 34m/ 34m</t>
  </si>
  <si>
    <t>Bưu điện Thoàn, ấp Phước Thạnh, xã Phước Long, huyện Phước Long, tỉnh Bạc Liêu.</t>
  </si>
  <si>
    <t>105,429462</t>
  </si>
  <si>
    <t>9,408905</t>
  </si>
  <si>
    <t>K00654101118D005</t>
  </si>
  <si>
    <t>BLUPLO020;BLUPLO020;BLUPLO020</t>
  </si>
  <si>
    <t>Đài viễn thông Cái Tràm, ấp Cái Tràm, xã Long Thạnh, huyện Vĩnh Lợi, tỉnh Bạc Liêu.</t>
  </si>
  <si>
    <t>105,658185</t>
  </si>
  <si>
    <t>9,290058</t>
  </si>
  <si>
    <t>K00638141118D005</t>
  </si>
  <si>
    <t>BLUVLO003;BLUVLO003;BLUVLO003</t>
  </si>
  <si>
    <t>Bưu điện Cầu Sập, ấp Phước Thạnh, xã Long Thạnh, huyện Vĩnh Lợi, tỉnh Bạc Liêu.</t>
  </si>
  <si>
    <t>105,682041</t>
  </si>
  <si>
    <t>9,296268</t>
  </si>
  <si>
    <t>K00639141118D005</t>
  </si>
  <si>
    <t>BLUVLO004;BLUVLO004;BLUVLO004;BLUVLO004</t>
  </si>
  <si>
    <t>4/4/4;4/2/4;2/2/2;1/1/1</t>
  </si>
  <si>
    <t>36m/ 36m/ 36m;35m/ 35m/ 35m;37m/ 37m/ 37m;37m/ 37m/ 37m</t>
  </si>
  <si>
    <t>Ấp Năm Căn, xã Hưng Thành, huyện Vĩnh Lợi, tỉnh Bạc Liêu.</t>
  </si>
  <si>
    <t>105,81796</t>
  </si>
  <si>
    <t>9,346795</t>
  </si>
  <si>
    <t>K00663161118D005</t>
  </si>
  <si>
    <t>BLUVLO018;BLUVLO018;BLUVLO018;BLUVLO018</t>
  </si>
  <si>
    <t>HUAWEI DBS3900;HUAWEI DBS3900;NSN FLEXI MULTIRADIO 10 (FRGY);NSN FLEXI MULTIRADIO 10 (FHED)</t>
  </si>
  <si>
    <t>2/4/2;4;2/2/2;1/1/1</t>
  </si>
  <si>
    <t>40W/15W/40W;15W;120W/120W/120W;160W/160W/160W</t>
  </si>
  <si>
    <t>36m/ 36m/ 36m;36m;36m/ 36m/ 36m;36m/ 36m/ 36m</t>
  </si>
  <si>
    <t>Agisson DX-806-960-65-18i-0F;S-Wave 0809/U/U-65-17/18/18DV8;S-Wave EW/EW/EW-65-18DV2/12I-F-64K-VN;S-Wave EW/EW/EW-65-18DV2/12I-F-64K-VN</t>
  </si>
  <si>
    <t>Có 1 card G1800 cell C</t>
  </si>
  <si>
    <t>Bưu điện Đông Xoài, quốc lộ 14, phường Tân Phú, thị xã Đồng Xoài, tỉnh Bình Phước.</t>
  </si>
  <si>
    <t>Bình Phước</t>
  </si>
  <si>
    <t>106,900599</t>
  </si>
  <si>
    <t>11,53822</t>
  </si>
  <si>
    <t>K00483041118D005</t>
  </si>
  <si>
    <t>BPCDXO008;BPCDXO008;BPCDXO008;BPCDXO008</t>
  </si>
  <si>
    <t>MOTOROLA HORIZON II MACRO;MOTOROLA HORIZON II MACRO;NSN FLEXI MULTIRADIO 10 (FRGY);NSN FLEXI MULTIRADIO 10 (FHED)</t>
  </si>
  <si>
    <t>4/4/4/4;4/4;2/2/2;1/1/1</t>
  </si>
  <si>
    <t>20W/20W/20W/20W;16W/16W;120W/120W/120W;160W/160W/160W</t>
  </si>
  <si>
    <t>47m/ 47m/ 47m/ 0m;47m/ 47m;38m/ 38m/ 38m;38m/ 38m/ 38m</t>
  </si>
  <si>
    <t>Đại lộ Hùng Vương, khu phố Tân Bình, phường Tân Bình, thị xã Đồng Xoài, tỉnh Bình Phước.</t>
  </si>
  <si>
    <t>106,892054</t>
  </si>
  <si>
    <t>11,532009</t>
  </si>
  <si>
    <t>K00486041118D005</t>
  </si>
  <si>
    <t>BPCDXO010;BPCDXO010;BPCDXO010</t>
  </si>
  <si>
    <t>MOTOROLA HORIZON II MACRO;NSN FLEXI MULTIRADIO 10 (FRGY);NSN FLEXI MULTIRADIO 10 (FHED)</t>
  </si>
  <si>
    <t>16W/16W/16W;120W/120W/120W;160W/160W/160W</t>
  </si>
  <si>
    <t>39m/ 39m/ 39m;36m/ 36m/ 36m;36m/ 36m/ 36m</t>
  </si>
  <si>
    <t>Khu phố Phú Cường, phường Tân Phú, thị xã Đồng Xoài, tỉnh Bình Phước.</t>
  </si>
  <si>
    <t>106,876123</t>
  </si>
  <si>
    <t>11,534211</t>
  </si>
  <si>
    <t>K00487041118D005</t>
  </si>
  <si>
    <t>BPCDXO015;BPCDXO015;BPCDXO015</t>
  </si>
  <si>
    <t>20W/20W/20W;120W/120W/120W;160W/160W/160W</t>
  </si>
  <si>
    <t>39m/ 39m/ 39m;38m/ 38m/ 38m;38m/ 38m/ 38m</t>
  </si>
  <si>
    <t>Tổ 2, khu phố Phú Thịnh, phường Tân Phú, thị xã Đồng Xoài, tỉnh Bình Phước.</t>
  </si>
  <si>
    <t>106,894041</t>
  </si>
  <si>
    <t>11,543228</t>
  </si>
  <si>
    <t>K00485041118D005</t>
  </si>
  <si>
    <t>BPCDXO037;BPCDXO037;BPCDXO037</t>
  </si>
  <si>
    <t>32m/ 32m/ 32m;32m/ 32m/ 32m;32m/ 32m/ 32m</t>
  </si>
  <si>
    <t>Vòng hồ Suối Cam, khu phố Phú Lộc, phường Tân Phú, thị xã Đồng Xoài, tỉnh Bình Phước.</t>
  </si>
  <si>
    <t>106,887025</t>
  </si>
  <si>
    <t>11,546673</t>
  </si>
  <si>
    <t>K00484041118D005</t>
  </si>
  <si>
    <t>BPCDXO057;BPCDXO057;BPCDXO057</t>
  </si>
  <si>
    <t>23m/ 23m/ 23m;23m/ 23m/ 23m;23m/ 23m/ 23m</t>
  </si>
  <si>
    <t>Số 300, ấp Cây Tràm, xã Đình Bình, thành phố Cà Mau, tỉnh Cà Mau.</t>
  </si>
  <si>
    <t>Cà Mau</t>
  </si>
  <si>
    <t>105,249892</t>
  </si>
  <si>
    <t>9,162335</t>
  </si>
  <si>
    <t>K00679111118D005</t>
  </si>
  <si>
    <t>CMUCMA025;CMUCMA025;CMUCMA025</t>
  </si>
  <si>
    <t>3/3/4;2/2/2;1/1/1</t>
  </si>
  <si>
    <t>63W/63W/63W;120W/120W/120W;160W/160W/160W</t>
  </si>
  <si>
    <t>Agisson DX-1710-2170-65-18i-0F;S-Wave EW/EW/EW-65-18DV2/12I-F-64K-VN;S-Wave EW/EW/EW-65-18DV2/12I-F-64K-VN</t>
  </si>
  <si>
    <t>Đường Huỳnh Thúc Kháng, khu 8, phường 7, thành phố Cà Mau, tỉnh Cà Mau.</t>
  </si>
  <si>
    <t>105,165289</t>
  </si>
  <si>
    <t>9,146529</t>
  </si>
  <si>
    <t>K00682131118D005</t>
  </si>
  <si>
    <t>CMUCMA077;CMUCMA077;CMUCMA077</t>
  </si>
  <si>
    <t>3/4/4;2/2/2;1/1/1</t>
  </si>
  <si>
    <t>27m/ 27m/ 27m;37m/ 37m/ 37m;37m/ 37m/ 37m</t>
  </si>
  <si>
    <t>Bưu điện Tân Thành, quốc lộ 1A, khóm 9, phường 6, thành phố Cà Mau, tỉnh Cà Mau.</t>
  </si>
  <si>
    <t>105,209674</t>
  </si>
  <si>
    <t>9,168184</t>
  </si>
  <si>
    <t>K00674111118D005</t>
  </si>
  <si>
    <t>CMUCMA079;CMUCMA079;CMUCMA079</t>
  </si>
  <si>
    <t>40m/ 40m/ 40m;35m/ 35m/ 35m;35m/ 35m/ 35m</t>
  </si>
  <si>
    <t>Ấp Ông Muộn, xã Lý Văn Lâm, thành phố Cà Mau, tỉnh Cà Mau.</t>
  </si>
  <si>
    <t>105,103921</t>
  </si>
  <si>
    <t>9,156593</t>
  </si>
  <si>
    <t>K00683131118D005</t>
  </si>
  <si>
    <t>CMUCMA101;CMUCMA101;CMUCMA101</t>
  </si>
  <si>
    <t>Ấp Hưng Thành, xã Phú Hưng, huyện Cái Nước, tỉnh Cà Mau.</t>
  </si>
  <si>
    <t>105,066066</t>
  </si>
  <si>
    <t>9,080964</t>
  </si>
  <si>
    <t>K00675151118D005</t>
  </si>
  <si>
    <t>CMUCNU006;CMUCNU006;CMUCNU006;CMUCNU006</t>
  </si>
  <si>
    <t>4/2/2;2;2/2/2;1/1/1</t>
  </si>
  <si>
    <t>42m/ 42m/ 42m;42m;33m/ 33m/ 33m;33m/ 33m/ 33m</t>
  </si>
  <si>
    <t>Cell B GSM phát thêm card 1800</t>
  </si>
  <si>
    <t>Ấp Bá Huê, xã Tân Duyệt, huyện Đầm Dơi, tỉnh Cà Mau.</t>
  </si>
  <si>
    <t>105,18853</t>
  </si>
  <si>
    <t>8,951312</t>
  </si>
  <si>
    <t>K00681131118D005</t>
  </si>
  <si>
    <t>CMUDDO003;CMUDDO003;CMUDDO003</t>
  </si>
  <si>
    <t>33m/ 33m/ 33m;30m/ 30m/ 30m;30m/ 30m/ 30m</t>
  </si>
  <si>
    <t>Số 59, ấp Khai Hoang Vàm, xã Quách Phẩm, huyện Đầm Dơi, tỉnh Cà Mau.</t>
  </si>
  <si>
    <t>105,107279</t>
  </si>
  <si>
    <t>8,860155</t>
  </si>
  <si>
    <t>K00691141118D005</t>
  </si>
  <si>
    <t>CMUDDO020;CMUDDO020;CMUDDO020;CMUDDO020</t>
  </si>
  <si>
    <t>36m/ 36m/ 36m;33m/ 33m/ 33m;33m/ 33m/ 33m;33m/ 33m/ 33m</t>
  </si>
  <si>
    <t>Ấp Thành Vọng, xã Tân Trung, huyện Đầm Dơi, tỉnh Cà Mau.</t>
  </si>
  <si>
    <t>105,167368</t>
  </si>
  <si>
    <t>9,052258</t>
  </si>
  <si>
    <t>K00676131118D005</t>
  </si>
  <si>
    <t>CMUDDO026;CMUDDO026;CMUDDO026</t>
  </si>
  <si>
    <t>Ấp Tân Điền, xã Tân Hải, huyện Phú Tân, tỉnh Cà Mau.</t>
  </si>
  <si>
    <t>104,814633</t>
  </si>
  <si>
    <t>8,933018</t>
  </si>
  <si>
    <t>K00687171118D005</t>
  </si>
  <si>
    <t>CMUPTA002;CMUPTA002;CMUPTA002;CMUPTA002</t>
  </si>
  <si>
    <t>71W/71W/71W;71W/71W/71W;120W/120W/120W;160W/160W/160W</t>
  </si>
  <si>
    <t>G900/G900/U2100/L1800</t>
  </si>
  <si>
    <t>39m/ 39m/ 39m;30m/ 35m/ 30m;38m/ 38m/ 38m;38m/ 38m/ 38m</t>
  </si>
  <si>
    <t>Agisson DX-806-960-65-18i-0F;Agisson DX-806-960-65-18i-0F;S-Wave EW/EW/EW-65-18DV2/12I-F-64K-VN;S-Wave EW/EW/EW-65-18DV2/12I-F-64K-VN</t>
  </si>
  <si>
    <t>VNP sử dụng 6 antenna G900</t>
  </si>
  <si>
    <t>Ấp Luân Môn, xã Phú Mỹ, huyện Phú Tân, tỉnh Cà Mau.</t>
  </si>
  <si>
    <t>104,91217</t>
  </si>
  <si>
    <t>8,9527</t>
  </si>
  <si>
    <t>K00686151118D005</t>
  </si>
  <si>
    <t>CMUPTA015;CMUPTA015;CMUPTA015</t>
  </si>
  <si>
    <t>35m/ 35m/ 35m;33m/ 33m/ 33m;33m/ 33m/ 33m</t>
  </si>
  <si>
    <t>Ấp Đường Cầy, xã Phú Tân, huyện Phú Tân, tỉnh Cà Mau.</t>
  </si>
  <si>
    <t>104,876175</t>
  </si>
  <si>
    <t>8,946604</t>
  </si>
  <si>
    <t>K00685131118D005</t>
  </si>
  <si>
    <t>CMUPTA021;CMUPTA021;CMUPTA021;CMUPTA021</t>
  </si>
  <si>
    <t>4/4/4;3;2/2/2;1/1/1</t>
  </si>
  <si>
    <t>33m/ 33m/ 33m;33m;29m/ 29m/ 29m;29m/ 29m/ 29m</t>
  </si>
  <si>
    <t>Cell C phát G1800</t>
  </si>
  <si>
    <t>Đường Nguyễn Việt Khái, thị trấn Cái Đôi Vàm, huyện Phú Tân, tỉnh Cà Mau.</t>
  </si>
  <si>
    <t>104,825339</t>
  </si>
  <si>
    <t>8,852783</t>
  </si>
  <si>
    <t>K00696141118D005</t>
  </si>
  <si>
    <t>TỔNG CÔNG TY HẠ TẦNG MẠNG/TỔNG CÔNG TY HẠ TẦNG MẠNG</t>
  </si>
  <si>
    <t>CMUPTA028;CMUPTA028</t>
  </si>
  <si>
    <t>NSN FLEXI MULTIRADIO 10 (FRGY);NSN FLEXI MULTIRADIO 10 (FHED)</t>
  </si>
  <si>
    <t>2/2/2;1/1/1</t>
  </si>
  <si>
    <t>120W/120W/120W;160W/160W/160W</t>
  </si>
  <si>
    <t>U2100/L1800</t>
  </si>
  <si>
    <t>36m/ 36m/ 36m;36m/ 36m/ 36m</t>
  </si>
  <si>
    <t>S-Wave EW/EW/EW-65-18DV2/12I-F-64K-VN;S-Wave EW/EW/EW-65-18DV2/12I-F-64K-VN</t>
  </si>
  <si>
    <t>Ấp Cái Sắn Vàm, xã Biển Bạch Đông, huyện Thới Bình, tỉnh Cà Mau.</t>
  </si>
  <si>
    <t>105,071645</t>
  </si>
  <si>
    <t>9,381671</t>
  </si>
  <si>
    <t>K00688101118D005</t>
  </si>
  <si>
    <t>CMUTBI003;CMUTBI003;CMUTBI003</t>
  </si>
  <si>
    <t>HUAWEI DBS3900;NSN FLEXI MULTIRADIO 10 (FRGY);NSN FLEXI MULTIRADIO 10 (FHED)</t>
  </si>
  <si>
    <t>15W/15W/15W;120W/120W/120W;160W/160W/160W</t>
  </si>
  <si>
    <t>32m/ 32m/ 32m;37m/ 37m/ 37m;37m/ 37m/ 37m</t>
  </si>
  <si>
    <t>Ấp Sông Cái, xã Biển Bạch Đông, huyện Thới Bình, tỉnh Cà Mau.</t>
  </si>
  <si>
    <t>105,057067</t>
  </si>
  <si>
    <t>9,419813</t>
  </si>
  <si>
    <t>K00693101118D005</t>
  </si>
  <si>
    <t>CMUTBI013;CMUTBI013;CMUTBI013</t>
  </si>
  <si>
    <t>33m/ 33m/ 33m;37m/ 37m/ 37m;37m/ 37m/ 37m</t>
  </si>
  <si>
    <t>Khóm 3, thị trấn Thới Bình, huyện Thới Bình, tỉnh Cà Mau.</t>
  </si>
  <si>
    <t>105,091929</t>
  </si>
  <si>
    <t>9,341942</t>
  </si>
  <si>
    <t>K00690101118D005</t>
  </si>
  <si>
    <t>CMUTBI022;CMUTBI022;CMUTBI022</t>
  </si>
  <si>
    <t>35m/ 35m/ 35m;35m/ 35m/ 35m;35m/ 35m/ 35m</t>
  </si>
  <si>
    <t>Số 219, ấp Cái Bát, xã Hồ Thị Kỷ, huyện Thới Bình, tỉnh Cà Mau.</t>
  </si>
  <si>
    <t>105,148416</t>
  </si>
  <si>
    <t>9,273902</t>
  </si>
  <si>
    <t>K00678131118D005</t>
  </si>
  <si>
    <t>CMUTBI028;CMUTBI028;CMUTBI028</t>
  </si>
  <si>
    <t>36m/ 36m/ 36m;34m/ 34m/ 34m;34m/ 34m/ 34m</t>
  </si>
  <si>
    <t>Ấp Tân Lợi, xã Phong Lạc, huyện Trần Văn Thời, tỉnh Cà Mau.</t>
  </si>
  <si>
    <t>104,936411</t>
  </si>
  <si>
    <t>9,007268</t>
  </si>
  <si>
    <t>K00689141118D005</t>
  </si>
  <si>
    <t>CMUTVT007;CMUTVT007;CMUTVT007</t>
  </si>
  <si>
    <t>42m/ 42m/ 42m;39m/ 39m/ 39m;39m/ 39m/ 39m</t>
  </si>
  <si>
    <t>Ấp Rạch Cùi, xã Khánh Bình, huyện Trần Văn Thời, tỉnh Cà Mau.</t>
  </si>
  <si>
    <t>105,038833</t>
  </si>
  <si>
    <t>9,120866</t>
  </si>
  <si>
    <t>K00684151118D005</t>
  </si>
  <si>
    <t>CMUTVT008;CMUTVT008;CMUTVT008</t>
  </si>
  <si>
    <t>36m/ 36m/ 36m;40m/ 40m/ 40m;40m/ 40m/ 40m</t>
  </si>
  <si>
    <t>Khóm 6, thị trấn Sông Đốc, huyện Trần Văn Thời, tỉnh Cà Mau.</t>
  </si>
  <si>
    <t>104,815345</t>
  </si>
  <si>
    <t>9,029136</t>
  </si>
  <si>
    <t>K00680151118D005</t>
  </si>
  <si>
    <t>CMUTVT020;CMUTVT020;CMUTVT020;CMUTVT020</t>
  </si>
  <si>
    <t>33m/ 33m/ 33m;33m/ 33m/ 33m;35m/ 35m/ 35m;35m/ 35m/ 35m</t>
  </si>
  <si>
    <t>Ấp Tân Thành, xã Phong Lạc, huyện Trần Văn Thời, tỉnh Cà Mau.</t>
  </si>
  <si>
    <t>104,962402</t>
  </si>
  <si>
    <t>9,042684</t>
  </si>
  <si>
    <t>K00692141118D005</t>
  </si>
  <si>
    <t>CMUTVT034;CMUTVT034;CMUTVT034</t>
  </si>
  <si>
    <t>36m/ 36m/ 36m;33m/ 33m/ 33m;33m/ 33m/ 33m</t>
  </si>
  <si>
    <t>Trung tâm viễn thông Trần Văn Thời, Khóm 9, thị trấn Trần Văn Thời, huyện Trần Văn Thời, tỉnh Cà Mau.</t>
  </si>
  <si>
    <t>104,967088</t>
  </si>
  <si>
    <t>9,072703</t>
  </si>
  <si>
    <t>K00673151118D005</t>
  </si>
  <si>
    <t>CMUTVT035;CMUTVT035;CMUTVT035;CMUTVT035</t>
  </si>
  <si>
    <t>47m/ 47m/ 47m;47m/ 47m/ 47m;45m/ 45m/ 45m;45m/ 45m/ 45m</t>
  </si>
  <si>
    <t>Bưu điện Khánh Hội, ấp 3, xã Khánh Hội, huyện U Minh, tỉnh Cà Mau.</t>
  </si>
  <si>
    <t>104,833781</t>
  </si>
  <si>
    <t>9,345424</t>
  </si>
  <si>
    <t>K00677101118D005</t>
  </si>
  <si>
    <t>CMUUMI009;CMUUMI009;CMUUMI009</t>
  </si>
  <si>
    <t>39m/ 39m/ 39m;33m/ 33m/ 33m;33m/ 33m/ 33m</t>
  </si>
  <si>
    <t>Âp 7, xã Khánh Hòa, huyện U Minh, tỉnh Cà Mau.</t>
  </si>
  <si>
    <t>104,882948</t>
  </si>
  <si>
    <t>9,415423</t>
  </si>
  <si>
    <t>K00694101118D005</t>
  </si>
  <si>
    <t>CMUUMI027;CMUUMI027;CMUUMI027</t>
  </si>
  <si>
    <t>34m/ 34m/ 34m;35m/ 35m/ 35m;35m/ 35m/ 35m</t>
  </si>
  <si>
    <t>Âp 8, xã Nguyễn Phích, huyện U Minh, tỉnh Cà Mau.</t>
  </si>
  <si>
    <t>105,043217</t>
  </si>
  <si>
    <t>9,274942</t>
  </si>
  <si>
    <t>K00695111118D005</t>
  </si>
  <si>
    <t>CMUUMI028;CMUUMI028;CMUUMI028</t>
  </si>
  <si>
    <t>Số 191, tổ 11, khu phố 5A, phường Long Bình, thành phố Biên Hòa, tỉnh Đồng Nai.</t>
  </si>
  <si>
    <t>Đồng Nai</t>
  </si>
  <si>
    <t>106,877016</t>
  </si>
  <si>
    <t>10,940689</t>
  </si>
  <si>
    <t>K00495261018D005</t>
  </si>
  <si>
    <t>DNIBHO017;DNIBHO017;DNIBHO017</t>
  </si>
  <si>
    <t>27m/ 27m/ 27m;28m/ 28m/ 28m;28m/ 28m/ 28m</t>
  </si>
  <si>
    <t>Số 29, lô 3, khu phố 11, phường An Bình, thành phố Biên Hòa, tỉnh Đồng Nai.</t>
  </si>
  <si>
    <t>106,878388</t>
  </si>
  <si>
    <t>10,926298</t>
  </si>
  <si>
    <t>K00496251018D005</t>
  </si>
  <si>
    <t>DNIBHO025;DNIBHO025;DNIBHO025</t>
  </si>
  <si>
    <t>31m/ 31m/ 31m;31m/ 31m/ 31m;29m/ 29m/ 29m</t>
  </si>
  <si>
    <t>Ngã tư đường số 3A và đường số 17A, phường Long Bình, thành phố Biên Hòa, tỉnh Đồng Nai.</t>
  </si>
  <si>
    <t>106,872146</t>
  </si>
  <si>
    <t>10,924411</t>
  </si>
  <si>
    <t>K00497261018D005</t>
  </si>
  <si>
    <t>DNIBHO027;DNIBHO027;DNIBHO027</t>
  </si>
  <si>
    <t>29m/ 29m/ 29m;30m/ 30m/ 30m;30m/ 30m/ 30m</t>
  </si>
  <si>
    <t>Số 160, khu phố 4, phường Bình Đa, thành phố Biên Hòa, tỉnh Đồng Nai.</t>
  </si>
  <si>
    <t>106,859201</t>
  </si>
  <si>
    <t>10,938364</t>
  </si>
  <si>
    <t>K00498261018D005</t>
  </si>
  <si>
    <t>DNIBHO033;DNIBHO033;DNIBHO033</t>
  </si>
  <si>
    <t>16W/16W/16W;40W/40W/40W;160W/160W/160W</t>
  </si>
  <si>
    <t>26m/ 26m/ 26m;26m/ 26m/ 26m;26m/ 26m/ 26m</t>
  </si>
  <si>
    <t>Số 16, tổ 8, khu phố 3, phường An Bình, thành phố Biên Hòa, tỉnh Đồng Nai.</t>
  </si>
  <si>
    <t>106,858699</t>
  </si>
  <si>
    <t>10,927754</t>
  </si>
  <si>
    <t>K00499261018D005</t>
  </si>
  <si>
    <t>DNIBHO034;DNIBHO034;DNIBHO034</t>
  </si>
  <si>
    <t>25m/ 25m/ 25m;30m/ 30m/ 30m;30m/ 30m/ 30m</t>
  </si>
  <si>
    <t>Số 16, tổ 17B, khu phố 2, phường Bình Đa, thành phố Biên Hòa, tỉnh Đồng Nai.</t>
  </si>
  <si>
    <t>106,863856</t>
  </si>
  <si>
    <t>10,934564</t>
  </si>
  <si>
    <t>K00500291018D005</t>
  </si>
  <si>
    <t>DNIBHO035;DNIBHO035;DNIBHO035</t>
  </si>
  <si>
    <t>Số 123, khu phố 12, phường An Bình, thành phố Biên Hòa, tỉnh Đồng Nai.</t>
  </si>
  <si>
    <t>106,857212</t>
  </si>
  <si>
    <t>10,932798</t>
  </si>
  <si>
    <t>K00501291018D005</t>
  </si>
  <si>
    <t>DNIBHO036;DNIBHO036;DNIBHO036</t>
  </si>
  <si>
    <t>4/4/2/4;2/2/2;1/1/1</t>
  </si>
  <si>
    <t>16W/16W/16W/16W;40W/40W/40W;160W/160W/160W</t>
  </si>
  <si>
    <t>34m/ 34m/ 34m/ 34m;28m/ 28m/ 28m;28m/ 28m/ 28m</t>
  </si>
  <si>
    <t xml:space="preserve">G1800 có 4 sector </t>
  </si>
  <si>
    <t>Lô 1, khu công nghiệp Biên Hòa, phường An Bình, thành phố Biên Hòa, tỉnh Đồng Nai.</t>
  </si>
  <si>
    <t>106,870294</t>
  </si>
  <si>
    <t>10,936126</t>
  </si>
  <si>
    <t>K00502251018D005</t>
  </si>
  <si>
    <t>DNIBHO057;DNIBHO057;DNIBHO057</t>
  </si>
  <si>
    <t>39m/ 39m/ 39m;40m/ 40m/ 40m;40m/ 40m/ 40m</t>
  </si>
  <si>
    <t>Đường số 3A, khu công nghiệp Biên Hòa Đồng Nai 2, phường Long Bình, thành phố Biên Hòa, tỉnh Đồng Nai.</t>
  </si>
  <si>
    <t>106,864515</t>
  </si>
  <si>
    <t>10,915053</t>
  </si>
  <si>
    <t>K00503291018D005</t>
  </si>
  <si>
    <t>DNIBHO058;DNIBHO058;DNIBHO058</t>
  </si>
  <si>
    <t>27m/ 27m/ 27m;23m/ 23m/ 23m;23m/ 23m/ 23m</t>
  </si>
  <si>
    <t>Số 1/89, tổ 2, khu phố 3, phường Tam Hòa, thành phố Biên Hòa, tỉnh Đồng Nai.</t>
  </si>
  <si>
    <t>106,869249</t>
  </si>
  <si>
    <t>10,94912</t>
  </si>
  <si>
    <t>K00504291018D005</t>
  </si>
  <si>
    <t>DNIBHO061;DNIBHO061;DNIBHO061;DNIBHO061</t>
  </si>
  <si>
    <t>4/4/4;2/4/4;2/2/2;1/1/1</t>
  </si>
  <si>
    <t>26m/ 26m/ 26m;26m/ 26m/ 26m;24m/ 24m/ 24m;24m/ 24m/ 24m</t>
  </si>
  <si>
    <t>Số 5/8, khu phố 6, phường Tam Hiệp, thành phố Biên Hòa, tỉnh Đồng Nai.</t>
  </si>
  <si>
    <t>106,856945</t>
  </si>
  <si>
    <t>10,956122</t>
  </si>
  <si>
    <t>K00505291018D005</t>
  </si>
  <si>
    <t>DNIBHO063;DNIBHO063;DNIBHO063</t>
  </si>
  <si>
    <t>25m/ 25m/ 25m;23m/ 23m/ 23m;23m/ 23m/ 23m</t>
  </si>
  <si>
    <t>Số 26A, tổ 8, khu phố 6, phường Long Bình, thành phố Biên Hòa, tỉnh Đồng Nai.</t>
  </si>
  <si>
    <t>106,874838</t>
  </si>
  <si>
    <t>10,934046</t>
  </si>
  <si>
    <t>K00506291018D005</t>
  </si>
  <si>
    <t>DNIBHO069;DNIBHO069;DNIBHO069</t>
  </si>
  <si>
    <t>4/4/2;2/2/2;1/1/1</t>
  </si>
  <si>
    <t>Số 87, tổ 1, khu phố 4, phường Long Bình, thành phố Biên Hòa, tỉnh Đồng Nai.</t>
  </si>
  <si>
    <t>106,869482</t>
  </si>
  <si>
    <t>10,941443</t>
  </si>
  <si>
    <t>K00507291018D005</t>
  </si>
  <si>
    <t>DNIBHO084;DNIBHO084;DNIBHO084</t>
  </si>
  <si>
    <t>25m/ 25m/ 25m;21m/ 21m/ 21m;21m/ 21m/ 21m</t>
  </si>
  <si>
    <t>Số 26/20, đường Phạm Văn Thuận, khu phố 1, phường Tam Hiệp, thành phố Biên Hòa, tỉnh Đồng Nai.</t>
  </si>
  <si>
    <t>106,857067</t>
  </si>
  <si>
    <t>10,946279</t>
  </si>
  <si>
    <t>K00508291018D005</t>
  </si>
  <si>
    <t>DNIBHO085;DNIBHO085;DNIBHO085</t>
  </si>
  <si>
    <t>28m/ 28m/ 28m;25m/ 25m/ 25m;25m/ 25m/ 25m</t>
  </si>
  <si>
    <t>Số 43/39, lô D, khu phố 5, phường Tam Hiệp, thành phố Biên Hòa, tỉnh Đồng Nai.</t>
  </si>
  <si>
    <t>106,858713</t>
  </si>
  <si>
    <t>10,951033</t>
  </si>
  <si>
    <t>K00509291018D005</t>
  </si>
  <si>
    <t>DNIBHO087;DNIBHO087;DNIBHO087</t>
  </si>
  <si>
    <t>4/2/4;2/2/2;1/1/1</t>
  </si>
  <si>
    <t>25m/ 25m/ 25m;26m/ 26m/ 26m;26m/ 26m/ 26m</t>
  </si>
  <si>
    <t>Số 340, đường Phạm Văn Thuận, khu phố 4, phường Tam Hiệp, thành phố Biên Hòa, tỉnh Đồng Nai.</t>
  </si>
  <si>
    <t>106,860936</t>
  </si>
  <si>
    <t>10,942523</t>
  </si>
  <si>
    <t>K00510291018D005</t>
  </si>
  <si>
    <t>DNIBHO088;DNIBHO088;DNIBHO088</t>
  </si>
  <si>
    <t>26m/ 26m/ 26m;23m/ 23m/ 23m;23m/ 23m/ 23m</t>
  </si>
  <si>
    <t>Số 112B/1, khu phố 1, phường Bình Đa, thành phố Biên Hòa, tỉnh Đồng Nai.</t>
  </si>
  <si>
    <t>106,864553</t>
  </si>
  <si>
    <t>10,939636</t>
  </si>
  <si>
    <t>K00511291018D005</t>
  </si>
  <si>
    <t>DNIBHO089;DNIBHO089;DNIBHO089</t>
  </si>
  <si>
    <t>24m/ 24m/ 24m;21m/ 21m/ 21m;21m/ 21m/ 21m</t>
  </si>
  <si>
    <t>Số 41A/17, khu phố 2, phường Tam Hòa, thành phố Biên Hòa, tỉnh Đồng Nai.</t>
  </si>
  <si>
    <t>106,863696</t>
  </si>
  <si>
    <t>10,945361</t>
  </si>
  <si>
    <t>K00512291018D005</t>
  </si>
  <si>
    <t>DNIBHO090;DNIBHO090;DNIBHO090</t>
  </si>
  <si>
    <t>25m/ 25m/ 25m;19m/ 19m/ 19m;25m/ 25m/ 25m</t>
  </si>
  <si>
    <t>Số 508/22, khu phố 3, phường Tam Hiệp, thành phố Biên Hòa, tỉnh Đồng Nai.</t>
  </si>
  <si>
    <t>106,858431</t>
  </si>
  <si>
    <t>10,959235</t>
  </si>
  <si>
    <t>K00513291018D005</t>
  </si>
  <si>
    <t>DNIBHO098;DNIBHO098;DNIBHO098</t>
  </si>
  <si>
    <t>29m/ 29m/ 29m;26m/ 26m/ 26m;26m/ 26m/ 26m</t>
  </si>
  <si>
    <t>Khu công nghiệp AMATA, khu phố 3, phường Long Bình, thành phố Biên Hòa, tỉnh Đồng Nai.</t>
  </si>
  <si>
    <t>106,872765</t>
  </si>
  <si>
    <t>10,943899</t>
  </si>
  <si>
    <t>K00489261018D005</t>
  </si>
  <si>
    <t>DNIBHO147;DNIBHO147;DNIBHO147</t>
  </si>
  <si>
    <t>Số 24/4, khu phố 3, phường An Bình, thành phố Biên Hòa, tỉnh Đồng Nai.</t>
  </si>
  <si>
    <t>106,863678</t>
  </si>
  <si>
    <t>10,929679</t>
  </si>
  <si>
    <t>K00490261018D005</t>
  </si>
  <si>
    <t>DNIBHO150;DNIBHO150;DNIBHO150</t>
  </si>
  <si>
    <t>Số 51, đường Đoàn Văn Cự, khu phố 6, phường Tam Hiệp, thành phố Biên Hòa, tỉnh Đồng Nai.</t>
  </si>
  <si>
    <t>106,862458</t>
  </si>
  <si>
    <t>10,949193</t>
  </si>
  <si>
    <t>K00491261018D005</t>
  </si>
  <si>
    <t>DNIBHO156;DNIBHO156;DNIBHO156</t>
  </si>
  <si>
    <t>19m/ 19m/ 19m;19m/ 19m/ 19m;19m/ 19m/ 19m</t>
  </si>
  <si>
    <t>Số 368, đường Đồng Khởi, khu phố 3, phường Tân Hiệp, thành phố Biên Hòa, tỉnh Đồng Nai.</t>
  </si>
  <si>
    <t>106,86211</t>
  </si>
  <si>
    <t>10,956765</t>
  </si>
  <si>
    <t>K00492251018D005</t>
  </si>
  <si>
    <t>DNIBHO162;DNIBHO162;DNIBHO162</t>
  </si>
  <si>
    <t>Đường số 7, phường An Bình, thành phố Biên Hòa, tỉnh Đồng Nai.</t>
  </si>
  <si>
    <t>106,862669</t>
  </si>
  <si>
    <t>10,920864</t>
  </si>
  <si>
    <t>K00493261018D005</t>
  </si>
  <si>
    <t>DNIBHO171;DNIBHO171;DNIBHO171</t>
  </si>
  <si>
    <t>Tổ 15, khu phố 5, phường Long Bình, thành phố Biên Hòa, tỉnh Đồng Nai.</t>
  </si>
  <si>
    <t>106,87301</t>
  </si>
  <si>
    <t>10,939655</t>
  </si>
  <si>
    <t>K00494261018D005</t>
  </si>
  <si>
    <t>DNIBHO172;DNIBHO172;DNIBHO172</t>
  </si>
  <si>
    <t>29m/ 29m/ 29m;25m/ 25m/ 25m;25m/ 25m/ 25m</t>
  </si>
  <si>
    <t>Bưu cục An Biên, khu phố 2, thị trấn Thứ Ba, huyện An Biên, tỉnh Kiên Giang.</t>
  </si>
  <si>
    <t>Kiên Giang</t>
  </si>
  <si>
    <t>105,061714</t>
  </si>
  <si>
    <t>9,812855</t>
  </si>
  <si>
    <t>K00769091118D005</t>
  </si>
  <si>
    <t>KGGABI001;KGGABI001;KGGABI001;KGGABI001</t>
  </si>
  <si>
    <t>47m/ 47m/ 47m;43m/ 43m/ 43m;37m/ 37m/ 37m;37m/ 37m/ 37m</t>
  </si>
  <si>
    <t>Ấp Sáu Đình, xã Nam Thái, huyện An Biên, tỉnh Kiên Giang.</t>
  </si>
  <si>
    <t>104,984195</t>
  </si>
  <si>
    <t>9,831465</t>
  </si>
  <si>
    <t>K00776101118D005</t>
  </si>
  <si>
    <t>KGGABI008;KGGABI008;KGGABI008</t>
  </si>
  <si>
    <t>Bưu điện Thứ 7, ấp 7 Xáng, xã Đông Hòa, huyện An Biên, tỉnh Kiên Giang.</t>
  </si>
  <si>
    <t>105,000563</t>
  </si>
  <si>
    <t>9,756132</t>
  </si>
  <si>
    <t>K00778101118D005</t>
  </si>
  <si>
    <t>KGGABI011;KGGABI011;KGGABI011;KGGABI011</t>
  </si>
  <si>
    <t>3/3/3;4/2/4;2/2/2;1/1/1</t>
  </si>
  <si>
    <t>36m/ 36m/ 39m;27m/ 27m/ 27m;33m/ 33m/ 33m;33m/ 33m/ 33m</t>
  </si>
  <si>
    <t>Ấp Kênh Dài, xã Tây Yên, huyện An Biên, tỉnh Kiên Giang.</t>
  </si>
  <si>
    <t>105,069778</t>
  </si>
  <si>
    <t>9,930639</t>
  </si>
  <si>
    <t>K00779101118D005</t>
  </si>
  <si>
    <t>KGGABI013;KGGABI013;KGGABI013;KGGABI013</t>
  </si>
  <si>
    <t>2/2/2/2;2/2;2/2/2;1/1/1</t>
  </si>
  <si>
    <t>71W/71W/71W/71W;63W/63W;120W/120W/120W;160W/160W/160W</t>
  </si>
  <si>
    <t>39m/ 39m/ 39m/ 39m;40m/ 40m;36m/ 36m/ 36m;36m/ 36m/ 36m</t>
  </si>
  <si>
    <t>VNP có 4 antenna G900</t>
  </si>
  <si>
    <t>Bưu điện Đông Hưng A, ấp Rọ Ghe, xã Đông Hưng A, huyện An Minh, tỉnh Kiên Giang.</t>
  </si>
  <si>
    <t>104,880885</t>
  </si>
  <si>
    <t>9,679327</t>
  </si>
  <si>
    <t>K00771091118D005</t>
  </si>
  <si>
    <t>KGGAMI003;KGGAMI003;KGGAMI003</t>
  </si>
  <si>
    <t>Ấp Mương Đào A, xã Vĩnh Khánh, huyện An Minh, tỉnh Kiên Giang.</t>
  </si>
  <si>
    <t>104,864726</t>
  </si>
  <si>
    <t>9,606873</t>
  </si>
  <si>
    <t>K00775091118D005</t>
  </si>
  <si>
    <t>KGGAMI007;KGGAMI007;KGGAMI007;KGGAMI007</t>
  </si>
  <si>
    <t>36m/ 36m/ 36m;37m/ 37m/ 37m;40m/ 40m/ 40m;40m/ 40m/ 40m</t>
  </si>
  <si>
    <t>Ấp Xẻo Nhàu A, xã Tân Thanh, huyện An Minh, tỉnh Kiên Giang.</t>
  </si>
  <si>
    <t>104,873667</t>
  </si>
  <si>
    <t>9,741034</t>
  </si>
  <si>
    <t>K00783111118D005</t>
  </si>
  <si>
    <t>KGGAMI019;KGGAMI019;KGGAMI019;KGGAMI019</t>
  </si>
  <si>
    <t>2/3/3;2/4/2;2/2/2;1/1/1</t>
  </si>
  <si>
    <t>31m/ 31m/ 31m;32m/ 32m/ 32m;29m/ 29m/ 29m;29m/ 29m/ 29m</t>
  </si>
  <si>
    <t>Ấp Kim Qui B, xã Vân Khánh, huyện An Minh, tỉnh Kiên Giang.</t>
  </si>
  <si>
    <t>104,845782</t>
  </si>
  <si>
    <t>9,570413</t>
  </si>
  <si>
    <t>K00768091118D005</t>
  </si>
  <si>
    <t>KGGAMI028;KGGAMI028;KGGAMI028</t>
  </si>
  <si>
    <t>39m/ 39m/ 60m;37m/ 37m/ 37m;37m/ 37m/ 37m</t>
  </si>
  <si>
    <t>Bưu cục Minh Lương, số 39, quốc lộ 61, thị trấn Minh Lương, huyện Châu Thành, tỉnh Kiên Giang.</t>
  </si>
  <si>
    <t>105,157528</t>
  </si>
  <si>
    <t>9,907421</t>
  </si>
  <si>
    <t>K00772091118D005</t>
  </si>
  <si>
    <t>KGGCTH009;KGGCTH009;KGGCTH009;KGGCTH009</t>
  </si>
  <si>
    <t>47m/ 47m/ 47m;36m/ 36m/ 36m;47m/ 47m/ 47m;47m/ 47m/ 47m</t>
  </si>
  <si>
    <t>Tổ 5, ấp Hòa Thuận, xã Vĩnh Hòa Hiệp, huyện Châu Thành, tỉnh Kiên Giang.</t>
  </si>
  <si>
    <t>105,148521</t>
  </si>
  <si>
    <t>9,923092</t>
  </si>
  <si>
    <t>K00773091118D005</t>
  </si>
  <si>
    <t>KGGCTH011;KGGCTH011;KGGCTH011</t>
  </si>
  <si>
    <t>39m/ 39m/ 39m;39m/ 39m/ 39m;39m/ 39m/ 39m</t>
  </si>
  <si>
    <t>Bưu điện Mông Thọ B, số 303, quốc lộ 80, ấp Phước Minh, xã Mong Thọ B, huyện Châu Thành, tỉnh Kiên Giang.</t>
  </si>
  <si>
    <t>105,170647</t>
  </si>
  <si>
    <t>9,99999</t>
  </si>
  <si>
    <t>K00774091118D005</t>
  </si>
  <si>
    <t>KGGCTH012;KGGCTH012;KGGCTH012</t>
  </si>
  <si>
    <t>Ấp An Bình, xã Bình An, huyện Châu Thành, tỉnh Kiên Giang.</t>
  </si>
  <si>
    <t>105,131266</t>
  </si>
  <si>
    <t>9,876135</t>
  </si>
  <si>
    <t>K00777101118D005</t>
  </si>
  <si>
    <t>KGGCTH014;KGGCTH014;KGGCTH014;KGGCTH014</t>
  </si>
  <si>
    <t>HUAWEI BTS3012;HUAWEI BTS3012;NSN FLEXI MULTIRADIO 10 (FRGY);NSN FLEXI MULTIRADIO 10 (FHED)</t>
  </si>
  <si>
    <t>4/2/4;3/3/3;2/2/2;1/1/1</t>
  </si>
  <si>
    <t>60W/60W/60W;60W/60W/60W;120W/120W/120W;160W/160W/160W</t>
  </si>
  <si>
    <t>47m/ 47m/ 47m;43m/ 43m/ 43m;36m/ 36m/ 36m;36m/ 36m/ 36m</t>
  </si>
  <si>
    <t>Ngã ba Ba Hòn, khu phố Kiên Tân, thị trấn Kiên Lương, huyện Kiên Lương, tỉnh Kiên Giang.</t>
  </si>
  <si>
    <t>104,590287</t>
  </si>
  <si>
    <t>10,247449</t>
  </si>
  <si>
    <t>K00770091118D005</t>
  </si>
  <si>
    <t>KGGKLU002;KGGKLU002;KGGKLU002;KGGKLU002</t>
  </si>
  <si>
    <t>3/2/3;4/4/4;2/2/2;1/1/1</t>
  </si>
  <si>
    <t>59m/ 59m/ 59m;51m/ 51m/ 51m;37m/ 37m/ 37m;40m/ 40m/ 40m</t>
  </si>
  <si>
    <t>Ấp Minh Thành, xã Minh Thuận, huyện U Minh Thượng, tỉnh Kiên Giang.</t>
  </si>
  <si>
    <t>105,147976</t>
  </si>
  <si>
    <t>9,506477</t>
  </si>
  <si>
    <t>K00780101118D005</t>
  </si>
  <si>
    <t>KGGUMT017;KGGUMT017;KGGUMT017</t>
  </si>
  <si>
    <t>35m/ 35m/ 35m;42m/ 42m/ 42m;42m/ 42m/ 42m</t>
  </si>
  <si>
    <t>Ấp Canh Điền, xã Vĩnh Phong, huyện Vĩnh Thuận, tỉnh Kiên Giang.</t>
  </si>
  <si>
    <t>105,27316</t>
  </si>
  <si>
    <t>9,422732</t>
  </si>
  <si>
    <t>K00781111118D005</t>
  </si>
  <si>
    <t>KGGVTH012;KGGVTH012;KGGVTH012;KGGVTH012</t>
  </si>
  <si>
    <t>2/2/2;2;2/2/2;1/1/1</t>
  </si>
  <si>
    <t>36m/ 36m/ 36m;37,5m;34m/ 34m/ 34m;34m/ 34m/ 34m</t>
  </si>
  <si>
    <t>Trung tâm viễn thông Vĩnh Thuận, thị trấn Vĩnh Thuận, huyện Vĩnh Thuận, tỉnh Kiên Giang.</t>
  </si>
  <si>
    <t>105,259196</t>
  </si>
  <si>
    <t>9,510436</t>
  </si>
  <si>
    <t>K00782111118D005</t>
  </si>
  <si>
    <t>KGGVTH014;KGGVTH014;KGGVTH014;KGGVTH014</t>
  </si>
  <si>
    <t>47m/ 47m/ 47m;37m/ 37m/ 37m;39m/ 39m/ 39m;39m/ 39m/ 39m</t>
  </si>
  <si>
    <t>Số 48, đường Bùi Thị Xuân, phường 2, thành phố Đà Lạt, tỉnh Lâm Đồng.</t>
  </si>
  <si>
    <t>Lâm Đồng</t>
  </si>
  <si>
    <t>108,439773</t>
  </si>
  <si>
    <t>11,945704</t>
  </si>
  <si>
    <t>K00625311018D005</t>
  </si>
  <si>
    <t>LDGDLA001;LDGDLA001;LDGDLA001</t>
  </si>
  <si>
    <t>32m/ 32m/ 32m;26m/ 26m/ 26m;26m/ 26m/ 26m</t>
  </si>
  <si>
    <t>Số 146, đường Cổ Loa, phường 2, thành phố Đà Lạt, tỉnh Lâm Đồng.</t>
  </si>
  <si>
    <t>108,434618</t>
  </si>
  <si>
    <t>11,955595</t>
  </si>
  <si>
    <t>K00606311018D005</t>
  </si>
  <si>
    <t>LDGDLA004;LDGDLA004;LDGDLA004</t>
  </si>
  <si>
    <t>23m/ 23m/ 23m;20m/ 20m/ 20m;20m/ 20m/ 20m</t>
  </si>
  <si>
    <t>Bưu điện Đà Lạt, số 8, đường Trần Phú, phường 13, thành phố Đà Lạt, tỉnh Lâm Đồng.</t>
  </si>
  <si>
    <t>108,438628</t>
  </si>
  <si>
    <t>11,937424</t>
  </si>
  <si>
    <t>K00607311018D005</t>
  </si>
  <si>
    <t>LDGDLA005;LDGDLA005;LDGDLA005</t>
  </si>
  <si>
    <t>43m/ 43m/ 43m;41m/ 41m/ 41m;41m/ 41m/ 41m</t>
  </si>
  <si>
    <t>Số 29L, đường Phan Bội Châu, phường 1, thành phố Đà Lạt, tỉnh Lâm Đồng.</t>
  </si>
  <si>
    <t>108,439169</t>
  </si>
  <si>
    <t>11,943743</t>
  </si>
  <si>
    <t>K00608311018D005</t>
  </si>
  <si>
    <t>LDGDLA011;LDGDLA011;LDGDLA011</t>
  </si>
  <si>
    <t>Số 2L, đường Lý Tự Trọng, phường 1, thành phố Đà Lạt, tỉnh Lâm Đồng.</t>
  </si>
  <si>
    <t>108,438081</t>
  </si>
  <si>
    <t>11,947041</t>
  </si>
  <si>
    <t>K00609301018D005</t>
  </si>
  <si>
    <t>LDGDLA013;LDGDLA013;LDGDLA013;LDGDLA013</t>
  </si>
  <si>
    <t>20W/20W/20W;16W/16W/16W;120W/120W/120W;160W/160W/160W</t>
  </si>
  <si>
    <t>32m/ 32m/ 32m;32m/ 32m/ 32m;42m/ 42m/ 42m;42m/ 42m/ 42m</t>
  </si>
  <si>
    <t>Số 5/10, đường Hải Thượng, phường 5, thành phố Đà Lạt, tỉnh Lâm Đồng.</t>
  </si>
  <si>
    <t>108,430445</t>
  </si>
  <si>
    <t>11,943566</t>
  </si>
  <si>
    <t>K00610301018D005</t>
  </si>
  <si>
    <t>LDGDLA015;LDGDLA015;LDGDLA015;LDGDLA015</t>
  </si>
  <si>
    <t>4/4/4;2/4/2;2/2/2;1/1/1</t>
  </si>
  <si>
    <t>22m/ 22m/ 22m;22m/ 22m/ 22m;22m/ 22m/ 22m;22m/ 22m/ 22m</t>
  </si>
  <si>
    <t>Đường Hàn Thuyên, phường 5, thành phố Đà Lạt, tỉnh Lâm Đồng.</t>
  </si>
  <si>
    <t>108,42427</t>
  </si>
  <si>
    <t>11,946151</t>
  </si>
  <si>
    <t>K00619311018D005</t>
  </si>
  <si>
    <t>LDGDLA017;LDGDLA017;LDGDLA017</t>
  </si>
  <si>
    <t>Số 39, đường Ngô Quyền, phường 6, thành phố Đà Lạt, tỉnh Lâm Đồng.</t>
  </si>
  <si>
    <t>108,428635</t>
  </si>
  <si>
    <t>11,95496</t>
  </si>
  <si>
    <t>K00614301018D005</t>
  </si>
  <si>
    <t>LDGDLA021;LDGDLA021;LDGDLA021</t>
  </si>
  <si>
    <t>21m/ 21m/ 21m;20m/ 20m/ 20m;20m/ 20m/ 20m</t>
  </si>
  <si>
    <t>Số 26C, đường Yersin, phường 10, thành phố Đà Lạt, tỉnh Lâm Đồng.</t>
  </si>
  <si>
    <t>108,450566</t>
  </si>
  <si>
    <t>11,943369</t>
  </si>
  <si>
    <t>K00615301018D005</t>
  </si>
  <si>
    <t>LDGDLA024;LDGDLA024;LDGDLA024</t>
  </si>
  <si>
    <t>24m/ 24m/ 24m;27m/ 27m/ 27m;27m/ 27m/ 27m</t>
  </si>
  <si>
    <t>Số 10, đường Trạng Trình, phường 9, thành phố Đà Lạt, tỉnh Lâm Đồng.</t>
  </si>
  <si>
    <t>108,454044</t>
  </si>
  <si>
    <t>11,95075</t>
  </si>
  <si>
    <t>K00616301018D005</t>
  </si>
  <si>
    <t>LDGDLA025;LDGDLA025;LDGDLA025;LDGDLA025</t>
  </si>
  <si>
    <t>28m/ 28m/ 28m;28m/ 28m/ 28m;36m/ 36m/ 36m;36m/ 36m/ 36m</t>
  </si>
  <si>
    <t>Số 276, đường Bùi Thị Xuân, phường 2, thành phố Đà Lạt, tỉnh Lâm Đồng.</t>
  </si>
  <si>
    <t>108,441125</t>
  </si>
  <si>
    <t>11,95359</t>
  </si>
  <si>
    <t>K00617311018D005</t>
  </si>
  <si>
    <t>LDGDLA026;LDGDLA026;LDGDLA026</t>
  </si>
  <si>
    <t>Số 111, đường Phan Đình Phùng, phường 2, thành phố Đà Lạt, tỉnh Lâm Đồng.</t>
  </si>
  <si>
    <t>108,434162</t>
  </si>
  <si>
    <t>11,944635</t>
  </si>
  <si>
    <t>K00618311018D005</t>
  </si>
  <si>
    <t>LDGDLA027;LDGDLA027;LDGDLA027</t>
  </si>
  <si>
    <t>30m/ 30m/ 30m;26m/ 26m/ 26m;26m/ 26m/ 26m</t>
  </si>
  <si>
    <t>Số 405, đường Nguyên Tử Lực, phường 8, thành phố Đà Lạt, tỉnh Lâm Đồng.</t>
  </si>
  <si>
    <t>108,450027</t>
  </si>
  <si>
    <t>11,956325</t>
  </si>
  <si>
    <t>K00620311018D005</t>
  </si>
  <si>
    <t>LDGDLA039;LDGDLA039;LDGDLA039</t>
  </si>
  <si>
    <t>Số 276, đường Phan Đình Phùng, phường 2, thành phố Đà Lạt, tỉnh Lâm Đồng.</t>
  </si>
  <si>
    <t>108,434252</t>
  </si>
  <si>
    <t>11,950618</t>
  </si>
  <si>
    <t>K00621311018D005</t>
  </si>
  <si>
    <t>LDGDLA040;LDGDLA040;LDGDLA040</t>
  </si>
  <si>
    <t>Số 4A, đường Nguyễn Chí Thanh, phường 1, thành phố Đà Lạt, tỉnh Lâm Đồng.</t>
  </si>
  <si>
    <t>108,435956</t>
  </si>
  <si>
    <t>11,942096</t>
  </si>
  <si>
    <t>K00622311018D005</t>
  </si>
  <si>
    <t>LDGDLA046;LDGDLA046;LDGDLA046</t>
  </si>
  <si>
    <t>18</t>
  </si>
  <si>
    <t>Số 24, đường Phù Đổng Thiên Vương, phường 8, thành phố Đà Lạt, tỉnh Lâm Đồng.</t>
  </si>
  <si>
    <t>108,442995</t>
  </si>
  <si>
    <t>11,95827</t>
  </si>
  <si>
    <t>K00623311018D005</t>
  </si>
  <si>
    <t>LDGDLA047;LDGDLA047;LDGDLA047</t>
  </si>
  <si>
    <t>30m/ 30m/ 30m;30m/ 30m/ 30m;30m/ 30m/ 30m</t>
  </si>
  <si>
    <t>Số 4/23, đường Trần Phú, phường 3, thành phố Đà Lạt, tỉnh Lâm Đồng.</t>
  </si>
  <si>
    <t>108,433996</t>
  </si>
  <si>
    <t>11,936174</t>
  </si>
  <si>
    <t>K00624311018D005</t>
  </si>
  <si>
    <t>LDGDLA055;LDGDLA055;LDGDLA055</t>
  </si>
  <si>
    <t>34m/ 34m/ 34m;34m/ 34m/ 34m;34m/ 34m/ 34m</t>
  </si>
  <si>
    <t>Số 42, đường Hồ Tùng Mậu, phường 3, thành phố Đà Lạt, tỉnh Lâm Đồng.</t>
  </si>
  <si>
    <t>108,444987</t>
  </si>
  <si>
    <t>11,936883</t>
  </si>
  <si>
    <t>K00611301018D005</t>
  </si>
  <si>
    <t>LDGDLA063;LDGDLA063;LDGDLA063;LDGDLA063</t>
  </si>
  <si>
    <t>2/4/4;4;2/2/2;1/1/1</t>
  </si>
  <si>
    <t>20W/20W/20W;16W;120W/120W/120W;160W/160W/160W</t>
  </si>
  <si>
    <t>20m/ 20m/ 20m;20m;23m/ 23m/ 23m;23m/ 23m/ 23m</t>
  </si>
  <si>
    <t>Số 21, đường Thi Sách, phường 6, thành phố Đà Lạt, tỉnh Lâm Đồng.</t>
  </si>
  <si>
    <t>108,431504</t>
  </si>
  <si>
    <t>11,948064</t>
  </si>
  <si>
    <t>K00612301018D005</t>
  </si>
  <si>
    <t>LDGDLA065;LDGDLA065;LDGDLA065</t>
  </si>
  <si>
    <t>Số 9, lô A3, khu quy hoạch Yersin, phường 10, thành phố Đà Lạt, tỉnh Lâm Đồng.</t>
  </si>
  <si>
    <t>108,450603</t>
  </si>
  <si>
    <t>11,940394</t>
  </si>
  <si>
    <t>K00613301018D005</t>
  </si>
  <si>
    <t>LDGDLA073;LDGDLA073;LDGDLA073</t>
  </si>
  <si>
    <t>Trạm viễn thông Thạnh Phú, quốc lộ 1A, ấp khu 1, xã Thạnh Phú, huyện Mỹ Xuyên, tỉnh Sóc Trăng.</t>
  </si>
  <si>
    <t>Sóc Trăng</t>
  </si>
  <si>
    <t>105,848428</t>
  </si>
  <si>
    <t>9,498688</t>
  </si>
  <si>
    <t>K00807171118D005</t>
  </si>
  <si>
    <t>STGMXU015;STGMXU015;STGMXU015;STGMXU015</t>
  </si>
  <si>
    <t>60W/60W/60W;60W;120W/120W/120W;160W/160W/160W</t>
  </si>
  <si>
    <t>Kathrein 739630;Agisson DX-1710-2170-65-18i-0F;S-Wave EW/EW/EW-65-18DV2/12I-F-64K-VN;S-Wave EW/EW/EW-65-18DV2/12I-F-64K-VN</t>
  </si>
  <si>
    <t>Có 1 card G1800 cell A</t>
  </si>
  <si>
    <t>Trạm viễn thông Thạnh Quới, quốc lộ 1A, ấp Đai Sô, xã Thạnh Quới, huyện Mỹ Xuyên, tỉnh Sóc Trăng.</t>
  </si>
  <si>
    <t>105,798954</t>
  </si>
  <si>
    <t>9,457159</t>
  </si>
  <si>
    <t>K00808171118D005</t>
  </si>
  <si>
    <t>STGMXU017;STGMXU017;STGMXU017</t>
  </si>
  <si>
    <t>2/2/2/2;2/2/2;1/1/1</t>
  </si>
  <si>
    <t>60W/60W/60W/60W;120W/120W/120W;160W/160W/160W</t>
  </si>
  <si>
    <t>36m/ 36m/ 36m/ 36m;35m/ 35m/ 35m;35m/ 35m/ 35m</t>
  </si>
  <si>
    <t>Kathrein 739630;S-Wave EW/EW/EW-65-18DV2/12I-F-64K-VN;S-Wave EW/EW/EW-65-18DV2/12I-F-64K-VN</t>
  </si>
  <si>
    <t>Trung tâm viễn thông Thạnh Trị, ấp Huỳnh Thu, phường Khánh Hòa, thị xã Vĩnh Châu, tỉnh Sóc Trăng.</t>
  </si>
  <si>
    <t>105,747155</t>
  </si>
  <si>
    <t>9,429877</t>
  </si>
  <si>
    <t>K00806171118D005</t>
  </si>
  <si>
    <t>STGTTR009;STGTTR009;STGTTR009;STGTTR009</t>
  </si>
  <si>
    <t>38m/ 38m/ 38m;41m/ 41m/ 41m;36m/ 36m/ 36m;36m/ 36m/ 36m</t>
  </si>
  <si>
    <t>11</t>
  </si>
  <si>
    <t>Bưu điện Khánh Hòa, khu phố Huỳnh Thu, phường Khánh Hòa, thị xã Vĩnh Châu, tỉnh Sóc Trăng.</t>
  </si>
  <si>
    <t>105,997986</t>
  </si>
  <si>
    <t>9,424656</t>
  </si>
  <si>
    <t>K00809171118D005</t>
  </si>
  <si>
    <t>STGVCH008;STGVCH008;STGVCH008</t>
  </si>
  <si>
    <t>33m/ 33m/ 33m/ 33m;32m/ 32m/ 32m;32m/ 32m/ 32m</t>
  </si>
  <si>
    <t>Thửa đất số 282, tờ bản đồ số 2, khu phố 4, phường 4, thành phố Tây Ninh, tỉnh Tây Ninh.</t>
  </si>
  <si>
    <t>Tây Ninh</t>
  </si>
  <si>
    <t>106,111286</t>
  </si>
  <si>
    <t>11,301443</t>
  </si>
  <si>
    <t>K00626011118D005</t>
  </si>
  <si>
    <t>TNHTNI010;TNHTNI010;TNHTNI010</t>
  </si>
  <si>
    <t>31m/ 31m/ 31m;42m/ 42m/ 42m;42m/ 42m/ 42m</t>
  </si>
  <si>
    <t>Số 32, hẻm 59, đường Cách Mạng Tháng 8, khu phố 2, phường 3, thành phố Tây Ninh, tỉnh Tây Ninh.</t>
  </si>
  <si>
    <t>106,111033</t>
  </si>
  <si>
    <t>11,310108</t>
  </si>
  <si>
    <t>K00628011118D005</t>
  </si>
  <si>
    <t>TNHTNI018;TNHTNI018;TNHTNI018</t>
  </si>
  <si>
    <t>2/4/4;2/2/1;1/1/1</t>
  </si>
  <si>
    <t>35m/ 35m/ 35m;41m/ 41m/ 41m;41m/ 41m/ 41m</t>
  </si>
  <si>
    <t>Thửa đất số 118, tờ bản đồ số 55, khu phố 4, phường 3, thành phố Tây Ninh, tỉnh Tây Ninh.</t>
  </si>
  <si>
    <t>106,102114</t>
  </si>
  <si>
    <t>11,304419</t>
  </si>
  <si>
    <t>K00627011118D005</t>
  </si>
  <si>
    <t>TNHTNI033;TNHTNI033;TNHTNI033</t>
  </si>
  <si>
    <t>Số 109, hẻm 5, đường Huỳnh Tấn Phát, khu phố Hiệp Bình, phường Hiệp Ninh, thành phố Tây Ninh, tỉnh Tây Ninh.</t>
  </si>
  <si>
    <t>106,119554</t>
  </si>
  <si>
    <t>11,308972</t>
  </si>
  <si>
    <t>K00629011118D005</t>
  </si>
  <si>
    <t>TNHTNI034;TNHTNI034;TNHTNI034</t>
  </si>
  <si>
    <t>Thửa đất số 372, tờ bản đồ số 5, khu phố 2, phường 4, thành phố Tây Ninh, tỉnh Tây Ninh.</t>
  </si>
  <si>
    <t>106,123893</t>
  </si>
  <si>
    <t>11,303785</t>
  </si>
  <si>
    <t>K00630011118D005</t>
  </si>
  <si>
    <t>TNHTNI040;TNHTNI040;TNHTNI040</t>
  </si>
  <si>
    <t>38m/ 38m/ 38m;38m/ 38m/ 38m;38m/ 38m/ 38m</t>
  </si>
  <si>
    <t>Số 318, đường Nguyễn Văn Linh, phường Phước Nguyên, thành phố Bà Rịa, tỉnh Bà Rịa - Vũng Tàu.</t>
  </si>
  <si>
    <t>Bà Rịa - Vũng Tàu</t>
  </si>
  <si>
    <t>107,182717</t>
  </si>
  <si>
    <t>10,49406</t>
  </si>
  <si>
    <t>K00419221018D005</t>
  </si>
  <si>
    <t>VTUBRI034;VTUBRI034</t>
  </si>
  <si>
    <t>ERICSSON RBS 6601;NSN FLEXI MULTIRADIO 10 (FHEL)</t>
  </si>
  <si>
    <t>60W/60W/60W;120W/120W/120W</t>
  </si>
  <si>
    <t>25m/ 25m/ 25m;25m/ 25m/ 25m</t>
  </si>
  <si>
    <t>S-Wave 0809/U/U-65-17/18/18DV8;S-Wave EW/EW/EW-65-18DV2/12I-F-64K-VN</t>
  </si>
  <si>
    <t>Ấp Đông, xã Hòa Long, thành phố Bà Rịa, tỉnh Bà Rịa - Vũng Tàu.</t>
  </si>
  <si>
    <t>107,211056</t>
  </si>
  <si>
    <t>10,525072</t>
  </si>
  <si>
    <t>K00421221018D005</t>
  </si>
  <si>
    <t>VTUBRI036;VTUBRI036;VTUBRI036</t>
  </si>
  <si>
    <t>MOTOROLA HORIZON II MACRO;ERICSSON RBS 3206;NSN FLEXI MULTIRADIO 10 (FHEL)</t>
  </si>
  <si>
    <t>20W/20W/20W;40W/40W/40W;120W/120W/120W</t>
  </si>
  <si>
    <t>36m/ 36m/ 36m;38m/ 38m/ 38m;40m/ 40m/ 40m</t>
  </si>
  <si>
    <t>Khách sạn Galaxy 3, số 19, đường Bạch Đằng, phường Phước Trung, thành phố Bà Rịa, tỉnh Bà Rịa - Vũng Tàu.</t>
  </si>
  <si>
    <t>107,176645</t>
  </si>
  <si>
    <t>10,490681</t>
  </si>
  <si>
    <t>K00420221018D005</t>
  </si>
  <si>
    <t>VTUBRI037;VTUBRI037;VTUBRI037</t>
  </si>
  <si>
    <t>30m/ 30m/ 30m;32m/ 32m/ 32m;30m/ 30m/ 30m</t>
  </si>
  <si>
    <t>Khu du lịch Bến Thành, thị trấn Phước Hải, huyện Đất Đỏ, tỉnh Bà Rịa - Vũng Tàu.</t>
  </si>
  <si>
    <t>107,275199</t>
  </si>
  <si>
    <t>10,407385</t>
  </si>
  <si>
    <t>K00423221018D005</t>
  </si>
  <si>
    <t>VTUDDO018;VTUDDO018</t>
  </si>
  <si>
    <t>MOTOROLA HORIZON II MACRO;NSN FLEXI MULTIRADIO 10 (FHEL)</t>
  </si>
  <si>
    <t>4/4/4;1/1/1</t>
  </si>
  <si>
    <t>20W/20W/20W;120W/120W/120W</t>
  </si>
  <si>
    <t>G900/L1800</t>
  </si>
  <si>
    <t>37m/ 37m/ 37m;46m/ 46m/ 46m</t>
  </si>
  <si>
    <t>FX-X-CG-00T-900;S-Wave EW/EW/EW-65-18DV2/12I-F-64K-VN</t>
  </si>
  <si>
    <t>Chợ mới Phước Hải, thị trấn Phước Hải, huyện Đất Đỏ, tỉnh Bà Rịa - Vũng Tàu.</t>
  </si>
  <si>
    <t>107,287905</t>
  </si>
  <si>
    <t>10,422876</t>
  </si>
  <si>
    <t>K00422221018D005</t>
  </si>
  <si>
    <t>VTUDDO020;VTUDDO020;VTUDDO020</t>
  </si>
  <si>
    <t>MOTOROLA HORIZON II MACRO;ERICSSON RBS 6601;NSN FLEXI MULTIRADIO 10 (FHEL)</t>
  </si>
  <si>
    <t>20W/20W/20W;60W/60W/60W;120W/120W/120W</t>
  </si>
  <si>
    <t>37m/ 37m/ 37m;37m/ 37m/ 37m;40m/ 40m/ 40m</t>
  </si>
  <si>
    <t>Khu phố Long Phượng, thị trấn Long Điền, huyện Long Điền, tỉnh Bà Rịa - Vũng Tàu.</t>
  </si>
  <si>
    <t>107,224572</t>
  </si>
  <si>
    <t>10,487844</t>
  </si>
  <si>
    <t>K00424221018D005</t>
  </si>
  <si>
    <t>VTULDI016;VTULDI016;VTULDI016</t>
  </si>
  <si>
    <t>39m/ 39m/ 39m;37m/ 37m/ 37m;40m/ 40m/ 40m</t>
  </si>
  <si>
    <t>Khu phố Hải Phong, thị trấn Long Hải, huyện Long Điền, tỉnh Bà Rịa - Vũng Tàu.</t>
  </si>
  <si>
    <t>107,233366</t>
  </si>
  <si>
    <t>10,388536</t>
  </si>
  <si>
    <t>K00433231018D005</t>
  </si>
  <si>
    <t>VTULDI024;VTULDI024</t>
  </si>
  <si>
    <t>26m/ 26m/ 26m;26m/ 26m/ 26m</t>
  </si>
  <si>
    <t>Ấp Phước Thành, xã Tân Hòa, huyện Tân Thành, tỉnh Bà Rịa - Vũng Tàu.</t>
  </si>
  <si>
    <t>107,100511</t>
  </si>
  <si>
    <t>10,529527</t>
  </si>
  <si>
    <t>K00427221018D005</t>
  </si>
  <si>
    <t>VTUTTH018;VTUTTH018;VTUTTH018</t>
  </si>
  <si>
    <t>33m/ 33m/ 33m;31m/ 31m/ 31m;34m/ 34m/ 34m</t>
  </si>
  <si>
    <t>Ấp Suối Nhum, xã Hắc Dịch, huyện Tân Thành, tỉnh Bà Rịa - Vũng Tàu.</t>
  </si>
  <si>
    <t>107,093983</t>
  </si>
  <si>
    <t>10,640868</t>
  </si>
  <si>
    <t>K00432231018D005</t>
  </si>
  <si>
    <t>VTUTTH022;VTUTTH022;VTUTTH022;VTUTTH022</t>
  </si>
  <si>
    <t>MOTOROLA HORIZON II MACRO;MOTOROLA HORIZON II MACRO;ERICSSON RBS 3418;NSN FLEXI MULTIRADIO 10 (FHEL)</t>
  </si>
  <si>
    <t>20W/20W/20W;16W;60W/60W/60W;120W/120W/120W</t>
  </si>
  <si>
    <t>38m/ 38m/ 38m;38m;37m/ 37m/ 37m;31m/ 31m/ 31m</t>
  </si>
  <si>
    <t>1 card 1800 sector C</t>
  </si>
  <si>
    <t>Số 81, tổ 12, thôn Vạn Hạnh, thị trấn Phú Mỹ, huyện Tân Thành, tỉnh Bà Rịa - Vũng Tàu.</t>
  </si>
  <si>
    <t>107,061226</t>
  </si>
  <si>
    <t>10,595976</t>
  </si>
  <si>
    <t>K00429231018D005</t>
  </si>
  <si>
    <t>VTUTTH040;VTUTTH040</t>
  </si>
  <si>
    <t>ERICSSON RBS 3206;NSN FLEXI MULTIRADIO 10 (FHEL)</t>
  </si>
  <si>
    <t>40W/40W/40W;120W/120W/120W</t>
  </si>
  <si>
    <t>40m/ 40m/ 40m;40m/ 40m/ 40m</t>
  </si>
  <si>
    <t>Ấp Phước Hưng, xã Mỹ Xuân, huyện Tân Thành, tỉnh Bà Rịa - Vũng Tàu.</t>
  </si>
  <si>
    <t>107,0448</t>
  </si>
  <si>
    <t>10,6547</t>
  </si>
  <si>
    <t>K00431231018D005</t>
  </si>
  <si>
    <t>VTUTTH041;VTUTTH041</t>
  </si>
  <si>
    <t>Thôn Vạn Hạnh, thị trấn Phú Mỹ, huyện Tân Thành, tỉnh Bà Rịa - Vũng Tàu.</t>
  </si>
  <si>
    <t>107,074374</t>
  </si>
  <si>
    <t>10,5838</t>
  </si>
  <si>
    <t>K00426221018D005</t>
  </si>
  <si>
    <t>VTUTTH042;VTUTTH042;VTUTTH042</t>
  </si>
  <si>
    <t>39m/ 39m/ 39m;34m/ 34m/ 34m;34m/ 34m/ 34m</t>
  </si>
  <si>
    <t>Tổ 15, ấp Bến Đình, xã Mỹ Xuân, huyện Tân Thành, tỉnh Bà Rịa - Vũng Tàu.</t>
  </si>
  <si>
    <t>107,04631</t>
  </si>
  <si>
    <t>10,628555</t>
  </si>
  <si>
    <t>K00430231018D005</t>
  </si>
  <si>
    <t>VTUTTH053;VTUTTH053;VTUTTH053</t>
  </si>
  <si>
    <t>38m/ 38m/ 38m;38m/ 38m/ 38m;40m/ 40m/ 40m</t>
  </si>
  <si>
    <t>Số 190/7, đường Ba Cu, phường 3, thành phố Vũng Tàu, tỉnh Bà Rịa - Vũng Tàu.</t>
  </si>
  <si>
    <t>107,081827</t>
  </si>
  <si>
    <t>10,352677</t>
  </si>
  <si>
    <t>K00437241018D005</t>
  </si>
  <si>
    <t>VTUVTA001;VTUVTA001;VTUVTA001</t>
  </si>
  <si>
    <t>19m/ 19m/ 19m;20m/ 20m/ 20m;20m/ 20m/ 20m</t>
  </si>
  <si>
    <t>Số 308A, đường Bình Giã, phường Nguyễn An Ninh, thành phố Vũng Tàu, tỉnh Bà Rịa - Vũng Tàu.</t>
  </si>
  <si>
    <t>107,093412</t>
  </si>
  <si>
    <t>10,361284</t>
  </si>
  <si>
    <t>K00438241018D005</t>
  </si>
  <si>
    <t>VTUVTA008;VTUVTA008;VTUVTA008</t>
  </si>
  <si>
    <t>21m/ 21m/ 21m;19m/ 19m/ 19m;19m/ 19m/ 19m</t>
  </si>
  <si>
    <t>Số 524/6, đường 30 Tháng 4, phường Rạch Dừa, thành phố Vũng Tàu, tỉnh Bà Rịa - Vũng Tàu.</t>
  </si>
  <si>
    <t>107,115232</t>
  </si>
  <si>
    <t>10,397912</t>
  </si>
  <si>
    <t>K00452261018D005</t>
  </si>
  <si>
    <t>VTUVTA009;VTUVTA009;VTUVTA009</t>
  </si>
  <si>
    <t>20m/ 20m/ 20m;20m/ 20m/ 20m;20m/ 20m/ 20m</t>
  </si>
  <si>
    <t>Bưu điện Đông Xuyên, đường số 1, khu công nghiệp Đông Xuyên, phường Rạch Dừa, thành phố Vũng Tàu, tỉnh Bà Rịa - Vũng Tàu.</t>
  </si>
  <si>
    <t>107,115705</t>
  </si>
  <si>
    <t>10,402791</t>
  </si>
  <si>
    <t>K00439241018D005</t>
  </si>
  <si>
    <t>VTUVTA012;VTUVTA012;VTUVTA012;VTUVTA012</t>
  </si>
  <si>
    <t>4/4/4;2/2/2;2/2/2;1/1/1</t>
  </si>
  <si>
    <t>39m/ 39m/ 39m;39m/ 39m/ 39m;37m/ 37m/ 37m;37m/ 37m/ 37m</t>
  </si>
  <si>
    <t>Số 106/1D, đường Chu Mạnh Trinh, phường 8, thành phố Vũng Tàu, tỉnh Bà Rịa - Vũng Tàu.</t>
  </si>
  <si>
    <t>107,091372</t>
  </si>
  <si>
    <t>10,35693</t>
  </si>
  <si>
    <t>K00440241018D005</t>
  </si>
  <si>
    <t>VTUVTA019;VTUVTA019;VTUVTA019</t>
  </si>
  <si>
    <t>17m/ 17m/ 17m;18m/ 18m/ 18m;18m/ 18m/ 18m</t>
  </si>
  <si>
    <t>Số 3, đường Huyền Trân Công Chúa, phường 8, thành phố Vũng Tàu, tỉnh Bà Rịa - Vũng Tàu.</t>
  </si>
  <si>
    <t>107,086075</t>
  </si>
  <si>
    <t>10,354383</t>
  </si>
  <si>
    <t>K00441241018D005</t>
  </si>
  <si>
    <t>VTUVTA024;VTUVTA024;VTUVTA024</t>
  </si>
  <si>
    <t>27m/ 27m/ 27m;21m/ 21m/ 21m;21m/ 21m/ 21m</t>
  </si>
  <si>
    <t>Số 117, đường Huyền Trân Công Chúa, phường 8, thành phố Vũng Tàu, tỉnh Bà Rịa - Vũng Tàu.</t>
  </si>
  <si>
    <t>107,088989</t>
  </si>
  <si>
    <t>10,358875</t>
  </si>
  <si>
    <t>K00442241018D005</t>
  </si>
  <si>
    <t>VTUVTA025;VTUVTA025;VTUVTA025</t>
  </si>
  <si>
    <t>22m/ 22m/ 22m;19m/ 19m/ 19m;19m/ 19m/ 19m</t>
  </si>
  <si>
    <t>Số 15, đường Nguyễn Hiền, phường 1, thành phố Vũng Tàu, tỉnh Bà Rịa - Vũng Tàu.</t>
  </si>
  <si>
    <t>107,086437</t>
  </si>
  <si>
    <t>10,330959</t>
  </si>
  <si>
    <t>K00443241018D005</t>
  </si>
  <si>
    <t>VTUVTA030;VTUVTA030;VTUVTA030</t>
  </si>
  <si>
    <t>30m/ 30m/ 30m;28m/ 30m/ 30m;30m/ 30m/ 30m</t>
  </si>
  <si>
    <t>Số 115, đường Thùy Vân, phường Thắng Tam, thành phố Vũng Tàu, tỉnh Bà Rịa - Vũng Tàu.</t>
  </si>
  <si>
    <t>107,089696</t>
  </si>
  <si>
    <t>10,334181</t>
  </si>
  <si>
    <t>K00444251018D005</t>
  </si>
  <si>
    <t>VTUVTA031;VTUVTA031;VTUVTA031</t>
  </si>
  <si>
    <t>28m/ 28m/ 28m;29m/ 29m/ 29m;29m/ 29m/ 29m</t>
  </si>
  <si>
    <t>Số 15/6, đường Lạc Long Quân, phường 2, thành phố Vũng Tàu, tỉnh Bà Rịa - Vũng Tàu.</t>
  </si>
  <si>
    <t>107,084048</t>
  </si>
  <si>
    <t>10,333122</t>
  </si>
  <si>
    <t>K00445251018D005</t>
  </si>
  <si>
    <t>VTUVTA032;VTUVTA032;VTUVTA032;VTUVTA032</t>
  </si>
  <si>
    <t>4/4/4;2;2/2/2;1/1/1</t>
  </si>
  <si>
    <t>20W/20W/20W;16W;60W/60W/60W;160W/160W/160W</t>
  </si>
  <si>
    <t>23m/ 23m/ 23m;23m;21m/ 21m/ 21m;21m/ 21m/ 21m</t>
  </si>
  <si>
    <t>Số 41, đường La Văn Cầu, khu phố 1, phường Thắng Tam, thành phố Vũng Tàu, tỉnh Bà Rịa - Vũng Tàu.</t>
  </si>
  <si>
    <t>107,089304</t>
  </si>
  <si>
    <t>10,338563</t>
  </si>
  <si>
    <t>K00446251018D005</t>
  </si>
  <si>
    <t>VTUVTA034;VTUVTA034;VTUVTA034</t>
  </si>
  <si>
    <t>Số 50, đường Lê Hồng Phong, phường 4, thành phố Vũng Tàu, tỉnh Bà Rịa - Vũng Tàu.</t>
  </si>
  <si>
    <t>107,076915</t>
  </si>
  <si>
    <t>10,360452</t>
  </si>
  <si>
    <t>K00447251018D005</t>
  </si>
  <si>
    <t>VTUVTA036;VTUVTA036;VTUVTA036</t>
  </si>
  <si>
    <t>23m/ 23m/ 23m;21m/ 21m/ 21m;21m/ 21m/ 21m</t>
  </si>
  <si>
    <t>Số 2/2, đường Lương Văn Can, phường 2, thành phố Vũng Tàu, tỉnh Bà Rịa - Vũng Tàu.</t>
  </si>
  <si>
    <t>107,080939</t>
  </si>
  <si>
    <t>10,33726</t>
  </si>
  <si>
    <t>K00448251018D005</t>
  </si>
  <si>
    <t>VTUVTA040;VTUVTA040;VTUVTA040</t>
  </si>
  <si>
    <t>Số 3, đường Lê Lai, phường 3, thành phố Vũng Tàu, tỉnh Bà Rịa - Vũng Tàu.</t>
  </si>
  <si>
    <t>107,07979</t>
  </si>
  <si>
    <t>10,345354</t>
  </si>
  <si>
    <t>K00449251018D005</t>
  </si>
  <si>
    <t>VTUVTA041;VTUVTA041;VTUVTA041</t>
  </si>
  <si>
    <t>27m/ 27m/ 27m;20m/ 20m/ 20m;20m/ 20m/ 20m</t>
  </si>
  <si>
    <t>Số 711, đường Trương Công Định, phường 9, thành phố Vũng Tàu, tỉnh Bà Rịa - Vũng Tàu.</t>
  </si>
  <si>
    <t>107,090079</t>
  </si>
  <si>
    <t>10,365772</t>
  </si>
  <si>
    <t>K00450251018D005</t>
  </si>
  <si>
    <t>VTUVTA046;VTUVTA046;VTUVTA046;VTUVTA046</t>
  </si>
  <si>
    <t>Số 120, đường Nguyễn Văn Trỗi, phường 4, thành phố Vũng Tàu, tỉnh Bà Rịa - Vũng Tàu.</t>
  </si>
  <si>
    <t>107,078</t>
  </si>
  <si>
    <t>10,356285</t>
  </si>
  <si>
    <t>K00451251018D005</t>
  </si>
  <si>
    <t>VTUVTA050;VTUVTA050;VTUVTA050</t>
  </si>
  <si>
    <t>16m/ 16m/ 16m;18m/ 18m/ 18m;18m/ 18m/ 18m</t>
  </si>
  <si>
    <t>Số 11, đường Hải Đăng, phường 2, thành phố Vũng Tàu, tỉnh Bà Rịa - Vũng Tàu.</t>
  </si>
  <si>
    <t>107,077031</t>
  </si>
  <si>
    <t>10,336105</t>
  </si>
  <si>
    <t>K00435231018D005</t>
  </si>
  <si>
    <t>VTUVTA051;VTUVTA051;VTUVTA051</t>
  </si>
  <si>
    <t>62m/ 62m/ 62m;50m/ 50m/ 50m;51m/ 51m/ 51m</t>
  </si>
  <si>
    <t>Số 46, đường Lý Thường Kiệt, phường 1, thành phố Vũng Tàu, tỉnh Bà Rịa - Vũng Tàu.</t>
  </si>
  <si>
    <t>107,077296</t>
  </si>
  <si>
    <t>10,348603</t>
  </si>
  <si>
    <t>K00434231018D005</t>
  </si>
  <si>
    <t>VTUVTA058;VTUVTA058;VTUVTA058</t>
  </si>
  <si>
    <t>MOTOROLA HORIZON II MACRO;ERICSSON RBS 3418;NSN FLEXI MULTIRADIO 10 (FHEL)</t>
  </si>
  <si>
    <t>16W/16W/16W;60W/60W/60W;120W/120W/120W</t>
  </si>
  <si>
    <t>Số 82, đường Nam Kỳ Khởi Nghĩa, phường Thắng Tam, thành phố Vũng Tàu, tỉnh Bà Rịa - Vũng Tàu.</t>
  </si>
  <si>
    <t>107,084393</t>
  </si>
  <si>
    <t>10,345826</t>
  </si>
  <si>
    <t>K00453261018D005</t>
  </si>
  <si>
    <t>VTUVTA062;VTUVTA062;VTUVTA062</t>
  </si>
  <si>
    <t>29m/ 29m/ 29m;27m/ 27m/ 27m;27m/ 27m/ 27m</t>
  </si>
  <si>
    <t>Lô 7D, đường Tôn Thất Tùng, khu phố 4, phường 7, thành phố Vũng Tàu, tỉnh Bà Rịa - Vũng Tàu.</t>
  </si>
  <si>
    <t>107,080679</t>
  </si>
  <si>
    <t>10,362865</t>
  </si>
  <si>
    <t>K00454261018D005</t>
  </si>
  <si>
    <t>VTUVTA063;VTUVTA063;VTUVTA063</t>
  </si>
  <si>
    <t>26m/ 26m/ 26m;24m/ 24m/ 24m;24m/ 24m/ 24m</t>
  </si>
  <si>
    <t>Số 198, đường Xô Viết Nghệ Tĩnh, phường Thắng Tam, thành phố Vũng Tàu, tỉnh Bà Rịa - Vũng Tàu.</t>
  </si>
  <si>
    <t>107,088871</t>
  </si>
  <si>
    <t>10,350678</t>
  </si>
  <si>
    <t>K00455261018D005</t>
  </si>
  <si>
    <t>VTUVTA078;VTUVTA078;VTUVTA078;VTUVTA078</t>
  </si>
  <si>
    <t>33m/ 33m/ 33m;33m/ 33m/ 33m;34m/ 34m/ 34m;34m/ 34m/ 34m</t>
  </si>
  <si>
    <t>Số 8A, đường Xô Viết Nghệ Tĩnh, phường Thắng Tam, thành phố Vũng Tàu, tỉnh Bà Rịa - Vũng Tàu.</t>
  </si>
  <si>
    <t>107,083797</t>
  </si>
  <si>
    <t>10,340654</t>
  </si>
  <si>
    <t>K00456261018D005</t>
  </si>
  <si>
    <t>VTUVTA079;VTUVTA079;VTUVTA079</t>
  </si>
  <si>
    <t>19m/ 19m/ 19m;17m/ 17m/ 17m;17m/ 17m/ 17m</t>
  </si>
  <si>
    <t>Số 13, đường Ven Biển, phường 12, thành phố Vũng Tàu, tỉnh Bà Rịa - Vũng Tàu.</t>
  </si>
  <si>
    <t>107,162195</t>
  </si>
  <si>
    <t>10,412563</t>
  </si>
  <si>
    <t>K00436241018D005</t>
  </si>
  <si>
    <t>VTUVTA100;VTUVTA100;VTUVTA100</t>
  </si>
  <si>
    <t>27m/ 27m/ 27m;28m/ 28m/ 28m;27m/ 27m/ 27m</t>
  </si>
  <si>
    <t>Tọa độ VNP cung cấp sai lệch</t>
  </si>
  <si>
    <t>Số 360/46, đường Bình Giã, phường Nguyễn An Ninh, thành phố Vũng Tàu, tỉnh Bà Rịa - Vũng Tàu.</t>
  </si>
  <si>
    <t>107,096488</t>
  </si>
  <si>
    <t>10,36357</t>
  </si>
  <si>
    <t>K00428231018D005</t>
  </si>
  <si>
    <t>VTUVTA103;VTUVTA103;VTUVTA103</t>
  </si>
  <si>
    <t>20m/ 20m/ 20m;26m/ 26m/ 26m;26m/ 26m/ 26m</t>
  </si>
  <si>
    <t>Số B17-18, khu biệt thự Ngọc Tước Phương Nam, phường 8, thành phố Vũng Tàu, tỉnh Bà Rịa - Vũng Tàu.</t>
  </si>
  <si>
    <t>107,099811</t>
  </si>
  <si>
    <t>10,355754</t>
  </si>
  <si>
    <t>K00425221018D005</t>
  </si>
  <si>
    <t>VTUVTA119;VTUVTA119</t>
  </si>
  <si>
    <t>22,5m/ 22,5m/ 22,5m;22m/ 22m/ 22m</t>
  </si>
  <si>
    <t>OperatorName</t>
  </si>
  <si>
    <t>Address</t>
  </si>
  <si>
    <t>ApplicantName</t>
  </si>
  <si>
    <t>CityName</t>
  </si>
  <si>
    <t>Longtitude</t>
  </si>
  <si>
    <t>Latitude</t>
  </si>
  <si>
    <t>SubBTSQuantity</t>
  </si>
  <si>
    <t>TestReportNo</t>
  </si>
  <si>
    <t>TestReportDate</t>
  </si>
  <si>
    <t>BtsCode</t>
  </si>
  <si>
    <t>CityID</t>
  </si>
  <si>
    <t>InCaseOfID</t>
  </si>
  <si>
    <t>Số 399, đường Hoàng Diệu, quận 4, thành phố Hồ Chí Minh.</t>
  </si>
  <si>
    <t>HCM</t>
  </si>
  <si>
    <t>Số 6/7, đường Cách Mạng Tháng Tám, phường Bến Thành, quận 1, thành phố Hồ Chí Minh.</t>
  </si>
  <si>
    <t>Số B48, đường Nguyễn Trãi, phường Nguyễn Cư Trinh, quận 1, thành phố Hồ Chí Minh.</t>
  </si>
  <si>
    <t>Số 146, đường Đồng Khởi, quận 1, thành phố Hồ Chí Minh.</t>
  </si>
  <si>
    <t>LabID</t>
  </si>
  <si>
    <t>SubBtsOperatorNames</t>
  </si>
  <si>
    <t>SubBtsCodes</t>
  </si>
  <si>
    <t>SubBtsEquipments</t>
  </si>
  <si>
    <t>SubBtsAntenNums</t>
  </si>
  <si>
    <t>SubBtsConfigurations</t>
  </si>
  <si>
    <t>SubBtsPowerSums</t>
  </si>
  <si>
    <t>SubBtsBands</t>
  </si>
  <si>
    <t>SubBtsAntenHeights</t>
  </si>
  <si>
    <t>SubAntenTypes</t>
  </si>
  <si>
    <t>MinAntenHeight</t>
  </si>
  <si>
    <t>MaxHeightIn100m</t>
  </si>
  <si>
    <t>MeasuringExposure</t>
  </si>
  <si>
    <t>SafeLimit</t>
  </si>
  <si>
    <t>Note</t>
  </si>
  <si>
    <t>VerifyDate</t>
  </si>
  <si>
    <t>IssueCertificate</t>
  </si>
  <si>
    <t>IsSafeLimit</t>
  </si>
  <si>
    <t>IsHouseIn100m</t>
  </si>
  <si>
    <t>OffsetHeight</t>
  </si>
  <si>
    <t>PoleOnGround</t>
  </si>
  <si>
    <t>LabName</t>
  </si>
  <si>
    <t>ReasonNoCertificate</t>
  </si>
  <si>
    <t>ID</t>
  </si>
  <si>
    <t>Name</t>
  </si>
  <si>
    <t>Kiểm định lần đầu</t>
  </si>
  <si>
    <t>Kiểm định định kỳ</t>
  </si>
  <si>
    <t>Kiểm định bất thường</t>
  </si>
  <si>
    <t>Kiểm định trạm đã công bố</t>
  </si>
  <si>
    <t>Phone</t>
  </si>
  <si>
    <t>Fax</t>
  </si>
  <si>
    <t>VCC2</t>
  </si>
  <si>
    <t>60 Tân Canh, Phường 1, Quận Tân Bình, TP. HCM</t>
  </si>
  <si>
    <t>(+84)28.3991.9066</t>
  </si>
  <si>
    <t>(+84)28.3991.9065</t>
  </si>
  <si>
    <t>AGG</t>
  </si>
  <si>
    <t>An Giang</t>
  </si>
  <si>
    <t>BDG</t>
  </si>
  <si>
    <t>BLU</t>
  </si>
  <si>
    <t>BPC</t>
  </si>
  <si>
    <t>VTU</t>
  </si>
  <si>
    <t>BTN</t>
  </si>
  <si>
    <t>Bình Thuận</t>
  </si>
  <si>
    <t>BTE</t>
  </si>
  <si>
    <t>Bến Tre</t>
  </si>
  <si>
    <t>CMU</t>
  </si>
  <si>
    <t>CTO</t>
  </si>
  <si>
    <t>Cần Thơ</t>
  </si>
  <si>
    <t>DNI</t>
  </si>
  <si>
    <t>DTP</t>
  </si>
  <si>
    <t>Đồng Tháp</t>
  </si>
  <si>
    <t>HGG</t>
  </si>
  <si>
    <t>Hậu Giang</t>
  </si>
  <si>
    <t>KGG</t>
  </si>
  <si>
    <t>LAN</t>
  </si>
  <si>
    <t>Long An</t>
  </si>
  <si>
    <t>LDG</t>
  </si>
  <si>
    <t>NTN</t>
  </si>
  <si>
    <t>Ninh Thuận</t>
  </si>
  <si>
    <t>STG</t>
  </si>
  <si>
    <t>TGG</t>
  </si>
  <si>
    <t>Tiền Giang</t>
  </si>
  <si>
    <t>TNH</t>
  </si>
  <si>
    <t>TVH</t>
  </si>
  <si>
    <t>Trà Vinh</t>
  </si>
  <si>
    <t>VLG</t>
  </si>
  <si>
    <t>Vĩnh Long</t>
  </si>
  <si>
    <t>GTEL</t>
  </si>
  <si>
    <t>MOBIFONE</t>
  </si>
  <si>
    <t>VIETTEL</t>
  </si>
  <si>
    <t>VINAPHONE</t>
  </si>
  <si>
    <t>VNMOBILE</t>
  </si>
  <si>
    <t>ContactName</t>
  </si>
  <si>
    <t>OperatorID</t>
  </si>
  <si>
    <t>VNMOBILE-HCM</t>
  </si>
  <si>
    <t>VNMOBILE Tp. Hồ Chí Minh</t>
  </si>
  <si>
    <t xml:space="preserve">024 32123440 </t>
  </si>
  <si>
    <t>024 32123441</t>
  </si>
  <si>
    <t>Ông A</t>
  </si>
  <si>
    <t>ApplicantID</t>
  </si>
  <si>
    <t>ProfileNum</t>
  </si>
  <si>
    <t>ProfileDate</t>
  </si>
  <si>
    <t>BtsQuantity</t>
  </si>
  <si>
    <t>AcceptedBtsQuantity</t>
  </si>
  <si>
    <t>ApplyDate</t>
  </si>
  <si>
    <t>Fee</t>
  </si>
  <si>
    <t>FeeAnnounceNum</t>
  </si>
  <si>
    <t>FeeAnnounceDate</t>
  </si>
  <si>
    <t>FeeReceiptDate</t>
  </si>
  <si>
    <t>798/VNM</t>
  </si>
  <si>
    <t>3/PKĐ-TT2</t>
  </si>
  <si>
    <t>CHI NHÁNH VNMOBILE TẠI TPHCM</t>
  </si>
  <si>
    <t>TotalBtsNum</t>
  </si>
  <si>
    <t>CerBtsNum</t>
  </si>
  <si>
    <t>SubOperatorName_1</t>
  </si>
  <si>
    <t>SubBtscode_1</t>
  </si>
  <si>
    <t>SubEquipment_1</t>
  </si>
  <si>
    <t>SubBtsAntenNum_1</t>
  </si>
  <si>
    <t>SubAntenHeight1_1</t>
  </si>
  <si>
    <t>SubAntenHeight2_1</t>
  </si>
  <si>
    <t>SubAntenHeight3_1</t>
  </si>
  <si>
    <t>SubBtsConfiguration_1</t>
  </si>
  <si>
    <t>SubBtsPowerSum1_1</t>
  </si>
  <si>
    <t>SubBtsPowerSum2_1</t>
  </si>
  <si>
    <t>SubBtsPowerSum3_1</t>
  </si>
  <si>
    <t>SubBtsPowerSum_1</t>
  </si>
  <si>
    <t>SubBtsBand_1</t>
  </si>
  <si>
    <t>SubAntenHeight_1</t>
  </si>
  <si>
    <t>SubOperatorName_2</t>
  </si>
  <si>
    <t>SubBtscode_2</t>
  </si>
  <si>
    <t>SubEquipment_2</t>
  </si>
  <si>
    <t>SubBtsAntenNum_2</t>
  </si>
  <si>
    <t>SubAntenHeight1_2</t>
  </si>
  <si>
    <t>SubAntenHeight2_2</t>
  </si>
  <si>
    <t>SubAntenHeight3_2</t>
  </si>
  <si>
    <t>SubBtsConfiguration_2</t>
  </si>
  <si>
    <t>SubBtsPowerSum1_2</t>
  </si>
  <si>
    <t>SubBtsPowerSum2_2</t>
  </si>
  <si>
    <t>SubBtsPowerSum3_2</t>
  </si>
  <si>
    <t>SubBtsPowerSum_2</t>
  </si>
  <si>
    <t>SubBtsBand_2</t>
  </si>
  <si>
    <t>SubAntenHeight_2</t>
  </si>
  <si>
    <t>SubOperatorName_3</t>
  </si>
  <si>
    <t>SubBtscode_3</t>
  </si>
  <si>
    <t>SubEquipment_3</t>
  </si>
  <si>
    <t>SubBtsAntenNum_3</t>
  </si>
  <si>
    <t>SubAntenHeight1_3</t>
  </si>
  <si>
    <t>SubAntenHeight2_3</t>
  </si>
  <si>
    <t>SubAntenHeight3_3</t>
  </si>
  <si>
    <t>SubBtsConfiguration_3</t>
  </si>
  <si>
    <t>SubBtsPowerSum1_3</t>
  </si>
  <si>
    <t>SubBtsPowerSum2_3</t>
  </si>
  <si>
    <t>SubBtsPowerSum3_3</t>
  </si>
  <si>
    <t>SubBtsPowerSum_3</t>
  </si>
  <si>
    <t>SubBtsBand_3</t>
  </si>
  <si>
    <t>SubAntenHeight_3</t>
  </si>
  <si>
    <t>SubOperatorName_4</t>
  </si>
  <si>
    <t>SubBtscode_4</t>
  </si>
  <si>
    <t>SubEquipment_4</t>
  </si>
  <si>
    <t>SubBtsAntenNum_4</t>
  </si>
  <si>
    <t>SubAntenHeight1_4</t>
  </si>
  <si>
    <t>SubAntenHeight2_4</t>
  </si>
  <si>
    <t>SubAntenHeight3_4</t>
  </si>
  <si>
    <t>SubBtsConfiguration_4</t>
  </si>
  <si>
    <t>SubBtsPowerSum1_4</t>
  </si>
  <si>
    <t>SubBtsPowerSum2_4</t>
  </si>
  <si>
    <t>SubBtsPowerSum3_4</t>
  </si>
  <si>
    <t>SubBtsPowerSum_4</t>
  </si>
  <si>
    <t>SubBtsBand_4</t>
  </si>
  <si>
    <t>SubAntenHeight_4</t>
  </si>
  <si>
    <t>SubOperatorName_5</t>
  </si>
  <si>
    <t>SubBtscode_5</t>
  </si>
  <si>
    <t>SubEquipment_5</t>
  </si>
  <si>
    <t>SubBtsAntenNum_5</t>
  </si>
  <si>
    <t>SubAntenHeight1_5</t>
  </si>
  <si>
    <t>SubAntenHeight2_5</t>
  </si>
  <si>
    <t>SubAntenHeight3_5</t>
  </si>
  <si>
    <t>SubBtsConfiguration_5</t>
  </si>
  <si>
    <t>SubBtsPowerSum1_5</t>
  </si>
  <si>
    <t>SubBtsPowerSum2_5</t>
  </si>
  <si>
    <t>SubBtsPowerSum3_5</t>
  </si>
  <si>
    <t>SubBtsPowerSum_5</t>
  </si>
  <si>
    <t>SubBtsBand_5</t>
  </si>
  <si>
    <t>SubAntenHeight_5</t>
  </si>
  <si>
    <t>SubOperatorName_6</t>
  </si>
  <si>
    <t>SubBtscode_6</t>
  </si>
  <si>
    <t>SubEquipment_6</t>
  </si>
  <si>
    <t>SubBtsAntenNum_6</t>
  </si>
  <si>
    <t>SubAntenHeight1_6</t>
  </si>
  <si>
    <t>SubAntenHeight2_6</t>
  </si>
  <si>
    <t>SubAntenHeight3_6</t>
  </si>
  <si>
    <t>SubBtsConfiguration_6</t>
  </si>
  <si>
    <t>SubBtsPowerSum1_6</t>
  </si>
  <si>
    <t>SubBtsPowerSum2_6</t>
  </si>
  <si>
    <t>SubBtsPowerSum3_6</t>
  </si>
  <si>
    <t>SubBtsPowerSum_6</t>
  </si>
  <si>
    <t>SubBtsBand_6</t>
  </si>
  <si>
    <t>SubAntenHeight_6</t>
  </si>
  <si>
    <t>BTSCode</t>
  </si>
  <si>
    <t>CertificateNum</t>
  </si>
  <si>
    <t>IssuedDate</t>
  </si>
  <si>
    <t>ExpiredDate</t>
  </si>
  <si>
    <t>SubBtsOperatorIDs</t>
  </si>
  <si>
    <t>SharedAntens</t>
  </si>
  <si>
    <t>Số 399, đường Hoàng Diệu, phường 6, quận 4, thành phố Hồ Chí Minh.</t>
  </si>
  <si>
    <t>106,69889</t>
  </si>
  <si>
    <t>10,75944</t>
  </si>
  <si>
    <t>00001/2017/PTN-KĐ</t>
  </si>
  <si>
    <t>B00002300817TG05</t>
  </si>
  <si>
    <t>359018;359018</t>
  </si>
  <si>
    <t>VNMOBILE;VNMOBILE</t>
  </si>
  <si>
    <t>ERICSSON RBS 2216;ZTE ZXSDR BS8700</t>
  </si>
  <si>
    <t>3;3</t>
  </si>
  <si>
    <t>4/3/3;2/2/2</t>
  </si>
  <si>
    <t>80/76/76;80/80/80</t>
  </si>
  <si>
    <t>G900;U2100</t>
  </si>
  <si>
    <t>29/ 29/ 29;27/ 27/ 27</t>
  </si>
  <si>
    <t>10,77212</t>
  </si>
  <si>
    <t>00002/2017/PTN-KĐ</t>
  </si>
  <si>
    <t>B00003300817TG05</t>
  </si>
  <si>
    <t>359184;359184</t>
  </si>
  <si>
    <t>2/4/2;2/2/2</t>
  </si>
  <si>
    <t>40/80/40;80/80/80</t>
  </si>
  <si>
    <t>20/ 20/ 20;30/ 30/ 30</t>
  </si>
  <si>
    <t>106,68681</t>
  </si>
  <si>
    <t>10,76398</t>
  </si>
  <si>
    <t>00003/2017/PTN-KĐ</t>
  </si>
  <si>
    <t>B00004300817TG05</t>
  </si>
  <si>
    <t>359356;359356</t>
  </si>
  <si>
    <t>4/4/4;2/2/2</t>
  </si>
  <si>
    <t>80/80/80;80/80/80</t>
  </si>
  <si>
    <t>20/ 20/ 20;27/ 27/ 27</t>
  </si>
  <si>
    <t>SubBtsOperatorName_1</t>
  </si>
  <si>
    <t>SubBtsOperatorName_2</t>
  </si>
  <si>
    <t>SubBtsOperatorName_3</t>
  </si>
  <si>
    <t>SubBtsOperatorName_4</t>
  </si>
  <si>
    <t>SubBtsOperatorName_5</t>
  </si>
  <si>
    <t>SubBtsOperatorID_1</t>
  </si>
  <si>
    <t>SubBtsOperatorID_2</t>
  </si>
  <si>
    <t>SubBtsOperatorID_3</t>
  </si>
  <si>
    <t>SubBtsOperatorID_4</t>
  </si>
  <si>
    <t>SubBtsOperatorID_5</t>
  </si>
  <si>
    <t>SubBtsOperatorName_6</t>
  </si>
  <si>
    <t>SubBtsOperatorID_6</t>
  </si>
  <si>
    <t>SubBtsCode_1</t>
  </si>
  <si>
    <t>SubBtsCode_2</t>
  </si>
  <si>
    <t>SubBtsCode_3</t>
  </si>
  <si>
    <t>SubBtsCode_4</t>
  </si>
  <si>
    <t>SubBtsCode_5</t>
  </si>
  <si>
    <t>SubBtsCode_6</t>
  </si>
  <si>
    <t>SubBtsEquipment_1</t>
  </si>
  <si>
    <t>SubBtsEquipment_2</t>
  </si>
  <si>
    <t>SubBtsEquipment_3</t>
  </si>
  <si>
    <t>SubBtsEquipment_4</t>
  </si>
  <si>
    <t>SubBtsEquipment_5</t>
  </si>
  <si>
    <t>SubBtsEquipment_6</t>
  </si>
  <si>
    <t>SubBtsConfiguration_1.1</t>
  </si>
  <si>
    <t>SubBtsConfiguration_1.2</t>
  </si>
  <si>
    <t>SubBtsConfiguration_1.3</t>
  </si>
  <si>
    <t>SubBtsConfiguration_1.4</t>
  </si>
  <si>
    <t>SubBtsConfiguration_2.1</t>
  </si>
  <si>
    <t>SubBtsConfiguration_2.2</t>
  </si>
  <si>
    <t>SubBtsConfiguration_2.3</t>
  </si>
  <si>
    <t>SubBtsConfiguration_2.4</t>
  </si>
  <si>
    <t>SubBtsConfiguration_3.1</t>
  </si>
  <si>
    <t>SubBtsConfiguration_3.2</t>
  </si>
  <si>
    <t>SubBtsConfiguration_3.3</t>
  </si>
  <si>
    <t>SubBtsConfiguration_3.4</t>
  </si>
  <si>
    <t>SubBtsConfiguration_4.1</t>
  </si>
  <si>
    <t>SubBtsConfiguration_4.2</t>
  </si>
  <si>
    <t>SubBtsConfiguration_4.3</t>
  </si>
  <si>
    <t>SubBtsConfiguration_4.4</t>
  </si>
  <si>
    <t>SubBtsConfiguration_5.1</t>
  </si>
  <si>
    <t>SubBtsConfiguration_5.2</t>
  </si>
  <si>
    <t>SubBtsConfiguration_5.3</t>
  </si>
  <si>
    <t>SubBtsConfiguration_5.4</t>
  </si>
  <si>
    <t>SubBtsConfiguration_6.1</t>
  </si>
  <si>
    <t>SubBtsConfiguration_6.2</t>
  </si>
  <si>
    <t>SubBtsConfiguration_6.3</t>
  </si>
  <si>
    <t>SubBtsConfiguration_6.4</t>
  </si>
  <si>
    <t>SubBtsPowerSum_1.1</t>
  </si>
  <si>
    <t>SubBtsPowerSum_1.2</t>
  </si>
  <si>
    <t>SubBtsPowerSum_1.3</t>
  </si>
  <si>
    <t>SubBtsPowerSum_1.4</t>
  </si>
  <si>
    <t>SubBtsPowerSum_2.1</t>
  </si>
  <si>
    <t>SubBtsPowerSum_2.2</t>
  </si>
  <si>
    <t>SubBtsPowerSum_2.3</t>
  </si>
  <si>
    <t>SubBtsPowerSum_2.4</t>
  </si>
  <si>
    <t>SubBtsPowerSum_3.1</t>
  </si>
  <si>
    <t>SubBtsPowerSum_3.2</t>
  </si>
  <si>
    <t>SubBtsPowerSum_3.3</t>
  </si>
  <si>
    <t>SubBtsPowerSum_3.4</t>
  </si>
  <si>
    <t>SubBtsPowerSum_4.1</t>
  </si>
  <si>
    <t>SubBtsPowerSum_4.2</t>
  </si>
  <si>
    <t>SubBtsPowerSum_4.3</t>
  </si>
  <si>
    <t>SubBtsPowerSum_4.4</t>
  </si>
  <si>
    <t>SubBtsPowerSum_5.1</t>
  </si>
  <si>
    <t>SubBtsPowerSum_5.2</t>
  </si>
  <si>
    <t>SubBtsPowerSum_5.3</t>
  </si>
  <si>
    <t>SubBtsPowerSum_5.4</t>
  </si>
  <si>
    <t>SubBtsPowerSum_6.1</t>
  </si>
  <si>
    <t>SubBtsPowerSum_6.2</t>
  </si>
  <si>
    <t>SubBtsPowerSum_6.3</t>
  </si>
  <si>
    <t>SubBtsPowerSum_6.4</t>
  </si>
  <si>
    <t>SubBtsAntenHeight_1</t>
  </si>
  <si>
    <t>SubBtsAntenHeight_1.1</t>
  </si>
  <si>
    <t>SubBtsAntenHeight_1.2</t>
  </si>
  <si>
    <t>SubBtsAntenHeight_1.3</t>
  </si>
  <si>
    <t>SubBtsAntenHeight_1.4</t>
  </si>
  <si>
    <t>SubBtsAntenHeight_2</t>
  </si>
  <si>
    <t>SubBtsAntenHeight_2.1</t>
  </si>
  <si>
    <t>SubBtsAntenHeight_2.2</t>
  </si>
  <si>
    <t>SubBtsAntenHeight_2.3</t>
  </si>
  <si>
    <t>SubBtsAntenHeight_2.4</t>
  </si>
  <si>
    <t>SubBtsAntenHeight_3</t>
  </si>
  <si>
    <t>SubBtsAntenHeight_3.1</t>
  </si>
  <si>
    <t>SubBtsAntenHeight_3.2</t>
  </si>
  <si>
    <t>SubBtsAntenHeight_3.3</t>
  </si>
  <si>
    <t>SubBtsAntenHeight_3.4</t>
  </si>
  <si>
    <t>SubBtsAntenHeight_4</t>
  </si>
  <si>
    <t>SubBtsAntenHeight_4.1</t>
  </si>
  <si>
    <t>SubBtsAntenHeight_4.2</t>
  </si>
  <si>
    <t>SubBtsAntenHeight_4.3</t>
  </si>
  <si>
    <t>SubBtsAntenHeight_4.4</t>
  </si>
  <si>
    <t>SubBtsAntenHeight_5</t>
  </si>
  <si>
    <t>SubBtsAntenHeight_5.1</t>
  </si>
  <si>
    <t>SubBtsAntenHeight_5.2</t>
  </si>
  <si>
    <t>SubBtsAntenHeight_5.3</t>
  </si>
  <si>
    <t>SubBtsAntenHeight_5.4</t>
  </si>
  <si>
    <t>SubBtsAntenHeight_6</t>
  </si>
  <si>
    <t>SubBtsAntenHeight_6.1</t>
  </si>
  <si>
    <t>SubBtsAntenHeight_6.2</t>
  </si>
  <si>
    <t>SubBtsAntenHeight_6.3</t>
  </si>
  <si>
    <t>SubBtsAntenHeight_6.4</t>
  </si>
  <si>
    <t>TỔNG CÔNG TY MẠNG LƯỚI VIETTEL</t>
  </si>
  <si>
    <t>CÔNG TY CỔ PHẦN VIỄN THÔNG HÀ NỘI</t>
  </si>
  <si>
    <t>SafeLimitHeight</t>
  </si>
  <si>
    <t>SubBtsMinAntenHeight_1</t>
  </si>
  <si>
    <t>SubBtsMinAntenHeight_2</t>
  </si>
  <si>
    <t>SubBtsMinAntenHeight_3</t>
  </si>
  <si>
    <t>SubBtsMinAntenHeight_4</t>
  </si>
  <si>
    <t>SubBtsMinAntenHeight_5</t>
  </si>
  <si>
    <t>SubBtsMinAntenHeight_6</t>
  </si>
  <si>
    <t>TỔNG CÔNG TY HẠ TẦNG MẠNG;TỔNG CÔNG TY HẠ TẦNG MẠNG;TỔNG CÔNG TY HẠ TẦNG MẠNG</t>
  </si>
  <si>
    <t>TỔNG CÔNG TY HẠ TẦNG MẠNG;TỔNG CÔNG TY HẠ TẦNG MẠNG;TỔNG CÔNG TY HẠ TẦNG MẠNG;TỔNG CÔNG TY HẠ TẦNG MẠNG</t>
  </si>
  <si>
    <t>3;3;3</t>
  </si>
  <si>
    <t>3;3;3;3</t>
  </si>
  <si>
    <t>G900;U2100;L1800</t>
  </si>
  <si>
    <t>G900;G1800;U2100;L1800</t>
  </si>
  <si>
    <t>G1800;U2100;L1800</t>
  </si>
  <si>
    <t>SubBtsPowerSum_1_</t>
  </si>
  <si>
    <t>SubBtsPowerSum_2_</t>
  </si>
  <si>
    <t>SubBtsPowerSum_3_</t>
  </si>
  <si>
    <t>SubBtsPowerSum_4_</t>
  </si>
  <si>
    <t>SubBtsPowerSum_5_</t>
  </si>
  <si>
    <t>SubBtsPowerSum_6_</t>
  </si>
  <si>
    <t>SubBtsAntenHeight_1_</t>
  </si>
  <si>
    <t>SubBtsAntenHeight_2_</t>
  </si>
  <si>
    <t>SubBtsAntenHeight_3_</t>
  </si>
  <si>
    <t>SubBtsAntenHeight_4_</t>
  </si>
  <si>
    <t>SubBtsAntenHeight_5_</t>
  </si>
  <si>
    <t>SubBtsAntenHeight_6_</t>
  </si>
  <si>
    <t>Issued</t>
  </si>
  <si>
    <t>Expired</t>
  </si>
  <si>
    <t>SerialCert</t>
  </si>
  <si>
    <t>NoBtsPage1</t>
  </si>
  <si>
    <t>NoBtsPage2</t>
  </si>
  <si>
    <t>Stt</t>
  </si>
  <si>
    <t>FileName</t>
  </si>
  <si>
    <t>Comment</t>
  </si>
  <si>
    <t>GCN_1BTS</t>
  </si>
  <si>
    <t>GCN_2BTS</t>
  </si>
  <si>
    <t>GCN_3BTS</t>
  </si>
  <si>
    <t>BTSNo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</si>
</sst>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5">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quot;$&quot;* #,##0.00_-;\-&quot;$&quot;* #,##0.00_-;_-&quot;$&quot;* &quot;-&quot;??_-;_-@_-"/>
    <numFmt numFmtId="166" formatCode="_(&quot;£&quot;* #,##0_);_(&quot;£&quot;* \(#,##0\);_(&quot;£&quot;* &quot;-&quot;_);_(@_)"/>
    <numFmt numFmtId="167" formatCode="_(&quot;£&quot;* #,##0.00_);_(&quot;£&quot;* \(#,##0.00\);_(&quot;£&quot;* &quot;-&quot;??_);_(@_)"/>
    <numFmt numFmtId="168" formatCode="_-* #,##0\ _₫_-;\-* #,##0\ _₫_-;_-* &quot;-&quot;??\ _₫_-;_-@_-"/>
    <numFmt numFmtId="169" formatCode="&quot;?&quot;#,##0;&quot;?&quot;\-#,##0"/>
    <numFmt numFmtId="170" formatCode="_ &quot;\&quot;* #,##0_ ;_ &quot;\&quot;* \-#,##0_ ;_ &quot;\&quot;* &quot;-&quot;_ ;_ @_ "/>
    <numFmt numFmtId="171" formatCode="&quot;ß&quot;\t#,##0_);\(&quot;ß&quot;\t#,##0\)"/>
    <numFmt numFmtId="172" formatCode="_ &quot;\&quot;* #,##0.00_ ;_ &quot;\&quot;* \-#,##0.00_ ;_ &quot;\&quot;* &quot;-&quot;??_ ;_ @_ "/>
    <numFmt numFmtId="173" formatCode="_(\ß* \t#,##0_);_(\ß* \(\t#,##0\);_(\ß* &quot;-&quot;_);_(@_)"/>
    <numFmt numFmtId="174" formatCode="_ * #,##0_ ;_ * \-#,##0_ ;_ * &quot;-&quot;_ ;_ @_ "/>
    <numFmt numFmtId="175" formatCode="&quot;ß&quot;\t#,##0_);[Red]\(&quot;ß&quot;\t#,##0\)"/>
    <numFmt numFmtId="176" formatCode="_ * #,##0.00_ ;_ * \-#,##0.00_ ;_ * &quot;-&quot;??_ ;_ @_ "/>
    <numFmt numFmtId="177" formatCode="_(* #,##0.000_);_(* \(#,##0.000\);_(* &quot;-&quot;??_);_(@_)"/>
    <numFmt numFmtId="178" formatCode=";;"/>
    <numFmt numFmtId="179" formatCode="#,##0.0_);\(#,##0.0\)"/>
    <numFmt numFmtId="180" formatCode="_(* #,##0.0000_);_(* \(#,##0.0000\);_(* &quot;-&quot;??_);_(@_)"/>
    <numFmt numFmtId="181" formatCode="0.0%;[Red]\(0.0%\)"/>
    <numFmt numFmtId="182" formatCode="_ * #,##0.00_)&quot;£&quot;_ ;_ * \(#,##0.00\)&quot;£&quot;_ ;_ * &quot;-&quot;??_)&quot;£&quot;_ ;_ @_ "/>
    <numFmt numFmtId="183" formatCode="0.0%;\(0.0%\)"/>
    <numFmt numFmtId="184" formatCode="0.000_)"/>
    <numFmt numFmtId="185" formatCode="#,##0.00\ &quot;F&quot;;\-#,##0.00\ &quot;F&quot;"/>
    <numFmt numFmtId="186" formatCode="0&quot;.&quot;0"/>
    <numFmt numFmtId="187" formatCode="dd\-mmm\-yy_)"/>
    <numFmt numFmtId="188" formatCode="0.0%"/>
    <numFmt numFmtId="189" formatCode="#,##0\ &quot;$&quot;_);[Red]\(#,##0\ &quot;$&quot;\)"/>
    <numFmt numFmtId="190" formatCode="&quot;$&quot;###,0&quot;.&quot;00_);[Red]\(&quot;$&quot;###,0&quot;.&quot;00\)"/>
    <numFmt numFmtId="191" formatCode="&quot;\&quot;#,##0;[Red]\-&quot;\&quot;#,##0"/>
    <numFmt numFmtId="192" formatCode="&quot;\&quot;#,##0.00;\-&quot;\&quot;#,##0.00"/>
    <numFmt numFmtId="193" formatCode="&quot;VND&quot;#,##0_);[Red]\(&quot;VND&quot;#,##0\)"/>
    <numFmt numFmtId="194" formatCode="#,##0.000_);\(#,##0.000\)"/>
    <numFmt numFmtId="195" formatCode="#,##0\ &quot;F&quot;;\-#,##0\ &quot;F&quot;"/>
    <numFmt numFmtId="196" formatCode="#,##0\ &quot;F&quot;;[Red]\-#,##0\ &quot;F&quot;"/>
    <numFmt numFmtId="197" formatCode="&quot;￥&quot;#,##0;&quot;￥&quot;\-#,##0"/>
    <numFmt numFmtId="198" formatCode="00.000"/>
    <numFmt numFmtId="199" formatCode="00000"/>
    <numFmt numFmtId="200" formatCode="dd/mm/yyyy;@"/>
    <numFmt numFmtId="201" formatCode="0.0"/>
    <numFmt numFmtId="202" formatCode="#,##0.000000"/>
    <numFmt numFmtId="203" formatCode="d/mm/yyyy;@"/>
  </numFmts>
  <fonts count="119">
    <font>
      <sz val="11"/>
      <color theme="1"/>
      <name val="Calibri"/>
      <family val="2"/>
      <scheme val="minor"/>
    </font>
    <font>
      <sz val="10"/>
      <name val="Arial"/>
      <family val="2"/>
    </font>
    <font>
      <b/>
      <sz val="11"/>
      <color theme="1"/>
      <name val="Times New Roman"/>
      <family val="1"/>
    </font>
    <font>
      <sz val="11"/>
      <color indexed="8"/>
      <name val="Calibri"/>
      <family val="2"/>
    </font>
    <font>
      <sz val="12"/>
      <name val="Times New Roman"/>
      <family val="1"/>
    </font>
    <font>
      <sz val="12"/>
      <color theme="1"/>
      <name val="Times New Roman"/>
      <family val="1"/>
    </font>
    <font>
      <b/>
      <sz val="11"/>
      <name val="Times New Roman"/>
      <family val="1"/>
    </font>
    <font>
      <b/>
      <sz val="12"/>
      <name val="Times New Roman"/>
      <family val="1"/>
    </font>
    <font>
      <b/>
      <sz val="12"/>
      <color theme="1"/>
      <name val="Times New Roman"/>
      <family val="1"/>
    </font>
    <font>
      <b/>
      <sz val="12"/>
      <color rgb="FFFF0000"/>
      <name val="Times New Roman"/>
      <family val="1"/>
    </font>
    <font>
      <sz val="11"/>
      <color rgb="FF9C6500"/>
      <name val="Calibri"/>
      <family val="2"/>
      <scheme val="minor"/>
    </font>
    <font>
      <sz val="14"/>
      <name val="??"/>
      <family val="3"/>
      <charset val="129"/>
    </font>
    <font>
      <sz val="11"/>
      <name val="??"/>
      <family val="3"/>
    </font>
    <font>
      <sz val="12"/>
      <name val="????"/>
      <charset val="136"/>
    </font>
    <font>
      <sz val="11"/>
      <name val="??"/>
      <family val="3"/>
      <charset val="129"/>
    </font>
    <font>
      <sz val="10"/>
      <name val="???"/>
      <family val="3"/>
      <charset val="129"/>
    </font>
    <font>
      <b/>
      <u/>
      <sz val="14"/>
      <color indexed="8"/>
      <name val=".VnBook-AntiquaH"/>
      <family val="2"/>
    </font>
    <font>
      <sz val="12"/>
      <name val=".VnTime"/>
      <family val="2"/>
    </font>
    <font>
      <sz val="12"/>
      <name val="¹ÙÅÁÃ¼"/>
      <family val="1"/>
    </font>
    <font>
      <i/>
      <sz val="12"/>
      <color indexed="8"/>
      <name val=".VnBook-AntiquaH"/>
      <family val="2"/>
    </font>
    <font>
      <b/>
      <sz val="12"/>
      <color indexed="8"/>
      <name val=".VnBook-Antiqua"/>
      <family val="2"/>
    </font>
    <font>
      <i/>
      <sz val="12"/>
      <color indexed="8"/>
      <name val=".VnBook-Antiqua"/>
      <family val="2"/>
    </font>
    <font>
      <sz val="11"/>
      <color indexed="9"/>
      <name val="Calibri"/>
      <family val="2"/>
    </font>
    <font>
      <sz val="12"/>
      <name val="±¼¸²Ã¼"/>
      <family val="3"/>
      <charset val="129"/>
    </font>
    <font>
      <sz val="12"/>
      <name val="¹UAAA¼"/>
      <family val="3"/>
      <charset val="129"/>
    </font>
    <font>
      <sz val="8"/>
      <name val="Times New Roman"/>
      <family val="1"/>
    </font>
    <font>
      <sz val="12"/>
      <name val="Tms Rmn"/>
    </font>
    <font>
      <sz val="12"/>
      <name val="µ¸¿òÃ¼"/>
      <family val="3"/>
      <charset val="129"/>
    </font>
    <font>
      <sz val="11"/>
      <name val="µ¸¿ò"/>
      <family val="1"/>
    </font>
    <font>
      <sz val="10"/>
      <name val="MS Sans Serif"/>
      <family val="2"/>
    </font>
    <font>
      <sz val="10"/>
      <name val="Helv"/>
    </font>
    <font>
      <sz val="11"/>
      <name val="Tms Rmn"/>
    </font>
    <font>
      <sz val="14"/>
      <name val="AngsanaUPC"/>
      <family val="1"/>
    </font>
    <font>
      <sz val="10"/>
      <name val="MS Serif"/>
      <family val="1"/>
    </font>
    <font>
      <sz val="12"/>
      <name val=".VnArial"/>
      <family val="2"/>
    </font>
    <font>
      <sz val="10"/>
      <color indexed="8"/>
      <name val="Arial"/>
      <family val="2"/>
    </font>
    <font>
      <b/>
      <sz val="11"/>
      <color indexed="8"/>
      <name val="Calibri"/>
      <family val="2"/>
    </font>
    <font>
      <sz val="10"/>
      <color indexed="16"/>
      <name val="MS Serif"/>
      <family val="1"/>
    </font>
    <font>
      <sz val="8"/>
      <name val="Arial"/>
      <family val="2"/>
    </font>
    <font>
      <b/>
      <sz val="12"/>
      <name val=".VnBook-AntiquaH"/>
      <family val="2"/>
    </font>
    <font>
      <b/>
      <sz val="12"/>
      <color indexed="9"/>
      <name val="Tms Rmn"/>
    </font>
    <font>
      <b/>
      <sz val="12"/>
      <name val="Arial"/>
      <family val="2"/>
    </font>
    <font>
      <b/>
      <sz val="8"/>
      <name val="MS Sans Serif"/>
      <family val="2"/>
    </font>
    <font>
      <b/>
      <sz val="10"/>
      <name val=".VnTime"/>
      <family val="2"/>
    </font>
    <font>
      <sz val="12"/>
      <name val="Arial"/>
      <family val="2"/>
    </font>
    <font>
      <sz val="7"/>
      <name val="Small Fonts"/>
      <family val="2"/>
    </font>
    <font>
      <sz val="10"/>
      <name val="VNtimes new roman"/>
      <family val="2"/>
    </font>
    <font>
      <sz val="12"/>
      <name val="바탕체"/>
      <family val="1"/>
      <charset val="129"/>
    </font>
    <font>
      <b/>
      <sz val="11"/>
      <name val="Arial"/>
      <family val="2"/>
    </font>
    <font>
      <sz val="12"/>
      <name val="Helv"/>
      <family val="2"/>
    </font>
    <font>
      <b/>
      <sz val="10"/>
      <name val="MS Sans Serif"/>
      <family val="2"/>
    </font>
    <font>
      <sz val="8"/>
      <name val="Wingdings"/>
      <charset val="2"/>
    </font>
    <font>
      <sz val="8"/>
      <name val="Helv"/>
    </font>
    <font>
      <b/>
      <sz val="18"/>
      <color indexed="62"/>
      <name val="Cambria"/>
      <family val="2"/>
    </font>
    <font>
      <sz val="8"/>
      <name val="MS Sans Serif"/>
      <family val="2"/>
    </font>
    <font>
      <b/>
      <sz val="8"/>
      <color indexed="8"/>
      <name val="Helv"/>
    </font>
    <font>
      <sz val="12"/>
      <name val="VNTime"/>
    </font>
    <font>
      <sz val="10"/>
      <name val=".VnAvant"/>
      <family val="2"/>
    </font>
    <font>
      <b/>
      <sz val="8"/>
      <name val="VN Helvetica"/>
    </font>
    <font>
      <b/>
      <sz val="12"/>
      <name val=".VnTime"/>
      <family val="2"/>
    </font>
    <font>
      <b/>
      <sz val="10"/>
      <name val="VN AvantGBook"/>
    </font>
    <font>
      <b/>
      <sz val="16"/>
      <name val=".VnTime"/>
      <family val="2"/>
    </font>
    <font>
      <sz val="10"/>
      <name val=".VnTime"/>
      <family val="2"/>
    </font>
    <font>
      <sz val="9"/>
      <name val=".VnTime"/>
      <family val="2"/>
    </font>
    <font>
      <sz val="14"/>
      <name val=".VnArial"/>
      <family val="2"/>
    </font>
    <font>
      <sz val="10"/>
      <name val=" "/>
      <family val="1"/>
      <charset val="136"/>
    </font>
    <font>
      <sz val="14"/>
      <name val="뼻뮝"/>
      <family val="3"/>
    </font>
    <font>
      <sz val="12"/>
      <name val="바탕체"/>
      <family val="3"/>
    </font>
    <font>
      <sz val="12"/>
      <name val="뼻뮝"/>
      <family val="3"/>
    </font>
    <font>
      <sz val="10"/>
      <name val="Helv"/>
      <family val="2"/>
    </font>
    <font>
      <sz val="11"/>
      <name val="돋움"/>
      <family val="3"/>
      <charset val="129"/>
    </font>
    <font>
      <sz val="11"/>
      <name val="돋움"/>
      <family val="3"/>
    </font>
    <font>
      <sz val="10"/>
      <name val="굴림체"/>
      <family val="3"/>
    </font>
    <font>
      <sz val="9"/>
      <name val="Arial"/>
      <family val="2"/>
    </font>
    <font>
      <sz val="12"/>
      <name val="Courier"/>
      <family val="3"/>
    </font>
    <font>
      <b/>
      <sz val="10"/>
      <color theme="1"/>
      <name val="Times New Roman"/>
      <family val="1"/>
    </font>
    <font>
      <sz val="10"/>
      <color theme="1"/>
      <name val="Times New Roman"/>
      <family val="1"/>
    </font>
    <font>
      <sz val="11"/>
      <name val="Arial"/>
      <family val="2"/>
    </font>
    <font>
      <sz val="10"/>
      <name val="Times New Roman"/>
      <family val="1"/>
    </font>
    <font>
      <sz val="11"/>
      <color theme="1"/>
      <name val="Times New Roman"/>
      <family val="1"/>
    </font>
    <font>
      <b/>
      <sz val="13"/>
      <name val="Times New Roman"/>
      <family val="1"/>
    </font>
    <font>
      <sz val="13"/>
      <name val="Times New Roman"/>
      <family val="1"/>
    </font>
    <font>
      <b/>
      <sz val="14"/>
      <name val="Times New Roman"/>
      <family val="1"/>
    </font>
    <font>
      <b/>
      <sz val="10"/>
      <name val="Arial"/>
      <family val="2"/>
    </font>
    <font>
      <i/>
      <sz val="12"/>
      <name val="Times New Roman"/>
      <family val="1"/>
    </font>
    <font>
      <sz val="11"/>
      <name val="Times New Roman"/>
      <family val="1"/>
    </font>
    <font>
      <sz val="14"/>
      <color theme="1"/>
      <name val="Times New Roman"/>
      <family val="1"/>
    </font>
    <font>
      <b/>
      <sz val="14"/>
      <color theme="1"/>
      <name val="Times New Roman"/>
      <family val="1"/>
    </font>
    <font>
      <b/>
      <sz val="13"/>
      <color theme="1"/>
      <name val="Times New Roman"/>
      <family val="1"/>
    </font>
    <font>
      <i/>
      <sz val="12"/>
      <color theme="1"/>
      <name val="Times New Roman"/>
      <family val="1"/>
    </font>
    <font>
      <i/>
      <sz val="13"/>
      <color theme="1"/>
      <name val="Times New Roman"/>
      <family val="1"/>
    </font>
    <font>
      <b/>
      <i/>
      <sz val="12"/>
      <color theme="1"/>
      <name val="Times New Roman"/>
      <family val="1"/>
    </font>
    <font>
      <sz val="9"/>
      <name val="Times New Roman"/>
      <family val="1"/>
    </font>
    <font>
      <sz val="9"/>
      <color indexed="81"/>
      <name val="Tahoma"/>
      <family val="2"/>
    </font>
    <font>
      <b/>
      <sz val="9"/>
      <color indexed="81"/>
      <name val="Tahoma"/>
      <family val="2"/>
    </font>
    <font>
      <sz val="10"/>
      <name val="Arial"/>
      <family val="2"/>
      <charset val="163"/>
    </font>
    <font>
      <b/>
      <sz val="11"/>
      <color rgb="FFFF0000"/>
      <name val="Times New Roman"/>
      <family val="1"/>
    </font>
    <font>
      <sz val="2"/>
      <color theme="1"/>
      <name val="Times New Roman"/>
      <family val="1"/>
    </font>
    <font>
      <sz val="13"/>
      <color theme="1"/>
      <name val="Times New Roman"/>
      <family val="1"/>
    </font>
    <font>
      <b/>
      <sz val="8"/>
      <color theme="1"/>
      <name val="Times New Roman"/>
      <family val="1"/>
    </font>
    <font>
      <b/>
      <sz val="8"/>
      <name val="Times New Roman"/>
      <family val="1"/>
    </font>
    <font>
      <sz val="8"/>
      <color theme="1"/>
      <name val="Times New Roman"/>
      <family val="1"/>
    </font>
    <font>
      <sz val="12"/>
      <color theme="1"/>
      <name val="Cambria"/>
      <family val="1"/>
      <charset val="163"/>
      <scheme val="major"/>
    </font>
    <font>
      <sz val="11"/>
      <color theme="1"/>
      <name val="Times New Roman"/>
      <family val="1"/>
      <charset val="163"/>
    </font>
    <font>
      <sz val="10"/>
      <color theme="1"/>
      <name val="Times New Roman"/>
      <family val="1"/>
      <charset val="163"/>
    </font>
    <font>
      <b/>
      <sz val="8"/>
      <color theme="1"/>
      <name val="Times New Roman"/>
      <family val="1"/>
      <charset val="163"/>
    </font>
    <font>
      <sz val="10"/>
      <color rgb="FF000000"/>
      <name val="Times New Roman"/>
      <family val="1"/>
      <charset val="163"/>
    </font>
    <font>
      <b/>
      <sz val="8"/>
      <color indexed="81"/>
      <name val="Tahoma"/>
      <family val="2"/>
    </font>
    <font>
      <sz val="8"/>
      <color indexed="81"/>
      <name val="Tahoma"/>
      <family val="2"/>
    </font>
    <font>
      <b/>
      <sz val="9"/>
      <name val="Times New Roman"/>
      <family val="1"/>
    </font>
    <font>
      <b/>
      <sz val="11"/>
      <color theme="1"/>
      <name val="Calibri"/>
      <family val="2"/>
      <scheme val="minor"/>
    </font>
    <font>
      <b/>
      <sz val="8"/>
      <color indexed="81"/>
      <name val="Tahoma"/>
      <charset val="1"/>
    </font>
    <font>
      <sz val="8"/>
      <color indexed="81"/>
      <name val="Tahoma"/>
      <charset val="1"/>
    </font>
    <font>
      <b/>
      <sz val="9"/>
      <color theme="1"/>
      <name val="Calibri"/>
      <family val="2"/>
      <scheme val="minor"/>
    </font>
    <font>
      <sz val="9"/>
      <color theme="1"/>
      <name val="Calibri"/>
      <family val="2"/>
      <scheme val="minor"/>
    </font>
    <font>
      <b/>
      <sz val="11"/>
      <color theme="1"/>
      <name val="Arial Narrow"/>
      <family val="2"/>
    </font>
    <font>
      <sz val="11"/>
      <color theme="1"/>
      <name val="Arial Narrow"/>
      <family val="2"/>
    </font>
    <font>
      <b/>
      <sz val="10"/>
      <color theme="1"/>
      <name val="Arial Narrow"/>
      <family val="2"/>
    </font>
    <font>
      <sz val="10"/>
      <color theme="1"/>
      <name val="Arial Narrow"/>
      <family val="2"/>
    </font>
  </fonts>
  <fills count="50">
    <fill>
      <patternFill patternType="none"/>
    </fill>
    <fill>
      <patternFill patternType="gray125"/>
    </fill>
    <fill>
      <patternFill patternType="solid">
        <fgColor theme="3" tint="0.59999389629810485"/>
        <bgColor indexed="64"/>
      </patternFill>
    </fill>
    <fill>
      <patternFill patternType="solid">
        <fgColor rgb="FFFF0000"/>
        <bgColor indexed="64"/>
      </patternFill>
    </fill>
    <fill>
      <patternFill patternType="solid">
        <fgColor rgb="FFFFEB9C"/>
      </patternFill>
    </fill>
    <fill>
      <patternFill patternType="solid">
        <fgColor rgb="FFFFFF00"/>
        <bgColor indexed="64"/>
      </patternFill>
    </fill>
    <fill>
      <patternFill patternType="solid">
        <fgColor indexed="13"/>
        <bgColor indexed="64"/>
      </patternFill>
    </fill>
    <fill>
      <patternFill patternType="solid">
        <fgColor rgb="FF00B0F0"/>
        <bgColor indexed="64"/>
      </patternFill>
    </fill>
    <fill>
      <patternFill patternType="solid">
        <fgColor rgb="FFFFFFCC"/>
        <bgColor indexed="64"/>
      </patternFill>
    </fill>
    <fill>
      <patternFill patternType="solid">
        <fgColor rgb="FFCCFFFF"/>
        <bgColor indexed="64"/>
      </patternFill>
    </fill>
    <fill>
      <patternFill patternType="solid">
        <fgColor rgb="FFFFC000"/>
        <bgColor indexed="64"/>
      </patternFill>
    </fill>
    <fill>
      <patternFill patternType="solid">
        <fgColor rgb="FF92D050"/>
        <bgColor indexed="64"/>
      </patternFill>
    </fill>
    <fill>
      <patternFill patternType="solid">
        <fgColor theme="7" tint="0.59999389629810485"/>
        <bgColor indexed="64"/>
      </patternFill>
    </fill>
    <fill>
      <patternFill patternType="solid">
        <fgColor indexed="22"/>
        <bgColor indexed="64"/>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5"/>
        <bgColor indexed="64"/>
      </patternFill>
    </fill>
    <fill>
      <patternFill patternType="solid">
        <fgColor indexed="40"/>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theme="8" tint="0.79998168889431442"/>
        <bgColor indexed="64"/>
      </patternFill>
    </fill>
    <fill>
      <patternFill patternType="solid">
        <fgColor theme="0"/>
        <bgColor indexed="64"/>
      </patternFill>
    </fill>
    <fill>
      <patternFill patternType="solid">
        <fgColor rgb="FFDAEEF3"/>
        <bgColor indexed="64"/>
      </patternFill>
    </fill>
    <fill>
      <patternFill patternType="solid">
        <fgColor theme="4"/>
        <bgColor indexed="64"/>
      </patternFill>
    </fill>
    <fill>
      <patternFill patternType="darkGrid">
        <fgColor rgb="FF0070C0"/>
        <bgColor rgb="FFFFFF00"/>
      </patternFill>
    </fill>
    <fill>
      <patternFill patternType="lightGrid">
        <fgColor theme="1"/>
      </patternFill>
    </fill>
    <fill>
      <patternFill patternType="solid">
        <fgColor theme="3" tint="0.79998168889431442"/>
        <bgColor indexed="64"/>
      </patternFill>
    </fill>
    <fill>
      <patternFill patternType="solid">
        <fgColor theme="4"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rgb="FF002060"/>
        <bgColor indexed="64"/>
      </patternFill>
    </fill>
    <fill>
      <patternFill patternType="solid">
        <fgColor theme="6" tint="0.59999389629810485"/>
        <bgColor indexed="64"/>
      </patternFill>
    </fill>
    <fill>
      <patternFill patternType="solid">
        <fgColor rgb="FF66FFFF"/>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right style="medium">
        <color indexed="0"/>
      </right>
      <top/>
      <bottom/>
      <diagonal/>
    </border>
    <border>
      <left style="medium">
        <color indexed="9"/>
      </left>
      <right style="medium">
        <color indexed="9"/>
      </right>
      <top style="medium">
        <color indexed="9"/>
      </top>
      <bottom style="medium">
        <color indexed="9"/>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s>
  <cellStyleXfs count="201">
    <xf numFmtId="0" fontId="0" fillId="0" borderId="0"/>
    <xf numFmtId="0" fontId="1" fillId="0" borderId="0"/>
    <xf numFmtId="43" fontId="1" fillId="0" borderId="0" applyFont="0" applyFill="0" applyBorder="0" applyAlignment="0" applyProtection="0"/>
    <xf numFmtId="0" fontId="3" fillId="0" borderId="0"/>
    <xf numFmtId="0" fontId="3" fillId="0" borderId="0"/>
    <xf numFmtId="0" fontId="10" fillId="4" borderId="0" applyNumberFormat="0" applyBorder="0" applyAlignment="0" applyProtection="0"/>
    <xf numFmtId="0" fontId="1" fillId="0" borderId="0"/>
    <xf numFmtId="0" fontId="1" fillId="0" borderId="0"/>
    <xf numFmtId="0" fontId="11" fillId="0" borderId="0" applyFont="0" applyFill="0" applyBorder="0" applyAlignment="0" applyProtection="0"/>
    <xf numFmtId="169" fontId="12" fillId="0" borderId="0" applyFont="0" applyFill="0" applyBorder="0" applyAlignment="0" applyProtection="0"/>
    <xf numFmtId="40" fontId="11" fillId="0" borderId="0" applyFont="0" applyFill="0" applyBorder="0" applyAlignment="0" applyProtection="0"/>
    <xf numFmtId="38" fontId="11" fillId="0" borderId="0" applyFont="0" applyFill="0" applyBorder="0" applyAlignment="0" applyProtection="0"/>
    <xf numFmtId="41" fontId="13" fillId="0" borderId="0" applyFont="0" applyFill="0" applyBorder="0" applyAlignment="0" applyProtection="0"/>
    <xf numFmtId="9" fontId="14" fillId="0" borderId="0" applyFont="0" applyFill="0" applyBorder="0" applyAlignment="0" applyProtection="0"/>
    <xf numFmtId="0" fontId="15" fillId="0" borderId="0"/>
    <xf numFmtId="0" fontId="16" fillId="13" borderId="0"/>
    <xf numFmtId="0" fontId="16" fillId="14" borderId="0"/>
    <xf numFmtId="0" fontId="17" fillId="0" borderId="3" applyFont="0" applyFill="0" applyAlignment="0"/>
    <xf numFmtId="9" fontId="18" fillId="0" borderId="0" applyFont="0" applyFill="0" applyBorder="0" applyAlignment="0" applyProtection="0"/>
    <xf numFmtId="0" fontId="19" fillId="13" borderId="0"/>
    <xf numFmtId="0" fontId="19" fillId="14" borderId="0"/>
    <xf numFmtId="0" fontId="20" fillId="13" borderId="0"/>
    <xf numFmtId="0" fontId="20" fillId="14" borderId="0"/>
    <xf numFmtId="0" fontId="21" fillId="0" borderId="0">
      <alignment wrapText="1"/>
    </xf>
    <xf numFmtId="0" fontId="3" fillId="15" borderId="0" applyNumberFormat="0" applyBorder="0" applyAlignment="0" applyProtection="0"/>
    <xf numFmtId="0" fontId="3" fillId="15" borderId="0" applyNumberFormat="0" applyBorder="0" applyAlignment="0" applyProtection="0"/>
    <xf numFmtId="0" fontId="22"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22" fillId="19" borderId="0" applyNumberFormat="0" applyBorder="0" applyAlignment="0" applyProtection="0"/>
    <xf numFmtId="0" fontId="3" fillId="17" borderId="0" applyNumberFormat="0" applyBorder="0" applyAlignment="0" applyProtection="0"/>
    <xf numFmtId="0" fontId="3" fillId="20" borderId="0" applyNumberFormat="0" applyBorder="0" applyAlignment="0" applyProtection="0"/>
    <xf numFmtId="0" fontId="22" fillId="18" borderId="0" applyNumberFormat="0" applyBorder="0" applyAlignment="0" applyProtection="0"/>
    <xf numFmtId="0" fontId="3" fillId="15" borderId="0" applyNumberFormat="0" applyBorder="0" applyAlignment="0" applyProtection="0"/>
    <xf numFmtId="0" fontId="3" fillId="18" borderId="0" applyNumberFormat="0" applyBorder="0" applyAlignment="0" applyProtection="0"/>
    <xf numFmtId="0" fontId="22" fillId="18" borderId="0" applyNumberFormat="0" applyBorder="0" applyAlignment="0" applyProtection="0"/>
    <xf numFmtId="0" fontId="3" fillId="21" borderId="0" applyNumberFormat="0" applyBorder="0" applyAlignment="0" applyProtection="0"/>
    <xf numFmtId="0" fontId="3" fillId="15" borderId="0" applyNumberFormat="0" applyBorder="0" applyAlignment="0" applyProtection="0"/>
    <xf numFmtId="0" fontId="22" fillId="16" borderId="0" applyNumberFormat="0" applyBorder="0" applyAlignment="0" applyProtection="0"/>
    <xf numFmtId="0" fontId="3" fillId="17" borderId="0" applyNumberFormat="0" applyBorder="0" applyAlignment="0" applyProtection="0"/>
    <xf numFmtId="0" fontId="3" fillId="22" borderId="0" applyNumberFormat="0" applyBorder="0" applyAlignment="0" applyProtection="0"/>
    <xf numFmtId="0" fontId="22" fillId="22" borderId="0" applyNumberFormat="0" applyBorder="0" applyAlignment="0" applyProtection="0"/>
    <xf numFmtId="170" fontId="23" fillId="0" borderId="0" applyFont="0" applyFill="0" applyBorder="0" applyAlignment="0" applyProtection="0"/>
    <xf numFmtId="0" fontId="24" fillId="0" borderId="0" applyFont="0" applyFill="0" applyBorder="0" applyAlignment="0" applyProtection="0"/>
    <xf numFmtId="171" fontId="1" fillId="0" borderId="0" applyFont="0" applyFill="0" applyBorder="0" applyAlignment="0" applyProtection="0"/>
    <xf numFmtId="172" fontId="23" fillId="0" borderId="0" applyFont="0" applyFill="0" applyBorder="0" applyAlignment="0" applyProtection="0"/>
    <xf numFmtId="0" fontId="24" fillId="0" borderId="0" applyFont="0" applyFill="0" applyBorder="0" applyAlignment="0" applyProtection="0"/>
    <xf numFmtId="173" fontId="1" fillId="0" borderId="0" applyFont="0" applyFill="0" applyBorder="0" applyAlignment="0" applyProtection="0"/>
    <xf numFmtId="0" fontId="25" fillId="0" borderId="0">
      <alignment horizontal="center" wrapText="1"/>
      <protection locked="0"/>
    </xf>
    <xf numFmtId="174" fontId="23" fillId="0" borderId="0" applyFont="0" applyFill="0" applyBorder="0" applyAlignment="0" applyProtection="0"/>
    <xf numFmtId="0" fontId="24" fillId="0" borderId="0" applyFont="0" applyFill="0" applyBorder="0" applyAlignment="0" applyProtection="0"/>
    <xf numFmtId="175" fontId="1" fillId="0" borderId="0" applyFont="0" applyFill="0" applyBorder="0" applyAlignment="0" applyProtection="0"/>
    <xf numFmtId="176" fontId="23" fillId="0" borderId="0" applyFont="0" applyFill="0" applyBorder="0" applyAlignment="0" applyProtection="0"/>
    <xf numFmtId="0" fontId="24" fillId="0" borderId="0" applyFont="0" applyFill="0" applyBorder="0" applyAlignment="0" applyProtection="0"/>
    <xf numFmtId="177" fontId="1" fillId="0" borderId="0" applyFont="0" applyFill="0" applyBorder="0" applyAlignment="0" applyProtection="0"/>
    <xf numFmtId="0" fontId="26" fillId="0" borderId="0" applyNumberFormat="0" applyFill="0" applyBorder="0" applyAlignment="0" applyProtection="0"/>
    <xf numFmtId="0" fontId="24" fillId="0" borderId="0"/>
    <xf numFmtId="0" fontId="27" fillId="0" borderId="0"/>
    <xf numFmtId="0" fontId="24" fillId="0" borderId="0"/>
    <xf numFmtId="0" fontId="28" fillId="0" borderId="0"/>
    <xf numFmtId="178" fontId="29" fillId="0" borderId="0" applyFill="0" applyBorder="0" applyAlignment="0"/>
    <xf numFmtId="179" fontId="30" fillId="0" borderId="0" applyFill="0" applyBorder="0" applyAlignment="0"/>
    <xf numFmtId="180" fontId="30" fillId="0" borderId="0" applyFill="0" applyBorder="0" applyAlignment="0"/>
    <xf numFmtId="181" fontId="30" fillId="0" borderId="0" applyFill="0" applyBorder="0" applyAlignment="0"/>
    <xf numFmtId="182" fontId="1" fillId="0" borderId="0" applyFill="0" applyBorder="0" applyAlignment="0"/>
    <xf numFmtId="165" fontId="30" fillId="0" borderId="0" applyFill="0" applyBorder="0" applyAlignment="0"/>
    <xf numFmtId="183" fontId="30" fillId="0" borderId="0" applyFill="0" applyBorder="0" applyAlignment="0"/>
    <xf numFmtId="179" fontId="30" fillId="0" borderId="0" applyFill="0" applyBorder="0" applyAlignment="0"/>
    <xf numFmtId="184" fontId="31" fillId="0" borderId="0"/>
    <xf numFmtId="184" fontId="31" fillId="0" borderId="0"/>
    <xf numFmtId="184" fontId="31" fillId="0" borderId="0"/>
    <xf numFmtId="184" fontId="31" fillId="0" borderId="0"/>
    <xf numFmtId="184" fontId="31" fillId="0" borderId="0"/>
    <xf numFmtId="184" fontId="31" fillId="0" borderId="0"/>
    <xf numFmtId="184" fontId="31" fillId="0" borderId="0"/>
    <xf numFmtId="184" fontId="31" fillId="0" borderId="0"/>
    <xf numFmtId="165" fontId="30" fillId="0" borderId="0" applyFont="0" applyFill="0" applyBorder="0" applyAlignment="0" applyProtection="0"/>
    <xf numFmtId="185" fontId="32" fillId="0" borderId="0"/>
    <xf numFmtId="3" fontId="1" fillId="0" borderId="0" applyFont="0" applyFill="0" applyBorder="0" applyAlignment="0" applyProtection="0"/>
    <xf numFmtId="0" fontId="33" fillId="0" borderId="0" applyNumberFormat="0" applyAlignment="0">
      <alignment horizontal="left"/>
    </xf>
    <xf numFmtId="179" fontId="30" fillId="0" borderId="0" applyFont="0" applyFill="0" applyBorder="0" applyAlignment="0" applyProtection="0"/>
    <xf numFmtId="44" fontId="1" fillId="0" borderId="0" applyFont="0" applyFill="0" applyBorder="0" applyAlignment="0" applyProtection="0"/>
    <xf numFmtId="186" fontId="34" fillId="0" borderId="0" applyFont="0" applyFill="0" applyBorder="0" applyAlignment="0" applyProtection="0"/>
    <xf numFmtId="187" fontId="32" fillId="0" borderId="0"/>
    <xf numFmtId="0" fontId="1" fillId="0" borderId="0" applyFont="0" applyFill="0" applyBorder="0" applyAlignment="0" applyProtection="0"/>
    <xf numFmtId="14" fontId="35" fillId="0" borderId="0" applyFill="0" applyBorder="0" applyAlignment="0"/>
    <xf numFmtId="41" fontId="1" fillId="0" borderId="0" applyFont="0" applyFill="0" applyBorder="0" applyAlignment="0" applyProtection="0"/>
    <xf numFmtId="43" fontId="1" fillId="0" borderId="0" applyFont="0" applyFill="0" applyBorder="0" applyAlignment="0" applyProtection="0"/>
    <xf numFmtId="188" fontId="32" fillId="0" borderId="0"/>
    <xf numFmtId="0" fontId="36" fillId="23" borderId="0" applyNumberFormat="0" applyBorder="0" applyAlignment="0" applyProtection="0"/>
    <xf numFmtId="0" fontId="36" fillId="24" borderId="0" applyNumberFormat="0" applyBorder="0" applyAlignment="0" applyProtection="0"/>
    <xf numFmtId="0" fontId="36" fillId="25" borderId="0" applyNumberFormat="0" applyBorder="0" applyAlignment="0" applyProtection="0"/>
    <xf numFmtId="165" fontId="30" fillId="0" borderId="0" applyFill="0" applyBorder="0" applyAlignment="0"/>
    <xf numFmtId="179" fontId="30" fillId="0" borderId="0" applyFill="0" applyBorder="0" applyAlignment="0"/>
    <xf numFmtId="165" fontId="30" fillId="0" borderId="0" applyFill="0" applyBorder="0" applyAlignment="0"/>
    <xf numFmtId="183" fontId="30" fillId="0" borderId="0" applyFill="0" applyBorder="0" applyAlignment="0"/>
    <xf numFmtId="179" fontId="30" fillId="0" borderId="0" applyFill="0" applyBorder="0" applyAlignment="0"/>
    <xf numFmtId="0" fontId="37" fillId="0" borderId="0" applyNumberFormat="0" applyAlignment="0">
      <alignment horizontal="left"/>
    </xf>
    <xf numFmtId="2" fontId="1" fillId="0" borderId="0" applyFont="0" applyFill="0" applyBorder="0" applyAlignment="0" applyProtection="0"/>
    <xf numFmtId="38" fontId="38" fillId="13" borderId="0" applyNumberFormat="0" applyBorder="0" applyAlignment="0" applyProtection="0"/>
    <xf numFmtId="0" fontId="39" fillId="0" borderId="0" applyNumberFormat="0" applyFont="0" applyBorder="0" applyAlignment="0">
      <alignment horizontal="left" vertical="center"/>
    </xf>
    <xf numFmtId="0" fontId="40" fillId="26" borderId="0"/>
    <xf numFmtId="0" fontId="41" fillId="0" borderId="4" applyNumberFormat="0" applyAlignment="0" applyProtection="0">
      <alignment horizontal="left" vertical="center"/>
    </xf>
    <xf numFmtId="0" fontId="41" fillId="0" borderId="5">
      <alignment horizontal="left" vertical="center"/>
    </xf>
    <xf numFmtId="0" fontId="42" fillId="0" borderId="6">
      <alignment horizontal="center"/>
    </xf>
    <xf numFmtId="0" fontId="42" fillId="0" borderId="0">
      <alignment horizontal="center"/>
    </xf>
    <xf numFmtId="5" fontId="43" fillId="27" borderId="1" applyNumberFormat="0" applyAlignment="0">
      <alignment horizontal="left" vertical="top"/>
    </xf>
    <xf numFmtId="10" fontId="38" fillId="28" borderId="1" applyNumberFormat="0" applyBorder="0" applyAlignment="0" applyProtection="0"/>
    <xf numFmtId="0" fontId="29" fillId="0" borderId="0"/>
    <xf numFmtId="165" fontId="30" fillId="0" borderId="0" applyFill="0" applyBorder="0" applyAlignment="0"/>
    <xf numFmtId="179" fontId="30" fillId="0" borderId="0" applyFill="0" applyBorder="0" applyAlignment="0"/>
    <xf numFmtId="165" fontId="30" fillId="0" borderId="0" applyFill="0" applyBorder="0" applyAlignment="0"/>
    <xf numFmtId="183" fontId="30" fillId="0" borderId="0" applyFill="0" applyBorder="0" applyAlignment="0"/>
    <xf numFmtId="179" fontId="30" fillId="0" borderId="0" applyFill="0" applyBorder="0" applyAlignment="0"/>
    <xf numFmtId="38" fontId="29" fillId="0" borderId="0" applyFont="0" applyFill="0" applyBorder="0" applyAlignment="0" applyProtection="0"/>
    <xf numFmtId="40" fontId="29" fillId="0" borderId="0" applyFont="0" applyFill="0" applyBorder="0" applyAlignment="0" applyProtection="0"/>
    <xf numFmtId="41" fontId="1" fillId="0" borderId="0" applyFont="0" applyFill="0" applyBorder="0" applyAlignment="0" applyProtection="0"/>
    <xf numFmtId="43" fontId="1" fillId="0" borderId="0" applyFont="0" applyFill="0" applyBorder="0" applyAlignment="0" applyProtection="0"/>
    <xf numFmtId="189" fontId="29" fillId="0" borderId="0" applyFont="0" applyFill="0" applyBorder="0" applyAlignment="0" applyProtection="0"/>
    <xf numFmtId="190" fontId="29" fillId="0" borderId="0" applyFont="0" applyFill="0" applyBorder="0" applyAlignment="0" applyProtection="0"/>
    <xf numFmtId="191" fontId="1" fillId="0" borderId="0" applyFont="0" applyFill="0" applyBorder="0" applyAlignment="0" applyProtection="0"/>
    <xf numFmtId="192" fontId="1" fillId="0" borderId="0" applyFont="0" applyFill="0" applyBorder="0" applyAlignment="0" applyProtection="0"/>
    <xf numFmtId="0" fontId="44" fillId="0" borderId="0" applyNumberFormat="0" applyFont="0" applyFill="0" applyAlignment="0"/>
    <xf numFmtId="37" fontId="45" fillId="0" borderId="0"/>
    <xf numFmtId="193" fontId="46" fillId="0" borderId="0"/>
    <xf numFmtId="0" fontId="47" fillId="0" borderId="0"/>
    <xf numFmtId="0" fontId="1" fillId="0" borderId="0"/>
    <xf numFmtId="0" fontId="48" fillId="0" borderId="0" applyNumberFormat="0" applyFill="0" applyBorder="0" applyAlignment="0" applyProtection="0"/>
    <xf numFmtId="14" fontId="25" fillId="0" borderId="0">
      <alignment horizontal="center" wrapText="1"/>
      <protection locked="0"/>
    </xf>
    <xf numFmtId="182" fontId="1" fillId="0" borderId="0" applyFont="0" applyFill="0" applyBorder="0" applyAlignment="0" applyProtection="0"/>
    <xf numFmtId="194" fontId="1" fillId="0" borderId="0" applyFont="0" applyFill="0" applyBorder="0" applyAlignment="0" applyProtection="0"/>
    <xf numFmtId="10" fontId="1" fillId="0" borderId="0" applyFont="0" applyFill="0" applyBorder="0" applyAlignment="0" applyProtection="0"/>
    <xf numFmtId="9" fontId="29" fillId="0" borderId="7" applyNumberFormat="0" applyBorder="0"/>
    <xf numFmtId="165" fontId="30" fillId="0" borderId="0" applyFill="0" applyBorder="0" applyAlignment="0"/>
    <xf numFmtId="179" fontId="30" fillId="0" borderId="0" applyFill="0" applyBorder="0" applyAlignment="0"/>
    <xf numFmtId="165" fontId="30" fillId="0" borderId="0" applyFill="0" applyBorder="0" applyAlignment="0"/>
    <xf numFmtId="183" fontId="30" fillId="0" borderId="0" applyFill="0" applyBorder="0" applyAlignment="0"/>
    <xf numFmtId="179" fontId="30" fillId="0" borderId="0" applyFill="0" applyBorder="0" applyAlignment="0"/>
    <xf numFmtId="0" fontId="49" fillId="0" borderId="0"/>
    <xf numFmtId="0" fontId="29" fillId="0" borderId="0" applyNumberFormat="0" applyFont="0" applyFill="0" applyBorder="0" applyAlignment="0" applyProtection="0">
      <alignment horizontal="left"/>
    </xf>
    <xf numFmtId="0" fontId="50" fillId="0" borderId="6">
      <alignment horizontal="center"/>
    </xf>
    <xf numFmtId="1" fontId="1" fillId="0" borderId="8" applyNumberFormat="0" applyFill="0" applyAlignment="0" applyProtection="0">
      <alignment horizontal="center" vertical="center"/>
    </xf>
    <xf numFmtId="0" fontId="51" fillId="29" borderId="0" applyNumberFormat="0" applyFont="0" applyBorder="0" applyAlignment="0">
      <alignment horizontal="center"/>
    </xf>
    <xf numFmtId="14" fontId="52" fillId="0" borderId="0" applyNumberFormat="0" applyFill="0" applyBorder="0" applyAlignment="0" applyProtection="0">
      <alignment horizontal="left"/>
    </xf>
    <xf numFmtId="0" fontId="51" fillId="1" borderId="5" applyNumberFormat="0" applyFont="0" applyAlignment="0">
      <alignment horizontal="center"/>
    </xf>
    <xf numFmtId="0" fontId="53" fillId="0" borderId="0" applyNumberFormat="0" applyFill="0" applyBorder="0" applyAlignment="0" applyProtection="0"/>
    <xf numFmtId="0" fontId="54" fillId="0" borderId="0" applyNumberFormat="0" applyFill="0" applyBorder="0" applyAlignment="0">
      <alignment horizontal="center"/>
    </xf>
    <xf numFmtId="0" fontId="1" fillId="30" borderId="0"/>
    <xf numFmtId="0" fontId="35" fillId="0" borderId="0">
      <alignment vertical="top"/>
    </xf>
    <xf numFmtId="40" fontId="55" fillId="0" borderId="0" applyBorder="0">
      <alignment horizontal="right"/>
    </xf>
    <xf numFmtId="49" fontId="35" fillId="0" borderId="0" applyFill="0" applyBorder="0" applyAlignment="0"/>
    <xf numFmtId="195" fontId="1" fillId="0" borderId="0" applyFill="0" applyBorder="0" applyAlignment="0"/>
    <xf numFmtId="196" fontId="1" fillId="0" borderId="0" applyFill="0" applyBorder="0" applyAlignment="0"/>
    <xf numFmtId="0" fontId="34" fillId="0" borderId="0">
      <alignment vertical="center" wrapText="1"/>
      <protection locked="0"/>
    </xf>
    <xf numFmtId="0" fontId="56" fillId="0" borderId="9"/>
    <xf numFmtId="0" fontId="48" fillId="0" borderId="0" applyNumberFormat="0" applyFill="0" applyBorder="0" applyAlignment="0" applyProtection="0"/>
    <xf numFmtId="0" fontId="57" fillId="0" borderId="10" applyNumberFormat="0" applyAlignment="0">
      <alignment horizontal="center"/>
    </xf>
    <xf numFmtId="0" fontId="34" fillId="0" borderId="0"/>
    <xf numFmtId="5" fontId="58" fillId="31" borderId="2">
      <alignment vertical="top"/>
    </xf>
    <xf numFmtId="0" fontId="59" fillId="32" borderId="1">
      <alignment horizontal="left" vertical="center"/>
    </xf>
    <xf numFmtId="6" fontId="60" fillId="33" borderId="2"/>
    <xf numFmtId="5" fontId="43" fillId="0" borderId="2">
      <alignment horizontal="left" vertical="top"/>
    </xf>
    <xf numFmtId="0" fontId="61" fillId="34" borderId="0">
      <alignment horizontal="left" vertical="center"/>
    </xf>
    <xf numFmtId="5" fontId="62" fillId="0" borderId="8">
      <alignment horizontal="left" vertical="top"/>
    </xf>
    <xf numFmtId="0" fontId="63" fillId="0" borderId="8">
      <alignment horizontal="left" vertical="center"/>
    </xf>
    <xf numFmtId="166" fontId="1" fillId="0" borderId="0" applyFont="0" applyFill="0" applyBorder="0" applyAlignment="0" applyProtection="0"/>
    <xf numFmtId="167" fontId="1" fillId="0" borderId="0" applyFont="0" applyFill="0" applyBorder="0" applyAlignment="0" applyProtection="0"/>
    <xf numFmtId="0" fontId="64" fillId="0" borderId="0" applyNumberFormat="0" applyFill="0" applyBorder="0" applyAlignment="0" applyProtection="0"/>
    <xf numFmtId="0" fontId="65" fillId="0" borderId="0" applyFont="0" applyFill="0" applyBorder="0" applyAlignment="0" applyProtection="0"/>
    <xf numFmtId="0" fontId="65" fillId="0" borderId="0" applyFont="0" applyFill="0" applyBorder="0" applyAlignment="0" applyProtection="0"/>
    <xf numFmtId="0" fontId="4" fillId="0" borderId="0">
      <alignment vertical="center"/>
    </xf>
    <xf numFmtId="40" fontId="66" fillId="0" borderId="0" applyFont="0" applyFill="0" applyBorder="0" applyAlignment="0" applyProtection="0"/>
    <xf numFmtId="38" fontId="66" fillId="0" borderId="0" applyFont="0" applyFill="0" applyBorder="0" applyAlignment="0" applyProtection="0"/>
    <xf numFmtId="0" fontId="66" fillId="0" borderId="0" applyFont="0" applyFill="0" applyBorder="0" applyAlignment="0" applyProtection="0"/>
    <xf numFmtId="0" fontId="66" fillId="0" borderId="0" applyFont="0" applyFill="0" applyBorder="0" applyAlignment="0" applyProtection="0"/>
    <xf numFmtId="9" fontId="67" fillId="0" borderId="0" applyFont="0" applyFill="0" applyBorder="0" applyAlignment="0" applyProtection="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41" fontId="70" fillId="0" borderId="0" applyFont="0" applyFill="0" applyBorder="0" applyAlignment="0" applyProtection="0"/>
    <xf numFmtId="43" fontId="70" fillId="0" borderId="0" applyFont="0" applyFill="0" applyBorder="0" applyAlignment="0" applyProtection="0"/>
    <xf numFmtId="197" fontId="71" fillId="0" borderId="0" applyFont="0" applyFill="0" applyBorder="0" applyAlignment="0" applyProtection="0"/>
    <xf numFmtId="198" fontId="71" fillId="0" borderId="0" applyFont="0" applyFill="0" applyBorder="0" applyAlignment="0" applyProtection="0"/>
    <xf numFmtId="0" fontId="72" fillId="0" borderId="0"/>
    <xf numFmtId="0" fontId="44" fillId="0" borderId="0"/>
    <xf numFmtId="41" fontId="73" fillId="0" borderId="0" applyFont="0" applyFill="0" applyBorder="0" applyAlignment="0" applyProtection="0"/>
    <xf numFmtId="43" fontId="73" fillId="0" borderId="0" applyFont="0" applyFill="0" applyBorder="0" applyAlignment="0" applyProtection="0"/>
    <xf numFmtId="41" fontId="1" fillId="0" borderId="0" applyFont="0" applyFill="0" applyBorder="0" applyAlignment="0" applyProtection="0"/>
    <xf numFmtId="0" fontId="1" fillId="0" borderId="0"/>
    <xf numFmtId="164" fontId="73" fillId="0" borderId="0" applyFont="0" applyFill="0" applyBorder="0" applyAlignment="0" applyProtection="0"/>
    <xf numFmtId="6" fontId="74" fillId="0" borderId="0" applyFont="0" applyFill="0" applyBorder="0" applyAlignment="0" applyProtection="0"/>
    <xf numFmtId="165" fontId="73"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95" fillId="0" borderId="0"/>
  </cellStyleXfs>
  <cellXfs count="440">
    <xf numFmtId="0" fontId="0" fillId="0" borderId="0" xfId="0"/>
    <xf numFmtId="1" fontId="2" fillId="2" borderId="1" xfId="1" applyNumberFormat="1" applyFont="1" applyFill="1" applyBorder="1" applyAlignment="1">
      <alignment horizontal="center" vertical="center" wrapText="1"/>
    </xf>
    <xf numFmtId="0" fontId="2" fillId="2" borderId="1" xfId="1" applyFont="1" applyFill="1" applyBorder="1" applyAlignment="1">
      <alignment horizontal="center" vertical="center" wrapText="1"/>
    </xf>
    <xf numFmtId="0" fontId="1" fillId="0" borderId="0" xfId="1" applyFill="1" applyAlignment="1">
      <alignment horizontal="center"/>
    </xf>
    <xf numFmtId="0" fontId="1" fillId="0" borderId="0" xfId="1" applyFill="1"/>
    <xf numFmtId="0" fontId="6" fillId="3" borderId="1" xfId="1" applyFont="1" applyFill="1" applyBorder="1" applyAlignment="1">
      <alignment horizontal="center" vertical="center" wrapText="1"/>
    </xf>
    <xf numFmtId="0" fontId="7" fillId="6" borderId="1" xfId="0" applyFont="1" applyFill="1" applyBorder="1" applyAlignment="1">
      <alignment horizontal="center" vertical="center" wrapText="1"/>
    </xf>
    <xf numFmtId="14" fontId="7" fillId="6" borderId="1" xfId="0" applyNumberFormat="1" applyFont="1" applyFill="1" applyBorder="1" applyAlignment="1">
      <alignment horizontal="center" vertical="center" wrapText="1"/>
    </xf>
    <xf numFmtId="49" fontId="7" fillId="6" borderId="1" xfId="0" applyNumberFormat="1" applyFont="1" applyFill="1" applyBorder="1" applyAlignment="1">
      <alignment horizontal="center" vertical="center" wrapText="1"/>
    </xf>
    <xf numFmtId="1" fontId="7" fillId="6" borderId="1" xfId="0" applyNumberFormat="1" applyFont="1" applyFill="1" applyBorder="1" applyAlignment="1">
      <alignment horizontal="center" vertical="center" wrapText="1"/>
    </xf>
    <xf numFmtId="0" fontId="7" fillId="7" borderId="1" xfId="0" applyFont="1" applyFill="1" applyBorder="1" applyAlignment="1">
      <alignment horizontal="center" vertical="center" wrapText="1"/>
    </xf>
    <xf numFmtId="49" fontId="7" fillId="7"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9" borderId="1" xfId="0" applyFont="1" applyFill="1" applyBorder="1" applyAlignment="1">
      <alignment horizontal="center" vertical="center" wrapText="1"/>
    </xf>
    <xf numFmtId="49" fontId="7" fillId="9" borderId="1" xfId="0" applyNumberFormat="1" applyFont="1" applyFill="1" applyBorder="1" applyAlignment="1">
      <alignment horizontal="center" vertical="center" wrapText="1"/>
    </xf>
    <xf numFmtId="0" fontId="7" fillId="10" borderId="1" xfId="0" applyFont="1" applyFill="1" applyBorder="1" applyAlignment="1">
      <alignment horizontal="center" vertical="center" wrapText="1"/>
    </xf>
    <xf numFmtId="0" fontId="7" fillId="11" borderId="1" xfId="0" applyFont="1" applyFill="1" applyBorder="1" applyAlignment="1">
      <alignment horizontal="center" vertical="center" wrapText="1"/>
    </xf>
    <xf numFmtId="49" fontId="7" fillId="11" borderId="1" xfId="0" applyNumberFormat="1" applyFont="1" applyFill="1" applyBorder="1" applyAlignment="1">
      <alignment horizontal="center" vertical="center" wrapText="1"/>
    </xf>
    <xf numFmtId="0" fontId="7" fillId="12" borderId="1" xfId="0" applyFont="1" applyFill="1" applyBorder="1" applyAlignment="1">
      <alignment horizontal="center" vertical="center" wrapText="1"/>
    </xf>
    <xf numFmtId="49" fontId="7" fillId="12" borderId="1" xfId="0" applyNumberFormat="1" applyFont="1" applyFill="1" applyBorder="1" applyAlignment="1">
      <alignment horizontal="center" vertical="center" wrapText="1"/>
    </xf>
    <xf numFmtId="0" fontId="8" fillId="0" borderId="1" xfId="0" applyFont="1" applyBorder="1" applyAlignment="1">
      <alignment horizontal="center" vertical="center" wrapText="1"/>
    </xf>
    <xf numFmtId="0" fontId="8" fillId="0" borderId="1" xfId="0" applyFont="1" applyFill="1" applyBorder="1" applyAlignment="1">
      <alignment horizontal="center" vertical="center" wrapText="1"/>
    </xf>
    <xf numFmtId="0" fontId="8" fillId="5" borderId="1" xfId="0" applyFont="1" applyFill="1" applyBorder="1" applyAlignment="1">
      <alignment horizontal="center" vertical="center" wrapText="1"/>
    </xf>
    <xf numFmtId="0" fontId="7" fillId="0" borderId="1" xfId="0" applyFont="1" applyFill="1" applyBorder="1" applyAlignment="1">
      <alignment horizontal="center" vertical="center" wrapText="1"/>
    </xf>
    <xf numFmtId="0" fontId="5" fillId="0" borderId="0" xfId="0" applyFont="1" applyBorder="1"/>
    <xf numFmtId="1" fontId="4" fillId="0" borderId="1" xfId="1" applyNumberFormat="1" applyFont="1" applyFill="1" applyBorder="1" applyAlignment="1">
      <alignment horizontal="center" vertical="center" wrapText="1"/>
    </xf>
    <xf numFmtId="0" fontId="4" fillId="0" borderId="1" xfId="0" applyFont="1" applyFill="1" applyBorder="1" applyAlignment="1">
      <alignment horizontal="center" vertical="center" wrapText="1"/>
    </xf>
    <xf numFmtId="0" fontId="4" fillId="0" borderId="1" xfId="0" applyFont="1" applyFill="1" applyBorder="1" applyAlignment="1">
      <alignment horizontal="left" vertical="center" wrapText="1"/>
    </xf>
    <xf numFmtId="0" fontId="4" fillId="0" borderId="1" xfId="1" applyFont="1" applyFill="1" applyBorder="1" applyAlignment="1">
      <alignment horizontal="center" vertical="center" wrapText="1"/>
    </xf>
    <xf numFmtId="14" fontId="4" fillId="0" borderId="1" xfId="1" applyNumberFormat="1" applyFont="1" applyFill="1" applyBorder="1" applyAlignment="1">
      <alignment horizontal="center" vertical="center" wrapText="1"/>
    </xf>
    <xf numFmtId="0" fontId="5" fillId="7" borderId="1" xfId="0" applyFont="1" applyFill="1" applyBorder="1" applyAlignment="1">
      <alignment horizontal="center" vertical="center" wrapText="1"/>
    </xf>
    <xf numFmtId="0" fontId="5" fillId="8" borderId="1" xfId="0" applyFont="1" applyFill="1" applyBorder="1" applyAlignment="1">
      <alignment horizontal="center" vertical="center" wrapText="1"/>
    </xf>
    <xf numFmtId="0" fontId="5" fillId="10" borderId="1" xfId="0" applyFont="1" applyFill="1" applyBorder="1" applyAlignment="1">
      <alignment horizontal="center" vertical="center" wrapText="1"/>
    </xf>
    <xf numFmtId="0" fontId="5" fillId="10" borderId="1" xfId="0" applyNumberFormat="1" applyFont="1" applyFill="1" applyBorder="1" applyAlignment="1">
      <alignment horizontal="center" vertical="center" wrapText="1"/>
    </xf>
    <xf numFmtId="0" fontId="5" fillId="11" borderId="1" xfId="0" applyFont="1" applyFill="1" applyBorder="1" applyAlignment="1">
      <alignment horizontal="center" vertical="center" wrapText="1"/>
    </xf>
    <xf numFmtId="0" fontId="5" fillId="12" borderId="1" xfId="0" applyFont="1" applyFill="1" applyBorder="1" applyAlignment="1">
      <alignment horizontal="center" vertical="center" wrapText="1"/>
    </xf>
    <xf numFmtId="0" fontId="5" fillId="0" borderId="1" xfId="0" applyFont="1" applyBorder="1" applyAlignment="1">
      <alignment horizontal="center" vertical="center"/>
    </xf>
    <xf numFmtId="0" fontId="5" fillId="0" borderId="0" xfId="0" applyFont="1" applyAlignment="1">
      <alignment horizontal="center" vertical="center"/>
    </xf>
    <xf numFmtId="0" fontId="5" fillId="0" borderId="0" xfId="0" applyFont="1"/>
    <xf numFmtId="0" fontId="5" fillId="0" borderId="0" xfId="0" applyFont="1" applyAlignment="1">
      <alignment horizontal="left"/>
    </xf>
    <xf numFmtId="0" fontId="5" fillId="7" borderId="0" xfId="0" applyFont="1" applyFill="1"/>
    <xf numFmtId="0" fontId="5" fillId="7" borderId="0" xfId="0" applyFont="1" applyFill="1" applyAlignment="1">
      <alignment wrapText="1"/>
    </xf>
    <xf numFmtId="0" fontId="5" fillId="8" borderId="0" xfId="0" applyFont="1" applyFill="1"/>
    <xf numFmtId="0" fontId="5" fillId="9" borderId="0" xfId="0" applyFont="1" applyFill="1"/>
    <xf numFmtId="0" fontId="5" fillId="9" borderId="0" xfId="0" applyFont="1" applyFill="1" applyAlignment="1">
      <alignment wrapText="1"/>
    </xf>
    <xf numFmtId="0" fontId="5" fillId="10" borderId="0" xfId="0" applyFont="1" applyFill="1"/>
    <xf numFmtId="0" fontId="5" fillId="10" borderId="0" xfId="0" applyFont="1" applyFill="1" applyAlignment="1">
      <alignment wrapText="1"/>
    </xf>
    <xf numFmtId="0" fontId="5" fillId="11" borderId="0" xfId="0" applyFont="1" applyFill="1"/>
    <xf numFmtId="0" fontId="5" fillId="11" borderId="0" xfId="0" applyFont="1" applyFill="1" applyAlignment="1">
      <alignment wrapText="1"/>
    </xf>
    <xf numFmtId="0" fontId="5" fillId="12" borderId="0" xfId="0" applyFont="1" applyFill="1"/>
    <xf numFmtId="0" fontId="5" fillId="5" borderId="0" xfId="0" applyFont="1" applyFill="1"/>
    <xf numFmtId="0" fontId="5" fillId="0" borderId="0" xfId="0" applyFont="1" applyBorder="1" applyAlignment="1">
      <alignment vertical="center" wrapText="1"/>
    </xf>
    <xf numFmtId="1" fontId="5" fillId="0" borderId="1" xfId="0" applyNumberFormat="1" applyFont="1" applyBorder="1" applyAlignment="1">
      <alignment horizontal="center" vertical="center" wrapText="1"/>
    </xf>
    <xf numFmtId="1" fontId="4" fillId="0" borderId="1" xfId="0" applyNumberFormat="1" applyFont="1" applyFill="1" applyBorder="1" applyAlignment="1">
      <alignment horizontal="center" vertical="center" wrapText="1"/>
    </xf>
    <xf numFmtId="0" fontId="75" fillId="2" borderId="1" xfId="1" applyFont="1" applyFill="1" applyBorder="1" applyAlignment="1">
      <alignment horizontal="center" vertical="center" wrapText="1"/>
    </xf>
    <xf numFmtId="0" fontId="75" fillId="36" borderId="1" xfId="1" applyFont="1" applyFill="1" applyBorder="1" applyAlignment="1">
      <alignment horizontal="center" vertical="center" wrapText="1"/>
    </xf>
    <xf numFmtId="0" fontId="75" fillId="0" borderId="1" xfId="1" applyFont="1" applyFill="1" applyBorder="1" applyAlignment="1">
      <alignment horizontal="center" vertical="center" wrapText="1"/>
    </xf>
    <xf numFmtId="0" fontId="75" fillId="11" borderId="1" xfId="1" applyFont="1" applyFill="1" applyBorder="1" applyAlignment="1">
      <alignment horizontal="center" vertical="center" wrapText="1"/>
    </xf>
    <xf numFmtId="0" fontId="75" fillId="5" borderId="1" xfId="1" applyFont="1" applyFill="1" applyBorder="1" applyAlignment="1">
      <alignment horizontal="center" vertical="center" wrapText="1"/>
    </xf>
    <xf numFmtId="1" fontId="75" fillId="2" borderId="1" xfId="1" applyNumberFormat="1" applyFont="1" applyFill="1" applyBorder="1" applyAlignment="1">
      <alignment horizontal="center" vertical="center" wrapText="1"/>
    </xf>
    <xf numFmtId="0" fontId="75" fillId="3" borderId="1" xfId="1" applyFont="1" applyFill="1" applyBorder="1" applyAlignment="1">
      <alignment horizontal="left" vertical="center" wrapText="1"/>
    </xf>
    <xf numFmtId="0" fontId="75" fillId="3" borderId="1" xfId="1" applyFont="1" applyFill="1" applyBorder="1" applyAlignment="1">
      <alignment horizontal="center" vertical="center" wrapText="1"/>
    </xf>
    <xf numFmtId="0" fontId="77" fillId="0" borderId="0" xfId="1" applyFont="1" applyFill="1" applyAlignment="1"/>
    <xf numFmtId="0" fontId="75" fillId="0" borderId="1" xfId="1" applyFont="1" applyFill="1" applyBorder="1" applyAlignment="1">
      <alignment horizontal="left" vertical="center" wrapText="1"/>
    </xf>
    <xf numFmtId="0" fontId="0" fillId="0" borderId="0" xfId="0" applyAlignment="1">
      <alignment horizontal="left"/>
    </xf>
    <xf numFmtId="1" fontId="78" fillId="0" borderId="1" xfId="1" applyNumberFormat="1" applyFont="1" applyFill="1" applyBorder="1" applyAlignment="1">
      <alignment horizontal="center" vertical="center"/>
    </xf>
    <xf numFmtId="1" fontId="78" fillId="0" borderId="1" xfId="1" applyNumberFormat="1" applyFont="1" applyFill="1" applyBorder="1" applyAlignment="1">
      <alignment horizontal="center" vertical="center" wrapText="1"/>
    </xf>
    <xf numFmtId="199" fontId="4" fillId="0" borderId="1" xfId="1" applyNumberFormat="1" applyFont="1" applyFill="1" applyBorder="1" applyAlignment="1">
      <alignment horizontal="center" vertical="center" wrapText="1"/>
    </xf>
    <xf numFmtId="0" fontId="1" fillId="0" borderId="0" xfId="1"/>
    <xf numFmtId="0" fontId="1" fillId="0" borderId="0" xfId="1" applyAlignment="1">
      <alignment vertical="center"/>
    </xf>
    <xf numFmtId="0" fontId="80" fillId="0" borderId="0" xfId="1" applyFont="1" applyAlignment="1">
      <alignment vertical="top"/>
    </xf>
    <xf numFmtId="0" fontId="81" fillId="0" borderId="0" xfId="1" applyFont="1"/>
    <xf numFmtId="0" fontId="81" fillId="0" borderId="0" xfId="1" applyFont="1" applyAlignment="1">
      <alignment horizontal="center"/>
    </xf>
    <xf numFmtId="0" fontId="81" fillId="0" borderId="0" xfId="1" applyFont="1" applyBorder="1"/>
    <xf numFmtId="0" fontId="81" fillId="0" borderId="0" xfId="1" applyFont="1" applyFill="1" applyAlignment="1">
      <alignment vertical="center"/>
    </xf>
    <xf numFmtId="0" fontId="80" fillId="0" borderId="0" xfId="1" applyFont="1" applyFill="1" applyBorder="1" applyAlignment="1">
      <alignment vertical="center"/>
    </xf>
    <xf numFmtId="0" fontId="81" fillId="0" borderId="0" xfId="1" applyFont="1" applyBorder="1" applyAlignment="1">
      <alignment vertical="center"/>
    </xf>
    <xf numFmtId="0" fontId="80" fillId="0" borderId="0" xfId="1" applyFont="1" applyAlignment="1"/>
    <xf numFmtId="0" fontId="80" fillId="0" borderId="0" xfId="1" applyFont="1" applyAlignment="1">
      <alignment horizontal="center" vertical="top" wrapText="1"/>
    </xf>
    <xf numFmtId="0" fontId="80" fillId="0" borderId="0" xfId="1" applyFont="1" applyAlignment="1">
      <alignment horizontal="left"/>
    </xf>
    <xf numFmtId="0" fontId="1" fillId="0" borderId="0" xfId="1" applyFont="1"/>
    <xf numFmtId="0" fontId="80" fillId="0" borderId="0" xfId="1" applyFont="1" applyAlignment="1">
      <alignment horizontal="center"/>
    </xf>
    <xf numFmtId="0" fontId="1" fillId="0" borderId="0" xfId="1" applyAlignment="1">
      <alignment horizontal="left"/>
    </xf>
    <xf numFmtId="0" fontId="83" fillId="0" borderId="0" xfId="1" applyFont="1"/>
    <xf numFmtId="49" fontId="1" fillId="0" borderId="0" xfId="1" applyNumberFormat="1" applyFont="1"/>
    <xf numFmtId="49" fontId="1" fillId="0" borderId="0" xfId="1" applyNumberFormat="1"/>
    <xf numFmtId="0" fontId="4" fillId="0" borderId="0" xfId="1" applyFont="1"/>
    <xf numFmtId="0" fontId="7" fillId="0" borderId="0" xfId="1" applyFont="1" applyAlignment="1"/>
    <xf numFmtId="0" fontId="1" fillId="0" borderId="0" xfId="1" applyAlignment="1">
      <alignment horizontal="center" vertical="center"/>
    </xf>
    <xf numFmtId="0" fontId="4" fillId="0" borderId="0" xfId="1" applyFont="1" applyAlignment="1">
      <alignment vertical="center"/>
    </xf>
    <xf numFmtId="0" fontId="4" fillId="0" borderId="0" xfId="1" applyFont="1" applyAlignment="1">
      <alignment horizontal="center" vertical="center"/>
    </xf>
    <xf numFmtId="0" fontId="4" fillId="0" borderId="0" xfId="1" applyFont="1" applyAlignment="1"/>
    <xf numFmtId="14" fontId="1" fillId="0" borderId="0" xfId="1" applyNumberFormat="1"/>
    <xf numFmtId="0" fontId="81" fillId="0" borderId="0" xfId="1" applyFont="1" applyAlignment="1">
      <alignment vertical="top" wrapText="1"/>
    </xf>
    <xf numFmtId="0" fontId="4" fillId="0" borderId="0" xfId="1" applyFont="1" applyBorder="1"/>
    <xf numFmtId="0" fontId="1" fillId="0" borderId="0" xfId="1" applyBorder="1"/>
    <xf numFmtId="0" fontId="79" fillId="0" borderId="0" xfId="0" applyFont="1"/>
    <xf numFmtId="0" fontId="8" fillId="0" borderId="0" xfId="0" applyFont="1" applyAlignment="1">
      <alignment vertical="center"/>
    </xf>
    <xf numFmtId="0" fontId="79" fillId="0" borderId="0" xfId="0" applyFont="1" applyAlignment="1">
      <alignment vertical="center" wrapText="1"/>
    </xf>
    <xf numFmtId="0" fontId="79" fillId="0" borderId="0" xfId="0" applyFont="1" applyAlignment="1">
      <alignment vertical="center"/>
    </xf>
    <xf numFmtId="0" fontId="85" fillId="0" borderId="0" xfId="1" applyFont="1" applyBorder="1" applyAlignment="1">
      <alignment horizontal="center" vertical="top" wrapText="1"/>
    </xf>
    <xf numFmtId="0" fontId="80" fillId="0" borderId="0" xfId="1" applyFont="1" applyAlignment="1">
      <alignment horizontal="center"/>
    </xf>
    <xf numFmtId="0" fontId="4" fillId="0" borderId="0" xfId="1" applyFont="1" applyBorder="1" applyAlignment="1">
      <alignment vertical="top" wrapText="1"/>
    </xf>
    <xf numFmtId="0" fontId="4" fillId="0" borderId="0" xfId="1" applyFont="1" applyBorder="1" applyAlignment="1">
      <alignment vertical="center" wrapText="1"/>
    </xf>
    <xf numFmtId="0" fontId="4" fillId="0" borderId="0" xfId="1" applyFont="1" applyBorder="1" applyAlignment="1"/>
    <xf numFmtId="0" fontId="4" fillId="0" borderId="0" xfId="1" applyNumberFormat="1" applyFont="1" applyBorder="1" applyAlignment="1">
      <alignment vertical="top" wrapText="1"/>
    </xf>
    <xf numFmtId="0" fontId="85" fillId="0" borderId="0" xfId="1" applyFont="1" applyBorder="1" applyAlignment="1">
      <alignment horizontal="left" vertical="top" wrapText="1"/>
    </xf>
    <xf numFmtId="0" fontId="85" fillId="0" borderId="0" xfId="1" applyFont="1" applyBorder="1" applyAlignment="1">
      <alignment horizontal="center"/>
    </xf>
    <xf numFmtId="0" fontId="79" fillId="0" borderId="0" xfId="0" applyFont="1" applyAlignment="1">
      <alignment horizontal="left"/>
    </xf>
    <xf numFmtId="0" fontId="2" fillId="0" borderId="0" xfId="0" applyFont="1"/>
    <xf numFmtId="0" fontId="84" fillId="0" borderId="0" xfId="1" applyFont="1" applyAlignment="1">
      <alignment vertical="top" wrapText="1"/>
    </xf>
    <xf numFmtId="0" fontId="0" fillId="0" borderId="0" xfId="0" applyAlignment="1">
      <alignment vertical="top"/>
    </xf>
    <xf numFmtId="0" fontId="5" fillId="0" borderId="1" xfId="0" applyFont="1" applyBorder="1" applyAlignment="1">
      <alignment horizontal="center" vertical="center" wrapText="1"/>
    </xf>
    <xf numFmtId="0" fontId="5" fillId="9" borderId="1" xfId="0" applyFont="1" applyFill="1" applyBorder="1" applyAlignment="1">
      <alignment horizontal="center" vertical="center" wrapText="1"/>
    </xf>
    <xf numFmtId="200" fontId="5" fillId="0" borderId="1" xfId="0" applyNumberFormat="1" applyFont="1" applyBorder="1" applyAlignment="1">
      <alignment horizontal="center" vertical="center" wrapText="1"/>
    </xf>
    <xf numFmtId="0" fontId="5" fillId="7" borderId="1" xfId="0" applyNumberFormat="1" applyFont="1" applyFill="1" applyBorder="1" applyAlignment="1">
      <alignment horizontal="center" vertical="center" wrapText="1"/>
    </xf>
    <xf numFmtId="0" fontId="5" fillId="0" borderId="1" xfId="0" applyFont="1" applyFill="1" applyBorder="1" applyAlignment="1">
      <alignment horizontal="center" vertical="center" wrapText="1"/>
    </xf>
    <xf numFmtId="0" fontId="5" fillId="8" borderId="1" xfId="0" applyNumberFormat="1" applyFont="1" applyFill="1" applyBorder="1" applyAlignment="1">
      <alignment horizontal="center" vertical="center" wrapText="1"/>
    </xf>
    <xf numFmtId="0" fontId="5" fillId="11" borderId="1" xfId="0" applyNumberFormat="1" applyFont="1" applyFill="1" applyBorder="1" applyAlignment="1">
      <alignment horizontal="center" vertical="center" wrapText="1"/>
    </xf>
    <xf numFmtId="0" fontId="5" fillId="12" borderId="1" xfId="0" applyNumberFormat="1" applyFont="1" applyFill="1" applyBorder="1" applyAlignment="1">
      <alignment horizontal="center" vertical="center" wrapText="1"/>
    </xf>
    <xf numFmtId="0" fontId="5" fillId="5" borderId="1" xfId="0" applyFont="1" applyFill="1" applyBorder="1" applyAlignment="1">
      <alignment horizontal="center" vertical="center" wrapText="1"/>
    </xf>
    <xf numFmtId="0" fontId="4" fillId="0" borderId="1" xfId="0" applyFont="1" applyBorder="1" applyAlignment="1">
      <alignment horizontal="center" vertical="center" wrapText="1"/>
    </xf>
    <xf numFmtId="0" fontId="92" fillId="5" borderId="1" xfId="0" applyFont="1" applyFill="1" applyBorder="1" applyAlignment="1" applyProtection="1">
      <alignment horizontal="center" vertical="center" wrapText="1"/>
      <protection locked="0"/>
    </xf>
    <xf numFmtId="49" fontId="9" fillId="0" borderId="1" xfId="0" applyNumberFormat="1" applyFont="1" applyBorder="1" applyAlignment="1">
      <alignment horizontal="center" vertical="center" wrapText="1"/>
    </xf>
    <xf numFmtId="0" fontId="5" fillId="0" borderId="0" xfId="0" applyFont="1" applyAlignment="1">
      <alignment vertical="center"/>
    </xf>
    <xf numFmtId="0" fontId="5" fillId="0" borderId="0" xfId="0" applyNumberFormat="1" applyFont="1" applyAlignment="1">
      <alignment vertical="center"/>
    </xf>
    <xf numFmtId="14" fontId="5" fillId="0" borderId="0" xfId="0" applyNumberFormat="1" applyFont="1" applyAlignment="1">
      <alignment vertical="center"/>
    </xf>
    <xf numFmtId="0" fontId="79" fillId="0" borderId="0" xfId="0" quotePrefix="1" applyFont="1" applyAlignment="1">
      <alignment vertical="center"/>
    </xf>
    <xf numFmtId="0" fontId="88" fillId="0" borderId="0" xfId="0" applyFont="1" applyAlignment="1">
      <alignment vertical="center"/>
    </xf>
    <xf numFmtId="0" fontId="5" fillId="0" borderId="0" xfId="0" applyFont="1" applyBorder="1" applyAlignment="1">
      <alignment vertical="center"/>
    </xf>
    <xf numFmtId="0" fontId="0" fillId="0" borderId="0" xfId="0" applyAlignment="1">
      <alignment wrapText="1"/>
    </xf>
    <xf numFmtId="0" fontId="81" fillId="0" borderId="11" xfId="1" applyFont="1" applyBorder="1"/>
    <xf numFmtId="0" fontId="81" fillId="0" borderId="0" xfId="1" applyFont="1" applyAlignment="1">
      <alignment horizontal="center" vertical="center"/>
    </xf>
    <xf numFmtId="0" fontId="81" fillId="0" borderId="0" xfId="1" applyFont="1" applyAlignment="1">
      <alignment vertical="center"/>
    </xf>
    <xf numFmtId="0" fontId="80" fillId="0" borderId="0" xfId="1" applyFont="1" applyAlignment="1">
      <alignment horizontal="left" vertical="center"/>
    </xf>
    <xf numFmtId="0" fontId="80" fillId="0" borderId="0" xfId="1" applyFont="1" applyAlignment="1">
      <alignment vertical="center"/>
    </xf>
    <xf numFmtId="0" fontId="80" fillId="0" borderId="0" xfId="1" applyFont="1" applyAlignment="1">
      <alignment horizontal="center" vertical="center" wrapText="1"/>
    </xf>
    <xf numFmtId="0" fontId="81" fillId="0" borderId="11" xfId="1" applyFont="1" applyBorder="1" applyAlignment="1">
      <alignment vertical="center"/>
    </xf>
    <xf numFmtId="0" fontId="1" fillId="0" borderId="0" xfId="1" applyBorder="1" applyAlignment="1">
      <alignment vertical="center"/>
    </xf>
    <xf numFmtId="0" fontId="1" fillId="0" borderId="11" xfId="1" applyBorder="1" applyAlignment="1">
      <alignment vertical="center"/>
    </xf>
    <xf numFmtId="0" fontId="1" fillId="0" borderId="0" xfId="1" applyNumberFormat="1" applyAlignment="1"/>
    <xf numFmtId="0" fontId="1" fillId="0" borderId="0" xfId="1" applyFont="1" applyAlignment="1">
      <alignment wrapText="1"/>
    </xf>
    <xf numFmtId="0" fontId="8" fillId="37" borderId="14" xfId="0" applyFont="1" applyFill="1" applyBorder="1" applyAlignment="1">
      <alignment horizontal="center" vertical="center" wrapText="1"/>
    </xf>
    <xf numFmtId="0" fontId="5" fillId="0" borderId="0" xfId="0" applyFont="1" applyBorder="1" applyAlignment="1">
      <alignment horizontal="center" vertical="center" wrapText="1"/>
    </xf>
    <xf numFmtId="0" fontId="6" fillId="3" borderId="2" xfId="1" applyFont="1" applyFill="1" applyBorder="1" applyAlignment="1">
      <alignment horizontal="center" vertical="center" wrapText="1"/>
    </xf>
    <xf numFmtId="0" fontId="5" fillId="0" borderId="1" xfId="0" applyFont="1" applyBorder="1"/>
    <xf numFmtId="3" fontId="5" fillId="0" borderId="0" xfId="0" applyNumberFormat="1" applyFont="1" applyAlignment="1">
      <alignment vertical="center"/>
    </xf>
    <xf numFmtId="0" fontId="5" fillId="0" borderId="0" xfId="0" applyFont="1" applyBorder="1" applyAlignment="1">
      <alignment horizontal="center" vertical="center"/>
    </xf>
    <xf numFmtId="1" fontId="78" fillId="0" borderId="1" xfId="1" applyNumberFormat="1" applyFont="1" applyFill="1" applyBorder="1" applyAlignment="1">
      <alignment horizontal="left" vertical="center"/>
    </xf>
    <xf numFmtId="200" fontId="78" fillId="0" borderId="1" xfId="1" applyNumberFormat="1" applyFont="1" applyFill="1" applyBorder="1" applyAlignment="1">
      <alignment horizontal="left" vertical="center"/>
    </xf>
    <xf numFmtId="0" fontId="78" fillId="0" borderId="1" xfId="1" applyFont="1" applyFill="1" applyBorder="1" applyAlignment="1">
      <alignment horizontal="left" vertical="center"/>
    </xf>
    <xf numFmtId="2" fontId="78" fillId="0" borderId="1" xfId="1" applyNumberFormat="1" applyFont="1" applyFill="1" applyBorder="1" applyAlignment="1">
      <alignment horizontal="left" vertical="center"/>
    </xf>
    <xf numFmtId="2" fontId="78" fillId="0" borderId="1" xfId="1" applyNumberFormat="1" applyFont="1" applyFill="1" applyBorder="1" applyAlignment="1">
      <alignment horizontal="left" vertical="center" wrapText="1"/>
    </xf>
    <xf numFmtId="14" fontId="78" fillId="0" borderId="1" xfId="1" applyNumberFormat="1" applyFont="1" applyFill="1" applyBorder="1" applyAlignment="1">
      <alignment horizontal="left" vertical="center" wrapText="1"/>
    </xf>
    <xf numFmtId="0" fontId="78" fillId="0" borderId="1" xfId="1" applyFont="1" applyFill="1" applyBorder="1" applyAlignment="1">
      <alignment horizontal="left" vertical="center" wrapText="1"/>
    </xf>
    <xf numFmtId="168" fontId="76" fillId="0" borderId="1" xfId="2" applyNumberFormat="1" applyFont="1" applyFill="1" applyBorder="1" applyAlignment="1">
      <alignment horizontal="left" vertical="center"/>
    </xf>
    <xf numFmtId="0" fontId="79" fillId="40" borderId="0" xfId="0" applyFont="1" applyFill="1"/>
    <xf numFmtId="0" fontId="79" fillId="39" borderId="13" xfId="0" applyFont="1" applyFill="1" applyBorder="1" applyAlignment="1">
      <alignment horizontal="center"/>
    </xf>
    <xf numFmtId="0" fontId="1" fillId="0" borderId="0" xfId="1" applyBorder="1" applyAlignment="1">
      <alignment horizontal="left"/>
    </xf>
    <xf numFmtId="0" fontId="2" fillId="38" borderId="2" xfId="0" applyFont="1" applyFill="1" applyBorder="1" applyAlignment="1">
      <alignment horizontal="center" vertical="center" wrapText="1"/>
    </xf>
    <xf numFmtId="0" fontId="6" fillId="38" borderId="2" xfId="0" applyFont="1" applyFill="1" applyBorder="1" applyAlignment="1">
      <alignment horizontal="center" vertical="center" wrapText="1"/>
    </xf>
    <xf numFmtId="49" fontId="6" fillId="38" borderId="2" xfId="0" applyNumberFormat="1" applyFont="1" applyFill="1" applyBorder="1" applyAlignment="1">
      <alignment horizontal="center" vertical="center" wrapText="1"/>
    </xf>
    <xf numFmtId="0" fontId="79" fillId="0" borderId="0" xfId="0" applyFont="1" applyFill="1" applyBorder="1" applyAlignment="1">
      <alignment horizontal="center" vertical="center" wrapText="1"/>
    </xf>
    <xf numFmtId="0" fontId="79" fillId="0" borderId="0" xfId="0" applyFont="1" applyBorder="1"/>
    <xf numFmtId="0" fontId="79" fillId="0" borderId="0" xfId="0" applyNumberFormat="1" applyFont="1" applyFill="1" applyBorder="1" applyAlignment="1">
      <alignment horizontal="center" vertical="center" wrapText="1"/>
    </xf>
    <xf numFmtId="0" fontId="85" fillId="0" borderId="0" xfId="0" applyFont="1" applyFill="1" applyBorder="1" applyAlignment="1">
      <alignment horizontal="center" vertical="center" wrapText="1"/>
    </xf>
    <xf numFmtId="0" fontId="85" fillId="0" borderId="0" xfId="1" applyFont="1" applyBorder="1" applyAlignment="1">
      <alignment horizontal="center" vertical="center" wrapText="1"/>
    </xf>
    <xf numFmtId="0" fontId="6" fillId="0" borderId="0" xfId="1" applyFont="1" applyBorder="1" applyAlignment="1">
      <alignment horizontal="center" vertical="top"/>
    </xf>
    <xf numFmtId="0" fontId="97" fillId="0" borderId="0" xfId="0" applyFont="1" applyAlignment="1">
      <alignment wrapText="1"/>
    </xf>
    <xf numFmtId="0" fontId="83" fillId="0" borderId="0" xfId="1" applyFont="1" applyAlignment="1">
      <alignment horizontal="left" vertical="center"/>
    </xf>
    <xf numFmtId="201" fontId="5" fillId="3" borderId="1" xfId="0" applyNumberFormat="1" applyFont="1" applyFill="1" applyBorder="1" applyAlignment="1">
      <alignment horizontal="center" vertical="center" wrapText="1"/>
    </xf>
    <xf numFmtId="1" fontId="99" fillId="2" borderId="1" xfId="1" applyNumberFormat="1" applyFont="1" applyFill="1" applyBorder="1" applyAlignment="1">
      <alignment horizontal="center" vertical="center" wrapText="1"/>
    </xf>
    <xf numFmtId="1" fontId="25" fillId="0" borderId="1" xfId="1" applyNumberFormat="1" applyFont="1" applyFill="1" applyBorder="1" applyAlignment="1">
      <alignment horizontal="center" vertical="center" wrapText="1"/>
    </xf>
    <xf numFmtId="0" fontId="38" fillId="0" borderId="0" xfId="1" applyFont="1" applyFill="1" applyAlignment="1">
      <alignment horizontal="center"/>
    </xf>
    <xf numFmtId="0" fontId="100" fillId="6" borderId="1" xfId="0" applyFont="1" applyFill="1" applyBorder="1" applyAlignment="1">
      <alignment horizontal="center" vertical="center" wrapText="1"/>
    </xf>
    <xf numFmtId="1" fontId="25" fillId="0" borderId="1" xfId="0" applyNumberFormat="1" applyFont="1" applyFill="1" applyBorder="1" applyAlignment="1">
      <alignment horizontal="center" vertical="center" wrapText="1"/>
    </xf>
    <xf numFmtId="0" fontId="101" fillId="0" borderId="0" xfId="0" applyFont="1"/>
    <xf numFmtId="201" fontId="5" fillId="0" borderId="1" xfId="0" applyNumberFormat="1" applyFont="1" applyBorder="1" applyAlignment="1">
      <alignment horizontal="center" vertical="center"/>
    </xf>
    <xf numFmtId="201" fontId="5" fillId="0" borderId="0" xfId="0" applyNumberFormat="1" applyFont="1" applyBorder="1" applyAlignment="1">
      <alignment horizontal="center" vertical="center"/>
    </xf>
    <xf numFmtId="0" fontId="102" fillId="0" borderId="1" xfId="0" applyFont="1" applyBorder="1" applyAlignment="1">
      <alignment horizontal="center" vertical="center" wrapText="1"/>
    </xf>
    <xf numFmtId="0" fontId="79" fillId="0" borderId="0" xfId="0" applyFont="1" applyAlignment="1">
      <alignment horizontal="left" vertical="center"/>
    </xf>
    <xf numFmtId="0" fontId="103" fillId="0" borderId="1" xfId="0" applyFont="1" applyBorder="1" applyAlignment="1">
      <alignment horizontal="center" vertical="center"/>
    </xf>
    <xf numFmtId="0" fontId="1" fillId="0" borderId="0" xfId="1" applyFill="1" applyAlignment="1">
      <alignment horizontal="center" vertical="center"/>
    </xf>
    <xf numFmtId="14" fontId="79" fillId="0" borderId="0" xfId="0" applyNumberFormat="1" applyFont="1" applyFill="1" applyBorder="1" applyAlignment="1">
      <alignment horizontal="center" vertical="center"/>
    </xf>
    <xf numFmtId="0" fontId="79" fillId="40" borderId="0" xfId="0" applyFont="1" applyFill="1" applyAlignment="1">
      <alignment horizontal="center" vertical="center"/>
    </xf>
    <xf numFmtId="0" fontId="79" fillId="0" borderId="0" xfId="0" applyFont="1" applyAlignment="1">
      <alignment horizontal="center" vertical="center"/>
    </xf>
    <xf numFmtId="0" fontId="79" fillId="39" borderId="13" xfId="0" applyFont="1" applyFill="1" applyBorder="1" applyAlignment="1">
      <alignment horizontal="center" vertical="center"/>
    </xf>
    <xf numFmtId="0" fontId="79" fillId="0" borderId="0" xfId="0" applyFont="1" applyBorder="1" applyAlignment="1">
      <alignment horizontal="left" vertical="center"/>
    </xf>
    <xf numFmtId="0" fontId="79" fillId="40" borderId="0" xfId="0" applyFont="1" applyFill="1" applyAlignment="1" applyProtection="1">
      <alignment horizontal="center" vertical="center"/>
      <protection locked="0"/>
    </xf>
    <xf numFmtId="0" fontId="79" fillId="0" borderId="0" xfId="0" applyFont="1" applyBorder="1" applyAlignment="1">
      <alignment horizontal="center" vertical="center"/>
    </xf>
    <xf numFmtId="0" fontId="79" fillId="40" borderId="0" xfId="0" applyFont="1" applyFill="1" applyAlignment="1" applyProtection="1">
      <alignment horizontal="left"/>
      <protection locked="0"/>
    </xf>
    <xf numFmtId="0" fontId="79" fillId="39" borderId="13" xfId="0" applyFont="1" applyFill="1" applyBorder="1" applyAlignment="1">
      <alignment horizontal="left"/>
    </xf>
    <xf numFmtId="0" fontId="2" fillId="38" borderId="12" xfId="0" applyFont="1" applyFill="1" applyBorder="1" applyAlignment="1">
      <alignment horizontal="left" vertical="center" wrapText="1"/>
    </xf>
    <xf numFmtId="0" fontId="79" fillId="0" borderId="0" xfId="0" applyFont="1" applyFill="1" applyBorder="1" applyAlignment="1">
      <alignment horizontal="left" vertical="center" wrapText="1"/>
    </xf>
    <xf numFmtId="0" fontId="79" fillId="0" borderId="0" xfId="0" applyFont="1" applyBorder="1" applyAlignment="1">
      <alignment horizontal="left"/>
    </xf>
    <xf numFmtId="0" fontId="2" fillId="38" borderId="12" xfId="0" applyFont="1" applyFill="1" applyBorder="1" applyAlignment="1">
      <alignment horizontal="center" vertical="center" wrapText="1"/>
    </xf>
    <xf numFmtId="0" fontId="102" fillId="0" borderId="1" xfId="0" applyFont="1" applyBorder="1" applyAlignment="1">
      <alignment horizontal="left" vertical="center" wrapText="1"/>
    </xf>
    <xf numFmtId="0" fontId="102" fillId="0" borderId="14" xfId="0" applyFont="1" applyBorder="1" applyAlignment="1">
      <alignment horizontal="center" vertical="center" wrapText="1"/>
    </xf>
    <xf numFmtId="0" fontId="104" fillId="0" borderId="1" xfId="0" applyFont="1" applyBorder="1" applyAlignment="1">
      <alignment horizontal="center" vertical="center" wrapText="1"/>
    </xf>
    <xf numFmtId="0" fontId="106" fillId="0" borderId="1" xfId="0" applyFont="1" applyBorder="1" applyAlignment="1">
      <alignment horizontal="center" vertical="center" wrapText="1"/>
    </xf>
    <xf numFmtId="0" fontId="106" fillId="0" borderId="1" xfId="0" applyFont="1" applyBorder="1" applyAlignment="1">
      <alignment horizontal="justify" vertical="center" wrapText="1"/>
    </xf>
    <xf numFmtId="0" fontId="105" fillId="41" borderId="1" xfId="0" applyFont="1" applyFill="1" applyBorder="1" applyAlignment="1">
      <alignment horizontal="center" vertical="center" wrapText="1"/>
    </xf>
    <xf numFmtId="0" fontId="4" fillId="3" borderId="1" xfId="0" applyFont="1" applyFill="1" applyBorder="1" applyAlignment="1">
      <alignment horizontal="center" vertical="center" wrapText="1"/>
    </xf>
    <xf numFmtId="0" fontId="5" fillId="3" borderId="1" xfId="0" applyFont="1" applyFill="1" applyBorder="1" applyAlignment="1">
      <alignment horizontal="center" vertical="center" wrapText="1"/>
    </xf>
    <xf numFmtId="0" fontId="5" fillId="3" borderId="0" xfId="0" applyFont="1" applyFill="1" applyBorder="1" applyAlignment="1">
      <alignment horizontal="center" vertical="center" wrapText="1"/>
    </xf>
    <xf numFmtId="201" fontId="6" fillId="3" borderId="1" xfId="1" applyNumberFormat="1" applyFont="1" applyFill="1" applyBorder="1" applyAlignment="1">
      <alignment horizontal="center" vertical="center" wrapText="1"/>
    </xf>
    <xf numFmtId="199" fontId="78" fillId="0" borderId="1" xfId="1" applyNumberFormat="1" applyFont="1" applyFill="1" applyBorder="1" applyAlignment="1">
      <alignment horizontal="left" vertical="center" wrapText="1"/>
    </xf>
    <xf numFmtId="0" fontId="5" fillId="0" borderId="0" xfId="0" applyFont="1" applyAlignment="1">
      <alignment horizontal="center" vertical="center"/>
    </xf>
    <xf numFmtId="0" fontId="109" fillId="5" borderId="1" xfId="0" applyFont="1" applyFill="1" applyBorder="1" applyAlignment="1" applyProtection="1">
      <alignment horizontal="center" vertical="center" wrapText="1"/>
      <protection locked="0"/>
    </xf>
    <xf numFmtId="0" fontId="109" fillId="11" borderId="1" xfId="0" applyFont="1" applyFill="1" applyBorder="1" applyAlignment="1" applyProtection="1">
      <alignment horizontal="center" vertical="center" wrapText="1"/>
      <protection locked="0"/>
    </xf>
    <xf numFmtId="0" fontId="0" fillId="0" borderId="0" xfId="0" applyAlignment="1">
      <alignment horizontal="center"/>
    </xf>
    <xf numFmtId="14" fontId="0" fillId="0" borderId="0" xfId="0" applyNumberFormat="1"/>
    <xf numFmtId="0" fontId="1" fillId="0" borderId="0" xfId="1" applyFill="1" applyAlignment="1">
      <alignment horizontal="center" vertical="center" wrapText="1"/>
    </xf>
    <xf numFmtId="0" fontId="1" fillId="0" borderId="0" xfId="1" applyFill="1" applyAlignment="1">
      <alignment vertical="center" wrapText="1"/>
    </xf>
    <xf numFmtId="1" fontId="76" fillId="0" borderId="1" xfId="0" applyNumberFormat="1" applyFont="1" applyBorder="1" applyAlignment="1">
      <alignment horizontal="center" vertical="center" wrapText="1"/>
    </xf>
    <xf numFmtId="0" fontId="76" fillId="0" borderId="1" xfId="0" applyFont="1" applyBorder="1" applyAlignment="1">
      <alignment vertical="center" wrapText="1"/>
    </xf>
    <xf numFmtId="1" fontId="76" fillId="0" borderId="1" xfId="0" applyNumberFormat="1" applyFont="1" applyBorder="1" applyAlignment="1">
      <alignment vertical="center" wrapText="1"/>
    </xf>
    <xf numFmtId="0" fontId="76" fillId="3" borderId="1" xfId="0" applyFont="1" applyFill="1" applyBorder="1" applyAlignment="1">
      <alignment vertical="center" wrapText="1"/>
    </xf>
    <xf numFmtId="0" fontId="76" fillId="35" borderId="1" xfId="0" applyFont="1" applyFill="1" applyBorder="1" applyAlignment="1">
      <alignment horizontal="center" vertical="center" wrapText="1"/>
    </xf>
    <xf numFmtId="0" fontId="76" fillId="3" borderId="1" xfId="0" applyFont="1" applyFill="1" applyBorder="1" applyAlignment="1">
      <alignment horizontal="center" vertical="center" wrapText="1"/>
    </xf>
    <xf numFmtId="0" fontId="76" fillId="0" borderId="1" xfId="0" applyFont="1" applyBorder="1" applyAlignment="1">
      <alignment horizontal="center" vertical="center" wrapText="1"/>
    </xf>
    <xf numFmtId="0" fontId="76" fillId="0" borderId="1" xfId="0" applyFont="1" applyFill="1" applyBorder="1" applyAlignment="1">
      <alignment horizontal="center" vertical="center" wrapText="1"/>
    </xf>
    <xf numFmtId="0" fontId="76" fillId="0" borderId="1" xfId="0" applyFont="1" applyFill="1" applyBorder="1" applyAlignment="1">
      <alignment horizontal="left" vertical="center" wrapText="1"/>
    </xf>
    <xf numFmtId="0" fontId="76" fillId="0" borderId="1" xfId="0" applyFont="1" applyFill="1" applyBorder="1" applyAlignment="1">
      <alignment vertical="center" wrapText="1"/>
    </xf>
    <xf numFmtId="2" fontId="79" fillId="0" borderId="1" xfId="0" applyNumberFormat="1" applyFont="1" applyBorder="1" applyAlignment="1">
      <alignment vertical="center" wrapText="1"/>
    </xf>
    <xf numFmtId="0" fontId="75" fillId="43" borderId="1" xfId="1" applyFont="1" applyFill="1" applyBorder="1" applyAlignment="1">
      <alignment horizontal="center" vertical="center" wrapText="1"/>
    </xf>
    <xf numFmtId="0" fontId="75" fillId="44" borderId="1" xfId="1" applyFont="1" applyFill="1" applyBorder="1" applyAlignment="1">
      <alignment horizontal="center" vertical="center" wrapText="1"/>
    </xf>
    <xf numFmtId="0" fontId="75" fillId="45" borderId="1" xfId="1" applyFont="1" applyFill="1" applyBorder="1" applyAlignment="1">
      <alignment horizontal="center" vertical="center" wrapText="1"/>
    </xf>
    <xf numFmtId="0" fontId="2" fillId="46" borderId="1" xfId="0" applyFont="1" applyFill="1" applyBorder="1" applyAlignment="1">
      <alignment vertical="center" wrapText="1"/>
    </xf>
    <xf numFmtId="0" fontId="110" fillId="46" borderId="1" xfId="0" applyFont="1" applyFill="1" applyBorder="1" applyAlignment="1">
      <alignment vertical="center" wrapText="1"/>
    </xf>
    <xf numFmtId="0" fontId="113" fillId="7" borderId="0" xfId="0" applyFont="1" applyFill="1"/>
    <xf numFmtId="0" fontId="113" fillId="7" borderId="0" xfId="0" applyFont="1" applyFill="1" applyAlignment="1">
      <alignment horizontal="center" vertical="center"/>
    </xf>
    <xf numFmtId="0" fontId="113" fillId="7" borderId="0" xfId="0" applyFont="1" applyFill="1" applyAlignment="1">
      <alignment horizontal="left" vertical="center" wrapText="1"/>
    </xf>
    <xf numFmtId="0" fontId="113" fillId="7" borderId="0" xfId="0" applyFont="1" applyFill="1" applyAlignment="1">
      <alignment horizontal="center" vertical="center" wrapText="1"/>
    </xf>
    <xf numFmtId="0" fontId="113" fillId="0" borderId="0" xfId="0" applyFont="1"/>
    <xf numFmtId="0" fontId="0" fillId="0" borderId="0" xfId="0" applyAlignment="1">
      <alignment horizontal="right"/>
    </xf>
    <xf numFmtId="0" fontId="0" fillId="0" borderId="0" xfId="0" applyAlignment="1">
      <alignment horizontal="center" vertical="center"/>
    </xf>
    <xf numFmtId="0" fontId="114" fillId="0" borderId="0" xfId="0" applyFont="1"/>
    <xf numFmtId="0" fontId="114" fillId="0" borderId="0" xfId="0" applyFont="1" applyAlignment="1">
      <alignment horizontal="center" vertical="center"/>
    </xf>
    <xf numFmtId="0" fontId="114" fillId="0" borderId="0" xfId="0" applyFont="1" applyAlignment="1">
      <alignment horizontal="left" vertical="center" wrapText="1"/>
    </xf>
    <xf numFmtId="14" fontId="114" fillId="0" borderId="0" xfId="0" applyNumberFormat="1" applyFont="1" applyAlignment="1">
      <alignment horizontal="center" vertical="center"/>
    </xf>
    <xf numFmtId="0" fontId="114" fillId="0" borderId="0" xfId="0" applyFont="1" applyAlignment="1">
      <alignment horizontal="center" vertical="center" wrapText="1"/>
    </xf>
    <xf numFmtId="0" fontId="114" fillId="0" borderId="0" xfId="0" applyFont="1" applyAlignment="1">
      <alignment vertical="center"/>
    </xf>
    <xf numFmtId="0" fontId="109" fillId="47" borderId="1" xfId="0" applyFont="1" applyFill="1" applyBorder="1" applyAlignment="1" applyProtection="1">
      <alignment horizontal="center" vertical="center" wrapText="1"/>
      <protection locked="0"/>
    </xf>
    <xf numFmtId="0" fontId="2" fillId="44" borderId="1" xfId="1" applyFont="1" applyFill="1" applyBorder="1" applyAlignment="1">
      <alignment horizontal="center" vertical="center" wrapText="1"/>
    </xf>
    <xf numFmtId="0" fontId="2" fillId="48" borderId="1" xfId="1" applyFont="1" applyFill="1" applyBorder="1" applyAlignment="1">
      <alignment horizontal="center" vertical="center" wrapText="1"/>
    </xf>
    <xf numFmtId="0" fontId="2" fillId="49" borderId="1" xfId="1" applyFont="1" applyFill="1" applyBorder="1" applyAlignment="1">
      <alignment horizontal="center" vertical="center" wrapText="1"/>
    </xf>
    <xf numFmtId="1" fontId="2" fillId="49" borderId="1" xfId="1" applyNumberFormat="1" applyFont="1" applyFill="1" applyBorder="1" applyAlignment="1">
      <alignment horizontal="center" vertical="center" wrapText="1"/>
    </xf>
    <xf numFmtId="0" fontId="115" fillId="11" borderId="0" xfId="0" applyFont="1" applyFill="1" applyAlignment="1">
      <alignment horizontal="center"/>
    </xf>
    <xf numFmtId="0" fontId="115" fillId="0" borderId="0" xfId="0" applyFont="1"/>
    <xf numFmtId="0" fontId="116" fillId="0" borderId="0" xfId="0" applyFont="1" applyAlignment="1">
      <alignment horizontal="center"/>
    </xf>
    <xf numFmtId="0" fontId="116" fillId="0" borderId="0" xfId="0" applyFont="1" applyAlignment="1">
      <alignment vertical="center" wrapText="1"/>
    </xf>
    <xf numFmtId="0" fontId="116" fillId="0" borderId="0" xfId="0" applyFont="1"/>
    <xf numFmtId="0" fontId="116" fillId="0" borderId="0" xfId="0" applyFont="1" applyAlignment="1">
      <alignment horizontal="center" vertical="center" wrapText="1"/>
    </xf>
    <xf numFmtId="0" fontId="117" fillId="7" borderId="0" xfId="0" applyFont="1" applyFill="1" applyAlignment="1">
      <alignment horizontal="center" vertical="center"/>
    </xf>
    <xf numFmtId="0" fontId="117" fillId="7" borderId="0" xfId="0" applyFont="1" applyFill="1" applyAlignment="1">
      <alignment horizontal="center"/>
    </xf>
    <xf numFmtId="0" fontId="117" fillId="5" borderId="0" xfId="0" applyFont="1" applyFill="1" applyAlignment="1">
      <alignment horizontal="center"/>
    </xf>
    <xf numFmtId="0" fontId="117" fillId="0" borderId="0" xfId="0" applyFont="1" applyAlignment="1">
      <alignment horizontal="center"/>
    </xf>
    <xf numFmtId="0" fontId="117" fillId="0" borderId="0" xfId="0" applyFont="1"/>
    <xf numFmtId="202" fontId="116" fillId="0" borderId="0" xfId="0" applyNumberFormat="1" applyFont="1"/>
    <xf numFmtId="0" fontId="118" fillId="0" borderId="0" xfId="0" applyFont="1"/>
    <xf numFmtId="0" fontId="118" fillId="0" borderId="0" xfId="0" applyFont="1" applyAlignment="1">
      <alignment horizontal="center" vertical="center"/>
    </xf>
    <xf numFmtId="0" fontId="118" fillId="0" borderId="0" xfId="0" applyFont="1" applyAlignment="1">
      <alignment horizontal="center"/>
    </xf>
    <xf numFmtId="0" fontId="118" fillId="42" borderId="0" xfId="0" applyFont="1" applyFill="1" applyAlignment="1">
      <alignment horizontal="center" vertical="center"/>
    </xf>
    <xf numFmtId="0" fontId="115" fillId="7" borderId="0" xfId="0" applyFont="1" applyFill="1" applyAlignment="1">
      <alignment horizontal="center" vertical="center"/>
    </xf>
    <xf numFmtId="0" fontId="115" fillId="5" borderId="0" xfId="0" applyFont="1" applyFill="1" applyAlignment="1">
      <alignment horizontal="center" vertical="center"/>
    </xf>
    <xf numFmtId="0" fontId="115" fillId="0" borderId="0" xfId="0" applyFont="1" applyAlignment="1">
      <alignment vertical="center"/>
    </xf>
    <xf numFmtId="0" fontId="116" fillId="0" borderId="0" xfId="0" applyFont="1" applyAlignment="1">
      <alignment vertical="center"/>
    </xf>
    <xf numFmtId="14" fontId="116" fillId="0" borderId="0" xfId="0" applyNumberFormat="1" applyFont="1" applyAlignment="1">
      <alignment vertical="center"/>
    </xf>
    <xf numFmtId="3" fontId="116" fillId="0" borderId="0" xfId="0" applyNumberFormat="1" applyFont="1" applyAlignment="1">
      <alignment vertical="center"/>
    </xf>
    <xf numFmtId="14" fontId="116" fillId="0" borderId="0" xfId="0" applyNumberFormat="1" applyFont="1" applyAlignment="1">
      <alignment horizontal="center" vertical="center"/>
    </xf>
    <xf numFmtId="0" fontId="116" fillId="0" borderId="0" xfId="0" applyFont="1" applyAlignment="1">
      <alignment horizontal="center" vertical="center"/>
    </xf>
    <xf numFmtId="0" fontId="115" fillId="11" borderId="0" xfId="0" applyFont="1" applyFill="1" applyAlignment="1">
      <alignment horizontal="center" vertical="center" wrapText="1"/>
    </xf>
    <xf numFmtId="0" fontId="115" fillId="0" borderId="0" xfId="0" applyFont="1" applyAlignment="1">
      <alignment vertical="center" wrapText="1"/>
    </xf>
    <xf numFmtId="49" fontId="116" fillId="0" borderId="0" xfId="0" applyNumberFormat="1" applyFont="1" applyAlignment="1">
      <alignment horizontal="center" vertical="center" wrapText="1"/>
    </xf>
    <xf numFmtId="0" fontId="115" fillId="11" borderId="0" xfId="0" applyFont="1" applyFill="1" applyAlignment="1">
      <alignment vertical="center" wrapText="1"/>
    </xf>
    <xf numFmtId="1" fontId="2" fillId="5" borderId="1" xfId="1" applyNumberFormat="1" applyFont="1" applyFill="1" applyBorder="1" applyAlignment="1">
      <alignment horizontal="center" vertical="center" wrapText="1"/>
    </xf>
    <xf numFmtId="0" fontId="83" fillId="10" borderId="0" xfId="1" applyFont="1" applyFill="1" applyAlignment="1">
      <alignment horizontal="center" vertical="center" wrapText="1"/>
    </xf>
    <xf numFmtId="201" fontId="6" fillId="10" borderId="1" xfId="1" applyNumberFormat="1" applyFont="1" applyFill="1" applyBorder="1" applyAlignment="1">
      <alignment horizontal="center" vertical="center" wrapText="1"/>
    </xf>
    <xf numFmtId="0" fontId="6" fillId="10" borderId="1" xfId="1" applyFont="1" applyFill="1" applyBorder="1" applyAlignment="1">
      <alignment horizontal="center" vertical="center" wrapText="1"/>
    </xf>
    <xf numFmtId="0" fontId="1" fillId="0" borderId="1" xfId="1" applyFill="1" applyBorder="1" applyAlignment="1">
      <alignment vertical="center" wrapText="1"/>
    </xf>
    <xf numFmtId="0" fontId="1" fillId="0" borderId="1" xfId="1" applyFill="1" applyBorder="1"/>
    <xf numFmtId="203" fontId="2" fillId="2" borderId="1" xfId="1" applyNumberFormat="1" applyFont="1" applyFill="1" applyBorder="1" applyAlignment="1">
      <alignment horizontal="center" vertical="center" wrapText="1"/>
    </xf>
    <xf numFmtId="203" fontId="1" fillId="0" borderId="0" xfId="1" applyNumberFormat="1" applyFill="1" applyAlignment="1">
      <alignment horizontal="center" vertical="center" wrapText="1"/>
    </xf>
    <xf numFmtId="203" fontId="1" fillId="0" borderId="0" xfId="1" applyNumberFormat="1" applyFill="1"/>
    <xf numFmtId="0" fontId="2" fillId="5" borderId="1" xfId="1" applyFont="1" applyFill="1" applyBorder="1" applyAlignment="1">
      <alignment horizontal="center" vertical="center" wrapText="1"/>
    </xf>
    <xf numFmtId="0" fontId="83" fillId="10" borderId="1" xfId="1" applyFont="1" applyFill="1" applyBorder="1" applyAlignment="1">
      <alignment horizontal="center" vertical="center" wrapText="1"/>
    </xf>
    <xf numFmtId="0" fontId="1" fillId="0" borderId="1" xfId="1" applyFill="1" applyBorder="1" applyAlignment="1">
      <alignment horizontal="center" vertical="center" wrapText="1"/>
    </xf>
    <xf numFmtId="203" fontId="1" fillId="0" borderId="1" xfId="1" applyNumberFormat="1" applyFill="1" applyBorder="1" applyAlignment="1">
      <alignment horizontal="center" vertical="center" wrapText="1"/>
    </xf>
    <xf numFmtId="1" fontId="2" fillId="2" borderId="2" xfId="1" applyNumberFormat="1" applyFont="1" applyFill="1" applyBorder="1" applyAlignment="1">
      <alignment horizontal="center" vertical="center" wrapText="1"/>
    </xf>
    <xf numFmtId="0" fontId="2" fillId="2" borderId="2" xfId="1" applyFont="1" applyFill="1" applyBorder="1" applyAlignment="1">
      <alignment horizontal="center" vertical="center" wrapText="1"/>
    </xf>
    <xf numFmtId="203" fontId="2" fillId="2" borderId="2" xfId="1" applyNumberFormat="1" applyFont="1" applyFill="1" applyBorder="1" applyAlignment="1">
      <alignment horizontal="center" vertical="center" wrapText="1"/>
    </xf>
    <xf numFmtId="201" fontId="6" fillId="3" borderId="2" xfId="1" applyNumberFormat="1" applyFont="1" applyFill="1" applyBorder="1" applyAlignment="1">
      <alignment horizontal="center" vertical="center" wrapText="1"/>
    </xf>
    <xf numFmtId="0" fontId="109" fillId="5" borderId="2" xfId="0" applyFont="1" applyFill="1" applyBorder="1" applyAlignment="1" applyProtection="1">
      <alignment horizontal="center" vertical="center" wrapText="1"/>
      <protection locked="0"/>
    </xf>
    <xf numFmtId="0" fontId="109" fillId="47" borderId="2" xfId="0" applyFont="1" applyFill="1" applyBorder="1" applyAlignment="1" applyProtection="1">
      <alignment horizontal="center" vertical="center" wrapText="1"/>
      <protection locked="0"/>
    </xf>
    <xf numFmtId="1" fontId="2" fillId="49" borderId="2" xfId="1" applyNumberFormat="1" applyFont="1" applyFill="1" applyBorder="1" applyAlignment="1">
      <alignment horizontal="center" vertical="center" wrapText="1"/>
    </xf>
    <xf numFmtId="0" fontId="2" fillId="49" borderId="2" xfId="1" applyFont="1" applyFill="1" applyBorder="1" applyAlignment="1">
      <alignment horizontal="center" vertical="center" wrapText="1"/>
    </xf>
    <xf numFmtId="0" fontId="2" fillId="48" borderId="2" xfId="1" applyFont="1" applyFill="1" applyBorder="1" applyAlignment="1">
      <alignment horizontal="center" vertical="center" wrapText="1"/>
    </xf>
    <xf numFmtId="0" fontId="2" fillId="5" borderId="2" xfId="1" applyFont="1" applyFill="1" applyBorder="1" applyAlignment="1">
      <alignment horizontal="center" vertical="center" wrapText="1"/>
    </xf>
    <xf numFmtId="0" fontId="2" fillId="44" borderId="2" xfId="1" applyFont="1" applyFill="1" applyBorder="1" applyAlignment="1">
      <alignment horizontal="center" vertical="center" wrapText="1"/>
    </xf>
    <xf numFmtId="201" fontId="6" fillId="10" borderId="2" xfId="1" applyNumberFormat="1" applyFont="1" applyFill="1" applyBorder="1" applyAlignment="1">
      <alignment horizontal="center" vertical="center" wrapText="1"/>
    </xf>
    <xf numFmtId="0" fontId="6" fillId="10" borderId="2" xfId="1" applyFont="1" applyFill="1" applyBorder="1" applyAlignment="1">
      <alignment horizontal="center" vertical="center" wrapText="1"/>
    </xf>
    <xf numFmtId="0" fontId="2" fillId="46" borderId="2" xfId="0" applyFont="1" applyFill="1" applyBorder="1" applyAlignment="1">
      <alignment vertical="center" wrapText="1"/>
    </xf>
    <xf numFmtId="0" fontId="110" fillId="46" borderId="2" xfId="0" applyFont="1" applyFill="1" applyBorder="1" applyAlignment="1">
      <alignment vertical="center" wrapText="1"/>
    </xf>
    <xf numFmtId="14" fontId="1" fillId="0" borderId="0" xfId="1" applyNumberFormat="1" applyFill="1" applyAlignment="1">
      <alignment horizontal="center" vertical="center" wrapText="1"/>
    </xf>
    <xf numFmtId="0" fontId="8" fillId="11" borderId="1" xfId="0" applyFont="1" applyFill="1" applyBorder="1" applyAlignment="1">
      <alignment horizontal="center" vertical="center" wrapText="1"/>
    </xf>
    <xf numFmtId="199" fontId="9" fillId="0" borderId="1" xfId="1" applyNumberFormat="1" applyFont="1" applyFill="1" applyBorder="1" applyAlignment="1">
      <alignment horizontal="center" vertical="center" wrapText="1"/>
    </xf>
    <xf numFmtId="0" fontId="4" fillId="0" borderId="1" xfId="1" applyNumberFormat="1" applyFont="1" applyFill="1" applyBorder="1" applyAlignment="1">
      <alignment horizontal="center" vertical="center" wrapText="1"/>
    </xf>
    <xf numFmtId="0" fontId="0" fillId="0" borderId="1" xfId="0" applyBorder="1" applyAlignment="1">
      <alignment vertical="center" wrapText="1"/>
    </xf>
    <xf numFmtId="0" fontId="1" fillId="0" borderId="1" xfId="1" applyFill="1" applyBorder="1" applyAlignment="1">
      <alignment horizontal="center"/>
    </xf>
    <xf numFmtId="0" fontId="38" fillId="0" borderId="1" xfId="1" applyFont="1" applyFill="1" applyBorder="1" applyAlignment="1">
      <alignment horizontal="center"/>
    </xf>
    <xf numFmtId="0" fontId="86" fillId="0" borderId="0" xfId="0" applyFont="1" applyAlignment="1">
      <alignment horizontal="left" wrapText="1"/>
    </xf>
    <xf numFmtId="0" fontId="8" fillId="0" borderId="0" xfId="0" applyFont="1" applyAlignment="1">
      <alignment horizontal="center" vertical="center"/>
    </xf>
    <xf numFmtId="0" fontId="88" fillId="0" borderId="0" xfId="0" applyFont="1" applyAlignment="1">
      <alignment horizontal="center" vertical="center"/>
    </xf>
    <xf numFmtId="0" fontId="5" fillId="0" borderId="0" xfId="0" applyFont="1" applyAlignment="1">
      <alignment horizontal="left" vertical="center"/>
    </xf>
    <xf numFmtId="0" fontId="5" fillId="0" borderId="0" xfId="0" applyFont="1" applyAlignment="1">
      <alignment horizontal="justify" vertical="center" wrapText="1"/>
    </xf>
    <xf numFmtId="0" fontId="87" fillId="0" borderId="0" xfId="0" applyFont="1" applyAlignment="1">
      <alignment horizontal="center" vertical="center" wrapText="1"/>
    </xf>
    <xf numFmtId="0" fontId="79" fillId="0" borderId="0" xfId="0" applyFont="1" applyAlignment="1">
      <alignment horizontal="left" vertical="top" wrapText="1"/>
    </xf>
    <xf numFmtId="0" fontId="91" fillId="0" borderId="0" xfId="0" applyFont="1" applyAlignment="1">
      <alignment horizontal="left" vertical="center"/>
    </xf>
    <xf numFmtId="0" fontId="5" fillId="0" borderId="0" xfId="0" applyFont="1" applyAlignment="1">
      <alignment horizontal="center" vertical="center"/>
    </xf>
    <xf numFmtId="0" fontId="89" fillId="0" borderId="14" xfId="0" applyFont="1" applyBorder="1" applyAlignment="1">
      <alignment horizontal="right" vertical="center"/>
    </xf>
    <xf numFmtId="0" fontId="89" fillId="0" borderId="5" xfId="0" applyFont="1" applyBorder="1" applyAlignment="1">
      <alignment horizontal="right" vertical="center"/>
    </xf>
    <xf numFmtId="0" fontId="89" fillId="0" borderId="15" xfId="0" applyFont="1" applyBorder="1" applyAlignment="1">
      <alignment horizontal="right" vertical="center"/>
    </xf>
    <xf numFmtId="0" fontId="91" fillId="0" borderId="1" xfId="0" applyFont="1" applyBorder="1" applyAlignment="1">
      <alignment horizontal="center" vertical="center" wrapText="1"/>
    </xf>
    <xf numFmtId="0" fontId="91" fillId="0" borderId="14" xfId="0" applyFont="1" applyBorder="1" applyAlignment="1">
      <alignment horizontal="center" vertical="center"/>
    </xf>
    <xf numFmtId="0" fontId="91" fillId="0" borderId="5" xfId="0" applyFont="1" applyBorder="1" applyAlignment="1">
      <alignment horizontal="center" vertical="center"/>
    </xf>
    <xf numFmtId="0" fontId="91" fillId="0" borderId="15" xfId="0" applyFont="1" applyBorder="1" applyAlignment="1">
      <alignment horizontal="center" vertical="center"/>
    </xf>
    <xf numFmtId="0" fontId="89" fillId="0" borderId="14" xfId="0" applyFont="1" applyBorder="1" applyAlignment="1">
      <alignment horizontal="left" vertical="center"/>
    </xf>
    <xf numFmtId="0" fontId="89" fillId="0" borderId="5" xfId="0" applyFont="1" applyBorder="1" applyAlignment="1">
      <alignment horizontal="left" vertical="center"/>
    </xf>
    <xf numFmtId="3" fontId="89" fillId="0" borderId="14" xfId="0" applyNumberFormat="1" applyFont="1" applyBorder="1" applyAlignment="1">
      <alignment horizontal="right" vertical="center"/>
    </xf>
    <xf numFmtId="3" fontId="89" fillId="0" borderId="5" xfId="0" applyNumberFormat="1" applyFont="1" applyBorder="1" applyAlignment="1">
      <alignment horizontal="right" vertical="center"/>
    </xf>
    <xf numFmtId="3" fontId="89" fillId="0" borderId="15" xfId="0" applyNumberFormat="1" applyFont="1" applyBorder="1" applyAlignment="1">
      <alignment horizontal="right" vertical="center"/>
    </xf>
    <xf numFmtId="3" fontId="91" fillId="0" borderId="14" xfId="0" applyNumberFormat="1" applyFont="1" applyBorder="1" applyAlignment="1">
      <alignment horizontal="right" vertical="center"/>
    </xf>
    <xf numFmtId="3" fontId="91" fillId="0" borderId="5" xfId="0" applyNumberFormat="1" applyFont="1" applyBorder="1" applyAlignment="1">
      <alignment horizontal="right" vertical="center"/>
    </xf>
    <xf numFmtId="3" fontId="91" fillId="0" borderId="15" xfId="0" applyNumberFormat="1" applyFont="1" applyBorder="1" applyAlignment="1">
      <alignment horizontal="right" vertical="center"/>
    </xf>
    <xf numFmtId="0" fontId="89" fillId="0" borderId="14" xfId="0" applyFont="1" applyBorder="1" applyAlignment="1">
      <alignment horizontal="center" vertical="center"/>
    </xf>
    <xf numFmtId="0" fontId="89" fillId="0" borderId="15" xfId="0" applyFont="1" applyBorder="1" applyAlignment="1">
      <alignment horizontal="center" vertical="center"/>
    </xf>
    <xf numFmtId="0" fontId="98" fillId="0" borderId="0" xfId="0" applyFont="1" applyAlignment="1">
      <alignment horizontal="center" vertical="center"/>
    </xf>
    <xf numFmtId="0" fontId="5" fillId="0" borderId="0" xfId="0" applyFont="1" applyAlignment="1">
      <alignment horizontal="justify" vertical="center" wrapText="1" shrinkToFit="1"/>
    </xf>
    <xf numFmtId="0" fontId="98" fillId="0" borderId="11" xfId="0" applyFont="1" applyBorder="1" applyAlignment="1">
      <alignment horizontal="center" vertical="center"/>
    </xf>
    <xf numFmtId="0" fontId="79" fillId="0" borderId="0" xfId="0" applyFont="1" applyAlignment="1">
      <alignment horizontal="left" vertical="center"/>
    </xf>
    <xf numFmtId="0" fontId="87" fillId="0" borderId="0" xfId="0" applyFont="1" applyAlignment="1">
      <alignment horizontal="center" vertical="center"/>
    </xf>
    <xf numFmtId="0" fontId="90" fillId="0" borderId="0" xfId="0" applyFont="1" applyAlignment="1">
      <alignment horizontal="right" vertical="center"/>
    </xf>
    <xf numFmtId="0" fontId="88" fillId="0" borderId="0" xfId="0" applyFont="1" applyAlignment="1">
      <alignment horizontal="center" wrapText="1"/>
    </xf>
    <xf numFmtId="0" fontId="89" fillId="0" borderId="0" xfId="0" applyFont="1" applyAlignment="1">
      <alignment horizontal="center" wrapText="1"/>
    </xf>
    <xf numFmtId="0" fontId="89" fillId="0" borderId="13" xfId="0" applyNumberFormat="1" applyFont="1" applyBorder="1" applyAlignment="1">
      <alignment horizontal="center" vertical="top" wrapText="1"/>
    </xf>
    <xf numFmtId="0" fontId="96" fillId="0" borderId="0" xfId="0" applyFont="1" applyAlignment="1">
      <alignment horizontal="center"/>
    </xf>
    <xf numFmtId="0" fontId="85" fillId="0" borderId="0" xfId="1" applyFont="1" applyBorder="1" applyAlignment="1">
      <alignment horizontal="center" vertical="center" wrapText="1"/>
    </xf>
    <xf numFmtId="1" fontId="85" fillId="0" borderId="0" xfId="1" applyNumberFormat="1" applyFont="1" applyBorder="1" applyAlignment="1">
      <alignment horizontal="center" vertical="center" wrapText="1"/>
    </xf>
    <xf numFmtId="1" fontId="85" fillId="0" borderId="0" xfId="1" applyNumberFormat="1" applyFont="1" applyBorder="1" applyAlignment="1">
      <alignment horizontal="center" vertical="center"/>
    </xf>
    <xf numFmtId="0" fontId="7" fillId="0" borderId="0" xfId="1" applyFont="1" applyAlignment="1">
      <alignment horizontal="center" vertical="center"/>
    </xf>
    <xf numFmtId="0" fontId="7" fillId="0" borderId="0" xfId="1" applyFont="1" applyAlignment="1">
      <alignment horizontal="center"/>
    </xf>
    <xf numFmtId="0" fontId="7" fillId="0" borderId="0" xfId="1" applyFont="1" applyAlignment="1">
      <alignment horizontal="left" vertical="top" wrapText="1"/>
    </xf>
    <xf numFmtId="14" fontId="4" fillId="0" borderId="0" xfId="1" applyNumberFormat="1" applyFont="1" applyAlignment="1">
      <alignment horizontal="left" vertical="center"/>
    </xf>
    <xf numFmtId="0" fontId="4" fillId="0" borderId="0" xfId="1" applyFont="1" applyAlignment="1">
      <alignment horizontal="left" vertical="center"/>
    </xf>
    <xf numFmtId="0" fontId="81" fillId="0" borderId="0" xfId="1" applyFont="1" applyAlignment="1">
      <alignment horizontal="center"/>
    </xf>
    <xf numFmtId="0" fontId="7" fillId="0" borderId="0" xfId="1" applyFont="1" applyAlignment="1">
      <alignment horizontal="center" vertical="top" wrapText="1"/>
    </xf>
    <xf numFmtId="0" fontId="4" fillId="0" borderId="0" xfId="1" applyFont="1" applyAlignment="1">
      <alignment horizontal="center"/>
    </xf>
    <xf numFmtId="0" fontId="80" fillId="0" borderId="0" xfId="1" applyFont="1" applyAlignment="1">
      <alignment horizontal="center" vertical="top"/>
    </xf>
    <xf numFmtId="0" fontId="4" fillId="0" borderId="14" xfId="1" applyFont="1" applyBorder="1" applyAlignment="1">
      <alignment horizontal="center" vertical="top" wrapText="1"/>
    </xf>
    <xf numFmtId="0" fontId="4" fillId="0" borderId="5" xfId="1" applyFont="1" applyBorder="1" applyAlignment="1">
      <alignment horizontal="center" vertical="top" wrapText="1"/>
    </xf>
    <xf numFmtId="0" fontId="4" fillId="0" borderId="15" xfId="1" applyFont="1" applyBorder="1" applyAlignment="1">
      <alignment horizontal="center" vertical="top" wrapText="1"/>
    </xf>
    <xf numFmtId="0" fontId="82" fillId="0" borderId="0" xfId="1" applyFont="1" applyAlignment="1">
      <alignment horizontal="center" vertical="center"/>
    </xf>
    <xf numFmtId="0" fontId="4" fillId="0" borderId="14" xfId="1" applyFont="1" applyBorder="1" applyAlignment="1">
      <alignment horizontal="center" vertical="center" wrapText="1"/>
    </xf>
    <xf numFmtId="0" fontId="4" fillId="0" borderId="5" xfId="1" applyFont="1" applyBorder="1" applyAlignment="1">
      <alignment horizontal="center" vertical="center" wrapText="1"/>
    </xf>
    <xf numFmtId="0" fontId="4" fillId="0" borderId="15" xfId="1" applyFont="1" applyBorder="1" applyAlignment="1">
      <alignment horizontal="center" vertical="center" wrapText="1"/>
    </xf>
    <xf numFmtId="0" fontId="7" fillId="0" borderId="14" xfId="1" applyFont="1" applyBorder="1" applyAlignment="1">
      <alignment horizontal="left" vertical="top" wrapText="1"/>
    </xf>
    <xf numFmtId="0" fontId="7" fillId="0" borderId="5" xfId="1" applyFont="1" applyBorder="1" applyAlignment="1">
      <alignment horizontal="left" vertical="top" wrapText="1"/>
    </xf>
    <xf numFmtId="0" fontId="7" fillId="0" borderId="15" xfId="1" applyFont="1" applyBorder="1" applyAlignment="1">
      <alignment horizontal="left" vertical="top" wrapText="1"/>
    </xf>
    <xf numFmtId="0" fontId="80" fillId="0" borderId="0" xfId="1" applyFont="1" applyFill="1" applyAlignment="1">
      <alignment horizontal="center" vertical="center"/>
    </xf>
    <xf numFmtId="0" fontId="80" fillId="0" borderId="0" xfId="1" applyFont="1" applyAlignment="1">
      <alignment horizontal="center" vertical="center"/>
    </xf>
    <xf numFmtId="0" fontId="7" fillId="0" borderId="14" xfId="1" applyFont="1" applyBorder="1" applyAlignment="1">
      <alignment horizontal="left" vertical="center" wrapText="1"/>
    </xf>
    <xf numFmtId="0" fontId="7" fillId="0" borderId="5" xfId="1" applyFont="1" applyBorder="1" applyAlignment="1">
      <alignment horizontal="left" vertical="center" wrapText="1"/>
    </xf>
    <xf numFmtId="0" fontId="7" fillId="0" borderId="15" xfId="1" applyFont="1" applyBorder="1" applyAlignment="1">
      <alignment horizontal="left" vertical="center" wrapText="1"/>
    </xf>
    <xf numFmtId="0" fontId="4" fillId="0" borderId="14" xfId="1" applyFont="1" applyBorder="1" applyAlignment="1">
      <alignment horizontal="left" vertical="center" wrapText="1"/>
    </xf>
    <xf numFmtId="0" fontId="4" fillId="0" borderId="5" xfId="1" applyFont="1" applyBorder="1" applyAlignment="1">
      <alignment horizontal="left" vertical="center" wrapText="1"/>
    </xf>
    <xf numFmtId="0" fontId="4" fillId="0" borderId="15" xfId="1" applyFont="1" applyBorder="1" applyAlignment="1">
      <alignment horizontal="left" vertical="center" wrapText="1"/>
    </xf>
    <xf numFmtId="0" fontId="4" fillId="0" borderId="1" xfId="1" applyFont="1" applyBorder="1" applyAlignment="1">
      <alignment horizontal="left" vertical="top" wrapText="1"/>
    </xf>
    <xf numFmtId="0" fontId="7" fillId="0" borderId="11" xfId="1" applyFont="1" applyBorder="1" applyAlignment="1">
      <alignment wrapText="1"/>
    </xf>
    <xf numFmtId="0" fontId="7" fillId="0" borderId="0" xfId="1" applyFont="1" applyAlignment="1">
      <alignment horizontal="left" vertical="center" wrapText="1"/>
    </xf>
    <xf numFmtId="49" fontId="4" fillId="0" borderId="14" xfId="1" applyNumberFormat="1" applyFont="1" applyBorder="1" applyAlignment="1">
      <alignment horizontal="center" vertical="top" wrapText="1"/>
    </xf>
    <xf numFmtId="49" fontId="4" fillId="0" borderId="5" xfId="1" applyNumberFormat="1" applyFont="1" applyBorder="1" applyAlignment="1">
      <alignment horizontal="center" vertical="top" wrapText="1"/>
    </xf>
    <xf numFmtId="49" fontId="4" fillId="0" borderId="15" xfId="1" applyNumberFormat="1" applyFont="1" applyBorder="1" applyAlignment="1">
      <alignment horizontal="center" vertical="top" wrapText="1"/>
    </xf>
    <xf numFmtId="0" fontId="7" fillId="0" borderId="14" xfId="1" applyFont="1" applyBorder="1" applyAlignment="1">
      <alignment horizontal="center" vertical="center" wrapText="1"/>
    </xf>
    <xf numFmtId="0" fontId="7" fillId="0" borderId="5" xfId="1" applyFont="1" applyBorder="1" applyAlignment="1">
      <alignment horizontal="center" vertical="center" wrapText="1"/>
    </xf>
    <xf numFmtId="0" fontId="7" fillId="0" borderId="15" xfId="1" applyFont="1" applyBorder="1" applyAlignment="1">
      <alignment horizontal="center" vertical="center" wrapText="1"/>
    </xf>
    <xf numFmtId="0" fontId="4" fillId="0" borderId="14" xfId="1" applyFont="1" applyBorder="1" applyAlignment="1">
      <alignment horizontal="left" vertical="top" wrapText="1"/>
    </xf>
    <xf numFmtId="0" fontId="4" fillId="0" borderId="5" xfId="1" applyFont="1" applyBorder="1" applyAlignment="1">
      <alignment horizontal="left" vertical="top" wrapText="1"/>
    </xf>
    <xf numFmtId="0" fontId="4" fillId="0" borderId="15" xfId="1" applyFont="1" applyBorder="1" applyAlignment="1">
      <alignment horizontal="left" vertical="top" wrapText="1"/>
    </xf>
    <xf numFmtId="0" fontId="4" fillId="0" borderId="0" xfId="1" applyFont="1" applyBorder="1" applyAlignment="1">
      <alignment horizontal="left" vertical="center" wrapText="1"/>
    </xf>
    <xf numFmtId="0" fontId="84" fillId="0" borderId="0" xfId="1" applyFont="1" applyAlignment="1">
      <alignment horizontal="left" vertical="top" wrapText="1"/>
    </xf>
    <xf numFmtId="49" fontId="85" fillId="0" borderId="0" xfId="1" applyNumberFormat="1" applyFont="1" applyBorder="1" applyAlignment="1">
      <alignment horizontal="center" vertical="center" wrapText="1"/>
    </xf>
    <xf numFmtId="0" fontId="6" fillId="0" borderId="0" xfId="1" applyFont="1" applyBorder="1" applyAlignment="1">
      <alignment horizontal="center" vertical="center" wrapText="1"/>
    </xf>
    <xf numFmtId="0" fontId="6" fillId="0" borderId="0" xfId="1" applyFont="1" applyBorder="1" applyAlignment="1">
      <alignment horizontal="center" vertical="top"/>
    </xf>
    <xf numFmtId="0" fontId="7" fillId="0" borderId="12" xfId="1" applyFont="1" applyBorder="1" applyAlignment="1">
      <alignment horizontal="left" vertical="center" wrapText="1"/>
    </xf>
    <xf numFmtId="0" fontId="7" fillId="0" borderId="11" xfId="1" applyFont="1" applyBorder="1" applyAlignment="1">
      <alignment horizontal="left" vertical="center" wrapText="1"/>
    </xf>
    <xf numFmtId="0" fontId="7" fillId="0" borderId="16" xfId="1" applyFont="1" applyBorder="1" applyAlignment="1">
      <alignment horizontal="left" vertical="center" wrapText="1"/>
    </xf>
    <xf numFmtId="0" fontId="4" fillId="0" borderId="1" xfId="1" applyFont="1" applyBorder="1" applyAlignment="1">
      <alignment horizontal="center" vertical="top" wrapText="1"/>
    </xf>
    <xf numFmtId="0" fontId="4" fillId="0" borderId="5" xfId="1" applyNumberFormat="1" applyFont="1" applyBorder="1" applyAlignment="1">
      <alignment horizontal="center" vertical="top" wrapText="1"/>
    </xf>
    <xf numFmtId="0" fontId="4" fillId="0" borderId="15" xfId="1" applyNumberFormat="1" applyFont="1" applyBorder="1" applyAlignment="1">
      <alignment horizontal="center" vertical="top" wrapText="1"/>
    </xf>
    <xf numFmtId="49" fontId="4" fillId="0" borderId="1" xfId="1" applyNumberFormat="1" applyFont="1" applyBorder="1" applyAlignment="1">
      <alignment horizontal="center" vertical="top" wrapText="1"/>
    </xf>
    <xf numFmtId="0" fontId="4" fillId="0" borderId="1" xfId="1" applyNumberFormat="1" applyFont="1" applyBorder="1" applyAlignment="1">
      <alignment horizontal="center" vertical="top" wrapText="1"/>
    </xf>
    <xf numFmtId="0" fontId="6" fillId="0" borderId="14" xfId="1" applyFont="1" applyBorder="1" applyAlignment="1">
      <alignment horizontal="center" vertical="center" wrapText="1"/>
    </xf>
    <xf numFmtId="0" fontId="6" fillId="0" borderId="5" xfId="1" applyFont="1" applyBorder="1" applyAlignment="1">
      <alignment horizontal="center" vertical="center" wrapText="1"/>
    </xf>
    <xf numFmtId="0" fontId="6" fillId="0" borderId="15" xfId="1" applyFont="1" applyBorder="1" applyAlignment="1">
      <alignment horizontal="center" vertical="center" wrapText="1"/>
    </xf>
    <xf numFmtId="0" fontId="6" fillId="0" borderId="14" xfId="1" applyFont="1" applyBorder="1" applyAlignment="1">
      <alignment horizontal="left" vertical="center" wrapText="1"/>
    </xf>
    <xf numFmtId="0" fontId="6" fillId="0" borderId="5" xfId="1" applyFont="1" applyBorder="1" applyAlignment="1">
      <alignment horizontal="left" vertical="center" wrapText="1"/>
    </xf>
    <xf numFmtId="0" fontId="6" fillId="0" borderId="15" xfId="1" applyFont="1" applyBorder="1" applyAlignment="1">
      <alignment horizontal="left" vertical="center" wrapText="1"/>
    </xf>
    <xf numFmtId="0" fontId="85" fillId="0" borderId="14" xfId="1" applyFont="1" applyBorder="1" applyAlignment="1">
      <alignment horizontal="left" vertical="center" wrapText="1"/>
    </xf>
    <xf numFmtId="0" fontId="85" fillId="0" borderId="5" xfId="1" applyFont="1" applyBorder="1" applyAlignment="1">
      <alignment horizontal="left" vertical="center" wrapText="1"/>
    </xf>
    <xf numFmtId="0" fontId="85" fillId="0" borderId="15" xfId="1" applyFont="1" applyBorder="1" applyAlignment="1">
      <alignment horizontal="left" vertical="center" wrapText="1"/>
    </xf>
    <xf numFmtId="0" fontId="85" fillId="0" borderId="14" xfId="1" applyFont="1" applyBorder="1" applyAlignment="1">
      <alignment horizontal="center" vertical="center" wrapText="1"/>
    </xf>
    <xf numFmtId="0" fontId="85" fillId="0" borderId="5" xfId="1" applyFont="1" applyBorder="1" applyAlignment="1">
      <alignment horizontal="center" vertical="center" wrapText="1"/>
    </xf>
    <xf numFmtId="0" fontId="85" fillId="0" borderId="15" xfId="1" applyFont="1" applyBorder="1" applyAlignment="1">
      <alignment horizontal="center" vertical="center" wrapText="1"/>
    </xf>
    <xf numFmtId="0" fontId="83" fillId="0" borderId="0" xfId="1" applyFont="1" applyAlignment="1">
      <alignment horizontal="center" wrapText="1"/>
    </xf>
    <xf numFmtId="0" fontId="85" fillId="0" borderId="1" xfId="1" applyFont="1" applyBorder="1" applyAlignment="1">
      <alignment horizontal="center" vertical="top" wrapText="1"/>
    </xf>
    <xf numFmtId="0" fontId="85" fillId="0" borderId="14" xfId="1" applyFont="1" applyBorder="1" applyAlignment="1">
      <alignment horizontal="left" vertical="top" wrapText="1"/>
    </xf>
    <xf numFmtId="0" fontId="85" fillId="0" borderId="5" xfId="1" applyFont="1" applyBorder="1" applyAlignment="1">
      <alignment horizontal="left" vertical="top" wrapText="1"/>
    </xf>
    <xf numFmtId="0" fontId="85" fillId="0" borderId="15" xfId="1" applyFont="1" applyBorder="1" applyAlignment="1">
      <alignment horizontal="left" vertical="top" wrapText="1"/>
    </xf>
    <xf numFmtId="0" fontId="85" fillId="0" borderId="1" xfId="1" applyFont="1" applyBorder="1" applyAlignment="1">
      <alignment horizontal="left" vertical="top" wrapText="1"/>
    </xf>
    <xf numFmtId="49" fontId="85" fillId="0" borderId="1" xfId="1" applyNumberFormat="1" applyFont="1" applyBorder="1" applyAlignment="1">
      <alignment horizontal="center" vertical="top" wrapText="1"/>
    </xf>
    <xf numFmtId="0" fontId="85" fillId="0" borderId="1" xfId="1" applyFont="1" applyBorder="1" applyAlignment="1">
      <alignment horizontal="center" vertical="center" wrapText="1"/>
    </xf>
    <xf numFmtId="0" fontId="6" fillId="0" borderId="14" xfId="1" applyFont="1" applyBorder="1" applyAlignment="1">
      <alignment horizontal="left" vertical="top" wrapText="1"/>
    </xf>
    <xf numFmtId="0" fontId="6" fillId="0" borderId="5" xfId="1" applyFont="1" applyBorder="1" applyAlignment="1">
      <alignment horizontal="left" vertical="top" wrapText="1"/>
    </xf>
    <xf numFmtId="0" fontId="6" fillId="0" borderId="15" xfId="1" applyFont="1" applyBorder="1" applyAlignment="1">
      <alignment horizontal="left" vertical="top" wrapText="1"/>
    </xf>
    <xf numFmtId="0" fontId="85" fillId="0" borderId="14" xfId="1" applyFont="1" applyBorder="1" applyAlignment="1">
      <alignment horizontal="center" vertical="top" wrapText="1"/>
    </xf>
    <xf numFmtId="0" fontId="85" fillId="0" borderId="5" xfId="1" applyFont="1" applyBorder="1" applyAlignment="1">
      <alignment horizontal="center" vertical="top" wrapText="1"/>
    </xf>
    <xf numFmtId="0" fontId="85" fillId="0" borderId="15" xfId="1" applyFont="1" applyBorder="1" applyAlignment="1">
      <alignment horizontal="center" vertical="top" wrapText="1"/>
    </xf>
    <xf numFmtId="0" fontId="2" fillId="0" borderId="14" xfId="0" applyFont="1" applyBorder="1" applyAlignment="1">
      <alignment horizontal="left" vertical="center"/>
    </xf>
    <xf numFmtId="0" fontId="2" fillId="0" borderId="5" xfId="0" applyFont="1" applyBorder="1" applyAlignment="1">
      <alignment horizontal="left" vertical="center"/>
    </xf>
    <xf numFmtId="0" fontId="2" fillId="0" borderId="15" xfId="0" applyFont="1" applyBorder="1" applyAlignment="1">
      <alignment horizontal="left" vertical="center"/>
    </xf>
    <xf numFmtId="0" fontId="78" fillId="0" borderId="1" xfId="1" applyFont="1" applyBorder="1" applyAlignment="1">
      <alignment horizontal="center" vertical="top" wrapText="1"/>
    </xf>
    <xf numFmtId="0" fontId="85" fillId="0" borderId="0" xfId="1" applyNumberFormat="1" applyFont="1" applyBorder="1" applyAlignment="1">
      <alignment horizontal="center" vertical="center" wrapText="1"/>
    </xf>
    <xf numFmtId="49" fontId="78" fillId="0" borderId="1" xfId="1" applyNumberFormat="1" applyFont="1" applyBorder="1" applyAlignment="1">
      <alignment horizontal="center" vertical="top" wrapText="1"/>
    </xf>
    <xf numFmtId="0" fontId="7" fillId="0" borderId="0" xfId="1" applyFont="1" applyBorder="1" applyAlignment="1">
      <alignment wrapText="1"/>
    </xf>
    <xf numFmtId="0" fontId="6" fillId="0" borderId="1" xfId="1" applyFont="1" applyBorder="1" applyAlignment="1">
      <alignment horizontal="left" vertical="top" wrapText="1"/>
    </xf>
    <xf numFmtId="0" fontId="0" fillId="0" borderId="1" xfId="0" applyBorder="1"/>
    <xf numFmtId="0" fontId="0" fillId="7" borderId="0" xfId="0" applyFill="1"/>
    <xf numFmtId="0" fontId="0" fillId="7" borderId="0" xfId="0" applyFill="1" applyAlignment="1">
      <alignment horizontal="center"/>
    </xf>
  </cellXfs>
  <cellStyles count="201">
    <cellStyle name="??" xfId="7"/>
    <cellStyle name="?? [0.00]_PRODUCT DETAIL Q1" xfId="8"/>
    <cellStyle name="?? [0]" xfId="9"/>
    <cellStyle name="???? [0.00]_PRODUCT DETAIL Q1" xfId="10"/>
    <cellStyle name="????_PRODUCT DETAIL Q1" xfId="11"/>
    <cellStyle name="???[0]_Book1" xfId="12"/>
    <cellStyle name="???_???" xfId="13"/>
    <cellStyle name="??_(????)??????" xfId="14"/>
    <cellStyle name="0,0_x000d__x000a_NA_x000d__x000a_" xfId="3"/>
    <cellStyle name="0,0_x000d__x000a_NA_x000d__x000a_ 2" xfId="6"/>
    <cellStyle name="1" xfId="15"/>
    <cellStyle name="1_danh_ba_DT_cac_Tinh" xfId="16"/>
    <cellStyle name="18" xfId="17"/>
    <cellStyle name="¹éºÐÀ²_±âÅ¸" xfId="18"/>
    <cellStyle name="2" xfId="19"/>
    <cellStyle name="2_danh_ba_DT_cac_Tinh" xfId="20"/>
    <cellStyle name="3" xfId="21"/>
    <cellStyle name="3_danh_ba_DT_cac_Tinh" xfId="22"/>
    <cellStyle name="4" xfId="23"/>
    <cellStyle name="Accent1 - 20%" xfId="24"/>
    <cellStyle name="Accent1 - 40%" xfId="25"/>
    <cellStyle name="Accent1 - 60%" xfId="26"/>
    <cellStyle name="Accent2 - 20%" xfId="27"/>
    <cellStyle name="Accent2 - 40%" xfId="28"/>
    <cellStyle name="Accent2 - 60%" xfId="29"/>
    <cellStyle name="Accent3 - 20%" xfId="30"/>
    <cellStyle name="Accent3 - 40%" xfId="31"/>
    <cellStyle name="Accent3 - 60%" xfId="32"/>
    <cellStyle name="Accent4 - 20%" xfId="33"/>
    <cellStyle name="Accent4 - 40%" xfId="34"/>
    <cellStyle name="Accent4 - 60%" xfId="35"/>
    <cellStyle name="Accent5 - 20%" xfId="36"/>
    <cellStyle name="Accent5 - 40%" xfId="37"/>
    <cellStyle name="Accent5 - 60%" xfId="38"/>
    <cellStyle name="Accent6 - 20%" xfId="39"/>
    <cellStyle name="Accent6 - 40%" xfId="40"/>
    <cellStyle name="Accent6 - 60%" xfId="41"/>
    <cellStyle name="ÅëÈ­ [0]_¿ì¹°Åë" xfId="42"/>
    <cellStyle name="AeE­ [0]_INQUIRY ¿µ¾÷AßAø " xfId="43"/>
    <cellStyle name="ÅëÈ­ [0]_ÿÿÿÿÿÿ" xfId="44"/>
    <cellStyle name="ÅëÈ­_¿ì¹°Åë" xfId="45"/>
    <cellStyle name="AeE­_INQUIRY ¿µ¾÷AßAø " xfId="46"/>
    <cellStyle name="ÅëÈ­_ÿÿÿÿÿÿ" xfId="47"/>
    <cellStyle name="args.style" xfId="48"/>
    <cellStyle name="ÄÞ¸¶ [0]_¿ì¹°Åë" xfId="49"/>
    <cellStyle name="AÞ¸¶ [0]_INQUIRY ¿?¾÷AßAø " xfId="50"/>
    <cellStyle name="ÄÞ¸¶ [0]_ÿÿÿÿÿÿ" xfId="51"/>
    <cellStyle name="ÄÞ¸¶_¿ì¹°Åë" xfId="52"/>
    <cellStyle name="AÞ¸¶_INQUIRY ¿?¾÷AßAø " xfId="53"/>
    <cellStyle name="ÄÞ¸¶_ÿÿÿÿÿÿ" xfId="54"/>
    <cellStyle name="Body" xfId="55"/>
    <cellStyle name="C?AØ_¿?¾÷CoE² " xfId="56"/>
    <cellStyle name="Ç¥ÁØ_´çÃÊ±¸ÀÔ»ý»ê" xfId="57"/>
    <cellStyle name="C￥AØ_¿μ¾÷CoE² " xfId="58"/>
    <cellStyle name="Ç¥ÁØ_°èÈ¹" xfId="59"/>
    <cellStyle name="Calc Currency (0)" xfId="60"/>
    <cellStyle name="Calc Currency (2)" xfId="61"/>
    <cellStyle name="Calc Percent (0)" xfId="62"/>
    <cellStyle name="Calc Percent (1)" xfId="63"/>
    <cellStyle name="Calc Percent (2)" xfId="64"/>
    <cellStyle name="Calc Units (0)" xfId="65"/>
    <cellStyle name="Calc Units (1)" xfId="66"/>
    <cellStyle name="Calc Units (2)" xfId="67"/>
    <cellStyle name="Comma  - Style1" xfId="68"/>
    <cellStyle name="Comma  - Style2" xfId="69"/>
    <cellStyle name="Comma  - Style3" xfId="70"/>
    <cellStyle name="Comma  - Style4" xfId="71"/>
    <cellStyle name="Comma  - Style5" xfId="72"/>
    <cellStyle name="Comma  - Style6" xfId="73"/>
    <cellStyle name="Comma  - Style7" xfId="74"/>
    <cellStyle name="Comma  - Style8" xfId="75"/>
    <cellStyle name="Comma [00]" xfId="76"/>
    <cellStyle name="Comma 2" xfId="2"/>
    <cellStyle name="Comma 3" xfId="198"/>
    <cellStyle name="Comma 4" xfId="199"/>
    <cellStyle name="comma zerodec" xfId="77"/>
    <cellStyle name="Comma0" xfId="78"/>
    <cellStyle name="Copied" xfId="79"/>
    <cellStyle name="Currency [00]" xfId="80"/>
    <cellStyle name="Currency 2" xfId="81"/>
    <cellStyle name="Currency0" xfId="82"/>
    <cellStyle name="Currency1" xfId="83"/>
    <cellStyle name="Date" xfId="84"/>
    <cellStyle name="Date Short" xfId="85"/>
    <cellStyle name="Dezimal [0]_Compiling Utility Macros" xfId="86"/>
    <cellStyle name="Dezimal_Compiling Utility Macros" xfId="87"/>
    <cellStyle name="Dollar (zero dec)" xfId="88"/>
    <cellStyle name="Emphasis 1" xfId="89"/>
    <cellStyle name="Emphasis 2" xfId="90"/>
    <cellStyle name="Emphasis 3" xfId="91"/>
    <cellStyle name="Enter Currency (0)" xfId="92"/>
    <cellStyle name="Enter Currency (2)" xfId="93"/>
    <cellStyle name="Enter Units (0)" xfId="94"/>
    <cellStyle name="Enter Units (1)" xfId="95"/>
    <cellStyle name="Enter Units (2)" xfId="96"/>
    <cellStyle name="Entered" xfId="97"/>
    <cellStyle name="Fixed" xfId="98"/>
    <cellStyle name="Grey" xfId="99"/>
    <cellStyle name="ha" xfId="100"/>
    <cellStyle name="Head 1" xfId="101"/>
    <cellStyle name="Header1" xfId="102"/>
    <cellStyle name="Header2" xfId="103"/>
    <cellStyle name="HEADINGS" xfId="104"/>
    <cellStyle name="HEADINGSTOP" xfId="105"/>
    <cellStyle name="headoption" xfId="106"/>
    <cellStyle name="Input [yellow]" xfId="107"/>
    <cellStyle name="Ledger 17 x 11 in" xfId="108"/>
    <cellStyle name="Link Currency (0)" xfId="109"/>
    <cellStyle name="Link Currency (2)" xfId="110"/>
    <cellStyle name="Link Units (0)" xfId="111"/>
    <cellStyle name="Link Units (1)" xfId="112"/>
    <cellStyle name="Link Units (2)" xfId="113"/>
    <cellStyle name="Millares [0]_Well Timing" xfId="114"/>
    <cellStyle name="Millares_Well Timing" xfId="115"/>
    <cellStyle name="Milliers [0]_      " xfId="116"/>
    <cellStyle name="Milliers_      " xfId="117"/>
    <cellStyle name="Moneda [0]_Well Timing" xfId="118"/>
    <cellStyle name="Moneda_Well Timing" xfId="119"/>
    <cellStyle name="Monétaire [0]_      " xfId="120"/>
    <cellStyle name="Monétaire_      " xfId="121"/>
    <cellStyle name="n" xfId="122"/>
    <cellStyle name="Neutral 2" xfId="5"/>
    <cellStyle name="no dec" xfId="123"/>
    <cellStyle name="Normal" xfId="0" builtinId="0"/>
    <cellStyle name="Normal - Style1" xfId="124"/>
    <cellStyle name="Normal - 유형1" xfId="125"/>
    <cellStyle name="Normal 12" xfId="4"/>
    <cellStyle name="Normal 2" xfId="1"/>
    <cellStyle name="Normal 3" xfId="200"/>
    <cellStyle name="Normal 5" xfId="126"/>
    <cellStyle name="oft Excel]_x000d__x000a_Comment=open=/f ‚ðw’è‚·‚é‚ÆAƒ†[ƒU[’è‹`ŠÖ”‚ðŠÖ”“\‚è•t‚¯‚Ìˆê——‚É“o˜^‚·‚é‚±‚Æ‚ª‚Å‚«‚Ü‚·B_x000d__x000a_Maximized" xfId="127"/>
    <cellStyle name="per.style" xfId="128"/>
    <cellStyle name="Percent [0]" xfId="129"/>
    <cellStyle name="Percent [00]" xfId="130"/>
    <cellStyle name="Percent [2]" xfId="131"/>
    <cellStyle name="PERCENTAGE" xfId="132"/>
    <cellStyle name="PrePop Currency (0)" xfId="133"/>
    <cellStyle name="PrePop Currency (2)" xfId="134"/>
    <cellStyle name="PrePop Units (0)" xfId="135"/>
    <cellStyle name="PrePop Units (1)" xfId="136"/>
    <cellStyle name="PrePop Units (2)" xfId="137"/>
    <cellStyle name="pricing" xfId="138"/>
    <cellStyle name="PSChar" xfId="139"/>
    <cellStyle name="PSHeading" xfId="140"/>
    <cellStyle name="Quantity" xfId="141"/>
    <cellStyle name="regstoresfromspecstores" xfId="142"/>
    <cellStyle name="RevList" xfId="143"/>
    <cellStyle name="SHADEDSTORES" xfId="144"/>
    <cellStyle name="Sheet Title" xfId="145"/>
    <cellStyle name="specstores" xfId="146"/>
    <cellStyle name="Standard_Anpassen der Amortisation" xfId="147"/>
    <cellStyle name="Style 1" xfId="148"/>
    <cellStyle name="Subtotal" xfId="149"/>
    <cellStyle name="Text Indent A" xfId="150"/>
    <cellStyle name="Text Indent B" xfId="151"/>
    <cellStyle name="Text Indent C" xfId="152"/>
    <cellStyle name="Thanh" xfId="153"/>
    <cellStyle name="þ_x001d_ð¤_x000c_¯þ_x0014__x000d_¨þU_x0001_À_x0004_ _x0015__x000f__x0001__x0001_" xfId="154"/>
    <cellStyle name="þ_x001d_ðK_x000c_Fý_x001b__x000d_9ýU_x0001_Ð_x0008_¦)_x0007__x0001__x0001_" xfId="155"/>
    <cellStyle name="trang" xfId="156"/>
    <cellStyle name="Trang 1" xfId="157"/>
    <cellStyle name="vnbo" xfId="158"/>
    <cellStyle name="vnhead1" xfId="159"/>
    <cellStyle name="vnhead2" xfId="160"/>
    <cellStyle name="vnhead3" xfId="161"/>
    <cellStyle name="vnhead4" xfId="162"/>
    <cellStyle name="vntxt1" xfId="163"/>
    <cellStyle name="vntxt2" xfId="164"/>
    <cellStyle name="Währung [0]_Compiling Utility Macros" xfId="165"/>
    <cellStyle name="Währung_Compiling Utility Macros" xfId="166"/>
    <cellStyle name="xuan" xfId="167"/>
    <cellStyle name=" [0.00]_ Att. 1- Cover" xfId="168"/>
    <cellStyle name="_ Att. 1- Cover" xfId="169"/>
    <cellStyle name="?_ Att. 1- Cover" xfId="170"/>
    <cellStyle name="똿뗦먛귟 [0.00]_PRODUCT DETAIL Q1" xfId="171"/>
    <cellStyle name="똿뗦먛귟_PRODUCT DETAIL Q1" xfId="172"/>
    <cellStyle name="믅됞 [0.00]_PRODUCT DETAIL Q1" xfId="173"/>
    <cellStyle name="믅됞_PRODUCT DETAIL Q1" xfId="174"/>
    <cellStyle name="백분율_95" xfId="175"/>
    <cellStyle name="뷭?_BOOKSHIP" xfId="176"/>
    <cellStyle name="콤마 [ - 유형1" xfId="177"/>
    <cellStyle name="콤마 [ - 유형2" xfId="178"/>
    <cellStyle name="콤마 [ - 유형3" xfId="179"/>
    <cellStyle name="콤마 [ - 유형4" xfId="180"/>
    <cellStyle name="콤마 [ - 유형5" xfId="181"/>
    <cellStyle name="콤마 [ - 유형6" xfId="182"/>
    <cellStyle name="콤마 [ - 유형7" xfId="183"/>
    <cellStyle name="콤마 [ - 유형8" xfId="184"/>
    <cellStyle name="콤마 [0]_0004 MECH COST  " xfId="185"/>
    <cellStyle name="콤마_0004 MECH COST  " xfId="186"/>
    <cellStyle name="통화 [0]_1202" xfId="187"/>
    <cellStyle name="통화_1202" xfId="188"/>
    <cellStyle name="표준_(정보부문)월별인원계획" xfId="189"/>
    <cellStyle name="一般_00Q3902REV.1" xfId="190"/>
    <cellStyle name="千分位[0]_00Q3902REV.1" xfId="191"/>
    <cellStyle name="千分位_00Q3902REV.1" xfId="192"/>
    <cellStyle name="桁区切り_工費" xfId="193"/>
    <cellStyle name="標準_工費" xfId="194"/>
    <cellStyle name="貨幣 [0]_00Q3902REV.1" xfId="195"/>
    <cellStyle name="貨幣[0]_BRE" xfId="196"/>
    <cellStyle name="貨幣_00Q3902REV.1" xfId="197"/>
  </cellStyles>
  <dxfs count="25">
    <dxf>
      <fill>
        <patternFill>
          <bgColor rgb="FFFF0000"/>
        </patternFill>
      </fill>
    </dxf>
    <dxf>
      <fill>
        <patternFill>
          <bgColor rgb="FFFF0000"/>
        </patternFill>
      </fill>
    </dxf>
    <dxf>
      <fill>
        <patternFill>
          <bgColor rgb="FFFF0000"/>
        </patternFill>
      </fill>
    </dxf>
    <dxf>
      <fill>
        <patternFill>
          <bgColor rgb="FFFF0000"/>
        </patternFill>
      </fill>
    </dxf>
    <dxf>
      <fill>
        <patternFill>
          <bgColor indexed="1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indexed="1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1" defaultTableStyle="TableStyleMedium9" defaultPivotStyle="PivotStyleLight16">
    <tableStyle name="Table Style 1" pivot="0" count="0"/>
  </tableStyles>
  <colors>
    <mruColors>
      <color rgb="FFCC6600"/>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4.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3.xml"/><Relationship Id="rId30"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14</xdr:col>
      <xdr:colOff>32971</xdr:colOff>
      <xdr:row>2</xdr:row>
      <xdr:rowOff>38100</xdr:rowOff>
    </xdr:from>
    <xdr:to>
      <xdr:col>23</xdr:col>
      <xdr:colOff>32971</xdr:colOff>
      <xdr:row>2</xdr:row>
      <xdr:rowOff>39688</xdr:rowOff>
    </xdr:to>
    <xdr:cxnSp macro="">
      <xdr:nvCxnSpPr>
        <xdr:cNvPr id="7" name="Straight Connector 6"/>
        <xdr:cNvCxnSpPr/>
      </xdr:nvCxnSpPr>
      <xdr:spPr>
        <a:xfrm>
          <a:off x="3604846" y="447675"/>
          <a:ext cx="2057400" cy="1588"/>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66675</xdr:colOff>
      <xdr:row>2</xdr:row>
      <xdr:rowOff>0</xdr:rowOff>
    </xdr:from>
    <xdr:to>
      <xdr:col>10</xdr:col>
      <xdr:colOff>2299</xdr:colOff>
      <xdr:row>2</xdr:row>
      <xdr:rowOff>1970</xdr:rowOff>
    </xdr:to>
    <xdr:cxnSp macro="">
      <xdr:nvCxnSpPr>
        <xdr:cNvPr id="8" name="Straight Connector 7"/>
        <xdr:cNvCxnSpPr/>
      </xdr:nvCxnSpPr>
      <xdr:spPr>
        <a:xfrm>
          <a:off x="981075" y="495300"/>
          <a:ext cx="1307224" cy="1970"/>
        </a:xfrm>
        <a:prstGeom prst="line">
          <a:avLst/>
        </a:prstGeom>
        <a:ln w="635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0.0.1\pkd\DOKIEM_2009\vms\dot%202\VER_2\123_%20TRAM%20BTS_900_VMS_HUAWEI\123_%20TRAM%20BTS_900_VMS_HUAWEI.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10.0.0.1\pkd\pkd\VIETTEL%20DOT%202\VT%20may%20hien\Don%20xin%20kiem%20dinh\BT%20Bac%20Lieu_nokia%20(900).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BBKD_71%20(140)_DDMMYY_Doan%20Loc%20(2014).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W:\2018\Phong%20Kiem%20dinh\1.%20Kiem%20dinh\Soft\V11\BBKD_71%20(140)_DDMMYY_Doan%20Loc%20(2014).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10.0.0.1\pkd\DOKIEM_2009\vms\dot%202\VER_2\01_TRAM%20EICSON_1800\01_TRAM_ERICSSON_180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s"/>
      <sheetName val="900"/>
      <sheetName val="City"/>
      <sheetName val="InCaseOf"/>
      <sheetName val="Application"/>
      <sheetName val="Lab"/>
    </sheetNames>
    <sheetDataSet>
      <sheetData sheetId="0" refreshError="1">
        <row r="2">
          <cell r="A2" t="str">
            <v>Kathrein 739630</v>
          </cell>
        </row>
        <row r="3">
          <cell r="A3" t="str">
            <v>Kathrein 739636</v>
          </cell>
        </row>
        <row r="4">
          <cell r="A4" t="str">
            <v>APX86-906515L-CT6</v>
          </cell>
        </row>
        <row r="5">
          <cell r="A5" t="str">
            <v>APX86-906515L-CT0</v>
          </cell>
        </row>
        <row r="6">
          <cell r="A6" t="str">
            <v>Dual band</v>
          </cell>
        </row>
        <row r="7">
          <cell r="A7" t="str">
            <v>Kathrein 739496</v>
          </cell>
        </row>
        <row r="8">
          <cell r="A8" t="str">
            <v xml:space="preserve">DX-806-960-65-18i-0F </v>
          </cell>
        </row>
        <row r="9">
          <cell r="A9" t="str">
            <v>DXX-824-960/1710-2170-65/65/18i</v>
          </cell>
        </row>
      </sheetData>
      <sheetData sheetId="1" refreshError="1"/>
      <sheetData sheetId="2" refreshError="1"/>
      <sheetData sheetId="3" refreshError="1"/>
      <sheetData sheetId="4" refreshError="1"/>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hamso"/>
      <sheetName val="Sheet2"/>
      <sheetName val="Sheet1"/>
      <sheetName val="Results - org"/>
    </sheetNames>
    <sheetDataSet>
      <sheetData sheetId="0">
        <row r="2">
          <cell r="B2" t="str">
            <v>Kathrein 739630</v>
          </cell>
        </row>
        <row r="3">
          <cell r="B3" t="str">
            <v>Kathrein 739636</v>
          </cell>
        </row>
        <row r="4">
          <cell r="B4" t="str">
            <v>APX86-906515L-CT0</v>
          </cell>
        </row>
        <row r="5">
          <cell r="B5" t="str">
            <v>APX86-906515L-CT6</v>
          </cell>
        </row>
        <row r="6">
          <cell r="B6" t="str">
            <v>DB858DG65ESY</v>
          </cell>
        </row>
        <row r="7">
          <cell r="B7" t="str">
            <v>858DG65T6ESY</v>
          </cell>
        </row>
        <row r="8">
          <cell r="B8" t="str">
            <v>Kathrein 739496</v>
          </cell>
        </row>
        <row r="9">
          <cell r="B9" t="str">
            <v>APX18-206516L-CT0</v>
          </cell>
        </row>
        <row r="10">
          <cell r="B10" t="str">
            <v>APX18-206516L-CT6</v>
          </cell>
        </row>
      </sheetData>
      <sheetData sheetId="1"/>
      <sheetData sheetId="2"/>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s"/>
      <sheetName val="1800"/>
    </sheetNames>
    <sheetDataSet>
      <sheetData sheetId="0">
        <row r="16">
          <cell r="H16" t="str">
            <v>H3900</v>
          </cell>
        </row>
        <row r="17">
          <cell r="H17" t="str">
            <v>H3012</v>
          </cell>
        </row>
        <row r="18">
          <cell r="H18" t="str">
            <v>RBS 2216</v>
          </cell>
        </row>
        <row r="19">
          <cell r="H19" t="str">
            <v>RBS 2116</v>
          </cell>
        </row>
        <row r="20">
          <cell r="H20" t="str">
            <v>RBS 2206</v>
          </cell>
        </row>
      </sheetData>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X24"/>
  <sheetViews>
    <sheetView view="pageLayout" topLeftCell="A7" workbookViewId="0">
      <selection activeCell="B17" sqref="B17"/>
    </sheetView>
  </sheetViews>
  <sheetFormatPr defaultRowHeight="15"/>
  <cols>
    <col min="1" max="24" width="3.7109375" style="97" customWidth="1"/>
    <col min="25" max="26" width="2.28515625" customWidth="1"/>
  </cols>
  <sheetData>
    <row r="1" spans="1:24" ht="45.75" customHeight="1">
      <c r="A1" s="312" t="s">
        <v>216</v>
      </c>
      <c r="B1" s="312"/>
      <c r="C1" s="312"/>
      <c r="D1" s="312"/>
      <c r="E1" s="312"/>
      <c r="F1" s="312"/>
      <c r="G1" s="312"/>
      <c r="H1" s="312"/>
      <c r="I1" s="312"/>
      <c r="J1" s="312"/>
      <c r="K1" s="312"/>
      <c r="L1" s="312"/>
      <c r="M1" s="312"/>
      <c r="N1" s="312"/>
      <c r="O1" s="312"/>
      <c r="P1" s="312"/>
      <c r="Q1" s="312"/>
      <c r="R1" s="312"/>
      <c r="S1" s="312"/>
      <c r="T1" s="312"/>
      <c r="U1" s="312"/>
      <c r="V1" s="312"/>
      <c r="W1" s="312"/>
      <c r="X1" s="312"/>
    </row>
    <row r="2" spans="1:24">
      <c r="A2" s="110" t="s">
        <v>136</v>
      </c>
    </row>
    <row r="3" spans="1:24">
      <c r="A3" s="110" t="s">
        <v>164</v>
      </c>
      <c r="C3" s="109">
        <v>1</v>
      </c>
      <c r="D3" s="97" t="s">
        <v>165</v>
      </c>
    </row>
    <row r="4" spans="1:24">
      <c r="A4" s="110"/>
      <c r="D4" s="97" t="s">
        <v>166</v>
      </c>
    </row>
    <row r="5" spans="1:24">
      <c r="A5" s="110"/>
      <c r="C5" s="109">
        <v>2</v>
      </c>
      <c r="D5" s="97" t="s">
        <v>167</v>
      </c>
    </row>
    <row r="6" spans="1:24">
      <c r="A6" s="110"/>
      <c r="D6" s="97" t="s">
        <v>168</v>
      </c>
    </row>
    <row r="7" spans="1:24">
      <c r="A7" s="109" t="s">
        <v>169</v>
      </c>
      <c r="B7" s="97" t="s">
        <v>215</v>
      </c>
    </row>
    <row r="8" spans="1:24">
      <c r="A8" s="109"/>
      <c r="B8" s="97" t="s">
        <v>137</v>
      </c>
    </row>
    <row r="9" spans="1:24">
      <c r="A9" s="109"/>
      <c r="B9" s="97" t="s">
        <v>143</v>
      </c>
    </row>
    <row r="10" spans="1:24">
      <c r="A10" s="109"/>
      <c r="B10" s="97" t="s">
        <v>217</v>
      </c>
    </row>
    <row r="11" spans="1:24">
      <c r="A11" s="109" t="s">
        <v>170</v>
      </c>
      <c r="B11" s="97" t="s">
        <v>220</v>
      </c>
    </row>
    <row r="12" spans="1:24">
      <c r="A12" s="109" t="s">
        <v>171</v>
      </c>
      <c r="B12" s="97" t="s">
        <v>138</v>
      </c>
    </row>
    <row r="13" spans="1:24">
      <c r="A13" s="109"/>
      <c r="B13" s="97" t="s">
        <v>139</v>
      </c>
    </row>
    <row r="14" spans="1:24">
      <c r="A14" s="109"/>
      <c r="B14" s="97" t="s">
        <v>218</v>
      </c>
    </row>
    <row r="15" spans="1:24">
      <c r="A15" s="109"/>
      <c r="B15" s="97" t="s">
        <v>219</v>
      </c>
    </row>
    <row r="16" spans="1:24">
      <c r="A16" s="109"/>
      <c r="B16" s="97" t="s">
        <v>144</v>
      </c>
    </row>
    <row r="17" spans="1:24">
      <c r="A17" s="109" t="s">
        <v>172</v>
      </c>
      <c r="B17" s="97" t="s">
        <v>140</v>
      </c>
      <c r="C17"/>
      <c r="D17"/>
      <c r="E17"/>
      <c r="F17"/>
      <c r="G17"/>
      <c r="H17"/>
      <c r="I17"/>
      <c r="J17"/>
      <c r="K17"/>
      <c r="L17"/>
      <c r="M17"/>
      <c r="N17"/>
      <c r="O17"/>
      <c r="P17"/>
      <c r="Q17"/>
      <c r="R17"/>
      <c r="S17"/>
      <c r="T17"/>
      <c r="U17"/>
      <c r="V17"/>
      <c r="W17"/>
      <c r="X17"/>
    </row>
    <row r="18" spans="1:24">
      <c r="A18" s="109"/>
      <c r="B18" s="97" t="s">
        <v>141</v>
      </c>
      <c r="C18"/>
      <c r="D18"/>
      <c r="E18"/>
      <c r="F18"/>
      <c r="G18"/>
      <c r="H18"/>
      <c r="I18"/>
      <c r="J18"/>
      <c r="K18"/>
      <c r="L18"/>
      <c r="M18"/>
      <c r="N18"/>
      <c r="O18"/>
      <c r="P18"/>
      <c r="Q18"/>
      <c r="R18"/>
      <c r="S18"/>
      <c r="T18"/>
      <c r="U18"/>
      <c r="V18"/>
      <c r="W18"/>
      <c r="X18"/>
    </row>
    <row r="19" spans="1:24">
      <c r="A19" s="109"/>
      <c r="B19" s="97" t="s">
        <v>142</v>
      </c>
      <c r="C19"/>
      <c r="D19"/>
      <c r="E19"/>
      <c r="F19"/>
      <c r="G19"/>
      <c r="H19"/>
      <c r="I19"/>
      <c r="J19"/>
      <c r="K19"/>
      <c r="L19"/>
      <c r="M19"/>
      <c r="N19"/>
      <c r="O19"/>
      <c r="P19"/>
      <c r="Q19"/>
      <c r="R19"/>
      <c r="S19"/>
      <c r="T19"/>
      <c r="U19"/>
      <c r="V19"/>
      <c r="W19"/>
      <c r="X19"/>
    </row>
    <row r="20" spans="1:24">
      <c r="A20" s="109"/>
      <c r="B20" s="97" t="s">
        <v>144</v>
      </c>
      <c r="C20"/>
      <c r="D20"/>
      <c r="E20"/>
      <c r="F20"/>
      <c r="G20"/>
      <c r="H20"/>
      <c r="I20"/>
      <c r="J20"/>
      <c r="K20"/>
      <c r="L20"/>
      <c r="M20"/>
      <c r="N20"/>
      <c r="O20"/>
      <c r="P20"/>
      <c r="Q20"/>
      <c r="R20"/>
      <c r="S20"/>
      <c r="T20"/>
      <c r="U20"/>
      <c r="V20"/>
      <c r="W20"/>
      <c r="X20"/>
    </row>
    <row r="21" spans="1:24">
      <c r="A21" s="109"/>
      <c r="B21" s="97" t="s">
        <v>145</v>
      </c>
      <c r="C21"/>
      <c r="D21"/>
      <c r="E21"/>
      <c r="F21"/>
      <c r="G21"/>
      <c r="H21"/>
      <c r="I21"/>
      <c r="J21"/>
      <c r="K21"/>
      <c r="L21"/>
      <c r="M21"/>
      <c r="N21"/>
      <c r="O21"/>
      <c r="P21"/>
      <c r="Q21"/>
      <c r="R21"/>
      <c r="S21"/>
      <c r="T21"/>
      <c r="U21"/>
      <c r="V21"/>
      <c r="W21"/>
      <c r="X21"/>
    </row>
    <row r="22" spans="1:24">
      <c r="A22" s="109"/>
      <c r="C22"/>
      <c r="D22"/>
      <c r="E22"/>
      <c r="F22"/>
      <c r="G22"/>
      <c r="H22"/>
      <c r="I22"/>
      <c r="J22"/>
      <c r="K22"/>
      <c r="L22"/>
      <c r="M22"/>
      <c r="N22"/>
      <c r="O22"/>
      <c r="P22"/>
      <c r="Q22"/>
      <c r="R22"/>
      <c r="S22"/>
      <c r="T22"/>
      <c r="U22"/>
      <c r="V22"/>
      <c r="W22"/>
      <c r="X22"/>
    </row>
    <row r="23" spans="1:24">
      <c r="A23" s="109"/>
      <c r="C23"/>
      <c r="D23"/>
      <c r="E23"/>
      <c r="F23"/>
      <c r="G23"/>
      <c r="H23"/>
      <c r="I23"/>
      <c r="J23"/>
      <c r="K23"/>
      <c r="L23"/>
      <c r="M23"/>
      <c r="N23"/>
      <c r="O23"/>
      <c r="P23"/>
      <c r="Q23"/>
      <c r="R23"/>
      <c r="S23"/>
      <c r="T23"/>
      <c r="U23"/>
      <c r="V23"/>
      <c r="W23"/>
      <c r="X23"/>
    </row>
    <row r="24" spans="1:24">
      <c r="A24" s="109"/>
      <c r="C24"/>
      <c r="D24"/>
      <c r="E24"/>
      <c r="F24"/>
      <c r="G24"/>
      <c r="H24"/>
      <c r="I24"/>
      <c r="J24"/>
      <c r="K24"/>
      <c r="L24"/>
      <c r="M24"/>
      <c r="N24"/>
      <c r="O24"/>
      <c r="P24"/>
      <c r="Q24"/>
      <c r="R24"/>
      <c r="S24"/>
      <c r="T24"/>
      <c r="U24"/>
      <c r="V24"/>
      <c r="W24"/>
      <c r="X24"/>
    </row>
  </sheetData>
  <mergeCells count="1">
    <mergeCell ref="A1:X1"/>
  </mergeCells>
  <pageMargins left="0.7" right="0.46875"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92D050"/>
  </sheetPr>
  <dimension ref="A1:C5"/>
  <sheetViews>
    <sheetView workbookViewId="0">
      <selection activeCell="F12" sqref="F12"/>
    </sheetView>
  </sheetViews>
  <sheetFormatPr defaultRowHeight="16.5"/>
  <cols>
    <col min="1" max="1" width="5.7109375" style="251" customWidth="1"/>
    <col min="2" max="2" width="8.85546875" style="251" customWidth="1"/>
    <col min="3" max="3" width="26.42578125" style="253" customWidth="1"/>
    <col min="4" max="16384" width="9.140625" style="253"/>
  </cols>
  <sheetData>
    <row r="1" spans="1:3" s="250" customFormat="1">
      <c r="A1" s="249" t="s">
        <v>248</v>
      </c>
      <c r="B1" s="249" t="s">
        <v>1555</v>
      </c>
      <c r="C1" s="249" t="s">
        <v>1556</v>
      </c>
    </row>
    <row r="2" spans="1:3">
      <c r="A2" s="251">
        <v>1</v>
      </c>
      <c r="B2" s="254">
        <v>1</v>
      </c>
      <c r="C2" s="252" t="s">
        <v>1557</v>
      </c>
    </row>
    <row r="3" spans="1:3">
      <c r="A3" s="251">
        <v>2</v>
      </c>
      <c r="B3" s="254">
        <v>2</v>
      </c>
      <c r="C3" s="252" t="s">
        <v>1558</v>
      </c>
    </row>
    <row r="4" spans="1:3">
      <c r="A4" s="251">
        <v>3</v>
      </c>
      <c r="B4" s="254">
        <v>3</v>
      </c>
      <c r="C4" s="252" t="s">
        <v>1559</v>
      </c>
    </row>
    <row r="5" spans="1:3">
      <c r="A5" s="251">
        <v>4</v>
      </c>
      <c r="B5" s="254">
        <v>4</v>
      </c>
      <c r="C5" s="252" t="s">
        <v>1560</v>
      </c>
    </row>
  </sheetData>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92D050"/>
  </sheetPr>
  <dimension ref="A1:F2"/>
  <sheetViews>
    <sheetView workbookViewId="0">
      <selection sqref="A1:XFD1048576"/>
    </sheetView>
  </sheetViews>
  <sheetFormatPr defaultRowHeight="16.5"/>
  <cols>
    <col min="1" max="1" width="5.7109375" style="254" customWidth="1"/>
    <col min="2" max="2" width="12" style="254" customWidth="1"/>
    <col min="3" max="3" width="35" style="252" customWidth="1"/>
    <col min="4" max="4" width="33.42578125" style="252" customWidth="1"/>
    <col min="5" max="5" width="16.7109375" style="252" customWidth="1"/>
    <col min="6" max="6" width="17.7109375" style="252" customWidth="1"/>
    <col min="7" max="16384" width="9.140625" style="252"/>
  </cols>
  <sheetData>
    <row r="1" spans="1:6" s="274" customFormat="1">
      <c r="A1" s="273" t="s">
        <v>248</v>
      </c>
      <c r="B1" s="273" t="s">
        <v>1555</v>
      </c>
      <c r="C1" s="273" t="s">
        <v>1556</v>
      </c>
      <c r="D1" s="276" t="s">
        <v>1516</v>
      </c>
      <c r="E1" s="276" t="s">
        <v>1561</v>
      </c>
      <c r="F1" s="276" t="s">
        <v>1562</v>
      </c>
    </row>
    <row r="2" spans="1:6" ht="33" customHeight="1">
      <c r="A2" s="254">
        <v>1</v>
      </c>
      <c r="B2" s="254" t="s">
        <v>1563</v>
      </c>
      <c r="C2" s="252" t="s">
        <v>126</v>
      </c>
      <c r="D2" s="252" t="s">
        <v>1564</v>
      </c>
      <c r="E2" s="252" t="s">
        <v>1565</v>
      </c>
      <c r="F2" s="252" t="s">
        <v>1566</v>
      </c>
    </row>
  </sheetData>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92D050"/>
  </sheetPr>
  <dimension ref="A1:F23"/>
  <sheetViews>
    <sheetView topLeftCell="A7" workbookViewId="0">
      <selection activeCell="A7" sqref="A1:XFD1048576"/>
    </sheetView>
  </sheetViews>
  <sheetFormatPr defaultRowHeight="16.5"/>
  <cols>
    <col min="1" max="1" width="5.7109375" style="251" customWidth="1"/>
    <col min="2" max="2" width="15.7109375" style="253" customWidth="1"/>
    <col min="3" max="3" width="22.42578125" style="253" customWidth="1"/>
    <col min="4" max="16384" width="9.140625" style="253"/>
  </cols>
  <sheetData>
    <row r="1" spans="1:6" s="250" customFormat="1">
      <c r="A1" s="249" t="s">
        <v>248</v>
      </c>
      <c r="B1" s="249" t="s">
        <v>1555</v>
      </c>
      <c r="C1" s="249" t="s">
        <v>1556</v>
      </c>
    </row>
    <row r="2" spans="1:6">
      <c r="A2" s="251">
        <v>1</v>
      </c>
      <c r="B2" s="252" t="s">
        <v>1567</v>
      </c>
      <c r="C2" s="252" t="s">
        <v>1568</v>
      </c>
    </row>
    <row r="3" spans="1:6">
      <c r="A3" s="251">
        <v>2</v>
      </c>
      <c r="B3" s="252" t="s">
        <v>1569</v>
      </c>
      <c r="C3" s="252" t="s">
        <v>279</v>
      </c>
    </row>
    <row r="4" spans="1:6">
      <c r="A4" s="251">
        <v>3</v>
      </c>
      <c r="B4" s="252" t="s">
        <v>1570</v>
      </c>
      <c r="C4" s="252" t="s">
        <v>432</v>
      </c>
      <c r="F4" s="253" t="str">
        <f>$B$1:INDEX($B:$B,COUNTA($B:$B))</f>
        <v>BLU</v>
      </c>
    </row>
    <row r="5" spans="1:6">
      <c r="A5" s="251">
        <v>4</v>
      </c>
      <c r="B5" s="252" t="s">
        <v>1571</v>
      </c>
      <c r="C5" s="252" t="s">
        <v>636</v>
      </c>
    </row>
    <row r="6" spans="1:6">
      <c r="A6" s="251">
        <v>5</v>
      </c>
      <c r="B6" s="252" t="s">
        <v>1572</v>
      </c>
      <c r="C6" s="252" t="s">
        <v>1269</v>
      </c>
    </row>
    <row r="7" spans="1:6">
      <c r="A7" s="251">
        <v>6</v>
      </c>
      <c r="B7" s="252" t="s">
        <v>1573</v>
      </c>
      <c r="C7" s="252" t="s">
        <v>1574</v>
      </c>
    </row>
    <row r="8" spans="1:6">
      <c r="A8" s="251">
        <v>7</v>
      </c>
      <c r="B8" s="252" t="s">
        <v>1575</v>
      </c>
      <c r="C8" s="252" t="s">
        <v>1576</v>
      </c>
    </row>
    <row r="9" spans="1:6">
      <c r="A9" s="251">
        <v>8</v>
      </c>
      <c r="B9" s="252" t="s">
        <v>1577</v>
      </c>
      <c r="C9" s="252" t="s">
        <v>673</v>
      </c>
    </row>
    <row r="10" spans="1:6">
      <c r="A10" s="251">
        <v>9</v>
      </c>
      <c r="B10" s="252" t="s">
        <v>1578</v>
      </c>
      <c r="C10" s="252" t="s">
        <v>1579</v>
      </c>
    </row>
    <row r="11" spans="1:6">
      <c r="A11" s="251">
        <v>10</v>
      </c>
      <c r="B11" s="252" t="s">
        <v>1580</v>
      </c>
      <c r="C11" s="252" t="s">
        <v>834</v>
      </c>
    </row>
    <row r="12" spans="1:6">
      <c r="A12" s="251">
        <v>11</v>
      </c>
      <c r="B12" s="252" t="s">
        <v>1581</v>
      </c>
      <c r="C12" s="252" t="s">
        <v>1582</v>
      </c>
    </row>
    <row r="13" spans="1:6">
      <c r="A13" s="251">
        <v>12</v>
      </c>
      <c r="B13" s="252" t="s">
        <v>1528</v>
      </c>
      <c r="C13" s="252" t="s">
        <v>244</v>
      </c>
    </row>
    <row r="14" spans="1:6">
      <c r="A14" s="251">
        <v>13</v>
      </c>
      <c r="B14" s="252" t="s">
        <v>1583</v>
      </c>
      <c r="C14" s="252" t="s">
        <v>1584</v>
      </c>
    </row>
    <row r="15" spans="1:6">
      <c r="A15" s="251">
        <v>14</v>
      </c>
      <c r="B15" s="252" t="s">
        <v>1585</v>
      </c>
      <c r="C15" s="252" t="s">
        <v>986</v>
      </c>
    </row>
    <row r="16" spans="1:6">
      <c r="A16" s="251">
        <v>15</v>
      </c>
      <c r="B16" s="252" t="s">
        <v>1586</v>
      </c>
      <c r="C16" s="252" t="s">
        <v>1587</v>
      </c>
    </row>
    <row r="17" spans="1:3">
      <c r="A17" s="251">
        <v>16</v>
      </c>
      <c r="B17" s="252" t="s">
        <v>1588</v>
      </c>
      <c r="C17" s="252" t="s">
        <v>1090</v>
      </c>
    </row>
    <row r="18" spans="1:3">
      <c r="A18" s="251">
        <v>17</v>
      </c>
      <c r="B18" s="252" t="s">
        <v>1589</v>
      </c>
      <c r="C18" s="252" t="s">
        <v>1590</v>
      </c>
    </row>
    <row r="19" spans="1:3">
      <c r="A19" s="251">
        <v>18</v>
      </c>
      <c r="B19" s="252" t="s">
        <v>1591</v>
      </c>
      <c r="C19" s="252" t="s">
        <v>1208</v>
      </c>
    </row>
    <row r="20" spans="1:3">
      <c r="A20" s="251">
        <v>19</v>
      </c>
      <c r="B20" s="252" t="s">
        <v>1592</v>
      </c>
      <c r="C20" s="252" t="s">
        <v>1593</v>
      </c>
    </row>
    <row r="21" spans="1:3">
      <c r="A21" s="251">
        <v>20</v>
      </c>
      <c r="B21" s="252" t="s">
        <v>1594</v>
      </c>
      <c r="C21" s="252" t="s">
        <v>1239</v>
      </c>
    </row>
    <row r="22" spans="1:3">
      <c r="A22" s="251">
        <v>21</v>
      </c>
      <c r="B22" s="252" t="s">
        <v>1595</v>
      </c>
      <c r="C22" s="252" t="s">
        <v>1596</v>
      </c>
    </row>
    <row r="23" spans="1:3">
      <c r="A23" s="251">
        <v>22</v>
      </c>
      <c r="B23" s="252" t="s">
        <v>1597</v>
      </c>
      <c r="C23" s="252" t="s">
        <v>1598</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Operator">
    <tabColor rgb="FF92D050"/>
  </sheetPr>
  <dimension ref="A1:C6"/>
  <sheetViews>
    <sheetView zoomScale="145" zoomScaleNormal="145" workbookViewId="0">
      <selection activeCell="B3" sqref="B3"/>
    </sheetView>
  </sheetViews>
  <sheetFormatPr defaultRowHeight="16.5"/>
  <cols>
    <col min="1" max="1" width="5.7109375" style="251" customWidth="1"/>
    <col min="2" max="2" width="16.140625" style="253" customWidth="1"/>
    <col min="3" max="3" width="55.85546875" style="253" customWidth="1"/>
    <col min="4" max="16384" width="9.140625" style="253"/>
  </cols>
  <sheetData>
    <row r="1" spans="1:3" s="250" customFormat="1">
      <c r="A1" s="249" t="s">
        <v>248</v>
      </c>
      <c r="B1" s="249" t="s">
        <v>1555</v>
      </c>
      <c r="C1" s="249" t="s">
        <v>1556</v>
      </c>
    </row>
    <row r="2" spans="1:3">
      <c r="A2" s="251">
        <v>1</v>
      </c>
      <c r="B2" s="252" t="s">
        <v>1599</v>
      </c>
      <c r="C2" s="252" t="s">
        <v>132</v>
      </c>
    </row>
    <row r="3" spans="1:3">
      <c r="A3" s="251">
        <v>2</v>
      </c>
      <c r="B3" s="252" t="s">
        <v>1600</v>
      </c>
      <c r="C3" s="252" t="s">
        <v>238</v>
      </c>
    </row>
    <row r="4" spans="1:3">
      <c r="A4" s="251">
        <v>3</v>
      </c>
      <c r="B4" s="252" t="s">
        <v>1601</v>
      </c>
      <c r="C4" s="252" t="s">
        <v>1846</v>
      </c>
    </row>
    <row r="5" spans="1:3">
      <c r="A5" s="251">
        <v>4</v>
      </c>
      <c r="B5" s="252" t="s">
        <v>1602</v>
      </c>
      <c r="C5" s="252" t="s">
        <v>277</v>
      </c>
    </row>
    <row r="6" spans="1:3">
      <c r="A6" s="251">
        <v>5</v>
      </c>
      <c r="B6" s="252" t="s">
        <v>1603</v>
      </c>
      <c r="C6" s="252" t="s">
        <v>1847</v>
      </c>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92D050"/>
  </sheetPr>
  <dimension ref="A1:H2"/>
  <sheetViews>
    <sheetView workbookViewId="0">
      <selection activeCell="C12" sqref="C12"/>
    </sheetView>
  </sheetViews>
  <sheetFormatPr defaultRowHeight="16.5"/>
  <cols>
    <col min="1" max="1" width="4.5703125" style="254" customWidth="1"/>
    <col min="2" max="2" width="19.85546875" style="252" customWidth="1"/>
    <col min="3" max="3" width="40.42578125" style="252" customWidth="1"/>
    <col min="4" max="4" width="30" style="252" customWidth="1"/>
    <col min="5" max="5" width="15.42578125" style="252" customWidth="1"/>
    <col min="6" max="6" width="15.5703125" style="252" customWidth="1"/>
    <col min="7" max="7" width="17.85546875" style="252" customWidth="1"/>
    <col min="8" max="8" width="14.5703125" style="254" customWidth="1"/>
    <col min="9" max="16384" width="9.140625" style="252"/>
  </cols>
  <sheetData>
    <row r="1" spans="1:8" s="274" customFormat="1">
      <c r="A1" s="273" t="s">
        <v>248</v>
      </c>
      <c r="B1" s="273" t="s">
        <v>1555</v>
      </c>
      <c r="C1" s="273" t="s">
        <v>1556</v>
      </c>
      <c r="D1" s="273" t="s">
        <v>1516</v>
      </c>
      <c r="E1" s="273" t="s">
        <v>1561</v>
      </c>
      <c r="F1" s="273" t="s">
        <v>1562</v>
      </c>
      <c r="G1" s="273" t="s">
        <v>1604</v>
      </c>
      <c r="H1" s="273" t="s">
        <v>1605</v>
      </c>
    </row>
    <row r="2" spans="1:8">
      <c r="A2" s="254">
        <v>1</v>
      </c>
      <c r="B2" s="252" t="s">
        <v>1606</v>
      </c>
      <c r="C2" s="252" t="s">
        <v>1623</v>
      </c>
      <c r="D2" s="252" t="s">
        <v>1607</v>
      </c>
      <c r="E2" s="275" t="s">
        <v>1608</v>
      </c>
      <c r="F2" s="275" t="s">
        <v>1609</v>
      </c>
      <c r="G2" s="252" t="s">
        <v>1610</v>
      </c>
      <c r="H2" s="252" t="s">
        <v>1600</v>
      </c>
    </row>
  </sheetData>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00B0F0"/>
  </sheetPr>
  <dimension ref="A1:M2"/>
  <sheetViews>
    <sheetView tabSelected="1" workbookViewId="0">
      <selection activeCell="A2" sqref="A2"/>
    </sheetView>
  </sheetViews>
  <sheetFormatPr defaultRowHeight="16.5"/>
  <cols>
    <col min="1" max="1" width="18" style="268" customWidth="1"/>
    <col min="2" max="2" width="34.28515625" style="268" customWidth="1"/>
    <col min="3" max="3" width="23.140625" style="268" bestFit="1" customWidth="1"/>
    <col min="4" max="5" width="14.42578125" style="268" customWidth="1"/>
    <col min="6" max="6" width="19.5703125" style="268" customWidth="1"/>
    <col min="7" max="7" width="15" style="268" customWidth="1"/>
    <col min="8" max="8" width="12.42578125" style="268" customWidth="1"/>
    <col min="9" max="9" width="20.28515625" style="268" customWidth="1"/>
    <col min="10" max="10" width="19.7109375" style="268" customWidth="1"/>
    <col min="11" max="11" width="17.7109375" style="268" bestFit="1" customWidth="1"/>
    <col min="12" max="12" width="19.85546875" style="272" customWidth="1"/>
    <col min="13" max="13" width="42.140625" style="272" bestFit="1" customWidth="1"/>
    <col min="14" max="16384" width="9.140625" style="268"/>
  </cols>
  <sheetData>
    <row r="1" spans="1:13" s="267" customFormat="1">
      <c r="A1" s="265" t="s">
        <v>1611</v>
      </c>
      <c r="B1" s="266" t="s">
        <v>1517</v>
      </c>
      <c r="C1" s="265" t="s">
        <v>1612</v>
      </c>
      <c r="D1" s="265" t="s">
        <v>1613</v>
      </c>
      <c r="E1" s="265" t="s">
        <v>1614</v>
      </c>
      <c r="F1" s="265" t="s">
        <v>1615</v>
      </c>
      <c r="G1" s="265" t="s">
        <v>1616</v>
      </c>
      <c r="H1" s="265" t="s">
        <v>1617</v>
      </c>
      <c r="I1" s="265" t="s">
        <v>1618</v>
      </c>
      <c r="J1" s="265" t="s">
        <v>1619</v>
      </c>
      <c r="K1" s="265" t="s">
        <v>1620</v>
      </c>
      <c r="L1" s="266" t="s">
        <v>1605</v>
      </c>
      <c r="M1" s="266" t="s">
        <v>1515</v>
      </c>
    </row>
    <row r="2" spans="1:13">
      <c r="A2" s="252" t="s">
        <v>1606</v>
      </c>
      <c r="B2" s="252" t="str">
        <f>INDEX(ApplicantNameList,MATCH($A$2,ApplicantIDList,0))</f>
        <v>CHI NHÁNH VNMOBILE TẠI TPHCM</v>
      </c>
      <c r="C2" s="268" t="s">
        <v>1621</v>
      </c>
      <c r="D2" s="269">
        <v>42962</v>
      </c>
      <c r="E2" s="268">
        <v>4</v>
      </c>
      <c r="F2" s="268">
        <v>4</v>
      </c>
      <c r="G2" s="269">
        <v>42963</v>
      </c>
      <c r="H2" s="270">
        <v>10000000</v>
      </c>
      <c r="I2" s="271" t="s">
        <v>1622</v>
      </c>
      <c r="J2" s="269">
        <v>42964</v>
      </c>
      <c r="K2" s="269">
        <v>42972</v>
      </c>
      <c r="L2" s="254" t="str">
        <f>INDEX(Applicant!$H:$H,MATCH($A$2,ApplicantIDList,0))</f>
        <v>MOBIFONE</v>
      </c>
      <c r="M2" s="272" t="str">
        <f>INDEX(OperatorNameList,MATCH($L$2,OperatorIDList,0))</f>
        <v>TỔNG CÔNG TY VIỄN THÔNG MOBIFONE</v>
      </c>
    </row>
  </sheetData>
  <pageMargins left="0.7" right="0.7" top="0.75" bottom="0.75" header="0.3" footer="0.3"/>
  <pageSetup paperSize="9" orientation="portrait"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rgb="FF00B0F0"/>
  </sheetPr>
  <dimension ref="A1:J406"/>
  <sheetViews>
    <sheetView topLeftCell="B1" workbookViewId="0">
      <selection activeCell="C3" sqref="C3"/>
    </sheetView>
  </sheetViews>
  <sheetFormatPr defaultColWidth="9" defaultRowHeight="12.75"/>
  <cols>
    <col min="1" max="1" width="6.140625" style="262" customWidth="1"/>
    <col min="2" max="2" width="11.140625" style="261" customWidth="1"/>
    <col min="3" max="3" width="81.5703125" style="261" bestFit="1" customWidth="1"/>
    <col min="4" max="8" width="14" style="261" customWidth="1"/>
    <col min="9" max="10" width="12.140625" style="261" customWidth="1"/>
    <col min="11" max="11" width="12.42578125" style="261" customWidth="1"/>
    <col min="12" max="12" width="14.5703125" style="261" customWidth="1"/>
    <col min="13" max="13" width="12" style="261" customWidth="1"/>
    <col min="14" max="16384" width="9" style="261"/>
  </cols>
  <sheetData>
    <row r="1" spans="1:10" s="259" customFormat="1">
      <c r="A1" s="255" t="s">
        <v>248</v>
      </c>
      <c r="B1" s="256" t="s">
        <v>1524</v>
      </c>
      <c r="C1" s="256" t="s">
        <v>1516</v>
      </c>
      <c r="D1" s="256" t="s">
        <v>1518</v>
      </c>
      <c r="E1" s="256" t="s">
        <v>1519</v>
      </c>
      <c r="F1" s="256" t="s">
        <v>1520</v>
      </c>
      <c r="G1" s="256" t="s">
        <v>1526</v>
      </c>
      <c r="H1" s="257" t="s">
        <v>1525</v>
      </c>
      <c r="I1" s="258"/>
      <c r="J1" s="258"/>
    </row>
    <row r="2" spans="1:10" ht="16.5">
      <c r="A2" s="253">
        <v>1</v>
      </c>
      <c r="B2" s="253">
        <v>359018</v>
      </c>
      <c r="C2" s="253" t="s">
        <v>1527</v>
      </c>
      <c r="D2" s="252" t="s">
        <v>244</v>
      </c>
      <c r="E2" s="260">
        <v>106.69888899999999</v>
      </c>
      <c r="F2" s="253">
        <v>10.759444</v>
      </c>
      <c r="G2" s="253">
        <v>1</v>
      </c>
      <c r="H2" s="251" t="str">
        <f>INDEX(CityIDList,MATCH($D$2,CityNameList,0))</f>
        <v>HCM</v>
      </c>
    </row>
    <row r="3" spans="1:10" ht="16.5">
      <c r="A3" s="253">
        <v>2</v>
      </c>
      <c r="B3" s="253">
        <v>359184</v>
      </c>
      <c r="C3" s="253" t="s">
        <v>1529</v>
      </c>
      <c r="D3" s="252" t="s">
        <v>244</v>
      </c>
      <c r="E3" s="260">
        <v>106.6932</v>
      </c>
      <c r="F3" s="253">
        <v>10.772119999999999</v>
      </c>
      <c r="G3" s="253">
        <v>1</v>
      </c>
      <c r="H3" s="251" t="str">
        <f>INDEX(CityIDList,MATCH($D$2,CityNameList,0))</f>
        <v>HCM</v>
      </c>
    </row>
    <row r="4" spans="1:10" ht="16.5">
      <c r="A4" s="253">
        <v>3</v>
      </c>
      <c r="B4" s="253">
        <v>359356</v>
      </c>
      <c r="C4" s="253" t="s">
        <v>1530</v>
      </c>
      <c r="D4" s="252" t="s">
        <v>244</v>
      </c>
      <c r="E4" s="260">
        <v>106.68680999999999</v>
      </c>
      <c r="F4" s="253">
        <v>10.76398</v>
      </c>
      <c r="G4" s="253">
        <v>1</v>
      </c>
      <c r="H4" s="251" t="str">
        <f>INDEX(CityIDList,MATCH($D$2,CityNameList,0))</f>
        <v>HCM</v>
      </c>
    </row>
    <row r="5" spans="1:10" ht="16.5">
      <c r="A5" s="253">
        <v>4</v>
      </c>
      <c r="B5" s="253">
        <v>359389</v>
      </c>
      <c r="C5" s="253" t="s">
        <v>1531</v>
      </c>
      <c r="D5" s="252" t="s">
        <v>244</v>
      </c>
      <c r="E5" s="260">
        <v>106.702</v>
      </c>
      <c r="F5" s="253">
        <v>10.777200000000001</v>
      </c>
      <c r="G5" s="253">
        <v>1</v>
      </c>
      <c r="H5" s="251" t="str">
        <f>INDEX(CityIDList,MATCH($D$2,CityNameList,0))</f>
        <v>HCM</v>
      </c>
    </row>
    <row r="6" spans="1:10">
      <c r="D6" s="263"/>
      <c r="G6" s="262"/>
      <c r="H6" s="263"/>
    </row>
    <row r="7" spans="1:10">
      <c r="D7" s="263"/>
      <c r="G7" s="262"/>
      <c r="H7" s="263"/>
    </row>
    <row r="8" spans="1:10">
      <c r="D8" s="263"/>
      <c r="G8" s="262"/>
      <c r="H8" s="263"/>
    </row>
    <row r="9" spans="1:10">
      <c r="D9" s="263"/>
      <c r="G9" s="262"/>
      <c r="H9" s="263"/>
    </row>
    <row r="10" spans="1:10">
      <c r="D10" s="263"/>
      <c r="G10" s="262"/>
      <c r="H10" s="263"/>
    </row>
    <row r="11" spans="1:10" ht="16.5">
      <c r="C11" s="253"/>
      <c r="D11" s="263"/>
      <c r="G11" s="262"/>
      <c r="H11" s="263"/>
    </row>
    <row r="12" spans="1:10">
      <c r="D12" s="263"/>
      <c r="G12" s="262"/>
      <c r="H12" s="263"/>
    </row>
    <row r="13" spans="1:10">
      <c r="D13" s="263"/>
      <c r="G13" s="262"/>
      <c r="H13" s="263"/>
    </row>
    <row r="14" spans="1:10">
      <c r="D14" s="263"/>
      <c r="G14" s="262"/>
      <c r="H14" s="263"/>
    </row>
    <row r="15" spans="1:10">
      <c r="D15" s="263"/>
      <c r="G15" s="262"/>
      <c r="H15" s="263"/>
    </row>
    <row r="16" spans="1:10">
      <c r="D16" s="263"/>
      <c r="G16" s="262"/>
      <c r="H16" s="263"/>
    </row>
    <row r="17" spans="4:8">
      <c r="D17" s="263"/>
      <c r="G17" s="262"/>
      <c r="H17" s="263"/>
    </row>
    <row r="18" spans="4:8">
      <c r="D18" s="263"/>
      <c r="G18" s="262"/>
      <c r="H18" s="263"/>
    </row>
    <row r="19" spans="4:8">
      <c r="D19" s="263"/>
      <c r="G19" s="262"/>
      <c r="H19" s="263"/>
    </row>
    <row r="20" spans="4:8">
      <c r="D20" s="263"/>
      <c r="G20" s="262"/>
      <c r="H20" s="263"/>
    </row>
    <row r="21" spans="4:8">
      <c r="D21" s="263"/>
      <c r="G21" s="262"/>
      <c r="H21" s="263"/>
    </row>
    <row r="22" spans="4:8">
      <c r="D22" s="263"/>
      <c r="G22" s="262"/>
      <c r="H22" s="263"/>
    </row>
    <row r="23" spans="4:8">
      <c r="D23" s="263"/>
      <c r="G23" s="262"/>
      <c r="H23" s="263"/>
    </row>
    <row r="24" spans="4:8">
      <c r="D24" s="263"/>
      <c r="G24" s="262"/>
      <c r="H24" s="263"/>
    </row>
    <row r="25" spans="4:8">
      <c r="D25" s="263"/>
      <c r="G25" s="262"/>
      <c r="H25" s="263"/>
    </row>
    <row r="26" spans="4:8">
      <c r="D26" s="263"/>
      <c r="G26" s="262"/>
      <c r="H26" s="263"/>
    </row>
    <row r="27" spans="4:8">
      <c r="D27" s="263"/>
      <c r="G27" s="262"/>
      <c r="H27" s="263"/>
    </row>
    <row r="28" spans="4:8">
      <c r="D28" s="263"/>
      <c r="G28" s="262"/>
      <c r="H28" s="263"/>
    </row>
    <row r="29" spans="4:8">
      <c r="D29" s="263"/>
      <c r="G29" s="262"/>
      <c r="H29" s="263"/>
    </row>
    <row r="30" spans="4:8">
      <c r="D30" s="263"/>
      <c r="G30" s="262"/>
      <c r="H30" s="263"/>
    </row>
    <row r="31" spans="4:8">
      <c r="D31" s="263"/>
      <c r="G31" s="262"/>
      <c r="H31" s="263"/>
    </row>
    <row r="32" spans="4:8">
      <c r="D32" s="263"/>
      <c r="G32" s="262"/>
      <c r="H32" s="263"/>
    </row>
    <row r="33" spans="4:8">
      <c r="D33" s="263"/>
      <c r="G33" s="262"/>
      <c r="H33" s="263"/>
    </row>
    <row r="34" spans="4:8">
      <c r="D34" s="263"/>
      <c r="G34" s="262"/>
      <c r="H34" s="263"/>
    </row>
    <row r="35" spans="4:8">
      <c r="D35" s="263"/>
      <c r="G35" s="262"/>
      <c r="H35" s="263"/>
    </row>
    <row r="36" spans="4:8">
      <c r="D36" s="263"/>
      <c r="G36" s="262"/>
      <c r="H36" s="263"/>
    </row>
    <row r="37" spans="4:8">
      <c r="D37" s="263"/>
      <c r="G37" s="262"/>
      <c r="H37" s="263"/>
    </row>
    <row r="38" spans="4:8">
      <c r="D38" s="263"/>
      <c r="G38" s="262"/>
      <c r="H38" s="263"/>
    </row>
    <row r="39" spans="4:8">
      <c r="D39" s="263"/>
      <c r="G39" s="262"/>
      <c r="H39" s="263"/>
    </row>
    <row r="40" spans="4:8">
      <c r="D40" s="263"/>
      <c r="G40" s="262"/>
      <c r="H40" s="263"/>
    </row>
    <row r="41" spans="4:8">
      <c r="D41" s="263"/>
      <c r="G41" s="262"/>
      <c r="H41" s="263"/>
    </row>
    <row r="42" spans="4:8">
      <c r="D42" s="263"/>
      <c r="G42" s="262"/>
      <c r="H42" s="263"/>
    </row>
    <row r="43" spans="4:8">
      <c r="D43" s="263"/>
      <c r="G43" s="262"/>
      <c r="H43" s="263"/>
    </row>
    <row r="44" spans="4:8">
      <c r="D44" s="263"/>
      <c r="G44" s="262"/>
      <c r="H44" s="263"/>
    </row>
    <row r="45" spans="4:8">
      <c r="D45" s="263"/>
      <c r="G45" s="262"/>
      <c r="H45" s="263"/>
    </row>
    <row r="46" spans="4:8">
      <c r="D46" s="263"/>
      <c r="G46" s="262"/>
      <c r="H46" s="263"/>
    </row>
    <row r="47" spans="4:8">
      <c r="D47" s="263"/>
      <c r="G47" s="262"/>
      <c r="H47" s="263"/>
    </row>
    <row r="48" spans="4:8">
      <c r="D48" s="263"/>
      <c r="G48" s="262"/>
      <c r="H48" s="263"/>
    </row>
    <row r="49" spans="4:8">
      <c r="D49" s="263"/>
      <c r="G49" s="262"/>
      <c r="H49" s="263"/>
    </row>
    <row r="50" spans="4:8">
      <c r="D50" s="263"/>
      <c r="G50" s="262"/>
      <c r="H50" s="263"/>
    </row>
    <row r="51" spans="4:8">
      <c r="D51" s="263"/>
      <c r="G51" s="262"/>
      <c r="H51" s="263"/>
    </row>
    <row r="52" spans="4:8">
      <c r="D52" s="263"/>
      <c r="G52" s="262"/>
      <c r="H52" s="263"/>
    </row>
    <row r="53" spans="4:8">
      <c r="D53" s="263"/>
      <c r="G53" s="262"/>
      <c r="H53" s="263"/>
    </row>
    <row r="54" spans="4:8">
      <c r="D54" s="263"/>
      <c r="G54" s="262"/>
      <c r="H54" s="263"/>
    </row>
    <row r="55" spans="4:8">
      <c r="D55" s="263"/>
      <c r="G55" s="262"/>
      <c r="H55" s="263"/>
    </row>
    <row r="56" spans="4:8">
      <c r="D56" s="263"/>
      <c r="G56" s="262"/>
      <c r="H56" s="263"/>
    </row>
    <row r="57" spans="4:8">
      <c r="D57" s="263"/>
      <c r="G57" s="262"/>
      <c r="H57" s="263"/>
    </row>
    <row r="58" spans="4:8">
      <c r="D58" s="263"/>
      <c r="G58" s="262"/>
      <c r="H58" s="263"/>
    </row>
    <row r="59" spans="4:8">
      <c r="D59" s="263"/>
      <c r="G59" s="262"/>
      <c r="H59" s="263"/>
    </row>
    <row r="60" spans="4:8">
      <c r="D60" s="263"/>
      <c r="G60" s="262"/>
      <c r="H60" s="263"/>
    </row>
    <row r="61" spans="4:8">
      <c r="D61" s="263"/>
      <c r="G61" s="262"/>
      <c r="H61" s="263"/>
    </row>
    <row r="62" spans="4:8">
      <c r="D62" s="263"/>
      <c r="G62" s="262"/>
      <c r="H62" s="263"/>
    </row>
    <row r="63" spans="4:8">
      <c r="D63" s="263"/>
      <c r="G63" s="262"/>
      <c r="H63" s="263"/>
    </row>
    <row r="64" spans="4:8">
      <c r="D64" s="263"/>
      <c r="G64" s="262"/>
      <c r="H64" s="263"/>
    </row>
    <row r="65" spans="4:8">
      <c r="D65" s="263"/>
      <c r="G65" s="262"/>
      <c r="H65" s="263"/>
    </row>
    <row r="66" spans="4:8">
      <c r="D66" s="263"/>
      <c r="G66" s="262"/>
      <c r="H66" s="263"/>
    </row>
    <row r="67" spans="4:8">
      <c r="D67" s="263"/>
      <c r="G67" s="262"/>
      <c r="H67" s="263"/>
    </row>
    <row r="68" spans="4:8">
      <c r="D68" s="263"/>
      <c r="G68" s="262"/>
      <c r="H68" s="263"/>
    </row>
    <row r="69" spans="4:8">
      <c r="D69" s="263"/>
      <c r="G69" s="262"/>
      <c r="H69" s="263"/>
    </row>
    <row r="70" spans="4:8">
      <c r="D70" s="263"/>
      <c r="G70" s="262"/>
      <c r="H70" s="263"/>
    </row>
    <row r="71" spans="4:8">
      <c r="D71" s="263"/>
      <c r="G71" s="262"/>
      <c r="H71" s="263"/>
    </row>
    <row r="72" spans="4:8">
      <c r="D72" s="263"/>
      <c r="G72" s="262"/>
      <c r="H72" s="263"/>
    </row>
    <row r="73" spans="4:8">
      <c r="D73" s="263"/>
      <c r="G73" s="262"/>
      <c r="H73" s="263"/>
    </row>
    <row r="74" spans="4:8">
      <c r="D74" s="263"/>
      <c r="G74" s="262"/>
      <c r="H74" s="263"/>
    </row>
    <row r="75" spans="4:8">
      <c r="D75" s="263"/>
      <c r="G75" s="262"/>
      <c r="H75" s="263"/>
    </row>
    <row r="76" spans="4:8">
      <c r="D76" s="263"/>
      <c r="G76" s="262"/>
      <c r="H76" s="263"/>
    </row>
    <row r="77" spans="4:8">
      <c r="D77" s="263"/>
      <c r="G77" s="262"/>
      <c r="H77" s="263"/>
    </row>
    <row r="78" spans="4:8">
      <c r="D78" s="263"/>
      <c r="G78" s="262"/>
      <c r="H78" s="263"/>
    </row>
    <row r="79" spans="4:8">
      <c r="D79" s="263"/>
      <c r="G79" s="262"/>
      <c r="H79" s="263"/>
    </row>
    <row r="80" spans="4:8">
      <c r="D80" s="263"/>
      <c r="G80" s="262"/>
      <c r="H80" s="263"/>
    </row>
    <row r="81" spans="4:8">
      <c r="D81" s="263"/>
      <c r="G81" s="262"/>
      <c r="H81" s="263"/>
    </row>
    <row r="82" spans="4:8">
      <c r="D82" s="263"/>
      <c r="G82" s="262"/>
      <c r="H82" s="263"/>
    </row>
    <row r="83" spans="4:8">
      <c r="D83" s="263"/>
      <c r="G83" s="262"/>
      <c r="H83" s="263"/>
    </row>
    <row r="84" spans="4:8">
      <c r="D84" s="263"/>
      <c r="G84" s="262"/>
      <c r="H84" s="263"/>
    </row>
    <row r="85" spans="4:8">
      <c r="D85" s="263"/>
      <c r="G85" s="262"/>
      <c r="H85" s="263"/>
    </row>
    <row r="86" spans="4:8">
      <c r="D86" s="263"/>
      <c r="G86" s="262"/>
      <c r="H86" s="263"/>
    </row>
    <row r="87" spans="4:8">
      <c r="D87" s="263"/>
      <c r="G87" s="262"/>
      <c r="H87" s="263"/>
    </row>
    <row r="88" spans="4:8">
      <c r="D88" s="263"/>
      <c r="G88" s="262"/>
      <c r="H88" s="263"/>
    </row>
    <row r="89" spans="4:8">
      <c r="D89" s="263"/>
      <c r="G89" s="262"/>
      <c r="H89" s="263"/>
    </row>
    <row r="90" spans="4:8">
      <c r="D90" s="263"/>
      <c r="G90" s="262"/>
      <c r="H90" s="263"/>
    </row>
    <row r="91" spans="4:8">
      <c r="D91" s="263"/>
      <c r="G91" s="262"/>
      <c r="H91" s="263"/>
    </row>
    <row r="92" spans="4:8">
      <c r="D92" s="263"/>
      <c r="G92" s="262"/>
      <c r="H92" s="263"/>
    </row>
    <row r="93" spans="4:8">
      <c r="D93" s="263"/>
      <c r="G93" s="262"/>
      <c r="H93" s="263"/>
    </row>
    <row r="94" spans="4:8">
      <c r="D94" s="263"/>
      <c r="G94" s="262"/>
      <c r="H94" s="263"/>
    </row>
    <row r="95" spans="4:8">
      <c r="D95" s="263"/>
      <c r="G95" s="262"/>
      <c r="H95" s="263"/>
    </row>
    <row r="96" spans="4:8">
      <c r="D96" s="263"/>
      <c r="G96" s="262"/>
      <c r="H96" s="263"/>
    </row>
    <row r="97" spans="4:8">
      <c r="D97" s="263"/>
      <c r="G97" s="262"/>
      <c r="H97" s="263"/>
    </row>
    <row r="98" spans="4:8">
      <c r="D98" s="263"/>
      <c r="G98" s="262"/>
      <c r="H98" s="263"/>
    </row>
    <row r="99" spans="4:8">
      <c r="D99" s="263"/>
      <c r="G99" s="262"/>
      <c r="H99" s="263"/>
    </row>
    <row r="100" spans="4:8">
      <c r="D100" s="263"/>
      <c r="G100" s="262"/>
      <c r="H100" s="263"/>
    </row>
    <row r="101" spans="4:8">
      <c r="D101" s="263"/>
      <c r="G101" s="262"/>
      <c r="H101" s="263"/>
    </row>
    <row r="102" spans="4:8">
      <c r="D102" s="263"/>
      <c r="G102" s="262"/>
      <c r="H102" s="263"/>
    </row>
    <row r="103" spans="4:8">
      <c r="D103" s="263"/>
      <c r="G103" s="262"/>
      <c r="H103" s="263"/>
    </row>
    <row r="104" spans="4:8">
      <c r="D104" s="263"/>
      <c r="G104" s="262"/>
      <c r="H104" s="263"/>
    </row>
    <row r="105" spans="4:8">
      <c r="D105" s="263"/>
      <c r="G105" s="262"/>
      <c r="H105" s="263"/>
    </row>
    <row r="106" spans="4:8">
      <c r="D106" s="263"/>
      <c r="G106" s="262"/>
      <c r="H106" s="263"/>
    </row>
    <row r="107" spans="4:8">
      <c r="D107" s="263"/>
      <c r="G107" s="262"/>
      <c r="H107" s="263"/>
    </row>
    <row r="108" spans="4:8">
      <c r="D108" s="263"/>
      <c r="G108" s="262"/>
      <c r="H108" s="263"/>
    </row>
    <row r="109" spans="4:8">
      <c r="D109" s="263"/>
      <c r="G109" s="262"/>
      <c r="H109" s="263"/>
    </row>
    <row r="110" spans="4:8">
      <c r="D110" s="263"/>
      <c r="G110" s="262"/>
      <c r="H110" s="263"/>
    </row>
    <row r="111" spans="4:8">
      <c r="D111" s="263"/>
      <c r="G111" s="262"/>
      <c r="H111" s="263"/>
    </row>
    <row r="112" spans="4:8">
      <c r="D112" s="263"/>
      <c r="G112" s="262"/>
      <c r="H112" s="263"/>
    </row>
    <row r="113" spans="4:8">
      <c r="D113" s="263"/>
      <c r="G113" s="262"/>
      <c r="H113" s="263"/>
    </row>
    <row r="114" spans="4:8">
      <c r="D114" s="263"/>
      <c r="G114" s="262"/>
      <c r="H114" s="263"/>
    </row>
    <row r="115" spans="4:8">
      <c r="D115" s="263"/>
      <c r="G115" s="262"/>
      <c r="H115" s="263"/>
    </row>
    <row r="116" spans="4:8">
      <c r="D116" s="263"/>
      <c r="G116" s="262"/>
      <c r="H116" s="263"/>
    </row>
    <row r="117" spans="4:8">
      <c r="D117" s="263"/>
      <c r="G117" s="262"/>
      <c r="H117" s="263"/>
    </row>
    <row r="118" spans="4:8">
      <c r="D118" s="263"/>
      <c r="G118" s="262"/>
      <c r="H118" s="263"/>
    </row>
    <row r="119" spans="4:8">
      <c r="D119" s="263"/>
      <c r="G119" s="262"/>
      <c r="H119" s="263"/>
    </row>
    <row r="120" spans="4:8">
      <c r="D120" s="263"/>
      <c r="G120" s="262"/>
      <c r="H120" s="263"/>
    </row>
    <row r="121" spans="4:8">
      <c r="D121" s="263"/>
      <c r="G121" s="262"/>
      <c r="H121" s="263"/>
    </row>
    <row r="122" spans="4:8">
      <c r="D122" s="263"/>
      <c r="G122" s="262"/>
      <c r="H122" s="263"/>
    </row>
    <row r="123" spans="4:8">
      <c r="D123" s="263"/>
      <c r="G123" s="262"/>
      <c r="H123" s="263"/>
    </row>
    <row r="124" spans="4:8">
      <c r="D124" s="263"/>
      <c r="G124" s="262"/>
      <c r="H124" s="263"/>
    </row>
    <row r="125" spans="4:8">
      <c r="D125" s="263"/>
      <c r="G125" s="262"/>
      <c r="H125" s="263"/>
    </row>
    <row r="126" spans="4:8">
      <c r="D126" s="263"/>
      <c r="G126" s="262"/>
      <c r="H126" s="263"/>
    </row>
    <row r="127" spans="4:8">
      <c r="D127" s="263"/>
      <c r="G127" s="262"/>
      <c r="H127" s="263"/>
    </row>
    <row r="128" spans="4:8">
      <c r="D128" s="263"/>
      <c r="G128" s="262"/>
      <c r="H128" s="263"/>
    </row>
    <row r="129" spans="4:8">
      <c r="D129" s="263"/>
      <c r="G129" s="262"/>
      <c r="H129" s="263"/>
    </row>
    <row r="130" spans="4:8">
      <c r="D130" s="263"/>
      <c r="G130" s="262"/>
      <c r="H130" s="263"/>
    </row>
    <row r="131" spans="4:8">
      <c r="D131" s="263"/>
      <c r="G131" s="262"/>
      <c r="H131" s="263"/>
    </row>
    <row r="132" spans="4:8">
      <c r="D132" s="263"/>
      <c r="G132" s="262"/>
      <c r="H132" s="263"/>
    </row>
    <row r="133" spans="4:8">
      <c r="D133" s="263"/>
      <c r="G133" s="262"/>
      <c r="H133" s="263"/>
    </row>
    <row r="134" spans="4:8">
      <c r="D134" s="263"/>
      <c r="G134" s="262"/>
      <c r="H134" s="263"/>
    </row>
    <row r="135" spans="4:8">
      <c r="D135" s="263"/>
      <c r="G135" s="262"/>
      <c r="H135" s="263"/>
    </row>
    <row r="136" spans="4:8">
      <c r="D136" s="263"/>
      <c r="G136" s="262"/>
      <c r="H136" s="263"/>
    </row>
    <row r="137" spans="4:8">
      <c r="D137" s="263"/>
      <c r="G137" s="262"/>
      <c r="H137" s="263"/>
    </row>
    <row r="138" spans="4:8">
      <c r="D138" s="263"/>
      <c r="G138" s="262"/>
      <c r="H138" s="263"/>
    </row>
    <row r="139" spans="4:8">
      <c r="D139" s="263"/>
      <c r="G139" s="262"/>
      <c r="H139" s="263"/>
    </row>
    <row r="140" spans="4:8">
      <c r="D140" s="263"/>
      <c r="G140" s="262"/>
      <c r="H140" s="263"/>
    </row>
    <row r="141" spans="4:8">
      <c r="D141" s="263"/>
      <c r="G141" s="262"/>
      <c r="H141" s="263"/>
    </row>
    <row r="142" spans="4:8">
      <c r="D142" s="263"/>
      <c r="G142" s="262"/>
      <c r="H142" s="263"/>
    </row>
    <row r="143" spans="4:8">
      <c r="D143" s="263"/>
      <c r="G143" s="262"/>
      <c r="H143" s="263"/>
    </row>
    <row r="144" spans="4:8">
      <c r="D144" s="263"/>
      <c r="G144" s="262"/>
      <c r="H144" s="263"/>
    </row>
    <row r="145" spans="4:8">
      <c r="D145" s="263"/>
      <c r="G145" s="262"/>
      <c r="H145" s="263"/>
    </row>
    <row r="146" spans="4:8">
      <c r="D146" s="263"/>
      <c r="G146" s="262"/>
      <c r="H146" s="263"/>
    </row>
    <row r="147" spans="4:8">
      <c r="D147" s="263"/>
      <c r="G147" s="262"/>
      <c r="H147" s="263"/>
    </row>
    <row r="148" spans="4:8">
      <c r="D148" s="263"/>
      <c r="G148" s="262"/>
      <c r="H148" s="263"/>
    </row>
    <row r="149" spans="4:8">
      <c r="D149" s="263"/>
      <c r="G149" s="262"/>
      <c r="H149" s="263"/>
    </row>
    <row r="150" spans="4:8">
      <c r="D150" s="263"/>
      <c r="G150" s="262"/>
      <c r="H150" s="263"/>
    </row>
    <row r="151" spans="4:8">
      <c r="D151" s="263"/>
      <c r="G151" s="262"/>
      <c r="H151" s="263"/>
    </row>
    <row r="152" spans="4:8">
      <c r="D152" s="263"/>
      <c r="G152" s="262"/>
      <c r="H152" s="263"/>
    </row>
    <row r="153" spans="4:8">
      <c r="D153" s="263"/>
      <c r="G153" s="262"/>
      <c r="H153" s="263"/>
    </row>
    <row r="154" spans="4:8">
      <c r="D154" s="263"/>
      <c r="G154" s="262"/>
      <c r="H154" s="263"/>
    </row>
    <row r="155" spans="4:8">
      <c r="D155" s="263"/>
      <c r="G155" s="262"/>
      <c r="H155" s="263"/>
    </row>
    <row r="156" spans="4:8">
      <c r="D156" s="263"/>
      <c r="G156" s="262"/>
      <c r="H156" s="263"/>
    </row>
    <row r="157" spans="4:8">
      <c r="D157" s="263"/>
      <c r="G157" s="262"/>
      <c r="H157" s="263"/>
    </row>
    <row r="158" spans="4:8">
      <c r="D158" s="263"/>
      <c r="G158" s="262"/>
      <c r="H158" s="263"/>
    </row>
    <row r="159" spans="4:8">
      <c r="D159" s="263"/>
      <c r="G159" s="262"/>
      <c r="H159" s="263"/>
    </row>
    <row r="160" spans="4:8">
      <c r="D160" s="263"/>
      <c r="G160" s="262"/>
      <c r="H160" s="263"/>
    </row>
    <row r="161" spans="4:8">
      <c r="D161" s="263"/>
      <c r="G161" s="262"/>
      <c r="H161" s="263"/>
    </row>
    <row r="162" spans="4:8">
      <c r="D162" s="263"/>
      <c r="G162" s="262"/>
      <c r="H162" s="263"/>
    </row>
    <row r="163" spans="4:8">
      <c r="D163" s="263"/>
      <c r="G163" s="262"/>
      <c r="H163" s="263"/>
    </row>
    <row r="164" spans="4:8">
      <c r="D164" s="263"/>
      <c r="G164" s="262"/>
      <c r="H164" s="263"/>
    </row>
    <row r="165" spans="4:8">
      <c r="D165" s="263"/>
      <c r="G165" s="262"/>
      <c r="H165" s="263"/>
    </row>
    <row r="166" spans="4:8">
      <c r="D166" s="263"/>
      <c r="G166" s="262"/>
      <c r="H166" s="263"/>
    </row>
    <row r="167" spans="4:8">
      <c r="D167" s="263"/>
      <c r="G167" s="262"/>
      <c r="H167" s="263"/>
    </row>
    <row r="168" spans="4:8">
      <c r="D168" s="263"/>
      <c r="G168" s="262"/>
      <c r="H168" s="263"/>
    </row>
    <row r="169" spans="4:8">
      <c r="D169" s="263"/>
      <c r="G169" s="262"/>
      <c r="H169" s="263"/>
    </row>
    <row r="170" spans="4:8">
      <c r="D170" s="263"/>
      <c r="G170" s="262"/>
      <c r="H170" s="263"/>
    </row>
    <row r="171" spans="4:8">
      <c r="D171" s="263"/>
      <c r="G171" s="262"/>
      <c r="H171" s="263"/>
    </row>
    <row r="172" spans="4:8">
      <c r="D172" s="263"/>
      <c r="G172" s="262"/>
      <c r="H172" s="263"/>
    </row>
    <row r="173" spans="4:8">
      <c r="D173" s="263"/>
      <c r="G173" s="262"/>
      <c r="H173" s="263"/>
    </row>
    <row r="174" spans="4:8">
      <c r="D174" s="263"/>
      <c r="G174" s="262"/>
      <c r="H174" s="263"/>
    </row>
    <row r="175" spans="4:8">
      <c r="D175" s="263"/>
      <c r="G175" s="262"/>
      <c r="H175" s="263"/>
    </row>
    <row r="176" spans="4:8">
      <c r="D176" s="263"/>
      <c r="G176" s="262"/>
      <c r="H176" s="263"/>
    </row>
    <row r="177" spans="4:8">
      <c r="D177" s="263"/>
      <c r="G177" s="262"/>
      <c r="H177" s="263"/>
    </row>
    <row r="178" spans="4:8">
      <c r="D178" s="263"/>
      <c r="G178" s="262"/>
      <c r="H178" s="263"/>
    </row>
    <row r="179" spans="4:8">
      <c r="D179" s="263"/>
      <c r="G179" s="262"/>
      <c r="H179" s="263"/>
    </row>
    <row r="180" spans="4:8">
      <c r="D180" s="263"/>
      <c r="G180" s="262"/>
      <c r="H180" s="263"/>
    </row>
    <row r="181" spans="4:8">
      <c r="D181" s="263"/>
      <c r="G181" s="262"/>
      <c r="H181" s="263"/>
    </row>
    <row r="182" spans="4:8">
      <c r="D182" s="263"/>
      <c r="G182" s="262"/>
      <c r="H182" s="263"/>
    </row>
    <row r="183" spans="4:8">
      <c r="D183" s="263"/>
      <c r="G183" s="262"/>
      <c r="H183" s="263"/>
    </row>
    <row r="184" spans="4:8">
      <c r="D184" s="263"/>
      <c r="G184" s="262"/>
      <c r="H184" s="263"/>
    </row>
    <row r="185" spans="4:8">
      <c r="D185" s="263"/>
      <c r="G185" s="262"/>
      <c r="H185" s="263"/>
    </row>
    <row r="186" spans="4:8">
      <c r="D186" s="263"/>
      <c r="G186" s="262"/>
      <c r="H186" s="263"/>
    </row>
    <row r="187" spans="4:8">
      <c r="D187" s="263"/>
      <c r="G187" s="262"/>
      <c r="H187" s="263"/>
    </row>
    <row r="188" spans="4:8">
      <c r="D188" s="263"/>
      <c r="G188" s="262"/>
      <c r="H188" s="263"/>
    </row>
    <row r="189" spans="4:8">
      <c r="D189" s="263"/>
      <c r="G189" s="262"/>
      <c r="H189" s="263"/>
    </row>
    <row r="190" spans="4:8">
      <c r="D190" s="263"/>
      <c r="G190" s="262"/>
      <c r="H190" s="263"/>
    </row>
    <row r="191" spans="4:8">
      <c r="D191" s="263"/>
      <c r="G191" s="262"/>
      <c r="H191" s="263"/>
    </row>
    <row r="192" spans="4:8">
      <c r="D192" s="263"/>
      <c r="G192" s="262"/>
      <c r="H192" s="263"/>
    </row>
    <row r="193" spans="4:8">
      <c r="D193" s="263"/>
      <c r="G193" s="262"/>
      <c r="H193" s="263"/>
    </row>
    <row r="194" spans="4:8">
      <c r="D194" s="263"/>
      <c r="G194" s="262"/>
      <c r="H194" s="263"/>
    </row>
    <row r="195" spans="4:8">
      <c r="D195" s="263"/>
      <c r="G195" s="262"/>
      <c r="H195" s="263"/>
    </row>
    <row r="196" spans="4:8">
      <c r="D196" s="263"/>
      <c r="G196" s="262"/>
      <c r="H196" s="263"/>
    </row>
    <row r="197" spans="4:8">
      <c r="D197" s="263"/>
      <c r="G197" s="262"/>
      <c r="H197" s="263"/>
    </row>
    <row r="198" spans="4:8">
      <c r="D198" s="263"/>
      <c r="G198" s="262"/>
      <c r="H198" s="263"/>
    </row>
    <row r="199" spans="4:8">
      <c r="D199" s="263"/>
      <c r="G199" s="262"/>
      <c r="H199" s="263"/>
    </row>
    <row r="200" spans="4:8">
      <c r="D200" s="263"/>
      <c r="G200" s="262"/>
      <c r="H200" s="263"/>
    </row>
    <row r="201" spans="4:8">
      <c r="D201" s="263"/>
      <c r="G201" s="262"/>
      <c r="H201" s="263"/>
    </row>
    <row r="202" spans="4:8">
      <c r="D202" s="263"/>
      <c r="G202" s="262"/>
      <c r="H202" s="263"/>
    </row>
    <row r="203" spans="4:8">
      <c r="D203" s="263"/>
      <c r="G203" s="262"/>
      <c r="H203" s="263"/>
    </row>
    <row r="204" spans="4:8">
      <c r="D204" s="263"/>
      <c r="G204" s="262"/>
      <c r="H204" s="263"/>
    </row>
    <row r="205" spans="4:8">
      <c r="D205" s="263"/>
      <c r="G205" s="262"/>
      <c r="H205" s="263"/>
    </row>
    <row r="206" spans="4:8">
      <c r="D206" s="263"/>
      <c r="G206" s="262"/>
      <c r="H206" s="263"/>
    </row>
    <row r="207" spans="4:8">
      <c r="D207" s="263"/>
      <c r="G207" s="262"/>
      <c r="H207" s="263"/>
    </row>
    <row r="208" spans="4:8">
      <c r="D208" s="263"/>
      <c r="G208" s="262"/>
      <c r="H208" s="263"/>
    </row>
    <row r="209" spans="4:8">
      <c r="D209" s="263"/>
      <c r="G209" s="262"/>
      <c r="H209" s="263"/>
    </row>
    <row r="210" spans="4:8">
      <c r="D210" s="263"/>
      <c r="G210" s="262"/>
      <c r="H210" s="263"/>
    </row>
    <row r="211" spans="4:8">
      <c r="D211" s="263"/>
      <c r="G211" s="262"/>
      <c r="H211" s="263"/>
    </row>
    <row r="212" spans="4:8">
      <c r="D212" s="263"/>
      <c r="G212" s="262"/>
      <c r="H212" s="263"/>
    </row>
    <row r="213" spans="4:8">
      <c r="D213" s="263"/>
      <c r="G213" s="262"/>
      <c r="H213" s="263"/>
    </row>
    <row r="214" spans="4:8">
      <c r="D214" s="263"/>
      <c r="G214" s="262"/>
      <c r="H214" s="263"/>
    </row>
    <row r="215" spans="4:8">
      <c r="D215" s="263"/>
      <c r="G215" s="262"/>
      <c r="H215" s="263"/>
    </row>
    <row r="216" spans="4:8">
      <c r="D216" s="263"/>
      <c r="G216" s="262"/>
      <c r="H216" s="263"/>
    </row>
    <row r="217" spans="4:8">
      <c r="D217" s="263"/>
      <c r="G217" s="262"/>
      <c r="H217" s="263"/>
    </row>
    <row r="218" spans="4:8">
      <c r="D218" s="263"/>
      <c r="G218" s="262"/>
      <c r="H218" s="263"/>
    </row>
    <row r="219" spans="4:8">
      <c r="D219" s="263"/>
      <c r="G219" s="262"/>
      <c r="H219" s="263"/>
    </row>
    <row r="220" spans="4:8">
      <c r="D220" s="263"/>
      <c r="G220" s="262"/>
      <c r="H220" s="263"/>
    </row>
    <row r="221" spans="4:8">
      <c r="D221" s="263"/>
      <c r="G221" s="262"/>
      <c r="H221" s="263"/>
    </row>
    <row r="222" spans="4:8">
      <c r="D222" s="263"/>
      <c r="G222" s="262"/>
      <c r="H222" s="263"/>
    </row>
    <row r="223" spans="4:8">
      <c r="D223" s="263"/>
      <c r="G223" s="262"/>
      <c r="H223" s="263"/>
    </row>
    <row r="224" spans="4:8">
      <c r="D224" s="263"/>
      <c r="G224" s="262"/>
      <c r="H224" s="263"/>
    </row>
    <row r="225" spans="4:8">
      <c r="D225" s="263"/>
      <c r="G225" s="262"/>
      <c r="H225" s="263"/>
    </row>
    <row r="226" spans="4:8">
      <c r="D226" s="263"/>
      <c r="G226" s="262"/>
      <c r="H226" s="263"/>
    </row>
    <row r="227" spans="4:8">
      <c r="D227" s="263"/>
      <c r="G227" s="262"/>
      <c r="H227" s="263"/>
    </row>
    <row r="228" spans="4:8">
      <c r="D228" s="263"/>
      <c r="G228" s="262"/>
      <c r="H228" s="263"/>
    </row>
    <row r="229" spans="4:8">
      <c r="D229" s="263"/>
      <c r="G229" s="262"/>
      <c r="H229" s="263"/>
    </row>
    <row r="230" spans="4:8">
      <c r="D230" s="263"/>
      <c r="G230" s="262"/>
      <c r="H230" s="263"/>
    </row>
    <row r="231" spans="4:8">
      <c r="D231" s="263"/>
      <c r="G231" s="262"/>
      <c r="H231" s="263"/>
    </row>
    <row r="232" spans="4:8">
      <c r="D232" s="263"/>
      <c r="G232" s="262"/>
      <c r="H232" s="263"/>
    </row>
    <row r="233" spans="4:8">
      <c r="D233" s="263"/>
      <c r="G233" s="262"/>
      <c r="H233" s="263"/>
    </row>
    <row r="234" spans="4:8">
      <c r="D234" s="263"/>
      <c r="G234" s="262"/>
      <c r="H234" s="263"/>
    </row>
    <row r="235" spans="4:8">
      <c r="D235" s="263"/>
      <c r="G235" s="262"/>
      <c r="H235" s="263"/>
    </row>
    <row r="236" spans="4:8">
      <c r="D236" s="263"/>
      <c r="G236" s="262"/>
      <c r="H236" s="263"/>
    </row>
    <row r="237" spans="4:8">
      <c r="D237" s="263"/>
      <c r="G237" s="262"/>
      <c r="H237" s="263"/>
    </row>
    <row r="238" spans="4:8">
      <c r="D238" s="263"/>
      <c r="G238" s="262"/>
      <c r="H238" s="263"/>
    </row>
    <row r="239" spans="4:8">
      <c r="D239" s="263"/>
      <c r="G239" s="262"/>
      <c r="H239" s="263"/>
    </row>
    <row r="240" spans="4:8">
      <c r="D240" s="263"/>
      <c r="G240" s="262"/>
      <c r="H240" s="263"/>
    </row>
    <row r="241" spans="4:8">
      <c r="D241" s="263"/>
      <c r="G241" s="262"/>
      <c r="H241" s="263"/>
    </row>
    <row r="242" spans="4:8">
      <c r="D242" s="263"/>
      <c r="G242" s="262"/>
      <c r="H242" s="263"/>
    </row>
    <row r="243" spans="4:8">
      <c r="D243" s="263"/>
      <c r="G243" s="262"/>
      <c r="H243" s="263"/>
    </row>
    <row r="244" spans="4:8">
      <c r="D244" s="263"/>
      <c r="G244" s="262"/>
      <c r="H244" s="263"/>
    </row>
    <row r="245" spans="4:8">
      <c r="D245" s="263"/>
      <c r="G245" s="262"/>
      <c r="H245" s="263"/>
    </row>
    <row r="246" spans="4:8">
      <c r="D246" s="263"/>
      <c r="G246" s="262"/>
      <c r="H246" s="263"/>
    </row>
    <row r="247" spans="4:8">
      <c r="D247" s="263"/>
      <c r="G247" s="262"/>
      <c r="H247" s="263"/>
    </row>
    <row r="248" spans="4:8">
      <c r="D248" s="263"/>
      <c r="G248" s="262"/>
      <c r="H248" s="263"/>
    </row>
    <row r="249" spans="4:8">
      <c r="D249" s="263"/>
      <c r="G249" s="262"/>
      <c r="H249" s="263"/>
    </row>
    <row r="250" spans="4:8">
      <c r="D250" s="263"/>
      <c r="G250" s="262"/>
      <c r="H250" s="263"/>
    </row>
    <row r="251" spans="4:8">
      <c r="D251" s="263"/>
      <c r="G251" s="262"/>
      <c r="H251" s="263"/>
    </row>
    <row r="252" spans="4:8">
      <c r="D252" s="263"/>
      <c r="G252" s="262"/>
      <c r="H252" s="263"/>
    </row>
    <row r="253" spans="4:8">
      <c r="D253" s="263"/>
      <c r="G253" s="262"/>
      <c r="H253" s="263"/>
    </row>
    <row r="254" spans="4:8">
      <c r="D254" s="263"/>
      <c r="G254" s="262"/>
      <c r="H254" s="263"/>
    </row>
    <row r="255" spans="4:8">
      <c r="D255" s="263"/>
      <c r="G255" s="262"/>
      <c r="H255" s="263"/>
    </row>
    <row r="256" spans="4:8">
      <c r="D256" s="263"/>
      <c r="G256" s="262"/>
      <c r="H256" s="263"/>
    </row>
    <row r="257" spans="4:8">
      <c r="D257" s="263"/>
      <c r="G257" s="262"/>
      <c r="H257" s="263"/>
    </row>
    <row r="258" spans="4:8">
      <c r="D258" s="263"/>
      <c r="G258" s="262"/>
      <c r="H258" s="263"/>
    </row>
    <row r="259" spans="4:8">
      <c r="D259" s="263"/>
      <c r="G259" s="262"/>
      <c r="H259" s="263"/>
    </row>
    <row r="260" spans="4:8">
      <c r="D260" s="263"/>
      <c r="G260" s="262"/>
      <c r="H260" s="263"/>
    </row>
    <row r="261" spans="4:8">
      <c r="D261" s="263"/>
      <c r="G261" s="262"/>
      <c r="H261" s="263"/>
    </row>
    <row r="262" spans="4:8">
      <c r="D262" s="263"/>
      <c r="G262" s="262"/>
      <c r="H262" s="263"/>
    </row>
    <row r="263" spans="4:8">
      <c r="D263" s="263"/>
      <c r="G263" s="262"/>
      <c r="H263" s="263"/>
    </row>
    <row r="264" spans="4:8">
      <c r="D264" s="263"/>
      <c r="G264" s="262"/>
      <c r="H264" s="263"/>
    </row>
    <row r="265" spans="4:8">
      <c r="D265" s="263"/>
      <c r="G265" s="262"/>
      <c r="H265" s="263"/>
    </row>
    <row r="266" spans="4:8">
      <c r="D266" s="263"/>
      <c r="G266" s="262"/>
      <c r="H266" s="263"/>
    </row>
    <row r="267" spans="4:8">
      <c r="D267" s="263"/>
      <c r="G267" s="262"/>
      <c r="H267" s="263"/>
    </row>
    <row r="268" spans="4:8">
      <c r="D268" s="263"/>
      <c r="G268" s="262"/>
      <c r="H268" s="263"/>
    </row>
    <row r="269" spans="4:8">
      <c r="D269" s="263"/>
      <c r="G269" s="262"/>
      <c r="H269" s="263"/>
    </row>
    <row r="270" spans="4:8">
      <c r="D270" s="263"/>
      <c r="G270" s="262"/>
      <c r="H270" s="263"/>
    </row>
    <row r="271" spans="4:8">
      <c r="D271" s="263"/>
      <c r="G271" s="262"/>
      <c r="H271" s="263"/>
    </row>
    <row r="272" spans="4:8">
      <c r="D272" s="263"/>
      <c r="G272" s="262"/>
      <c r="H272" s="263"/>
    </row>
    <row r="273" spans="4:8">
      <c r="D273" s="263"/>
      <c r="G273" s="262"/>
      <c r="H273" s="263"/>
    </row>
    <row r="274" spans="4:8">
      <c r="D274" s="263"/>
      <c r="G274" s="262"/>
      <c r="H274" s="263"/>
    </row>
    <row r="275" spans="4:8">
      <c r="D275" s="263"/>
      <c r="G275" s="262"/>
      <c r="H275" s="263"/>
    </row>
    <row r="276" spans="4:8">
      <c r="D276" s="263"/>
      <c r="G276" s="262"/>
      <c r="H276" s="263"/>
    </row>
    <row r="277" spans="4:8">
      <c r="D277" s="263"/>
      <c r="G277" s="262"/>
      <c r="H277" s="263"/>
    </row>
    <row r="278" spans="4:8">
      <c r="D278" s="263"/>
      <c r="G278" s="262"/>
      <c r="H278" s="263"/>
    </row>
    <row r="279" spans="4:8">
      <c r="D279" s="263"/>
      <c r="G279" s="262"/>
      <c r="H279" s="263"/>
    </row>
    <row r="280" spans="4:8">
      <c r="D280" s="263"/>
      <c r="G280" s="262"/>
      <c r="H280" s="263"/>
    </row>
    <row r="281" spans="4:8">
      <c r="D281" s="263"/>
      <c r="G281" s="264"/>
      <c r="H281" s="263"/>
    </row>
    <row r="282" spans="4:8">
      <c r="D282" s="263"/>
      <c r="G282" s="264"/>
      <c r="H282" s="263"/>
    </row>
    <row r="283" spans="4:8">
      <c r="D283" s="263"/>
      <c r="G283" s="264"/>
      <c r="H283" s="263"/>
    </row>
    <row r="284" spans="4:8">
      <c r="D284" s="263"/>
      <c r="G284" s="264"/>
      <c r="H284" s="263"/>
    </row>
    <row r="285" spans="4:8">
      <c r="D285" s="263"/>
      <c r="G285" s="264"/>
      <c r="H285" s="263"/>
    </row>
    <row r="286" spans="4:8">
      <c r="D286" s="263"/>
      <c r="G286" s="264"/>
      <c r="H286" s="263"/>
    </row>
    <row r="287" spans="4:8">
      <c r="D287" s="263"/>
      <c r="G287" s="264"/>
      <c r="H287" s="263"/>
    </row>
    <row r="288" spans="4:8">
      <c r="D288" s="263"/>
      <c r="G288" s="264"/>
      <c r="H288" s="263"/>
    </row>
    <row r="289" spans="4:8">
      <c r="D289" s="263"/>
      <c r="G289" s="264"/>
      <c r="H289" s="263"/>
    </row>
    <row r="290" spans="4:8">
      <c r="D290" s="263"/>
      <c r="G290" s="264"/>
      <c r="H290" s="263"/>
    </row>
    <row r="291" spans="4:8">
      <c r="D291" s="263"/>
      <c r="G291" s="264"/>
      <c r="H291" s="263"/>
    </row>
    <row r="292" spans="4:8">
      <c r="D292" s="263"/>
      <c r="G292" s="264"/>
      <c r="H292" s="263"/>
    </row>
    <row r="293" spans="4:8">
      <c r="D293" s="263"/>
      <c r="G293" s="264"/>
      <c r="H293" s="263"/>
    </row>
    <row r="294" spans="4:8">
      <c r="D294" s="263"/>
      <c r="G294" s="264"/>
      <c r="H294" s="263"/>
    </row>
    <row r="295" spans="4:8">
      <c r="D295" s="263"/>
      <c r="G295" s="264"/>
      <c r="H295" s="263"/>
    </row>
    <row r="296" spans="4:8">
      <c r="D296" s="263"/>
      <c r="G296" s="264"/>
      <c r="H296" s="263"/>
    </row>
    <row r="297" spans="4:8">
      <c r="D297" s="263"/>
      <c r="G297" s="264"/>
      <c r="H297" s="263"/>
    </row>
    <row r="298" spans="4:8">
      <c r="D298" s="263"/>
      <c r="G298" s="264"/>
      <c r="H298" s="263"/>
    </row>
    <row r="299" spans="4:8">
      <c r="D299" s="263"/>
      <c r="G299" s="264"/>
      <c r="H299" s="263"/>
    </row>
    <row r="300" spans="4:8">
      <c r="D300" s="263"/>
      <c r="G300" s="264"/>
      <c r="H300" s="263"/>
    </row>
    <row r="301" spans="4:8">
      <c r="D301" s="263"/>
      <c r="G301" s="264"/>
      <c r="H301" s="263"/>
    </row>
    <row r="302" spans="4:8">
      <c r="D302" s="263"/>
      <c r="G302" s="264"/>
      <c r="H302" s="263"/>
    </row>
    <row r="303" spans="4:8">
      <c r="D303" s="263"/>
      <c r="G303" s="264"/>
      <c r="H303" s="263"/>
    </row>
    <row r="304" spans="4:8">
      <c r="D304" s="263"/>
      <c r="G304" s="264"/>
      <c r="H304" s="263"/>
    </row>
    <row r="305" spans="4:8">
      <c r="D305" s="263"/>
      <c r="G305" s="264"/>
      <c r="H305" s="263"/>
    </row>
    <row r="306" spans="4:8">
      <c r="D306" s="263"/>
      <c r="G306" s="264"/>
      <c r="H306" s="263"/>
    </row>
    <row r="307" spans="4:8">
      <c r="D307" s="263"/>
      <c r="G307" s="264"/>
      <c r="H307" s="263"/>
    </row>
    <row r="308" spans="4:8">
      <c r="D308" s="263"/>
      <c r="G308" s="264"/>
      <c r="H308" s="263"/>
    </row>
    <row r="309" spans="4:8">
      <c r="D309" s="263"/>
      <c r="G309" s="264"/>
      <c r="H309" s="263"/>
    </row>
    <row r="310" spans="4:8">
      <c r="D310" s="263"/>
      <c r="G310" s="264"/>
      <c r="H310" s="263"/>
    </row>
    <row r="311" spans="4:8">
      <c r="D311" s="263"/>
      <c r="G311" s="264"/>
      <c r="H311" s="263"/>
    </row>
    <row r="312" spans="4:8">
      <c r="D312" s="263"/>
      <c r="G312" s="264"/>
      <c r="H312" s="263"/>
    </row>
    <row r="313" spans="4:8">
      <c r="D313" s="263"/>
      <c r="G313" s="264"/>
      <c r="H313" s="263"/>
    </row>
    <row r="314" spans="4:8">
      <c r="D314" s="263"/>
      <c r="G314" s="264"/>
      <c r="H314" s="263"/>
    </row>
    <row r="315" spans="4:8">
      <c r="D315" s="263"/>
      <c r="G315" s="264"/>
      <c r="H315" s="263"/>
    </row>
    <row r="316" spans="4:8">
      <c r="D316" s="263"/>
      <c r="G316" s="264"/>
      <c r="H316" s="263"/>
    </row>
    <row r="317" spans="4:8">
      <c r="D317" s="263"/>
      <c r="G317" s="264"/>
      <c r="H317" s="263"/>
    </row>
    <row r="318" spans="4:8">
      <c r="D318" s="263"/>
      <c r="G318" s="264"/>
      <c r="H318" s="263"/>
    </row>
    <row r="319" spans="4:8">
      <c r="D319" s="263"/>
      <c r="G319" s="264"/>
      <c r="H319" s="263"/>
    </row>
    <row r="320" spans="4:8">
      <c r="D320" s="263"/>
      <c r="G320" s="264"/>
      <c r="H320" s="263"/>
    </row>
    <row r="321" spans="4:8">
      <c r="D321" s="263"/>
      <c r="G321" s="264"/>
      <c r="H321" s="263"/>
    </row>
    <row r="322" spans="4:8">
      <c r="D322" s="263"/>
      <c r="G322" s="264"/>
      <c r="H322" s="263"/>
    </row>
    <row r="323" spans="4:8">
      <c r="D323" s="263"/>
      <c r="G323" s="264"/>
      <c r="H323" s="263"/>
    </row>
    <row r="324" spans="4:8">
      <c r="D324" s="263"/>
      <c r="G324" s="264"/>
      <c r="H324" s="263"/>
    </row>
    <row r="325" spans="4:8">
      <c r="D325" s="263"/>
      <c r="G325" s="264"/>
      <c r="H325" s="263"/>
    </row>
    <row r="326" spans="4:8">
      <c r="D326" s="263"/>
      <c r="G326" s="264"/>
      <c r="H326" s="263"/>
    </row>
    <row r="327" spans="4:8">
      <c r="D327" s="263"/>
      <c r="G327" s="264"/>
      <c r="H327" s="263"/>
    </row>
    <row r="328" spans="4:8">
      <c r="D328" s="263"/>
      <c r="G328" s="264"/>
      <c r="H328" s="263"/>
    </row>
    <row r="329" spans="4:8">
      <c r="D329" s="263"/>
      <c r="G329" s="264"/>
      <c r="H329" s="263"/>
    </row>
    <row r="330" spans="4:8">
      <c r="D330" s="263"/>
      <c r="G330" s="264"/>
      <c r="H330" s="263"/>
    </row>
    <row r="331" spans="4:8">
      <c r="D331" s="263"/>
      <c r="G331" s="264"/>
      <c r="H331" s="263"/>
    </row>
    <row r="332" spans="4:8">
      <c r="D332" s="263"/>
      <c r="G332" s="264"/>
      <c r="H332" s="263"/>
    </row>
    <row r="333" spans="4:8">
      <c r="D333" s="263"/>
      <c r="G333" s="264"/>
      <c r="H333" s="263"/>
    </row>
    <row r="334" spans="4:8">
      <c r="D334" s="263"/>
      <c r="G334" s="264"/>
      <c r="H334" s="263"/>
    </row>
    <row r="335" spans="4:8">
      <c r="D335" s="263"/>
      <c r="G335" s="264"/>
      <c r="H335" s="263"/>
    </row>
    <row r="336" spans="4:8">
      <c r="D336" s="263"/>
      <c r="G336" s="264"/>
      <c r="H336" s="263"/>
    </row>
    <row r="337" spans="4:8">
      <c r="D337" s="263"/>
      <c r="G337" s="264"/>
      <c r="H337" s="263"/>
    </row>
    <row r="338" spans="4:8">
      <c r="D338" s="263"/>
      <c r="G338" s="264"/>
      <c r="H338" s="263"/>
    </row>
    <row r="339" spans="4:8">
      <c r="D339" s="263"/>
      <c r="G339" s="264"/>
      <c r="H339" s="263"/>
    </row>
    <row r="340" spans="4:8">
      <c r="D340" s="263"/>
      <c r="G340" s="264"/>
      <c r="H340" s="263"/>
    </row>
    <row r="341" spans="4:8">
      <c r="D341" s="263"/>
      <c r="G341" s="264"/>
      <c r="H341" s="263"/>
    </row>
    <row r="342" spans="4:8">
      <c r="D342" s="263"/>
      <c r="G342" s="264"/>
      <c r="H342" s="263"/>
    </row>
    <row r="343" spans="4:8">
      <c r="D343" s="263"/>
      <c r="G343" s="264"/>
      <c r="H343" s="263"/>
    </row>
    <row r="344" spans="4:8">
      <c r="D344" s="263"/>
      <c r="G344" s="264"/>
      <c r="H344" s="263"/>
    </row>
    <row r="345" spans="4:8">
      <c r="D345" s="263"/>
      <c r="G345" s="264"/>
      <c r="H345" s="263"/>
    </row>
    <row r="346" spans="4:8">
      <c r="D346" s="263"/>
      <c r="G346" s="264"/>
      <c r="H346" s="263"/>
    </row>
    <row r="347" spans="4:8">
      <c r="D347" s="263"/>
      <c r="G347" s="264"/>
      <c r="H347" s="263"/>
    </row>
    <row r="348" spans="4:8">
      <c r="D348" s="263"/>
      <c r="G348" s="264"/>
      <c r="H348" s="263"/>
    </row>
    <row r="349" spans="4:8">
      <c r="D349" s="263"/>
      <c r="G349" s="264"/>
      <c r="H349" s="263"/>
    </row>
    <row r="350" spans="4:8">
      <c r="D350" s="263"/>
      <c r="G350" s="264"/>
      <c r="H350" s="263"/>
    </row>
    <row r="351" spans="4:8">
      <c r="D351" s="263"/>
      <c r="G351" s="264"/>
      <c r="H351" s="263"/>
    </row>
    <row r="352" spans="4:8">
      <c r="D352" s="263"/>
      <c r="G352" s="264"/>
      <c r="H352" s="263"/>
    </row>
    <row r="353" spans="4:8">
      <c r="D353" s="263"/>
      <c r="G353" s="264"/>
      <c r="H353" s="263"/>
    </row>
    <row r="354" spans="4:8">
      <c r="D354" s="263"/>
      <c r="G354" s="264"/>
      <c r="H354" s="263"/>
    </row>
    <row r="355" spans="4:8">
      <c r="D355" s="263"/>
      <c r="G355" s="264"/>
      <c r="H355" s="263"/>
    </row>
    <row r="356" spans="4:8">
      <c r="D356" s="263"/>
      <c r="G356" s="264"/>
      <c r="H356" s="263"/>
    </row>
    <row r="357" spans="4:8">
      <c r="D357" s="263"/>
      <c r="G357" s="264"/>
      <c r="H357" s="263"/>
    </row>
    <row r="358" spans="4:8">
      <c r="D358" s="263"/>
      <c r="G358" s="264"/>
      <c r="H358" s="263"/>
    </row>
    <row r="359" spans="4:8">
      <c r="D359" s="263"/>
      <c r="G359" s="264"/>
      <c r="H359" s="263"/>
    </row>
    <row r="360" spans="4:8">
      <c r="D360" s="263"/>
      <c r="G360" s="264"/>
      <c r="H360" s="263"/>
    </row>
    <row r="361" spans="4:8">
      <c r="D361" s="263"/>
      <c r="G361" s="264"/>
      <c r="H361" s="263"/>
    </row>
    <row r="362" spans="4:8">
      <c r="D362" s="263"/>
      <c r="G362" s="264"/>
      <c r="H362" s="263"/>
    </row>
    <row r="363" spans="4:8">
      <c r="D363" s="263"/>
      <c r="G363" s="264"/>
      <c r="H363" s="263"/>
    </row>
    <row r="364" spans="4:8">
      <c r="D364" s="263"/>
      <c r="G364" s="264"/>
      <c r="H364" s="263"/>
    </row>
    <row r="365" spans="4:8">
      <c r="D365" s="263"/>
      <c r="G365" s="264"/>
      <c r="H365" s="263"/>
    </row>
    <row r="366" spans="4:8">
      <c r="D366" s="263"/>
      <c r="G366" s="264"/>
      <c r="H366" s="263"/>
    </row>
    <row r="367" spans="4:8">
      <c r="D367" s="263"/>
      <c r="G367" s="264"/>
      <c r="H367" s="263"/>
    </row>
    <row r="368" spans="4:8">
      <c r="D368" s="263"/>
      <c r="G368" s="264"/>
      <c r="H368" s="263"/>
    </row>
    <row r="369" spans="4:8">
      <c r="D369" s="263"/>
      <c r="G369" s="264"/>
      <c r="H369" s="263"/>
    </row>
    <row r="370" spans="4:8">
      <c r="D370" s="263"/>
      <c r="G370" s="264"/>
      <c r="H370" s="263"/>
    </row>
    <row r="371" spans="4:8">
      <c r="D371" s="263"/>
      <c r="G371" s="264"/>
      <c r="H371" s="263"/>
    </row>
    <row r="372" spans="4:8">
      <c r="D372" s="263"/>
      <c r="G372" s="264"/>
      <c r="H372" s="263"/>
    </row>
    <row r="373" spans="4:8">
      <c r="D373" s="263"/>
      <c r="G373" s="264"/>
      <c r="H373" s="263"/>
    </row>
    <row r="374" spans="4:8">
      <c r="D374" s="263"/>
      <c r="G374" s="264"/>
      <c r="H374" s="263"/>
    </row>
    <row r="375" spans="4:8">
      <c r="D375" s="263"/>
      <c r="G375" s="264"/>
      <c r="H375" s="263"/>
    </row>
    <row r="376" spans="4:8">
      <c r="D376" s="263"/>
      <c r="G376" s="264"/>
      <c r="H376" s="263"/>
    </row>
    <row r="377" spans="4:8">
      <c r="D377" s="263"/>
      <c r="G377" s="264"/>
      <c r="H377" s="263"/>
    </row>
    <row r="378" spans="4:8">
      <c r="D378" s="263"/>
      <c r="G378" s="264"/>
      <c r="H378" s="263"/>
    </row>
    <row r="379" spans="4:8">
      <c r="D379" s="263"/>
      <c r="G379" s="264"/>
      <c r="H379" s="263"/>
    </row>
    <row r="380" spans="4:8">
      <c r="D380" s="263"/>
      <c r="G380" s="264"/>
      <c r="H380" s="263"/>
    </row>
    <row r="381" spans="4:8">
      <c r="D381" s="263"/>
      <c r="G381" s="264"/>
      <c r="H381" s="263"/>
    </row>
    <row r="382" spans="4:8">
      <c r="D382" s="263"/>
      <c r="G382" s="264"/>
      <c r="H382" s="263"/>
    </row>
    <row r="383" spans="4:8">
      <c r="D383" s="263"/>
      <c r="G383" s="264"/>
      <c r="H383" s="263"/>
    </row>
    <row r="384" spans="4:8">
      <c r="D384" s="263"/>
      <c r="G384" s="264"/>
      <c r="H384" s="263"/>
    </row>
    <row r="385" spans="4:8">
      <c r="D385" s="263"/>
      <c r="G385" s="264"/>
      <c r="H385" s="263"/>
    </row>
    <row r="386" spans="4:8">
      <c r="D386" s="263"/>
      <c r="G386" s="264"/>
      <c r="H386" s="263"/>
    </row>
    <row r="387" spans="4:8">
      <c r="D387" s="263"/>
      <c r="G387" s="264"/>
      <c r="H387" s="263"/>
    </row>
    <row r="388" spans="4:8">
      <c r="D388" s="263"/>
      <c r="G388" s="264"/>
      <c r="H388" s="263"/>
    </row>
    <row r="389" spans="4:8">
      <c r="D389" s="263"/>
      <c r="G389" s="264"/>
      <c r="H389" s="263"/>
    </row>
    <row r="390" spans="4:8">
      <c r="D390" s="263"/>
      <c r="G390" s="264"/>
      <c r="H390" s="263"/>
    </row>
    <row r="391" spans="4:8">
      <c r="D391" s="263"/>
      <c r="G391" s="264"/>
      <c r="H391" s="263"/>
    </row>
    <row r="392" spans="4:8">
      <c r="D392" s="263"/>
      <c r="G392" s="264"/>
      <c r="H392" s="263"/>
    </row>
    <row r="393" spans="4:8">
      <c r="D393" s="263"/>
      <c r="G393" s="264"/>
      <c r="H393" s="263"/>
    </row>
    <row r="394" spans="4:8">
      <c r="D394" s="263"/>
      <c r="G394" s="264"/>
      <c r="H394" s="263"/>
    </row>
    <row r="395" spans="4:8">
      <c r="D395" s="263"/>
      <c r="G395" s="264"/>
      <c r="H395" s="263"/>
    </row>
    <row r="396" spans="4:8">
      <c r="D396" s="263"/>
      <c r="G396" s="264"/>
      <c r="H396" s="263"/>
    </row>
    <row r="397" spans="4:8">
      <c r="D397" s="263"/>
      <c r="G397" s="264"/>
      <c r="H397" s="263"/>
    </row>
    <row r="398" spans="4:8">
      <c r="D398" s="263"/>
      <c r="G398" s="264"/>
      <c r="H398" s="263"/>
    </row>
    <row r="399" spans="4:8">
      <c r="D399" s="263"/>
      <c r="G399" s="264"/>
      <c r="H399" s="263"/>
    </row>
    <row r="400" spans="4:8">
      <c r="D400" s="263"/>
      <c r="G400" s="264"/>
      <c r="H400" s="263"/>
    </row>
    <row r="401" spans="4:8">
      <c r="D401" s="263"/>
      <c r="G401" s="264"/>
      <c r="H401" s="263"/>
    </row>
    <row r="402" spans="4:8">
      <c r="D402" s="263"/>
      <c r="G402" s="264"/>
      <c r="H402" s="263"/>
    </row>
    <row r="403" spans="4:8">
      <c r="D403" s="263"/>
      <c r="G403" s="264"/>
      <c r="H403" s="263"/>
    </row>
    <row r="404" spans="4:8">
      <c r="D404" s="263"/>
      <c r="G404" s="264"/>
      <c r="H404" s="263"/>
    </row>
    <row r="405" spans="4:8">
      <c r="D405" s="263"/>
      <c r="G405" s="264"/>
      <c r="H405" s="263"/>
    </row>
    <row r="406" spans="4:8">
      <c r="D406" s="263"/>
      <c r="G406" s="264"/>
      <c r="H406" s="263"/>
    </row>
  </sheetData>
  <pageMargins left="0.7" right="0.7" top="0.75" bottom="0.75" header="0.3" footer="0.3"/>
  <pageSetup paperSize="9"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I10"/>
  <sheetViews>
    <sheetView zoomScaleNormal="100" workbookViewId="0">
      <selection activeCell="B2" sqref="B2"/>
    </sheetView>
  </sheetViews>
  <sheetFormatPr defaultColWidth="9.140625" defaultRowHeight="12.75"/>
  <cols>
    <col min="1" max="1" width="5" style="3" bestFit="1" customWidth="1"/>
    <col min="2" max="2" width="19" style="174" customWidth="1"/>
    <col min="3" max="4" width="16.5703125" style="3" customWidth="1"/>
    <col min="5" max="5" width="54.140625" style="3" customWidth="1"/>
    <col min="6" max="6" width="16.5703125" style="3" customWidth="1"/>
    <col min="7" max="7" width="13.5703125" style="3" bestFit="1" customWidth="1"/>
    <col min="8" max="8" width="12.28515625" style="4" bestFit="1" customWidth="1"/>
    <col min="9" max="9" width="10.5703125" style="183" customWidth="1"/>
    <col min="10" max="10" width="23.140625" style="4" customWidth="1"/>
    <col min="11" max="12" width="11.28515625" style="4" bestFit="1" customWidth="1"/>
    <col min="13" max="13" width="33.28515625" style="4" customWidth="1"/>
    <col min="14" max="15" width="15.28515625" style="4" customWidth="1"/>
    <col min="16" max="16" width="9.140625" style="4"/>
    <col min="17" max="17" width="15.42578125" style="4" bestFit="1" customWidth="1"/>
    <col min="18" max="18" width="42.140625" style="4" customWidth="1"/>
    <col min="19" max="19" width="27.28515625" style="4" customWidth="1"/>
    <col min="20" max="20" width="14.28515625" style="4" customWidth="1"/>
    <col min="21" max="21" width="9.85546875" style="4" customWidth="1"/>
    <col min="22" max="22" width="20.42578125" style="4" customWidth="1"/>
    <col min="23" max="23" width="13" style="4" customWidth="1"/>
    <col min="24" max="24" width="10.5703125" style="4" customWidth="1"/>
    <col min="25" max="28" width="13" style="4" customWidth="1"/>
    <col min="29" max="29" width="10.5703125" style="4" customWidth="1"/>
    <col min="30" max="30" width="32.28515625" style="4" customWidth="1"/>
    <col min="31" max="31" width="11.7109375" style="4" customWidth="1"/>
    <col min="32" max="32" width="10.7109375" style="4" customWidth="1"/>
    <col min="33" max="33" width="24.7109375" style="4" customWidth="1"/>
    <col min="34" max="35" width="13" style="4" customWidth="1"/>
    <col min="36" max="16384" width="9.140625" style="4"/>
  </cols>
  <sheetData>
    <row r="1" spans="1:35" s="3" customFormat="1" ht="42.75">
      <c r="A1" s="277" t="s">
        <v>248</v>
      </c>
      <c r="B1" s="277" t="s">
        <v>1611</v>
      </c>
      <c r="C1" s="277" t="s">
        <v>1605</v>
      </c>
      <c r="D1" s="1" t="s">
        <v>1524</v>
      </c>
      <c r="E1" s="1" t="s">
        <v>1516</v>
      </c>
      <c r="F1" s="1" t="s">
        <v>1518</v>
      </c>
      <c r="G1" s="1" t="s">
        <v>1519</v>
      </c>
      <c r="H1" s="2" t="s">
        <v>1520</v>
      </c>
      <c r="I1" s="2" t="s">
        <v>1521</v>
      </c>
      <c r="J1" s="2" t="s">
        <v>1522</v>
      </c>
      <c r="K1" s="2" t="s">
        <v>1523</v>
      </c>
      <c r="L1" s="2" t="s">
        <v>1547</v>
      </c>
      <c r="M1" s="2" t="s">
        <v>1533</v>
      </c>
      <c r="N1" s="2" t="s">
        <v>1534</v>
      </c>
      <c r="O1" s="2" t="s">
        <v>1535</v>
      </c>
      <c r="P1" s="2" t="s">
        <v>1536</v>
      </c>
      <c r="Q1" s="2" t="s">
        <v>1537</v>
      </c>
      <c r="R1" s="2" t="s">
        <v>1538</v>
      </c>
      <c r="S1" s="2" t="s">
        <v>1539</v>
      </c>
      <c r="T1" s="2" t="s">
        <v>1540</v>
      </c>
      <c r="U1" s="2" t="s">
        <v>1526</v>
      </c>
      <c r="V1" s="2" t="s">
        <v>1541</v>
      </c>
      <c r="W1" s="5" t="s">
        <v>1552</v>
      </c>
      <c r="X1" s="5" t="s">
        <v>1549</v>
      </c>
      <c r="Y1" s="5" t="s">
        <v>1848</v>
      </c>
      <c r="Z1" s="5" t="s">
        <v>1550</v>
      </c>
      <c r="AA1" s="206" t="s">
        <v>1543</v>
      </c>
      <c r="AB1" s="5" t="s">
        <v>1544</v>
      </c>
      <c r="AC1" s="5" t="s">
        <v>1548</v>
      </c>
      <c r="AD1" s="209" t="s">
        <v>1546</v>
      </c>
      <c r="AE1" s="1" t="s">
        <v>1715</v>
      </c>
      <c r="AF1" s="1" t="s">
        <v>1532</v>
      </c>
      <c r="AG1" s="1" t="s">
        <v>1554</v>
      </c>
      <c r="AH1" s="279" t="s">
        <v>1542</v>
      </c>
      <c r="AI1" s="280" t="s">
        <v>1551</v>
      </c>
    </row>
    <row r="2" spans="1:35" s="214" customFormat="1" ht="51">
      <c r="A2" s="288">
        <v>1</v>
      </c>
      <c r="B2" s="309" t="str">
        <f>Profile!A2</f>
        <v>VNMOBILE-HCM</v>
      </c>
      <c r="C2" s="288" t="str">
        <f>Profile!L2</f>
        <v>MOBIFONE</v>
      </c>
      <c r="D2" s="288"/>
      <c r="E2" s="207" t="s">
        <v>278</v>
      </c>
      <c r="F2" s="149" t="s">
        <v>279</v>
      </c>
      <c r="G2" s="149" t="s">
        <v>280</v>
      </c>
      <c r="H2" s="149" t="s">
        <v>281</v>
      </c>
      <c r="I2" s="66">
        <v>3</v>
      </c>
      <c r="J2" s="149" t="s">
        <v>282</v>
      </c>
      <c r="K2" s="150">
        <v>43423</v>
      </c>
      <c r="L2" s="150">
        <v>43395</v>
      </c>
      <c r="M2" s="151" t="s">
        <v>1855</v>
      </c>
      <c r="N2" s="151" t="s">
        <v>284</v>
      </c>
      <c r="O2" s="152" t="s">
        <v>285</v>
      </c>
      <c r="P2" s="151" t="s">
        <v>1857</v>
      </c>
      <c r="Q2" s="153" t="s">
        <v>286</v>
      </c>
      <c r="R2" s="154" t="s">
        <v>287</v>
      </c>
      <c r="S2" s="155" t="s">
        <v>1859</v>
      </c>
      <c r="T2" s="155" t="s">
        <v>289</v>
      </c>
      <c r="U2" s="156">
        <v>1</v>
      </c>
      <c r="V2" s="151" t="s">
        <v>290</v>
      </c>
      <c r="W2" s="151" t="s">
        <v>70</v>
      </c>
      <c r="X2" s="151" t="s">
        <v>291</v>
      </c>
      <c r="Y2" s="151">
        <v>36</v>
      </c>
      <c r="Z2" s="151" t="s">
        <v>291</v>
      </c>
      <c r="AA2" s="151">
        <v>24</v>
      </c>
      <c r="AB2" s="151" t="s">
        <v>130</v>
      </c>
      <c r="AC2" s="281"/>
      <c r="AD2" s="281"/>
      <c r="AE2" s="281"/>
      <c r="AF2" s="281" t="s">
        <v>1563</v>
      </c>
      <c r="AG2" s="281"/>
      <c r="AH2" s="281">
        <f>Detail!GB2</f>
        <v>36</v>
      </c>
      <c r="AI2" s="281">
        <f>Detail!GC2</f>
        <v>12</v>
      </c>
    </row>
    <row r="3" spans="1:35" ht="63.75">
      <c r="A3" s="310"/>
      <c r="B3" s="311"/>
      <c r="C3" s="310"/>
      <c r="D3" s="310"/>
      <c r="E3" s="207" t="s">
        <v>293</v>
      </c>
      <c r="F3" s="149" t="s">
        <v>279</v>
      </c>
      <c r="G3" s="149" t="s">
        <v>294</v>
      </c>
      <c r="H3" s="149" t="s">
        <v>295</v>
      </c>
      <c r="I3" s="66">
        <v>4</v>
      </c>
      <c r="J3" s="149" t="s">
        <v>296</v>
      </c>
      <c r="K3" s="150">
        <v>43423</v>
      </c>
      <c r="L3" s="150">
        <v>43395</v>
      </c>
      <c r="M3" s="151" t="s">
        <v>1856</v>
      </c>
      <c r="N3" s="151" t="s">
        <v>298</v>
      </c>
      <c r="O3" s="152" t="s">
        <v>299</v>
      </c>
      <c r="P3" s="151" t="s">
        <v>1858</v>
      </c>
      <c r="Q3" s="153" t="s">
        <v>300</v>
      </c>
      <c r="R3" s="154" t="s">
        <v>301</v>
      </c>
      <c r="S3" s="155" t="s">
        <v>1860</v>
      </c>
      <c r="T3" s="155" t="s">
        <v>303</v>
      </c>
      <c r="U3" s="156">
        <v>1</v>
      </c>
      <c r="V3" s="151" t="s">
        <v>304</v>
      </c>
      <c r="W3" s="151" t="s">
        <v>70</v>
      </c>
      <c r="X3" s="151" t="s">
        <v>249</v>
      </c>
      <c r="Y3" s="151" t="s">
        <v>130</v>
      </c>
      <c r="Z3" s="151" t="s">
        <v>291</v>
      </c>
      <c r="AA3" s="151">
        <v>14</v>
      </c>
      <c r="AB3" s="151" t="s">
        <v>130</v>
      </c>
      <c r="AC3" s="282"/>
      <c r="AD3" s="282"/>
      <c r="AE3" s="282"/>
      <c r="AF3" s="282"/>
      <c r="AG3" s="282"/>
      <c r="AH3" s="282"/>
      <c r="AI3" s="282"/>
    </row>
    <row r="4" spans="1:35" ht="51">
      <c r="A4" s="310"/>
      <c r="B4" s="311"/>
      <c r="C4" s="310"/>
      <c r="D4" s="310"/>
      <c r="E4" s="207" t="s">
        <v>306</v>
      </c>
      <c r="F4" s="149" t="s">
        <v>279</v>
      </c>
      <c r="G4" s="149" t="s">
        <v>307</v>
      </c>
      <c r="H4" s="149" t="s">
        <v>308</v>
      </c>
      <c r="I4" s="66">
        <v>3</v>
      </c>
      <c r="J4" s="149" t="s">
        <v>309</v>
      </c>
      <c r="K4" s="150">
        <v>43423</v>
      </c>
      <c r="L4" s="150">
        <v>43395</v>
      </c>
      <c r="M4" s="151" t="s">
        <v>1855</v>
      </c>
      <c r="N4" s="151" t="s">
        <v>310</v>
      </c>
      <c r="O4" s="152" t="s">
        <v>311</v>
      </c>
      <c r="P4" s="151" t="s">
        <v>1857</v>
      </c>
      <c r="Q4" s="153" t="s">
        <v>286</v>
      </c>
      <c r="R4" s="154" t="s">
        <v>287</v>
      </c>
      <c r="S4" s="155" t="s">
        <v>1859</v>
      </c>
      <c r="T4" s="155" t="s">
        <v>312</v>
      </c>
      <c r="U4" s="156">
        <v>1</v>
      </c>
      <c r="V4" s="151" t="s">
        <v>290</v>
      </c>
      <c r="W4" s="151" t="s">
        <v>70</v>
      </c>
      <c r="X4" s="151" t="s">
        <v>249</v>
      </c>
      <c r="Y4" s="151" t="s">
        <v>130</v>
      </c>
      <c r="Z4" s="151" t="s">
        <v>291</v>
      </c>
      <c r="AA4" s="151">
        <v>17</v>
      </c>
      <c r="AB4" s="151" t="s">
        <v>130</v>
      </c>
      <c r="AC4" s="282"/>
      <c r="AD4" s="282"/>
      <c r="AE4" s="282"/>
      <c r="AF4" s="282"/>
      <c r="AG4" s="282"/>
      <c r="AH4" s="282"/>
      <c r="AI4" s="282"/>
    </row>
    <row r="5" spans="1:35" ht="51">
      <c r="A5" s="310"/>
      <c r="B5" s="311"/>
      <c r="C5" s="310"/>
      <c r="D5" s="310"/>
      <c r="E5" s="207" t="s">
        <v>313</v>
      </c>
      <c r="F5" s="149" t="s">
        <v>279</v>
      </c>
      <c r="G5" s="149" t="s">
        <v>314</v>
      </c>
      <c r="H5" s="149" t="s">
        <v>315</v>
      </c>
      <c r="I5" s="66">
        <v>3</v>
      </c>
      <c r="J5" s="149" t="s">
        <v>316</v>
      </c>
      <c r="K5" s="150">
        <v>43423</v>
      </c>
      <c r="L5" s="150">
        <v>43395</v>
      </c>
      <c r="M5" s="151" t="s">
        <v>1855</v>
      </c>
      <c r="N5" s="151" t="s">
        <v>317</v>
      </c>
      <c r="O5" s="152" t="s">
        <v>285</v>
      </c>
      <c r="P5" s="151" t="s">
        <v>1857</v>
      </c>
      <c r="Q5" s="153" t="s">
        <v>318</v>
      </c>
      <c r="R5" s="154" t="s">
        <v>319</v>
      </c>
      <c r="S5" s="155" t="s">
        <v>1861</v>
      </c>
      <c r="T5" s="155" t="s">
        <v>321</v>
      </c>
      <c r="U5" s="156">
        <v>1</v>
      </c>
      <c r="V5" s="151" t="s">
        <v>322</v>
      </c>
      <c r="W5" s="151" t="s">
        <v>70</v>
      </c>
      <c r="X5" s="151" t="s">
        <v>249</v>
      </c>
      <c r="Y5" s="151" t="s">
        <v>130</v>
      </c>
      <c r="Z5" s="151" t="s">
        <v>291</v>
      </c>
      <c r="AA5" s="151">
        <v>-1</v>
      </c>
      <c r="AB5" s="151" t="s">
        <v>130</v>
      </c>
      <c r="AC5" s="282"/>
      <c r="AD5" s="282"/>
      <c r="AE5" s="282"/>
      <c r="AF5" s="282"/>
      <c r="AG5" s="282"/>
      <c r="AH5" s="282"/>
      <c r="AI5" s="282"/>
    </row>
    <row r="6" spans="1:35" ht="51">
      <c r="A6" s="310"/>
      <c r="B6" s="311"/>
      <c r="C6" s="310"/>
      <c r="D6" s="310"/>
      <c r="E6" s="207" t="s">
        <v>324</v>
      </c>
      <c r="F6" s="149" t="s">
        <v>279</v>
      </c>
      <c r="G6" s="149" t="s">
        <v>325</v>
      </c>
      <c r="H6" s="149" t="s">
        <v>326</v>
      </c>
      <c r="I6" s="66">
        <v>3</v>
      </c>
      <c r="J6" s="149" t="s">
        <v>327</v>
      </c>
      <c r="K6" s="150">
        <v>43423</v>
      </c>
      <c r="L6" s="150">
        <v>43395</v>
      </c>
      <c r="M6" s="151" t="s">
        <v>1855</v>
      </c>
      <c r="N6" s="151" t="s">
        <v>328</v>
      </c>
      <c r="O6" s="152" t="s">
        <v>329</v>
      </c>
      <c r="P6" s="151" t="s">
        <v>1857</v>
      </c>
      <c r="Q6" s="153" t="s">
        <v>330</v>
      </c>
      <c r="R6" s="154" t="s">
        <v>331</v>
      </c>
      <c r="S6" s="155" t="s">
        <v>1859</v>
      </c>
      <c r="T6" s="155" t="s">
        <v>332</v>
      </c>
      <c r="U6" s="156">
        <v>1</v>
      </c>
      <c r="V6" s="151" t="s">
        <v>290</v>
      </c>
      <c r="W6" s="151" t="s">
        <v>70</v>
      </c>
      <c r="X6" s="151" t="s">
        <v>291</v>
      </c>
      <c r="Y6" s="151">
        <v>35</v>
      </c>
      <c r="Z6" s="151" t="s">
        <v>291</v>
      </c>
      <c r="AA6" s="151">
        <v>19</v>
      </c>
      <c r="AB6" s="151" t="s">
        <v>130</v>
      </c>
      <c r="AC6" s="282"/>
      <c r="AD6" s="282"/>
      <c r="AE6" s="282"/>
      <c r="AF6" s="282"/>
      <c r="AG6" s="282"/>
      <c r="AH6" s="282"/>
      <c r="AI6" s="282"/>
    </row>
    <row r="7" spans="1:35" ht="51">
      <c r="A7" s="310"/>
      <c r="B7" s="311"/>
      <c r="C7" s="310"/>
      <c r="D7" s="310"/>
      <c r="E7" s="207" t="s">
        <v>334</v>
      </c>
      <c r="F7" s="149" t="s">
        <v>279</v>
      </c>
      <c r="G7" s="149" t="s">
        <v>335</v>
      </c>
      <c r="H7" s="149" t="s">
        <v>336</v>
      </c>
      <c r="I7" s="66">
        <v>3</v>
      </c>
      <c r="J7" s="149" t="s">
        <v>337</v>
      </c>
      <c r="K7" s="150">
        <v>43423</v>
      </c>
      <c r="L7" s="150">
        <v>43395</v>
      </c>
      <c r="M7" s="151" t="s">
        <v>1855</v>
      </c>
      <c r="N7" s="151" t="s">
        <v>338</v>
      </c>
      <c r="O7" s="152" t="s">
        <v>329</v>
      </c>
      <c r="P7" s="151" t="s">
        <v>1857</v>
      </c>
      <c r="Q7" s="153" t="s">
        <v>330</v>
      </c>
      <c r="R7" s="154" t="s">
        <v>331</v>
      </c>
      <c r="S7" s="155" t="s">
        <v>1859</v>
      </c>
      <c r="T7" s="155" t="s">
        <v>339</v>
      </c>
      <c r="U7" s="156">
        <v>1</v>
      </c>
      <c r="V7" s="151" t="s">
        <v>290</v>
      </c>
      <c r="W7" s="151" t="s">
        <v>70</v>
      </c>
      <c r="X7" s="151" t="s">
        <v>249</v>
      </c>
      <c r="Y7" s="151" t="s">
        <v>130</v>
      </c>
      <c r="Z7" s="151" t="s">
        <v>291</v>
      </c>
      <c r="AA7" s="151">
        <v>16</v>
      </c>
      <c r="AB7" s="151" t="s">
        <v>130</v>
      </c>
      <c r="AC7" s="282"/>
      <c r="AD7" s="282"/>
      <c r="AE7" s="282"/>
      <c r="AF7" s="282"/>
      <c r="AG7" s="282"/>
      <c r="AH7" s="282"/>
      <c r="AI7" s="282"/>
    </row>
    <row r="8" spans="1:35" ht="51">
      <c r="A8" s="310"/>
      <c r="B8" s="311"/>
      <c r="C8" s="310"/>
      <c r="D8" s="310"/>
      <c r="E8" s="207" t="s">
        <v>340</v>
      </c>
      <c r="F8" s="149" t="s">
        <v>279</v>
      </c>
      <c r="G8" s="149" t="s">
        <v>341</v>
      </c>
      <c r="H8" s="149" t="s">
        <v>342</v>
      </c>
      <c r="I8" s="66">
        <v>3</v>
      </c>
      <c r="J8" s="149" t="s">
        <v>343</v>
      </c>
      <c r="K8" s="150">
        <v>43423</v>
      </c>
      <c r="L8" s="150">
        <v>43395</v>
      </c>
      <c r="M8" s="151" t="s">
        <v>1855</v>
      </c>
      <c r="N8" s="151" t="s">
        <v>344</v>
      </c>
      <c r="O8" s="152" t="s">
        <v>311</v>
      </c>
      <c r="P8" s="151" t="s">
        <v>1857</v>
      </c>
      <c r="Q8" s="153" t="s">
        <v>286</v>
      </c>
      <c r="R8" s="154" t="s">
        <v>287</v>
      </c>
      <c r="S8" s="155" t="s">
        <v>1859</v>
      </c>
      <c r="T8" s="155" t="s">
        <v>345</v>
      </c>
      <c r="U8" s="156">
        <v>1</v>
      </c>
      <c r="V8" s="151" t="s">
        <v>290</v>
      </c>
      <c r="W8" s="151" t="s">
        <v>70</v>
      </c>
      <c r="X8" s="151" t="s">
        <v>249</v>
      </c>
      <c r="Y8" s="151" t="s">
        <v>130</v>
      </c>
      <c r="Z8" s="151" t="s">
        <v>291</v>
      </c>
      <c r="AA8" s="151">
        <v>8</v>
      </c>
      <c r="AB8" s="151" t="s">
        <v>130</v>
      </c>
      <c r="AC8" s="282"/>
      <c r="AD8" s="282"/>
      <c r="AE8" s="282"/>
      <c r="AF8" s="282"/>
      <c r="AG8" s="282"/>
      <c r="AH8" s="282"/>
      <c r="AI8" s="282"/>
    </row>
    <row r="9" spans="1:35" ht="51">
      <c r="A9" s="310"/>
      <c r="B9" s="311"/>
      <c r="C9" s="310"/>
      <c r="D9" s="310"/>
      <c r="E9" s="207" t="s">
        <v>346</v>
      </c>
      <c r="F9" s="149" t="s">
        <v>279</v>
      </c>
      <c r="G9" s="149" t="s">
        <v>347</v>
      </c>
      <c r="H9" s="149" t="s">
        <v>348</v>
      </c>
      <c r="I9" s="66">
        <v>3</v>
      </c>
      <c r="J9" s="149" t="s">
        <v>349</v>
      </c>
      <c r="K9" s="150">
        <v>43423</v>
      </c>
      <c r="L9" s="150">
        <v>43395</v>
      </c>
      <c r="M9" s="151" t="s">
        <v>1855</v>
      </c>
      <c r="N9" s="151" t="s">
        <v>350</v>
      </c>
      <c r="O9" s="152" t="s">
        <v>329</v>
      </c>
      <c r="P9" s="151" t="s">
        <v>1857</v>
      </c>
      <c r="Q9" s="153" t="s">
        <v>330</v>
      </c>
      <c r="R9" s="154" t="s">
        <v>331</v>
      </c>
      <c r="S9" s="155" t="s">
        <v>1859</v>
      </c>
      <c r="T9" s="155" t="s">
        <v>351</v>
      </c>
      <c r="U9" s="156">
        <v>1</v>
      </c>
      <c r="V9" s="151" t="s">
        <v>290</v>
      </c>
      <c r="W9" s="151" t="s">
        <v>70</v>
      </c>
      <c r="X9" s="151" t="s">
        <v>249</v>
      </c>
      <c r="Y9" s="151" t="s">
        <v>130</v>
      </c>
      <c r="Z9" s="151" t="s">
        <v>291</v>
      </c>
      <c r="AA9" s="151">
        <v>-7</v>
      </c>
      <c r="AB9" s="151" t="s">
        <v>130</v>
      </c>
      <c r="AC9" s="282"/>
      <c r="AD9" s="282"/>
      <c r="AE9" s="282"/>
      <c r="AF9" s="282"/>
      <c r="AG9" s="282"/>
      <c r="AH9" s="282"/>
      <c r="AI9" s="282"/>
    </row>
    <row r="10" spans="1:35" ht="63.75">
      <c r="A10" s="310"/>
      <c r="B10" s="311"/>
      <c r="C10" s="310"/>
      <c r="D10" s="310"/>
      <c r="E10" s="207" t="s">
        <v>352</v>
      </c>
      <c r="F10" s="149" t="s">
        <v>279</v>
      </c>
      <c r="G10" s="149" t="s">
        <v>353</v>
      </c>
      <c r="H10" s="149" t="s">
        <v>354</v>
      </c>
      <c r="I10" s="66">
        <v>4</v>
      </c>
      <c r="J10" s="149" t="s">
        <v>355</v>
      </c>
      <c r="K10" s="150">
        <v>43423</v>
      </c>
      <c r="L10" s="150">
        <v>43396</v>
      </c>
      <c r="M10" s="151" t="s">
        <v>1856</v>
      </c>
      <c r="N10" s="151" t="s">
        <v>356</v>
      </c>
      <c r="O10" s="152" t="s">
        <v>299</v>
      </c>
      <c r="P10" s="151" t="s">
        <v>1858</v>
      </c>
      <c r="Q10" s="153" t="s">
        <v>357</v>
      </c>
      <c r="R10" s="154" t="s">
        <v>301</v>
      </c>
      <c r="S10" s="155" t="s">
        <v>1860</v>
      </c>
      <c r="T10" s="155" t="s">
        <v>358</v>
      </c>
      <c r="U10" s="156">
        <v>1</v>
      </c>
      <c r="V10" s="151" t="s">
        <v>304</v>
      </c>
      <c r="W10" s="151" t="s">
        <v>70</v>
      </c>
      <c r="X10" s="151" t="s">
        <v>249</v>
      </c>
      <c r="Y10" s="151" t="s">
        <v>130</v>
      </c>
      <c r="Z10" s="151" t="s">
        <v>291</v>
      </c>
      <c r="AA10" s="151">
        <v>19</v>
      </c>
      <c r="AB10" s="151" t="s">
        <v>130</v>
      </c>
      <c r="AC10" s="282"/>
      <c r="AD10" s="282"/>
      <c r="AE10" s="282"/>
      <c r="AF10" s="282"/>
      <c r="AG10" s="282"/>
      <c r="AH10" s="282"/>
      <c r="AI10" s="282"/>
    </row>
  </sheetData>
  <autoFilter ref="A1:AG2"/>
  <conditionalFormatting sqref="X1 AC1:AC1048576 X11:X1048576">
    <cfRule type="containsText" dxfId="24" priority="16" operator="containsText" text="no">
      <formula>NOT(ISERROR(SEARCH("no",X1)))</formula>
    </cfRule>
  </conditionalFormatting>
  <conditionalFormatting sqref="W2:X2 W3:W10">
    <cfRule type="containsText" dxfId="23" priority="2" operator="containsText" text="no">
      <formula>NOT(ISERROR(SEARCH("no",W2)))</formula>
    </cfRule>
  </conditionalFormatting>
  <conditionalFormatting sqref="X3:X10">
    <cfRule type="containsText" dxfId="22" priority="1" operator="containsText" text="no">
      <formula>NOT(ISERROR(SEARCH("no",X3)))</formula>
    </cfRule>
  </conditionalFormatting>
  <pageMargins left="0.27" right="0.28999999999999998" top="0.74803149606299213" bottom="0.74803149606299213" header="0.31496062992125984" footer="0.31496062992125984"/>
  <pageSetup paperSize="9" orientation="landscape"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GG2"/>
  <sheetViews>
    <sheetView topLeftCell="FK1" zoomScale="85" zoomScaleNormal="85" workbookViewId="0">
      <selection activeCell="GG1" sqref="GG1"/>
    </sheetView>
  </sheetViews>
  <sheetFormatPr defaultColWidth="9.140625" defaultRowHeight="12.75"/>
  <cols>
    <col min="1" max="1" width="5" style="3" bestFit="1" customWidth="1"/>
    <col min="2" max="2" width="17.140625" style="174" bestFit="1" customWidth="1"/>
    <col min="3" max="3" width="16.7109375" style="3" bestFit="1" customWidth="1"/>
    <col min="4" max="4" width="16" style="3" customWidth="1"/>
    <col min="5" max="5" width="54.140625" style="3" customWidth="1"/>
    <col min="6" max="6" width="16.5703125" style="3" customWidth="1"/>
    <col min="7" max="7" width="13.5703125" style="3" bestFit="1" customWidth="1"/>
    <col min="8" max="8" width="12.28515625" style="4" bestFit="1" customWidth="1"/>
    <col min="9" max="9" width="10.5703125" style="183" customWidth="1"/>
    <col min="10" max="10" width="23.140625" style="4" customWidth="1"/>
    <col min="11" max="12" width="11.28515625" style="285" bestFit="1" customWidth="1"/>
    <col min="13" max="13" width="33.28515625" style="4" customWidth="1"/>
    <col min="14" max="15" width="15.28515625" style="4" customWidth="1"/>
    <col min="16" max="16" width="9.140625" style="4"/>
    <col min="17" max="17" width="15.42578125" style="4" bestFit="1" customWidth="1"/>
    <col min="18" max="18" width="42.140625" style="4" customWidth="1"/>
    <col min="19" max="19" width="27.28515625" style="4" customWidth="1"/>
    <col min="20" max="20" width="14.28515625" style="4" customWidth="1"/>
    <col min="21" max="21" width="7.7109375" style="4" customWidth="1"/>
    <col min="22" max="22" width="20.42578125" style="4" customWidth="1"/>
    <col min="23" max="24" width="10.5703125" style="4" customWidth="1"/>
    <col min="25" max="29" width="13" style="4" customWidth="1"/>
    <col min="30" max="30" width="32.28515625" style="4" customWidth="1"/>
    <col min="31" max="31" width="15.7109375" style="4" customWidth="1"/>
    <col min="32" max="32" width="10.7109375" style="4" customWidth="1"/>
    <col min="33" max="33" width="24.7109375" style="4" customWidth="1"/>
    <col min="34" max="34" width="4.7109375" style="4" customWidth="1"/>
    <col min="35" max="35" width="15.42578125" style="4" bestFit="1" customWidth="1"/>
    <col min="36" max="36" width="15.85546875" style="4" customWidth="1"/>
    <col min="37" max="37" width="9.140625" style="3"/>
    <col min="38" max="176" width="9.140625" style="4"/>
    <col min="177" max="177" width="9.5703125" style="4" bestFit="1" customWidth="1"/>
    <col min="178" max="183" width="9.140625" style="4"/>
    <col min="184" max="185" width="13" style="4" customWidth="1"/>
    <col min="186" max="16384" width="9.140625" style="4"/>
  </cols>
  <sheetData>
    <row r="1" spans="1:189" s="3" customFormat="1" ht="57">
      <c r="A1" s="1" t="s">
        <v>248</v>
      </c>
      <c r="B1" s="1" t="s">
        <v>1611</v>
      </c>
      <c r="C1" s="1" t="s">
        <v>1605</v>
      </c>
      <c r="D1" s="1" t="s">
        <v>1524</v>
      </c>
      <c r="E1" s="1" t="s">
        <v>1516</v>
      </c>
      <c r="F1" s="1" t="s">
        <v>1518</v>
      </c>
      <c r="G1" s="1" t="s">
        <v>1519</v>
      </c>
      <c r="H1" s="2" t="s">
        <v>1520</v>
      </c>
      <c r="I1" s="2" t="s">
        <v>1521</v>
      </c>
      <c r="J1" s="2" t="s">
        <v>1522</v>
      </c>
      <c r="K1" s="283" t="s">
        <v>1523</v>
      </c>
      <c r="L1" s="283" t="s">
        <v>1547</v>
      </c>
      <c r="M1" s="2" t="s">
        <v>1533</v>
      </c>
      <c r="N1" s="2" t="s">
        <v>1534</v>
      </c>
      <c r="O1" s="2" t="s">
        <v>1535</v>
      </c>
      <c r="P1" s="2" t="s">
        <v>1536</v>
      </c>
      <c r="Q1" s="2" t="s">
        <v>1537</v>
      </c>
      <c r="R1" s="2" t="s">
        <v>1538</v>
      </c>
      <c r="S1" s="2" t="s">
        <v>1539</v>
      </c>
      <c r="T1" s="2" t="s">
        <v>1540</v>
      </c>
      <c r="U1" s="2" t="s">
        <v>1526</v>
      </c>
      <c r="V1" s="2" t="s">
        <v>1541</v>
      </c>
      <c r="W1" s="5" t="s">
        <v>1552</v>
      </c>
      <c r="X1" s="5" t="s">
        <v>1549</v>
      </c>
      <c r="Y1" s="5" t="s">
        <v>1848</v>
      </c>
      <c r="Z1" s="5" t="s">
        <v>1550</v>
      </c>
      <c r="AA1" s="206" t="s">
        <v>1543</v>
      </c>
      <c r="AB1" s="5" t="s">
        <v>1544</v>
      </c>
      <c r="AC1" s="5" t="s">
        <v>1548</v>
      </c>
      <c r="AD1" s="209" t="s">
        <v>1546</v>
      </c>
      <c r="AE1" s="1" t="s">
        <v>1715</v>
      </c>
      <c r="AF1" s="1" t="s">
        <v>1532</v>
      </c>
      <c r="AG1" s="1" t="s">
        <v>1554</v>
      </c>
      <c r="AH1" s="244"/>
      <c r="AI1" s="248" t="s">
        <v>1517</v>
      </c>
      <c r="AJ1" s="248" t="s">
        <v>1515</v>
      </c>
      <c r="AK1" s="247" t="s">
        <v>1525</v>
      </c>
      <c r="AL1" s="246" t="s">
        <v>1744</v>
      </c>
      <c r="AM1" s="246" t="s">
        <v>1745</v>
      </c>
      <c r="AN1" s="246" t="s">
        <v>1746</v>
      </c>
      <c r="AO1" s="246" t="s">
        <v>1747</v>
      </c>
      <c r="AP1" s="246" t="s">
        <v>1748</v>
      </c>
      <c r="AQ1" s="246" t="s">
        <v>1754</v>
      </c>
      <c r="AR1" s="247" t="s">
        <v>1749</v>
      </c>
      <c r="AS1" s="247" t="s">
        <v>1750</v>
      </c>
      <c r="AT1" s="247" t="s">
        <v>1751</v>
      </c>
      <c r="AU1" s="247" t="s">
        <v>1752</v>
      </c>
      <c r="AV1" s="247" t="s">
        <v>1753</v>
      </c>
      <c r="AW1" s="247" t="s">
        <v>1755</v>
      </c>
      <c r="AX1" s="246" t="s">
        <v>1714</v>
      </c>
      <c r="AY1" s="247" t="s">
        <v>1756</v>
      </c>
      <c r="AZ1" s="247" t="s">
        <v>1757</v>
      </c>
      <c r="BA1" s="247" t="s">
        <v>1758</v>
      </c>
      <c r="BB1" s="247" t="s">
        <v>1759</v>
      </c>
      <c r="BC1" s="247" t="s">
        <v>1760</v>
      </c>
      <c r="BD1" s="247" t="s">
        <v>1761</v>
      </c>
      <c r="BE1" s="246" t="s">
        <v>1762</v>
      </c>
      <c r="BF1" s="246" t="s">
        <v>1763</v>
      </c>
      <c r="BG1" s="246" t="s">
        <v>1764</v>
      </c>
      <c r="BH1" s="246" t="s">
        <v>1765</v>
      </c>
      <c r="BI1" s="246" t="s">
        <v>1766</v>
      </c>
      <c r="BJ1" s="246" t="s">
        <v>1767</v>
      </c>
      <c r="BK1" s="247" t="s">
        <v>1629</v>
      </c>
      <c r="BL1" s="247" t="s">
        <v>1643</v>
      </c>
      <c r="BM1" s="247" t="s">
        <v>1657</v>
      </c>
      <c r="BN1" s="247" t="s">
        <v>1671</v>
      </c>
      <c r="BO1" s="247" t="s">
        <v>1685</v>
      </c>
      <c r="BP1" s="247" t="s">
        <v>1699</v>
      </c>
      <c r="BQ1" s="246" t="s">
        <v>1633</v>
      </c>
      <c r="BR1" s="247" t="s">
        <v>1768</v>
      </c>
      <c r="BS1" s="247" t="s">
        <v>1769</v>
      </c>
      <c r="BT1" s="247" t="s">
        <v>1770</v>
      </c>
      <c r="BU1" s="247" t="s">
        <v>1771</v>
      </c>
      <c r="BV1" s="246" t="s">
        <v>1647</v>
      </c>
      <c r="BW1" s="247" t="s">
        <v>1772</v>
      </c>
      <c r="BX1" s="247" t="s">
        <v>1773</v>
      </c>
      <c r="BY1" s="247" t="s">
        <v>1774</v>
      </c>
      <c r="BZ1" s="247" t="s">
        <v>1775</v>
      </c>
      <c r="CA1" s="246" t="s">
        <v>1661</v>
      </c>
      <c r="CB1" s="247" t="s">
        <v>1776</v>
      </c>
      <c r="CC1" s="247" t="s">
        <v>1777</v>
      </c>
      <c r="CD1" s="247" t="s">
        <v>1778</v>
      </c>
      <c r="CE1" s="247" t="s">
        <v>1779</v>
      </c>
      <c r="CF1" s="246" t="s">
        <v>1675</v>
      </c>
      <c r="CG1" s="247" t="s">
        <v>1780</v>
      </c>
      <c r="CH1" s="247" t="s">
        <v>1781</v>
      </c>
      <c r="CI1" s="247" t="s">
        <v>1782</v>
      </c>
      <c r="CJ1" s="247" t="s">
        <v>1783</v>
      </c>
      <c r="CK1" s="246" t="s">
        <v>1689</v>
      </c>
      <c r="CL1" s="247" t="s">
        <v>1784</v>
      </c>
      <c r="CM1" s="247" t="s">
        <v>1785</v>
      </c>
      <c r="CN1" s="247" t="s">
        <v>1786</v>
      </c>
      <c r="CO1" s="247" t="s">
        <v>1787</v>
      </c>
      <c r="CP1" s="246" t="s">
        <v>1703</v>
      </c>
      <c r="CQ1" s="247" t="s">
        <v>1788</v>
      </c>
      <c r="CR1" s="247" t="s">
        <v>1789</v>
      </c>
      <c r="CS1" s="247" t="s">
        <v>1790</v>
      </c>
      <c r="CT1" s="247" t="s">
        <v>1791</v>
      </c>
      <c r="CU1" s="246" t="s">
        <v>1862</v>
      </c>
      <c r="CV1" s="247" t="s">
        <v>1792</v>
      </c>
      <c r="CW1" s="247" t="s">
        <v>1793</v>
      </c>
      <c r="CX1" s="247" t="s">
        <v>1794</v>
      </c>
      <c r="CY1" s="247" t="s">
        <v>1795</v>
      </c>
      <c r="CZ1" s="286" t="s">
        <v>1637</v>
      </c>
      <c r="DA1" s="246" t="s">
        <v>1863</v>
      </c>
      <c r="DB1" s="247" t="s">
        <v>1796</v>
      </c>
      <c r="DC1" s="247" t="s">
        <v>1797</v>
      </c>
      <c r="DD1" s="247" t="s">
        <v>1798</v>
      </c>
      <c r="DE1" s="247" t="s">
        <v>1799</v>
      </c>
      <c r="DF1" s="286" t="s">
        <v>1651</v>
      </c>
      <c r="DG1" s="246" t="s">
        <v>1864</v>
      </c>
      <c r="DH1" s="247" t="s">
        <v>1800</v>
      </c>
      <c r="DI1" s="247" t="s">
        <v>1801</v>
      </c>
      <c r="DJ1" s="247" t="s">
        <v>1802</v>
      </c>
      <c r="DK1" s="247" t="s">
        <v>1803</v>
      </c>
      <c r="DL1" s="286" t="s">
        <v>1665</v>
      </c>
      <c r="DM1" s="246" t="s">
        <v>1865</v>
      </c>
      <c r="DN1" s="247" t="s">
        <v>1804</v>
      </c>
      <c r="DO1" s="247" t="s">
        <v>1805</v>
      </c>
      <c r="DP1" s="247" t="s">
        <v>1806</v>
      </c>
      <c r="DQ1" s="247" t="s">
        <v>1807</v>
      </c>
      <c r="DR1" s="286" t="s">
        <v>1679</v>
      </c>
      <c r="DS1" s="246" t="s">
        <v>1866</v>
      </c>
      <c r="DT1" s="247" t="s">
        <v>1808</v>
      </c>
      <c r="DU1" s="247" t="s">
        <v>1809</v>
      </c>
      <c r="DV1" s="247" t="s">
        <v>1810</v>
      </c>
      <c r="DW1" s="247" t="s">
        <v>1811</v>
      </c>
      <c r="DX1" s="286" t="s">
        <v>1693</v>
      </c>
      <c r="DY1" s="246" t="s">
        <v>1867</v>
      </c>
      <c r="DZ1" s="247" t="s">
        <v>1812</v>
      </c>
      <c r="EA1" s="247" t="s">
        <v>1813</v>
      </c>
      <c r="EB1" s="247" t="s">
        <v>1814</v>
      </c>
      <c r="EC1" s="247" t="s">
        <v>1815</v>
      </c>
      <c r="ED1" s="286" t="s">
        <v>1707</v>
      </c>
      <c r="EE1" s="245" t="s">
        <v>1638</v>
      </c>
      <c r="EF1" s="245" t="s">
        <v>1652</v>
      </c>
      <c r="EG1" s="245" t="s">
        <v>1666</v>
      </c>
      <c r="EH1" s="245" t="s">
        <v>1680</v>
      </c>
      <c r="EI1" s="245" t="s">
        <v>1694</v>
      </c>
      <c r="EJ1" s="245" t="s">
        <v>1708</v>
      </c>
      <c r="EK1" s="246" t="s">
        <v>1868</v>
      </c>
      <c r="EL1" s="247" t="s">
        <v>1817</v>
      </c>
      <c r="EM1" s="247" t="s">
        <v>1818</v>
      </c>
      <c r="EN1" s="247" t="s">
        <v>1819</v>
      </c>
      <c r="EO1" s="247" t="s">
        <v>1820</v>
      </c>
      <c r="EP1" s="286" t="s">
        <v>1816</v>
      </c>
      <c r="EQ1" s="246" t="s">
        <v>1869</v>
      </c>
      <c r="ER1" s="247" t="s">
        <v>1822</v>
      </c>
      <c r="ES1" s="247" t="s">
        <v>1823</v>
      </c>
      <c r="ET1" s="247" t="s">
        <v>1824</v>
      </c>
      <c r="EU1" s="247" t="s">
        <v>1825</v>
      </c>
      <c r="EV1" s="286" t="s">
        <v>1821</v>
      </c>
      <c r="EW1" s="246" t="s">
        <v>1870</v>
      </c>
      <c r="EX1" s="247" t="s">
        <v>1827</v>
      </c>
      <c r="EY1" s="247" t="s">
        <v>1828</v>
      </c>
      <c r="EZ1" s="247" t="s">
        <v>1829</v>
      </c>
      <c r="FA1" s="247" t="s">
        <v>1830</v>
      </c>
      <c r="FB1" s="286" t="s">
        <v>1826</v>
      </c>
      <c r="FC1" s="246" t="s">
        <v>1871</v>
      </c>
      <c r="FD1" s="247" t="s">
        <v>1832</v>
      </c>
      <c r="FE1" s="247" t="s">
        <v>1833</v>
      </c>
      <c r="FF1" s="247" t="s">
        <v>1834</v>
      </c>
      <c r="FG1" s="247" t="s">
        <v>1835</v>
      </c>
      <c r="FH1" s="286" t="s">
        <v>1831</v>
      </c>
      <c r="FI1" s="246" t="s">
        <v>1872</v>
      </c>
      <c r="FJ1" s="247" t="s">
        <v>1837</v>
      </c>
      <c r="FK1" s="247" t="s">
        <v>1838</v>
      </c>
      <c r="FL1" s="247" t="s">
        <v>1839</v>
      </c>
      <c r="FM1" s="247" t="s">
        <v>1840</v>
      </c>
      <c r="FN1" s="286" t="s">
        <v>1836</v>
      </c>
      <c r="FO1" s="246" t="s">
        <v>1873</v>
      </c>
      <c r="FP1" s="247" t="s">
        <v>1842</v>
      </c>
      <c r="FQ1" s="247" t="s">
        <v>1843</v>
      </c>
      <c r="FR1" s="247" t="s">
        <v>1844</v>
      </c>
      <c r="FS1" s="247" t="s">
        <v>1845</v>
      </c>
      <c r="FT1" s="286" t="s">
        <v>1841</v>
      </c>
      <c r="FU1" s="246" t="s">
        <v>1553</v>
      </c>
      <c r="FV1" s="287" t="s">
        <v>1849</v>
      </c>
      <c r="FW1" s="287" t="s">
        <v>1850</v>
      </c>
      <c r="FX1" s="287" t="s">
        <v>1851</v>
      </c>
      <c r="FY1" s="287" t="s">
        <v>1852</v>
      </c>
      <c r="FZ1" s="287" t="s">
        <v>1853</v>
      </c>
      <c r="GA1" s="287" t="s">
        <v>1854</v>
      </c>
      <c r="GB1" s="279" t="s">
        <v>1542</v>
      </c>
      <c r="GC1" s="280" t="s">
        <v>1551</v>
      </c>
      <c r="GD1" s="229" t="s">
        <v>1624</v>
      </c>
      <c r="GE1" s="230">
        <v>5</v>
      </c>
      <c r="GF1" s="229" t="s">
        <v>1625</v>
      </c>
      <c r="GG1" s="230">
        <v>116</v>
      </c>
    </row>
    <row r="2" spans="1:189" s="214" customFormat="1" ht="89.25">
      <c r="A2" s="213">
        <f>Tonghop!A2</f>
        <v>1</v>
      </c>
      <c r="B2" s="213" t="str">
        <f>Tonghop!B2</f>
        <v>VNMOBILE-HCM</v>
      </c>
      <c r="C2" s="213" t="str">
        <f>Tonghop!C2</f>
        <v>MOBIFONE</v>
      </c>
      <c r="D2" s="213">
        <f>Tonghop!D2</f>
        <v>0</v>
      </c>
      <c r="E2" s="213" t="str">
        <f>Tonghop!E2</f>
        <v>Số 204, đường Huỳnh Văn Cù, phường Chánh Mỹ, thành phố Thủ Dầu Một, tỉnh Bình Dương.</v>
      </c>
      <c r="F2" s="213" t="str">
        <f>Tonghop!F2</f>
        <v>Bình Dương</v>
      </c>
      <c r="G2" s="288" t="str">
        <f>Tonghop!G2</f>
        <v>106,647723</v>
      </c>
      <c r="H2" s="288" t="str">
        <f>Tonghop!H2</f>
        <v>10,991285</v>
      </c>
      <c r="I2" s="288">
        <f>Tonghop!I2</f>
        <v>3</v>
      </c>
      <c r="J2" s="288" t="str">
        <f>Tonghop!J2</f>
        <v>K00458221018D005</v>
      </c>
      <c r="K2" s="289">
        <f>Tonghop!K2</f>
        <v>43423</v>
      </c>
      <c r="L2" s="289">
        <f>Tonghop!L2</f>
        <v>43395</v>
      </c>
      <c r="M2" s="288" t="str">
        <f>Tonghop!M2</f>
        <v>TỔNG CÔNG TY HẠ TẦNG MẠNG;TỔNG CÔNG TY HẠ TẦNG MẠNG;TỔNG CÔNG TY HẠ TẦNG MẠNG</v>
      </c>
      <c r="N2" s="288" t="str">
        <f>Tonghop!N2</f>
        <v>BDGTDM002;BDGTDM002;BDGTDM002</v>
      </c>
      <c r="O2" s="288" t="str">
        <f>Tonghop!O2</f>
        <v>MOTOROLA HORIZON II MACRO;ERICSSON RBS 6601;NSN FLEXI MULTIRADIO 10 (FHED)</v>
      </c>
      <c r="P2" s="288" t="str">
        <f>Tonghop!P2</f>
        <v>3;3;3</v>
      </c>
      <c r="Q2" s="288" t="str">
        <f>Tonghop!Q2</f>
        <v>4/4/4;2/2/2;1/1/1</v>
      </c>
      <c r="R2" s="288" t="str">
        <f>Tonghop!R2</f>
        <v>20W/20W/20W;60W/60W/60W;160W/160W/160W</v>
      </c>
      <c r="S2" s="288" t="str">
        <f>Tonghop!S2</f>
        <v>G900;U2100;L1800</v>
      </c>
      <c r="T2" s="288" t="str">
        <f>Tonghop!T2</f>
        <v>36m/ 36m/ 36m;36m/ 36m/ 36m;36m/ 36m/ 36m</v>
      </c>
      <c r="U2" s="288">
        <f>Tonghop!U2</f>
        <v>1</v>
      </c>
      <c r="V2" s="288" t="str">
        <f>Tonghop!V2</f>
        <v>FX-X-CG-00T-900;S-Wave EW/EW/EW-65-18DV2/12I-F-64K-VN;S-Wave EW/EW/EW-65-18DV2/12I-F-64K-VN</v>
      </c>
      <c r="W2" s="288" t="str">
        <f>Tonghop!W2</f>
        <v>Yes</v>
      </c>
      <c r="X2" s="288" t="str">
        <f>Tonghop!X2</f>
        <v>Có</v>
      </c>
      <c r="Y2" s="288">
        <f>Tonghop!Y2</f>
        <v>36</v>
      </c>
      <c r="Z2" s="288" t="str">
        <f>Tonghop!Z2</f>
        <v>Có</v>
      </c>
      <c r="AA2" s="288">
        <f>Tonghop!AA2</f>
        <v>24</v>
      </c>
      <c r="AB2" s="288" t="str">
        <f>Tonghop!AB2</f>
        <v/>
      </c>
      <c r="AC2" s="288">
        <f>Tonghop!AC2</f>
        <v>0</v>
      </c>
      <c r="AD2" s="288">
        <f>Tonghop!AD2</f>
        <v>0</v>
      </c>
      <c r="AE2" s="288">
        <f>Tonghop!AE2</f>
        <v>0</v>
      </c>
      <c r="AF2" s="288" t="str">
        <f>Tonghop!AF2</f>
        <v>VCC2</v>
      </c>
      <c r="AG2" s="288">
        <f>Tonghop!AG2</f>
        <v>0</v>
      </c>
      <c r="AH2" s="281"/>
      <c r="AI2" s="281" t="str">
        <f>INDEX(ApplicantNameList,MATCH($B$2,ApplicantIDList,0))</f>
        <v>CHI NHÁNH VNMOBILE TẠI TPHCM</v>
      </c>
      <c r="AJ2" s="281" t="str">
        <f>INDEX(OperatorNameList,MATCH($C$2,OperatorIDList,0))</f>
        <v>TỔNG CÔNG TY VIỄN THÔNG MOBIFONE</v>
      </c>
      <c r="AK2" s="288" t="str">
        <f>INDEX(CityIDList,MATCH($F$2,CityNameList,0))</f>
        <v>BDG</v>
      </c>
      <c r="AL2" s="281" t="str">
        <f>TRIM(IF($I$2&gt;=1,MID($M$2,1,IFERROR(FIND("~",SUBSTITUTE($M$2,";","~",1))-1,LEN($M$2))),""))</f>
        <v>TỔNG CÔNG TY HẠ TẦNG MẠNG</v>
      </c>
      <c r="AM2" s="281" t="str">
        <f>TRIM(IF($I$2&gt;=2,MID($M$2,FIND("~",SUBSTITUTE($M$2,";","~",1))+1,IFERROR(FIND("~",SUBSTITUTE($M$2,";","~",2))-1,LEN($M$2))- FIND("~",SUBSTITUTE($M$2,";","~",1))),""))</f>
        <v>TỔNG CÔNG TY HẠ TẦNG MẠNG</v>
      </c>
      <c r="AN2" s="281" t="str">
        <f>TRIM(IF($I$2&gt;=3,MID($M$2,FIND("~",SUBSTITUTE($M$2,";","~",2))+1,IFERROR(FIND("~",SUBSTITUTE($M$2,";","~",3))-1,LEN($M$2))- FIND("~",SUBSTITUTE($M$2,";","~",2))),""))</f>
        <v>TỔNG CÔNG TY HẠ TẦNG MẠNG</v>
      </c>
      <c r="AO2" s="281" t="str">
        <f>TRIM(IF($I$2&gt;=4,MID($M$2,FIND("~",SUBSTITUTE($M$2,";","~",3))+1,IFERROR(FIND("~",SUBSTITUTE($M$2,";","~",4))-1,LEN($M$2))- FIND("~",SUBSTITUTE($M$2,";","~",3))),""))</f>
        <v/>
      </c>
      <c r="AP2" s="281" t="str">
        <f>TRIM(IF($I$2&gt;=5,MID($M$2,FIND("~",SUBSTITUTE($M$2,";","~",4))+1,IFERROR(FIND("~",SUBSTITUTE($M$2,";","~",5))-1,LEN($M$2))- FIND("~",SUBSTITUTE($M$2,";","~",4))),""))</f>
        <v/>
      </c>
      <c r="AQ2" s="281" t="str">
        <f>TRIM(IF($I$2&gt;=6,MID($M$2,FIND("~",SUBSTITUTE($M$2,";","~",5))+1,IFERROR(FIND("~",SUBSTITUTE($M$2,";","~",6))-1,LEN($M$2))- FIND("~",SUBSTITUTE($M$2,";","~",5))),""))</f>
        <v/>
      </c>
      <c r="AR2" s="281" t="str">
        <f>IF($I$2&gt;=1,INDEX(OperatorIDList,MATCH($AL$2,OperatorNameList,0)),"")</f>
        <v>VINAPHONE</v>
      </c>
      <c r="AS2" s="281" t="str">
        <f>IF($I$2&gt;=2,INDEX(OperatorIDList,MATCH($AM$2,OperatorNameList,0)),"")</f>
        <v>VINAPHONE</v>
      </c>
      <c r="AT2" s="281" t="str">
        <f>IF($I$2&gt;=3,INDEX(OperatorIDList,MATCH($AN$2,OperatorNameList,0)),"")</f>
        <v>VINAPHONE</v>
      </c>
      <c r="AU2" s="281" t="str">
        <f>IF($I$2&gt;=4,INDEX(OperatorIDList,MATCH($AO$2,OperatorNameList,0)),"")</f>
        <v/>
      </c>
      <c r="AV2" s="281" t="str">
        <f>IF($I$2&gt;=5,INDEX(OperatorIDList,MATCH($AP$2,OperatorNameList,0)),"")</f>
        <v/>
      </c>
      <c r="AW2" s="281" t="str">
        <f>IF($I$2&gt;=6,INDEX(OperatorIDList,MATCH($AQ$2,OperatorNameList,0)),"")</f>
        <v/>
      </c>
      <c r="AX2" s="281" t="str">
        <f>ConcateMultiple($AR$2:$AW$2,";",$I$2)</f>
        <v>VINAPHONE;VINAPHONE;VINAPHONE</v>
      </c>
      <c r="AY2" s="281" t="str">
        <f>IF($I$2&gt;=1,MID($N$2,1,IFERROR(FIND("~",SUBSTITUTE($N$2,";","~",1))-1,LEN($N$2))),"")</f>
        <v>BDGTDM002</v>
      </c>
      <c r="AZ2" s="281" t="str">
        <f>IF($I$2&gt;=2,MID($N$2,FIND("~",SUBSTITUTE($N$2,";","~",1))+1,IFERROR(FIND("~",SUBSTITUTE($N$2,";","~",2))-1,LEN($N$2))- FIND("~",SUBSTITUTE($N$2,";","~",1))),"")</f>
        <v>BDGTDM002</v>
      </c>
      <c r="BA2" s="281" t="str">
        <f>IF($I$2&gt;=3,MID($N$2,FIND("~",SUBSTITUTE($N$2,";","~",2))+1,IFERROR(FIND("~",SUBSTITUTE($N$2,";","~",3))-1,LEN($N$2))- FIND("~",SUBSTITUTE($N$2,";","~",2))),"")</f>
        <v>BDGTDM002</v>
      </c>
      <c r="BB2" s="281" t="str">
        <f>IF($I$2&gt;=4,MID($N$2,FIND("~",SUBSTITUTE($N$2,";","~",3))+1,IFERROR(FIND("~",SUBSTITUTE($N$2,";","~",4))-1,LEN($N$2))- FIND("~",SUBSTITUTE($N$2,";","~",3))),"")</f>
        <v/>
      </c>
      <c r="BC2" s="281" t="str">
        <f>IF($I$2&gt;=5,MID($N$2,FIND("~",SUBSTITUTE($N$2,";","~",4))+1,IFERROR(FIND("~",SUBSTITUTE($N$2,";","~",5))-1,LEN($N$2))- FIND("~",SUBSTITUTE($N$2,";","~",4))),"")</f>
        <v/>
      </c>
      <c r="BD2" s="281" t="str">
        <f>IF($I$2&gt;=6,MID($N$2,FIND("~",SUBSTITUTE($N$2,";","~",5))+1,IFERROR(FIND("~",SUBSTITUTE($N$2,";","~",6))-1,LEN($N$2))- FIND("~",SUBSTITUTE($N$2,";","~",5))),"")</f>
        <v/>
      </c>
      <c r="BE2" s="281" t="str">
        <f>IF($I$2&gt;=1,MID($O$2,1,IFERROR(FIND("~",SUBSTITUTE($O$2,";","~",1))-1,LEN($O$2))),"")</f>
        <v>MOTOROLA HORIZON II MACRO</v>
      </c>
      <c r="BF2" s="281" t="str">
        <f>IF($I$2&gt;=2,MID($O$2,FIND("~",SUBSTITUTE($O$2,";","~",1))+1,IFERROR(FIND("~",SUBSTITUTE($O$2,";","~",2))-1,LEN($O$2))- FIND("~",SUBSTITUTE($O$2,";","~",1))),"")</f>
        <v>ERICSSON RBS 6601</v>
      </c>
      <c r="BG2" s="281" t="str">
        <f>IF($I$2&gt;=3,MID($O$2,FIND("~",SUBSTITUTE($O$2,";","~",2))+1,IFERROR(FIND("~",SUBSTITUTE($O$2,";","~",3))-1,LEN($O$2))- FIND("~",SUBSTITUTE($O$2,";","~",2))),"")</f>
        <v>NSN FLEXI MULTIRADIO 10 (FHED)</v>
      </c>
      <c r="BH2" s="281" t="str">
        <f>IF($I$2&gt;=4,MID($O$2,FIND("~",SUBSTITUTE($O$2,";","~",3))+1,IFERROR(FIND("~",SUBSTITUTE($O$2,";","~",4))-1,LEN($O$2))- FIND("~",SUBSTITUTE($O$2,";","~",3))),"")</f>
        <v/>
      </c>
      <c r="BI2" s="281" t="str">
        <f>IF($I$2&gt;=5,MID($O$2,FIND("~",SUBSTITUTE($O$2,";","~",4))+1,IFERROR(FIND("~",SUBSTITUTE($O$2,";","~",5))-1,LEN($O$2))- FIND("~",SUBSTITUTE($O$2,";","~",4))),"")</f>
        <v/>
      </c>
      <c r="BJ2" s="281" t="str">
        <f>IF($I$2&gt;=6,MID($O$2,FIND("~",SUBSTITUTE($O$2,";","~",5))+1,IFERROR(FIND("~",SUBSTITUTE($O$2,";","~",6))-1,LEN($O$2))- FIND("~",SUBSTITUTE($O$2,";","~",5))),"")</f>
        <v/>
      </c>
      <c r="BK2" s="281">
        <f>IF($I$2&gt;=1,MID($P$2,1,IFERROR(FIND("~",SUBSTITUTE($P$2,";","~",1))-1,LEN($P$2))),"0")*1</f>
        <v>3</v>
      </c>
      <c r="BL2" s="281">
        <f>IF($I$2&gt;=2,MID($P$2,FIND("~",SUBSTITUTE($P$2,";","~",1))+1,IFERROR(FIND("~",SUBSTITUTE($P$2,";","~",2))-1,LEN($P$2))- FIND("~",SUBSTITUTE($P$2,";","~",1))),"0")*1</f>
        <v>3</v>
      </c>
      <c r="BM2" s="281">
        <f>IF($I$2&gt;=3,MID($P$2,FIND("~",SUBSTITUTE($P$2,";","~",2))+1,IFERROR(FIND("~",SUBSTITUTE($P$2,";","~",3))-1,LEN($P$2))- FIND("~",SUBSTITUTE($P$2,";","~",2))),"0")*1</f>
        <v>3</v>
      </c>
      <c r="BN2" s="281">
        <f>IF($I$2&gt;=4,MID($P$2,FIND("~",SUBSTITUTE($P$2,";","~",3))+1,IFERROR(FIND("~",SUBSTITUTE($P$2,";","~",4))-1,LEN($P$2))- FIND("~",SUBSTITUTE($P$2,";","~",3))),"0")*1</f>
        <v>0</v>
      </c>
      <c r="BO2" s="281">
        <f>IF($I$2&gt;=5,MID($P$2,FIND("~",SUBSTITUTE($P$2,";","~",4))+1,IFERROR(FIND("~",SUBSTITUTE($P$2,";","~",5))-1,LEN($P$2))- FIND("~",SUBSTITUTE($P$2,";","~",4))),"0")*1</f>
        <v>0</v>
      </c>
      <c r="BP2" s="281">
        <f>IF($I$2&gt;=6,MID($P$2,FIND("~",SUBSTITUTE($P$2,";","~",5))+1,IFERROR(FIND("~",SUBSTITUTE($P$2,";","~",6))-1,LEN($P$2))- FIND("~",SUBSTITUTE($P$2,";","~",5))),"0")*1</f>
        <v>0</v>
      </c>
      <c r="BQ2" s="281" t="str">
        <f>IF($I$2&gt;=1,MID($Q$2,1,IFERROR(FIND("~",SUBSTITUTE($Q$2,";","~",1))-1,LEN($Q$2))),"")</f>
        <v>4/4/4</v>
      </c>
      <c r="BR2" s="281">
        <f>IF($BK$2&gt;=1,MID($BQ$2,1,IFERROR(FIND("~",SUBSTITUTE($BQ$2,"/","~",1))-1,LEN($BQ$2))),"0")*1</f>
        <v>4</v>
      </c>
      <c r="BS2" s="281">
        <f>IF($BK$2&gt;=2,MID($BQ$2,FIND("~",SUBSTITUTE($BQ$2,"/","~",1))+1,IFERROR(FIND("~",SUBSTITUTE($BQ$2,"/","~",2))-1,LEN($BQ$2))- FIND("~",SUBSTITUTE($BQ$2,"/","~",1))),"0")*1</f>
        <v>4</v>
      </c>
      <c r="BT2" s="281">
        <f>IF($BK$2&gt;=3,MID($BQ$2,FIND("~",SUBSTITUTE($BQ$2,"/","~",2))+1,IFERROR(FIND("~",SUBSTITUTE($BQ$2,"/","~",3))-1,LEN($BQ$2))- FIND("~",SUBSTITUTE($BQ$2,"/","~",2))),"0")*1</f>
        <v>4</v>
      </c>
      <c r="BU2" s="281">
        <f>IF($BK$2&gt;=4,MID($BQ$2,FIND("~",SUBSTITUTE($BQ$2,"/","~",3))+1,IFERROR(FIND("~",SUBSTITUTE($BQ$2,"/","~",4))-1,LEN($BQ$2))- FIND("~",SUBSTITUTE($BQ$2,"/","~",3))),"0")*1</f>
        <v>0</v>
      </c>
      <c r="BV2" s="281" t="str">
        <f>IF($I$2&gt;=2,MID($Q$2,FIND("~",SUBSTITUTE($Q$2,";","~",1))+1,IFERROR(FIND("~",SUBSTITUTE($Q$2,";","~",2))-1,LEN($Q$2))- FIND("~",SUBSTITUTE($Q$2,";","~",1))),"")</f>
        <v>2/2/2</v>
      </c>
      <c r="BW2" s="281">
        <f>IF($BL$2&gt;=1,MID($BV$2,1,IFERROR(FIND("~",SUBSTITUTE($BV$2,"/","~",1))-1,LEN($BV$2))),"0")*1</f>
        <v>2</v>
      </c>
      <c r="BX2" s="281">
        <f>IF($BL$2&gt;=2,MID($BV$2,FIND("~",SUBSTITUTE($BV$2,"/","~",1))+1,IFERROR(FIND("~",SUBSTITUTE($BV$2,"/","~",2))-1,LEN($BV$2))- FIND("~",SUBSTITUTE($BV$2,"/","~",1))),"0")*1</f>
        <v>2</v>
      </c>
      <c r="BY2" s="281">
        <f>IF($BL$2&gt;=3,MID($BV$2,FIND("~",SUBSTITUTE($BV$2,"/","~",2))+1,IFERROR(FIND("~",SUBSTITUTE($BV$2,"/","~",3))-1,LEN($BV$2))- FIND("~",SUBSTITUTE($BV$2,"/","~",2))),"0")*1</f>
        <v>2</v>
      </c>
      <c r="BZ2" s="281">
        <f>IF($BL$2&gt;=4,MID($BV$2,FIND("~",SUBSTITUTE($BV$2,"/","~",3))+1,IFERROR(FIND("~",SUBSTITUTE($BV$2,"/","~",4))-1,LEN($BV$2))- FIND("~",SUBSTITUTE($BV$2,"/","~",3))),"0")*1</f>
        <v>0</v>
      </c>
      <c r="CA2" s="281" t="str">
        <f>IF($I$2&gt;=3,MID($Q$2,FIND("~",SUBSTITUTE($Q$2,";","~",2))+1,IFERROR(FIND("~",SUBSTITUTE($Q$2,";","~",3))-1,LEN($Q$2))- FIND("~",SUBSTITUTE($Q$2,";","~",2))),"")</f>
        <v>1/1/1</v>
      </c>
      <c r="CB2" s="281">
        <f>IF($BM$2&gt;=1,MID($CA$2,1,IFERROR(FIND("~",SUBSTITUTE($CA$2,"/","~",1))-1,LEN($CA$2))),"0")*1</f>
        <v>1</v>
      </c>
      <c r="CC2" s="281">
        <f>IF($BM$2&gt;=2,MID($CA$2,FIND("~",SUBSTITUTE($CA$2,"/","~",1))+1,IFERROR(FIND("~",SUBSTITUTE($CA$2,"/","~",2))-1,LEN($CA$2))- FIND("~",SUBSTITUTE($CA$2,"/","~",1))),"0")*1</f>
        <v>1</v>
      </c>
      <c r="CD2" s="281">
        <f>IF($BM$2&gt;=3,MID($CA$2,FIND("~",SUBSTITUTE($CA$2,"/","~",2))+1,IFERROR(FIND("~",SUBSTITUTE($CA$2,"/","~",3))-1,LEN($CA$2))- FIND("~",SUBSTITUTE($CA$2,"/","~",2))),"0")*1</f>
        <v>1</v>
      </c>
      <c r="CE2" s="281">
        <f>IF($BM$2&gt;=4,MID($CA$2,FIND("~",SUBSTITUTE($CA$2,"/","~",3))+1,IFERROR(FIND("~",SUBSTITUTE($CA$2,"/","~",4))-1,LEN($CA$2))- FIND("~",SUBSTITUTE($CA$2,"/","~",3))),"0")*1</f>
        <v>0</v>
      </c>
      <c r="CF2" s="281" t="str">
        <f>IF($I$2&gt;=4,MID($Q$2,FIND("~",SUBSTITUTE($Q$2,";","~",3))+1,IFERROR(FIND("~",SUBSTITUTE($Q$2,";","~",4))-1,LEN($Q$2))- FIND("~",SUBSTITUTE($Q$2,";","~",3))),"")</f>
        <v/>
      </c>
      <c r="CG2" s="281">
        <f>IF($BN$2&gt;=1,MID($CF$2,1,IFERROR(FIND("~",SUBSTITUTE($CF$2,"/","~",1))-1,LEN($CF$2))),"0")*1</f>
        <v>0</v>
      </c>
      <c r="CH2" s="281">
        <f>IF($BN$2&gt;=2,MID($CF$2,FIND("~",SUBSTITUTE($CF$2,"/","~",1))+1,IFERROR(FIND("~",SUBSTITUTE($CF$2,"/","~",2))-1,LEN($CF$2))- FIND("~",SUBSTITUTE($CF$2,"/","~",1))),"0")*1</f>
        <v>0</v>
      </c>
      <c r="CI2" s="281">
        <f>IF($BN$2&gt;=3,MID($CF$2,FIND("~",SUBSTITUTE($CF$2,"/","~",2))+1,IFERROR(FIND("~",SUBSTITUTE($CF$2,"/","~",3))-1,LEN($CF$2))- FIND("~",SUBSTITUTE($CF$2,"/","~",2))),"0")*1</f>
        <v>0</v>
      </c>
      <c r="CJ2" s="281">
        <f>IF($BN$2&gt;=4,MID($CF$2,FIND("~",SUBSTITUTE($CF$2,"/","~",3))+1,IFERROR(FIND("~",SUBSTITUTE($CF$2,"/","~",4))-1,LEN($CF$2))- FIND("~",SUBSTITUTE($CF$2,"/","~",3))),"0")*1</f>
        <v>0</v>
      </c>
      <c r="CK2" s="281" t="str">
        <f>IF($I$2&gt;=5,MID($Q$2,FIND("~",SUBSTITUTE($Q$2,";","~",4))+1,IFERROR(FIND("~",SUBSTITUTE($Q$2,";","~",5))-1,LEN($Q$2))- FIND("~",SUBSTITUTE($Q$2,";","~",4))),"")</f>
        <v/>
      </c>
      <c r="CL2" s="281">
        <f>IF($BO$2&gt;=1,MID($CK$2,1,IFERROR(FIND("~",SUBSTITUTE($CK$2,"/","~",1))-1,LEN($CK$2))),"0")*1</f>
        <v>0</v>
      </c>
      <c r="CM2" s="281">
        <f>IF($BO$2&gt;=2,MID($CK$2,FIND("~",SUBSTITUTE($CK$2,"/","~",1))+1,IFERROR(FIND("~",SUBSTITUTE($CK$2,"/","~",2))-1,LEN($CK$2))- FIND("~",SUBSTITUTE($CK$2,"/","~",1))),"0")*1</f>
        <v>0</v>
      </c>
      <c r="CN2" s="281">
        <f>IF($BO$2&gt;=3,MID($CK$2,FIND("~",SUBSTITUTE($CK$2,"/","~",2))+1,IFERROR(FIND("~",SUBSTITUTE($CK$2,"/","~",3))-1,LEN($CK$2))- FIND("~",SUBSTITUTE($CK$2,"/","~",2))),"0")*1</f>
        <v>0</v>
      </c>
      <c r="CO2" s="281">
        <f>IF($BO$2&gt;=4,MID($CK$2,FIND("~",SUBSTITUTE($CK$2,"/","~",3))+1,IFERROR(FIND("~",SUBSTITUTE($CK$2,"/","~",4))-1,LEN($CK$2))- FIND("~",SUBSTITUTE($CK$2,"/","~",3))),"0")*1</f>
        <v>0</v>
      </c>
      <c r="CP2" s="281" t="str">
        <f>IF($I$2&gt;=6,MID($Q$2,FIND("~",SUBSTITUTE($Q$2,";","~",5))+1,IFERROR(FIND("~",SUBSTITUTE($Q$2,";","~",6))-1,LEN($Q$2))- FIND("~",SUBSTITUTE($Q$2,";","~",5))),"")</f>
        <v/>
      </c>
      <c r="CQ2" s="281">
        <f>IF($BP$2&gt;=1,MID($CP$2,1,IFERROR(FIND("~",SUBSTITUTE($CP$2,"/","~",1))-1,LEN($CP$2))),"0")*1</f>
        <v>0</v>
      </c>
      <c r="CR2" s="281">
        <f>IF($BP$2&gt;=2,MID($CP$2,FIND("~",SUBSTITUTE($CP$2,"/","~",1))+1,IFERROR(FIND("~",SUBSTITUTE($CP$2,"/","~",2))-1,LEN($CP$2))- FIND("~",SUBSTITUTE($CP$2,"/","~",1))),"0")*1</f>
        <v>0</v>
      </c>
      <c r="CS2" s="281">
        <f>IF($BP$2&gt;=3,MID($CP$2,FIND("~",SUBSTITUTE($CP$2,"/","~",2))+1,IFERROR(FIND("~",SUBSTITUTE($CP$2,"/","~",3))-1,LEN($CP$2))- FIND("~",SUBSTITUTE($CP$2,"/","~",2))),"0")*1</f>
        <v>0</v>
      </c>
      <c r="CT2" s="281">
        <f>IF($BP$2&gt;=4,MID($CP$2,FIND("~",SUBSTITUTE($CP$2,"/","~",3))+1,IFERROR(FIND("~",SUBSTITUTE($CP$2,"/","~",4))-1,LEN($CP$2))- FIND("~",SUBSTITUTE($CP$2,"/","~",3))),"0")*1</f>
        <v>0</v>
      </c>
      <c r="CU2" s="281" t="str">
        <f>IF($I$2&gt;=1,MID($R$2,1,IFERROR(FIND("~",SUBSTITUTE($R$2,";","~",1))-1,LEN($R$2))),"")</f>
        <v>20W/20W/20W</v>
      </c>
      <c r="CV2" s="281">
        <f>SUBSTITUTE(IF($BK$2&gt;=1,MID($CU$2,1,IFERROR(FIND("~",SUBSTITUTE($CU$2,"/","~",1))-1,LEN($CU$2))),"0"),"W","")*1</f>
        <v>20</v>
      </c>
      <c r="CW2" s="281">
        <f>SUBSTITUTE(IF($BK$2&gt;=2,MID($CU$2,FIND("~",SUBSTITUTE($CU$2,"/","~",1))+1,IFERROR(FIND("~",SUBSTITUTE($CU$2,"/","~",2))-1,LEN($CU$2))- FIND("~",SUBSTITUTE($CU$2,"/","~",1))),"0"),"W","")*1</f>
        <v>20</v>
      </c>
      <c r="CX2" s="281">
        <f>SUBSTITUTE(IF($BK$2&gt;=3,MID($CU$2,FIND("~",SUBSTITUTE($CU$2,"/","~",2))+1,IFERROR(FIND("~",SUBSTITUTE($CU$2,"/","~",3))-1,LEN($CU$2))- FIND("~",SUBSTITUTE($CU$2,"/","~",2))),"0"),"W","")*1</f>
        <v>20</v>
      </c>
      <c r="CY2" s="281">
        <f>SUBSTITUTE(IF($BK$2&gt;=4,MID($CU$2,FIND("~",SUBSTITUTE($CU$2,"/","~",3))+1,IFERROR(FIND("~",SUBSTITUTE($CU$2,"/","~",4))-1,LEN($CU$2))- FIND("~",SUBSTITUTE($CU$2,"/","~",3))),"0"),"W","")*1</f>
        <v>0</v>
      </c>
      <c r="CZ2" s="281" t="str">
        <f>ConcateMultiple($CV$2:$CY$2,"W/",$BK$2)</f>
        <v>20W/20W/20W</v>
      </c>
      <c r="DA2" s="281" t="str">
        <f>IF($I$2&gt;=2,MID($R$2,FIND("~",SUBSTITUTE($R$2,";","~",1))+1,IFERROR(FIND("~",SUBSTITUTE($R$2,";","~",2))-1,LEN($R$2))- FIND("~",SUBSTITUTE($R$2,";","~",1))),"")</f>
        <v>60W/60W/60W</v>
      </c>
      <c r="DB2" s="281">
        <f>SUBSTITUTE(IF($BL$2&gt;=1,MID($DA$2,1,IFERROR(FIND("~",SUBSTITUTE($DA$2,"/","~",1))-1,LEN($DA$2))),"0"),"W","")*1</f>
        <v>60</v>
      </c>
      <c r="DC2" s="281">
        <f>SUBSTITUTE(IF($BL$2&gt;=2,MID($DA$2,FIND("~",SUBSTITUTE($DA$2,"/","~",1))+1,IFERROR(FIND("~",SUBSTITUTE($DA$2,"/","~",2))-1,LEN($DA$2))- FIND("~",SUBSTITUTE($DA$2,"/","~",1))),"0"),"W","")*1*1</f>
        <v>60</v>
      </c>
      <c r="DD2" s="281">
        <f>SUBSTITUTE(IF($BL$2&gt;=3,MID($DA$2,FIND("~",SUBSTITUTE($DA$2,"/","~",2))+1,IFERROR(FIND("~",SUBSTITUTE($DA$2,"/","~",3))-1,LEN($DA$2))- FIND("~",SUBSTITUTE($DA$2,"/","~",2))),"0"),"W","")*1*1</f>
        <v>60</v>
      </c>
      <c r="DE2" s="281">
        <f>SUBSTITUTE(IF($BL$2&gt;=4,MID($DA$2,FIND("~",SUBSTITUTE($DA$2,"/","~",3))+1,IFERROR(FIND("~",SUBSTITUTE($DA$2,"/","~",4))-1,LEN($DA$2))- FIND("~",SUBSTITUTE($DA$2,"/","~",3))),"0"),"W","")*1*1</f>
        <v>0</v>
      </c>
      <c r="DF2" s="281" t="str">
        <f>ConcateMultiple($DB$2:$DE$2,"W/",$BL$2)</f>
        <v>60W/60W/60W</v>
      </c>
      <c r="DG2" s="281" t="str">
        <f>IF($I$2&gt;=3,MID($R$2,FIND("~",SUBSTITUTE($R$2,";","~",2))+1,IFERROR(FIND("~",SUBSTITUTE($R$2,";","~",3))-1,LEN($R$2))- FIND("~",SUBSTITUTE($R$2,";","~",2))),"")</f>
        <v>160W/160W/160W</v>
      </c>
      <c r="DH2" s="281">
        <f>SUBSTITUTE(IF($BM$2&gt;=1,MID($DG$2,1,IFERROR(FIND("~",SUBSTITUTE($DG$2,"/","~",1))-1,LEN($DG$2))),"0"),"W","")*1</f>
        <v>160</v>
      </c>
      <c r="DI2" s="281">
        <f>SUBSTITUTE(IF($BM$2&gt;=2,MID($DG$2,FIND("~",SUBSTITUTE($DG$2,"/","~",1))+1,IFERROR(FIND("~",SUBSTITUTE($DG$2,"/","~",2))-1,LEN($DG$2))- FIND("~",SUBSTITUTE($DG$2,"/","~",1))),"0"),"W","")*1</f>
        <v>160</v>
      </c>
      <c r="DJ2" s="281">
        <f>SUBSTITUTE(IF($BM$2&gt;=3,MID($DG$2,FIND("~",SUBSTITUTE($DG$2,"/","~",2))+1,IFERROR(FIND("~",SUBSTITUTE($DG$2,"/","~",3))-1,LEN($DG$2))- FIND("~",SUBSTITUTE($DG$2,"/","~",2))),"0"),"W","")*1</f>
        <v>160</v>
      </c>
      <c r="DK2" s="281">
        <f>SUBSTITUTE(IF($BM$2&gt;=4,MID($DG$2,FIND("~",SUBSTITUTE($DG$2,"/","~",3))+1,IFERROR(FIND("~",SUBSTITUTE($DG$2,"/","~",4))-1,LEN($DG$2))- FIND("~",SUBSTITUTE($DG$2,"/","~",3))),"0"),"W","")*1*1</f>
        <v>0</v>
      </c>
      <c r="DL2" s="281" t="str">
        <f>ConcateMultiple($DH$2:$DK$2,"W/",$BM$2)</f>
        <v>160W/160W/160W</v>
      </c>
      <c r="DM2" s="281" t="str">
        <f>IF($I$2&gt;=4,MID($R$2,FIND("~",SUBSTITUTE($R$2,";","~",3))+1,IFERROR(FIND("~",SUBSTITUTE($R$2,";","~",4))-1,LEN($R$2))- FIND("~",SUBSTITUTE($R$2,";","~",3))),"")</f>
        <v/>
      </c>
      <c r="DN2" s="281">
        <f>SUBSTITUTE(IF($BN$2&gt;=1,MID($DM$2,1,IFERROR(FIND("~",SUBSTITUTE($DM$2,"/","~",1))-1,LEN($DM$2))),"0"),"W","")*1</f>
        <v>0</v>
      </c>
      <c r="DO2" s="281">
        <f>SUBSTITUTE(IF($BN$2&gt;=2,MID($DM$2,FIND("~",SUBSTITUTE($DM$2,"/","~",1))+1,IFERROR(FIND("~",SUBSTITUTE($DM$2,"/","~",2))-1,LEN($DM$2))- FIND("~",SUBSTITUTE($DM$2,"/","~",1))),"0"),"W","")*1</f>
        <v>0</v>
      </c>
      <c r="DP2" s="281">
        <f>SUBSTITUTE(IF($BN$2&gt;=3,MID($DM$2,FIND("~",SUBSTITUTE($DM$2,"/","~",2))+1,IFERROR(FIND("~",SUBSTITUTE($DM$2,"/","~",3))-1,LEN($DM$2))- FIND("~",SUBSTITUTE($DM$2,"/","~",2))),"0"),"W","")*1</f>
        <v>0</v>
      </c>
      <c r="DQ2" s="281">
        <f>SUBSTITUTE(IF($BN$2&gt;=4,MID($DM$2,FIND("~",SUBSTITUTE($DM$2,"/","~",3))+1,IFERROR(FIND("~",SUBSTITUTE($DM$2,"/","~",4))-1,LEN($DM$2))- FIND("~",SUBSTITUTE($DM$2,"/","~",3))),"0"),"W","")*1</f>
        <v>0</v>
      </c>
      <c r="DR2" s="281" t="str">
        <f>ConcateMultiple($DN$2:$DQ$2,"W/",$BN$2)</f>
        <v/>
      </c>
      <c r="DS2" s="281" t="str">
        <f>IF($I$2&gt;=5,MID($R$2,FIND("~",SUBSTITUTE($R$2,";","~",4))+1,IFERROR(FIND("~",SUBSTITUTE($R$2,";","~",5))-1,LEN($R$2))- FIND("~",SUBSTITUTE($R$2,";","~",4))),"")</f>
        <v/>
      </c>
      <c r="DT2" s="281">
        <f>SUBSTITUTE(IF($BO$2&gt;=1,MID($DS$2,1,IFERROR(FIND("~",SUBSTITUTE($DS$2,"/","~",1))-1,LEN($DS$2))),"0"),"W","")*1</f>
        <v>0</v>
      </c>
      <c r="DU2" s="281">
        <f>SUBSTITUTE(IF($BO$2&gt;=2,MID($DS$2,FIND("~",SUBSTITUTE($DS$2,"/","~",1))+1,IFERROR(FIND("~",SUBSTITUTE($DS$2,"/","~",2))-1,LEN($DS$2))- FIND("~",SUBSTITUTE($DS$2,"/","~",1))),"0"),"W","")*1</f>
        <v>0</v>
      </c>
      <c r="DV2" s="281">
        <f>SUBSTITUTE(IF($BO$2&gt;=3,MID($DS$2,FIND("~",SUBSTITUTE($DS$2,"/","~",2))+1,IFERROR(FIND("~",SUBSTITUTE($DS$2,"/","~",3))-1,LEN($DS$2))- FIND("~",SUBSTITUTE($DS$2,"/","~",2))),"0"),"W","")*1</f>
        <v>0</v>
      </c>
      <c r="DW2" s="281">
        <f>SUBSTITUTE(IF($BO$2&gt;=4,MID($DS$2,FIND("~",SUBSTITUTE($DS$2,"/","~",3))+1,IFERROR(FIND("~",SUBSTITUTE($DS$2,"/","~",4))-1,LEN($DS$2))- FIND("~",SUBSTITUTE($DS$2,"/","~",3))),"0"),"W","")*1</f>
        <v>0</v>
      </c>
      <c r="DX2" s="281" t="str">
        <f>ConcateMultiple($DT$2:$DW$2,"W/",$BO$2)</f>
        <v/>
      </c>
      <c r="DY2" s="281" t="str">
        <f>IF($I$2&gt;=6,MID($R$2,FIND("~",SUBSTITUTE($R$2,";","~",5))+1,IFERROR(FIND("~",SUBSTITUTE($R$2,";","~",6))-1,LEN($R$2))- FIND("~",SUBSTITUTE($R$2,";","~",5))),"")</f>
        <v/>
      </c>
      <c r="DZ2" s="281">
        <f>SUBSTITUTE(IF($BP$2&gt;=1,MID($DY$2,1,IFERROR(FIND("~",SUBSTITUTE($DY$2,"/","~",1))-1,LEN($DY$2))),"0"),"W","")*1</f>
        <v>0</v>
      </c>
      <c r="EA2" s="281">
        <f>SUBSTITUTE(IF($BP$2&gt;=2,MID($DY$2,FIND("~",SUBSTITUTE($DY$2,"/","~",1))+1,IFERROR(FIND("~",SUBSTITUTE($DY$2,"/","~",2))-1,LEN($DY$2))- FIND("~",SUBSTITUTE($DY$2,"/","~",1))),"0"),"W","")*1</f>
        <v>0</v>
      </c>
      <c r="EB2" s="281">
        <f>SUBSTITUTE(IF($BP$2&gt;=3,MID($DY$2,FIND("~",SUBSTITUTE($DY$2,"/","~",2))+1,IFERROR(FIND("~",SUBSTITUTE($DY$2,"/","~",3))-1,LEN($DY$2))- FIND("~",SUBSTITUTE($DY$2,"/","~",2))),"0"),"W","")*1</f>
        <v>0</v>
      </c>
      <c r="EC2" s="281">
        <f>SUBSTITUTE(IF($BP$2&gt;=4,MID($DY$2,FIND("~",SUBSTITUTE($DY$2,"/","~",3))+1,IFERROR(FIND("~",SUBSTITUTE($DY$2,"/","~",4))-1,LEN($DY$2))- FIND("~",SUBSTITUTE($DY$2,"/","~",3))),"0"),"W","")*1</f>
        <v>0</v>
      </c>
      <c r="ED2" s="281" t="str">
        <f>ConcateMultiple($DZ$2:$EC$2,"W/",$BP$2)</f>
        <v/>
      </c>
      <c r="EE2" s="281" t="str">
        <f>TRIM(IF($I$2&gt;=1,MID($S$2,1,IFERROR(FIND("~",SUBSTITUTE($S$2,";","~",1))-1,LEN($S$2))),""))</f>
        <v>G900</v>
      </c>
      <c r="EF2" s="281" t="str">
        <f>TRIM(IF($I$2&gt;=2,MID($S$2,FIND("~",SUBSTITUTE($S$2,";","~",1))+1,IFERROR(FIND("~",SUBSTITUTE($S$2,";","~",2))-1,LEN($S$2))- FIND("~",SUBSTITUTE($S$2,";","~",1))),""))</f>
        <v>U2100</v>
      </c>
      <c r="EG2" s="281" t="str">
        <f>TRIM(IF($I$2&gt;=3,MID($S$2,FIND("~",SUBSTITUTE($S$2,";","~",2))+1,IFERROR(FIND("~",SUBSTITUTE($S$2,";","~",3))-1,LEN($S$2))- FIND("~",SUBSTITUTE($S$2,";","~",2))),""))</f>
        <v>L1800</v>
      </c>
      <c r="EH2" s="281" t="str">
        <f>TRIM(IF($I$2&gt;=4,MID($S$2,FIND("~",SUBSTITUTE($S$2,";","~",3))+1,IFERROR(FIND("~",SUBSTITUTE($S$2,";","~",4))-1,LEN($S$2))- FIND("~",SUBSTITUTE($S$2,";","~",3))),""))</f>
        <v/>
      </c>
      <c r="EI2" s="281" t="str">
        <f>TRIM(IF($I$2&gt;=5,MID($S$2,FIND("~",SUBSTITUTE($S$2,";","~",4))+1,IFERROR(FIND("~",SUBSTITUTE($S$2,";","~",5))-1,LEN($S$2))- FIND("~",SUBSTITUTE($S$2,";","~",4))),""))</f>
        <v/>
      </c>
      <c r="EJ2" s="281" t="str">
        <f>TRIM(IF($I$2&gt;=6,MID($S$2,FIND("~",SUBSTITUTE($S$2,";","~",5))+1,IFERROR(FIND("~",SUBSTITUTE($S$2,";","~",6))-1,LEN($S$2))- FIND("~",SUBSTITUTE($S$2,";","~",5))),""))</f>
        <v/>
      </c>
      <c r="EK2" s="281" t="str">
        <f>TRIM(IF($I$2&gt;=1,MID($T$2,1,IFERROR(FIND("~",SUBSTITUTE($T$2,";","~",1))-1,LEN($T$2))),""))</f>
        <v>36m/ 36m/ 36m</v>
      </c>
      <c r="EL2" s="281">
        <f>SUBSTITUTE(IF($BK$2&gt;=1,MID($EK$2,1,IFERROR(FIND("~",SUBSTITUTE($EK$2,"/","~",1))-1,LEN($EK$2))),"0"),"m","")*1</f>
        <v>36</v>
      </c>
      <c r="EM2" s="281">
        <f>SUBSTITUTE(TRIM(IF($BK$2&gt;=2,MID($EK$2,FIND("~",SUBSTITUTE($EK$2,"/","~",1))+1,IFERROR(FIND("~",SUBSTITUTE($EK$2,"/","~",2))-1,LEN($EK$2))- FIND("~",SUBSTITUTE($EK$2,"/","~",1))),"0")),"m","")*1</f>
        <v>36</v>
      </c>
      <c r="EN2" s="281">
        <f>SUBSTITUTE(TRIM(IF($BK$2&gt;=3,MID($EK$2,FIND("~",SUBSTITUTE($EK$2,"/","~",2))+1,IFERROR(FIND("~",SUBSTITUTE($EK$2,"/","~",3))-1,LEN($EK$2))- FIND("~",SUBSTITUTE($EK$2,"/","~",2))),"0")),"m","")*1</f>
        <v>36</v>
      </c>
      <c r="EO2" s="281">
        <f>SUBSTITUTE(TRIM(IF($BK$2&gt;=4,MID($EK$2,FIND("~",SUBSTITUTE($EK$2,"/","~",3))+1,IFERROR(FIND("~",SUBSTITUTE($EK$2,"/","~",4))-1,LEN($EK$2))- FIND("~",SUBSTITUTE($EK$2,"/","~",3))),"0")),"m","")*1</f>
        <v>0</v>
      </c>
      <c r="EP2" s="281" t="str">
        <f>ConcateMultiple($EL$2:$EO$2,"m/",$BK$2)</f>
        <v>36m/36m/36m</v>
      </c>
      <c r="EQ2" s="281" t="str">
        <f>TRIM(IF($I$2&gt;=2,MID($T$2,FIND("~",SUBSTITUTE($T$2,";","~",1))+1,IFERROR(FIND("~",SUBSTITUTE($T$2,";","~",2))-1,LEN($T$2))- FIND("~",SUBSTITUTE($T$2,";","~",1))),""))</f>
        <v>36m/ 36m/ 36m</v>
      </c>
      <c r="ER2" s="281">
        <f>SUBSTITUTE(IF($BL$2&gt;=1,MID($EQ$2,1,IFERROR(FIND("~",SUBSTITUTE($EQ$2,"/","~",1))-1,LEN($EQ$2))),"0"),"m","")*1</f>
        <v>36</v>
      </c>
      <c r="ES2" s="281">
        <f>SUBSTITUTE(TRIM(IF($BL$2&gt;=2,MID($EQ$2,FIND("~",SUBSTITUTE($EQ$2,"/","~",1))+1,IFERROR(FIND("~",SUBSTITUTE($EQ$2,"/","~",2))-1,LEN($EQ$2))- FIND("~",SUBSTITUTE($EQ$2,"/","~",1))),"0")),"m","")*1</f>
        <v>36</v>
      </c>
      <c r="ET2" s="281">
        <f>SUBSTITUTE(TRIM(IF($BL$2&gt;=3,MID($EQ$2,FIND("~",SUBSTITUTE($EQ$2,"/","~",2))+1,IFERROR(FIND("~",SUBSTITUTE($EQ$2,"/","~",3))-1,LEN($EQ$2))- FIND("~",SUBSTITUTE($EQ$2,"/","~",2))),"0")),"m","")*1</f>
        <v>36</v>
      </c>
      <c r="EU2" s="281">
        <f>SUBSTITUTE(TRIM(IF($BL$2&gt;=4,MID($EQ$2,FIND("~",SUBSTITUTE($EQ$2,"/","~",3))+1,IFERROR(FIND("~",SUBSTITUTE($EQ$2,"/","~",4))-1,LEN($EQ$2))- FIND("~",SUBSTITUTE($EQ$2,"/","~",3))),"0")),"m","")*1</f>
        <v>0</v>
      </c>
      <c r="EV2" s="281" t="str">
        <f>ConcateMultiple($ER$2:$EU$2,"m/",$BL$2)</f>
        <v>36m/36m/36m</v>
      </c>
      <c r="EW2" s="281" t="str">
        <f>TRIM(IF($I$2&gt;=3,MID($T$2,FIND("~",SUBSTITUTE($T$2,";","~",2))+1,IFERROR(FIND("~",SUBSTITUTE($T$2,";","~",3))-1,LEN($T$2))- FIND("~",SUBSTITUTE($T$2,";","~",2))),""))</f>
        <v>36m/ 36m/ 36m</v>
      </c>
      <c r="EX2" s="281">
        <f>SUBSTITUTE(IF($BM$2&gt;=1,MID($EW$2,1,IFERROR(FIND("~",SUBSTITUTE($EW$2,"/","~",1))-1,LEN($EW$2))),"0"),"m","")*1</f>
        <v>36</v>
      </c>
      <c r="EY2" s="281">
        <f>SUBSTITUTE(TRIM(IF($BM$2&gt;=2,MID($EW$2,FIND("~",SUBSTITUTE($EW$2,"/","~",1))+1,IFERROR(FIND("~",SUBSTITUTE($EW$2,"/","~",2))-1,LEN($EW$2))- FIND("~",SUBSTITUTE($EW$2,"/","~",1))),"0")),"m","")*1</f>
        <v>36</v>
      </c>
      <c r="EZ2" s="281">
        <f>SUBSTITUTE(TRIM(IF($BM$2&gt;=3,MID($EW$2,FIND("~",SUBSTITUTE($EW$2,"/","~",2))+1,IFERROR(FIND("~",SUBSTITUTE($EW$2,"/","~",3))-1,LEN($EW$2))- FIND("~",SUBSTITUTE($EW$2,"/","~",2))),"0")),"m","")*1</f>
        <v>36</v>
      </c>
      <c r="FA2" s="281">
        <f>SUBSTITUTE(TRIM(IF($BM$2&gt;=4,MID($EW$2,FIND("~",SUBSTITUTE($EW$2,"/","~",3))+1,IFERROR(FIND("~",SUBSTITUTE($EW$2,"/","~",4))-1,LEN($EW$2))- FIND("~",SUBSTITUTE($EW$2,"/","~",3))),"0")),"m","")*1</f>
        <v>0</v>
      </c>
      <c r="FB2" s="281" t="str">
        <f>ConcateMultiple($EX$2:$FA$2,"m/",$BM$2)</f>
        <v>36m/36m/36m</v>
      </c>
      <c r="FC2" s="281" t="str">
        <f>TRIM(IF($I$2&gt;=4,MID($T$2,FIND("~",SUBSTITUTE($T$2,";","~",3))+1,IFERROR(FIND("~",SUBSTITUTE($T$2,";","~",4))-1,LEN($T$2))- FIND("~",SUBSTITUTE($T$2,";","~",3))),""))</f>
        <v/>
      </c>
      <c r="FD2" s="281">
        <f>SUBSTITUTE(IF($BN$2&gt;=1,MID($FC$2,1,IFERROR(FIND("~",SUBSTITUTE($FC$2,"/","~",1))-1,LEN($FC$2))),"0"),"m","")*1</f>
        <v>0</v>
      </c>
      <c r="FE2" s="281">
        <f>SUBSTITUTE(TRIM(IF($BN$2&gt;=2,MID($FC$2,FIND("~",SUBSTITUTE($FC$2,"/","~",1))+1,IFERROR(FIND("~",SUBSTITUTE($FC$2,"/","~",2))-1,LEN($FC$2))- FIND("~",SUBSTITUTE($FC$2,"/","~",1))),"0")),"m","")*1</f>
        <v>0</v>
      </c>
      <c r="FF2" s="281">
        <f>SUBSTITUTE(TRIM(IF($BN$2&gt;=3,MID($FC$2,FIND("~",SUBSTITUTE($FC$2,"/","~",2))+1,IFERROR(FIND("~",SUBSTITUTE($FC$2,"/","~",3))-1,LEN($FC$2))- FIND("~",SUBSTITUTE($FC$2,"/","~",2))),"0")),"m","")*1</f>
        <v>0</v>
      </c>
      <c r="FG2" s="281">
        <f>SUBSTITUTE(TRIM(IF($BN$2&gt;=4,MID($FC$2,FIND("~",SUBSTITUTE($FC$2,"/","~",3))+1,IFERROR(FIND("~",SUBSTITUTE($FC$2,"/","~",4))-1,LEN($FC$2))- FIND("~",SUBSTITUTE($FC$2,"/","~",3))),"0")),"m","")*1</f>
        <v>0</v>
      </c>
      <c r="FH2" s="281" t="str">
        <f>ConcateMultiple($FD$2:$FG$2,"m/",$BN$2)</f>
        <v/>
      </c>
      <c r="FI2" s="281" t="str">
        <f>TRIM(IF($I$2&gt;=5,MID($T$2,FIND("~",SUBSTITUTE($T$2,";","~",4))+1,IFERROR(FIND("~",SUBSTITUTE($T$2,";","~",5))-1,LEN($T$2))- FIND("~",SUBSTITUTE($T$2,";","~",4))),""))</f>
        <v/>
      </c>
      <c r="FJ2" s="281">
        <f>SUBSTITUTE(IF($BO$2&gt;=1,MID($FI$2,1,IFERROR(FIND("~",SUBSTITUTE($FI$2,"/","~",1))-1,LEN($FI$2))),"0"),"m","")*1</f>
        <v>0</v>
      </c>
      <c r="FK2" s="281">
        <f>SUBSTITUTE(TRIM(IF($BO$2&gt;=2,MID($FI$2,FIND("~",SUBSTITUTE($FI$2,"/","~",1))+1,IFERROR(FIND("~",SUBSTITUTE($FI$2,"/","~",2))-1,LEN($FI$2))- FIND("~",SUBSTITUTE($FI$2,"/","~",1))),"0")),"m","")*1</f>
        <v>0</v>
      </c>
      <c r="FL2" s="281">
        <f>SUBSTITUTE(TRIM(IF($BO$2&gt;=3,MID($FI$2,FIND("~",SUBSTITUTE($FI$2,"/","~",2))+1,IFERROR(FIND("~",SUBSTITUTE($FI$2,"/","~",3))-1,LEN($FI$2))- FIND("~",SUBSTITUTE($FI$2,"/","~",2))),"0")),"m","")*1</f>
        <v>0</v>
      </c>
      <c r="FM2" s="281">
        <f>SUBSTITUTE(TRIM(IF($BO$2&gt;=4,MID($FI$2,FIND("~",SUBSTITUTE($FI$2,"/","~",3))+1,IFERROR(FIND("~",SUBSTITUTE($FI$2,"/","~",4))-1,LEN($FI$2))- FIND("~",SUBSTITUTE($FI$2,"/","~",3))),"0")),"m","")*1</f>
        <v>0</v>
      </c>
      <c r="FN2" s="281" t="str">
        <f>ConcateMultiple($FJ$2:$FM$2,"m/",$BO$2)</f>
        <v/>
      </c>
      <c r="FO2" s="281" t="str">
        <f>TRIM(IF($I$2&gt;=6,MID($T$2,FIND("~",SUBSTITUTE($T$2,";","~",5))+1,IFERROR(FIND("~",SUBSTITUTE($T$2,";","~",6))-1,LEN($T$2))- FIND("~",SUBSTITUTE($T$2,";","~",5))),""))</f>
        <v/>
      </c>
      <c r="FP2" s="281">
        <f>SUBSTITUTE(IF($BP$2&gt;=1,MID($FO$2,1,IFERROR(FIND("~",SUBSTITUTE($FO$2,"/","~",1))-1,LEN($FO$2))),"0"),"m","")*1</f>
        <v>0</v>
      </c>
      <c r="FQ2" s="281">
        <f>SUBSTITUTE(TRIM(IF($BP$2&gt;=2,MID($FO$2,FIND("~",SUBSTITUTE($FO$2,"/","~",1))+1,IFERROR(FIND("~",SUBSTITUTE($FO$2,"/","~",2))-1,LEN($FO$2))- FIND("~",SUBSTITUTE($FO$2,"/","~",1))),"0")),"m","")*1</f>
        <v>0</v>
      </c>
      <c r="FR2" s="281">
        <f>SUBSTITUTE(TRIM(IF($BP$2&gt;=3,MID($FO$2,FIND("~",SUBSTITUTE($FO$2,"/","~",2))+1,IFERROR(FIND("~",SUBSTITUTE($FO$2,"/","~",3))-1,LEN($FO$2))- FIND("~",SUBSTITUTE($FO$2,"/","~",2))),"0")),"m","")*1</f>
        <v>0</v>
      </c>
      <c r="FS2" s="281">
        <f>SUBSTITUTE(TRIM(IF($BP$2&gt;=4,MID($FO$2,FIND("~",SUBSTITUTE($FO$2,"/","~",3))+1,IFERROR(FIND("~",SUBSTITUTE($FO$2,"/","~",4))-1,LEN($FO$2))- FIND("~",SUBSTITUTE($FO$2,"/","~",3))),"0")),"m","")*1</f>
        <v>0</v>
      </c>
      <c r="FT2" s="281" t="str">
        <f>ConcateMultiple($FP$2:$FS$2,"m/",$BP$2)</f>
        <v/>
      </c>
      <c r="FU2" s="281" t="str">
        <f>INDEX(LabNameList,MATCH($AF$2,LabIDList,0))</f>
        <v>Trung tâm Kiểm định và Chứng nhận 2</v>
      </c>
      <c r="FV2" s="281">
        <f>MinMultiple($EL$2:$EO$2,$BK$2)</f>
        <v>36</v>
      </c>
      <c r="FW2" s="281">
        <f>MinMultiple($ER$2:$EU$2,$BL$2)</f>
        <v>36</v>
      </c>
      <c r="FX2" s="281">
        <f>MinMultiple($EX$2:$FA$2,$BM$2)</f>
        <v>36</v>
      </c>
      <c r="FY2" s="281">
        <f>MinMultiple($FD$2:$FG$2,$BN$2)</f>
        <v>0</v>
      </c>
      <c r="FZ2" s="281">
        <f>MinMultiple($FJ$2:$FM$2,$BO$2)</f>
        <v>0</v>
      </c>
      <c r="GA2" s="281">
        <f>MinMultiple($FP$2:$FS$2,$BP$2)</f>
        <v>0</v>
      </c>
      <c r="GB2" s="288">
        <f>MinMultiple($FV$2:$GA$2,$I$2)</f>
        <v>36</v>
      </c>
      <c r="GC2" s="288">
        <f>$GB$2-$AA$2</f>
        <v>12</v>
      </c>
      <c r="GD2" s="281"/>
      <c r="GE2" s="281"/>
      <c r="GF2" s="281"/>
      <c r="GG2" s="281"/>
    </row>
  </sheetData>
  <autoFilter ref="A1:AD1"/>
  <conditionalFormatting sqref="W3:X1048576">
    <cfRule type="containsText" dxfId="21" priority="4" operator="containsText" text="no">
      <formula>NOT(ISERROR(SEARCH("no",W3)))</formula>
    </cfRule>
  </conditionalFormatting>
  <conditionalFormatting sqref="X1 AC1">
    <cfRule type="containsText" dxfId="20" priority="2" operator="containsText" text="no">
      <formula>NOT(ISERROR(SEARCH("no",X1)))</formula>
    </cfRule>
  </conditionalFormatting>
  <conditionalFormatting sqref="GH1:XFD1 A1:AD1 AF1:GC1 A2:XFD1048576">
    <cfRule type="containsErrors" dxfId="19" priority="1">
      <formula>ISERROR(A1)</formula>
    </cfRule>
  </conditionalFormatting>
  <pageMargins left="0.27" right="0.28999999999999998" top="0.74803149606299213" bottom="0.74803149606299213" header="0.31496062992125984" footer="0.31496062992125984"/>
  <pageSetup paperSize="9" orientation="landscape"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HB10"/>
  <sheetViews>
    <sheetView topLeftCell="E1" zoomScale="85" zoomScaleNormal="85" workbookViewId="0">
      <selection activeCell="I1" sqref="I1"/>
    </sheetView>
  </sheetViews>
  <sheetFormatPr defaultColWidth="9.140625" defaultRowHeight="12.75"/>
  <cols>
    <col min="1" max="1" width="5" style="3" bestFit="1" customWidth="1"/>
    <col min="2" max="2" width="17.140625" style="174" bestFit="1" customWidth="1"/>
    <col min="3" max="3" width="16.7109375" style="3" bestFit="1" customWidth="1"/>
    <col min="4" max="4" width="16" style="3" customWidth="1"/>
    <col min="5" max="5" width="54.140625" style="3" customWidth="1"/>
    <col min="6" max="6" width="16.5703125" style="3" customWidth="1"/>
    <col min="7" max="7" width="13.5703125" style="3" bestFit="1" customWidth="1"/>
    <col min="8" max="8" width="12.28515625" style="4" bestFit="1" customWidth="1"/>
    <col min="9" max="9" width="10.5703125" style="183" customWidth="1"/>
    <col min="10" max="10" width="23.140625" style="4" customWidth="1"/>
    <col min="11" max="12" width="11.28515625" style="285" bestFit="1" customWidth="1"/>
    <col min="13" max="13" width="33.28515625" style="4" customWidth="1"/>
    <col min="14" max="15" width="15.28515625" style="4" customWidth="1"/>
    <col min="16" max="16" width="9.140625" style="4"/>
    <col min="17" max="17" width="15.42578125" style="4" bestFit="1" customWidth="1"/>
    <col min="18" max="18" width="42.140625" style="4" customWidth="1"/>
    <col min="19" max="19" width="27.28515625" style="4" customWidth="1"/>
    <col min="20" max="20" width="14.28515625" style="4" customWidth="1"/>
    <col min="21" max="21" width="7.7109375" style="4" customWidth="1"/>
    <col min="22" max="22" width="20.42578125" style="4" customWidth="1"/>
    <col min="23" max="24" width="10.5703125" style="4" customWidth="1"/>
    <col min="25" max="29" width="13" style="4" customWidth="1"/>
    <col min="30" max="30" width="32.28515625" style="4" customWidth="1"/>
    <col min="31" max="34" width="15.140625" style="4" customWidth="1"/>
    <col min="35" max="52" width="14.140625" style="4" customWidth="1"/>
    <col min="53" max="53" width="10.7109375" style="4" customWidth="1"/>
    <col min="54" max="54" width="24.7109375" style="4" customWidth="1"/>
    <col min="55" max="55" width="4.7109375" style="4" customWidth="1"/>
    <col min="56" max="56" width="15.42578125" style="4" bestFit="1" customWidth="1"/>
    <col min="57" max="57" width="15.85546875" style="4" customWidth="1"/>
    <col min="58" max="58" width="9.140625" style="3"/>
    <col min="59" max="197" width="9.140625" style="4"/>
    <col min="198" max="198" width="9.5703125" style="4" bestFit="1" customWidth="1"/>
    <col min="199" max="204" width="9.140625" style="4"/>
    <col min="205" max="206" width="13" style="4" customWidth="1"/>
    <col min="207" max="16384" width="9.140625" style="4"/>
  </cols>
  <sheetData>
    <row r="1" spans="1:210" s="3" customFormat="1" ht="63">
      <c r="A1" s="290" t="s">
        <v>248</v>
      </c>
      <c r="B1" s="290" t="s">
        <v>1611</v>
      </c>
      <c r="C1" s="290" t="s">
        <v>1605</v>
      </c>
      <c r="D1" s="290" t="s">
        <v>1524</v>
      </c>
      <c r="E1" s="290" t="s">
        <v>1516</v>
      </c>
      <c r="F1" s="290" t="s">
        <v>1518</v>
      </c>
      <c r="G1" s="290" t="s">
        <v>1519</v>
      </c>
      <c r="H1" s="291" t="s">
        <v>1520</v>
      </c>
      <c r="I1" s="291" t="s">
        <v>1521</v>
      </c>
      <c r="J1" s="291" t="s">
        <v>1522</v>
      </c>
      <c r="K1" s="292" t="s">
        <v>1523</v>
      </c>
      <c r="L1" s="292" t="s">
        <v>1547</v>
      </c>
      <c r="M1" s="291" t="s">
        <v>1533</v>
      </c>
      <c r="N1" s="291" t="s">
        <v>1534</v>
      </c>
      <c r="O1" s="291" t="s">
        <v>1535</v>
      </c>
      <c r="P1" s="291" t="s">
        <v>1536</v>
      </c>
      <c r="Q1" s="291" t="s">
        <v>1537</v>
      </c>
      <c r="R1" s="291" t="s">
        <v>1538</v>
      </c>
      <c r="S1" s="291" t="s">
        <v>1539</v>
      </c>
      <c r="T1" s="291" t="s">
        <v>1540</v>
      </c>
      <c r="U1" s="291" t="s">
        <v>1526</v>
      </c>
      <c r="V1" s="291" t="s">
        <v>1541</v>
      </c>
      <c r="W1" s="145" t="s">
        <v>1552</v>
      </c>
      <c r="X1" s="145" t="s">
        <v>1549</v>
      </c>
      <c r="Y1" s="145" t="s">
        <v>1848</v>
      </c>
      <c r="Z1" s="145" t="s">
        <v>1550</v>
      </c>
      <c r="AA1" s="293" t="s">
        <v>1543</v>
      </c>
      <c r="AB1" s="145" t="s">
        <v>1544</v>
      </c>
      <c r="AC1" s="145" t="s">
        <v>1548</v>
      </c>
      <c r="AD1" s="294" t="s">
        <v>1546</v>
      </c>
      <c r="AE1" s="17" t="s">
        <v>1711</v>
      </c>
      <c r="AF1" s="17" t="s">
        <v>1876</v>
      </c>
      <c r="AG1" s="18" t="s">
        <v>30</v>
      </c>
      <c r="AH1" s="17" t="s">
        <v>31</v>
      </c>
      <c r="AI1" s="17" t="s">
        <v>1712</v>
      </c>
      <c r="AJ1" s="17" t="s">
        <v>1713</v>
      </c>
      <c r="AK1" s="17" t="s">
        <v>1874</v>
      </c>
      <c r="AL1" s="17" t="s">
        <v>1875</v>
      </c>
      <c r="AM1" s="24" t="s">
        <v>63</v>
      </c>
      <c r="AN1" s="24" t="s">
        <v>179</v>
      </c>
      <c r="AO1" s="306" t="s">
        <v>54</v>
      </c>
      <c r="AP1" s="306" t="s">
        <v>55</v>
      </c>
      <c r="AQ1" s="306" t="s">
        <v>56</v>
      </c>
      <c r="AR1" s="306" t="s">
        <v>57</v>
      </c>
      <c r="AS1" s="306" t="s">
        <v>58</v>
      </c>
      <c r="AT1" s="306" t="s">
        <v>59</v>
      </c>
      <c r="AU1" s="306" t="s">
        <v>60</v>
      </c>
      <c r="AV1" s="306" t="s">
        <v>1877</v>
      </c>
      <c r="AW1" s="306" t="s">
        <v>1878</v>
      </c>
      <c r="AX1" s="306" t="s">
        <v>175</v>
      </c>
      <c r="AY1" s="306" t="s">
        <v>190</v>
      </c>
      <c r="AZ1" s="1" t="s">
        <v>1715</v>
      </c>
      <c r="BA1" s="290" t="s">
        <v>1532</v>
      </c>
      <c r="BB1" s="290" t="s">
        <v>1554</v>
      </c>
      <c r="BC1" s="295"/>
      <c r="BD1" s="296" t="s">
        <v>1517</v>
      </c>
      <c r="BE1" s="296" t="s">
        <v>1515</v>
      </c>
      <c r="BF1" s="297" t="s">
        <v>1525</v>
      </c>
      <c r="BG1" s="298" t="s">
        <v>1744</v>
      </c>
      <c r="BH1" s="298" t="s">
        <v>1745</v>
      </c>
      <c r="BI1" s="298" t="s">
        <v>1746</v>
      </c>
      <c r="BJ1" s="298" t="s">
        <v>1747</v>
      </c>
      <c r="BK1" s="298" t="s">
        <v>1748</v>
      </c>
      <c r="BL1" s="298" t="s">
        <v>1754</v>
      </c>
      <c r="BM1" s="297" t="s">
        <v>1749</v>
      </c>
      <c r="BN1" s="297" t="s">
        <v>1750</v>
      </c>
      <c r="BO1" s="297" t="s">
        <v>1751</v>
      </c>
      <c r="BP1" s="297" t="s">
        <v>1752</v>
      </c>
      <c r="BQ1" s="297" t="s">
        <v>1753</v>
      </c>
      <c r="BR1" s="297" t="s">
        <v>1755</v>
      </c>
      <c r="BS1" s="298" t="s">
        <v>1714</v>
      </c>
      <c r="BT1" s="297" t="s">
        <v>1756</v>
      </c>
      <c r="BU1" s="297" t="s">
        <v>1757</v>
      </c>
      <c r="BV1" s="297" t="s">
        <v>1758</v>
      </c>
      <c r="BW1" s="297" t="s">
        <v>1759</v>
      </c>
      <c r="BX1" s="297" t="s">
        <v>1760</v>
      </c>
      <c r="BY1" s="297" t="s">
        <v>1761</v>
      </c>
      <c r="BZ1" s="298" t="s">
        <v>1762</v>
      </c>
      <c r="CA1" s="298" t="s">
        <v>1763</v>
      </c>
      <c r="CB1" s="298" t="s">
        <v>1764</v>
      </c>
      <c r="CC1" s="298" t="s">
        <v>1765</v>
      </c>
      <c r="CD1" s="298" t="s">
        <v>1766</v>
      </c>
      <c r="CE1" s="298" t="s">
        <v>1767</v>
      </c>
      <c r="CF1" s="297" t="s">
        <v>1629</v>
      </c>
      <c r="CG1" s="297" t="s">
        <v>1643</v>
      </c>
      <c r="CH1" s="297" t="s">
        <v>1657</v>
      </c>
      <c r="CI1" s="297" t="s">
        <v>1671</v>
      </c>
      <c r="CJ1" s="297" t="s">
        <v>1685</v>
      </c>
      <c r="CK1" s="297" t="s">
        <v>1699</v>
      </c>
      <c r="CL1" s="298" t="s">
        <v>1633</v>
      </c>
      <c r="CM1" s="297" t="s">
        <v>1768</v>
      </c>
      <c r="CN1" s="297" t="s">
        <v>1769</v>
      </c>
      <c r="CO1" s="297" t="s">
        <v>1770</v>
      </c>
      <c r="CP1" s="297" t="s">
        <v>1771</v>
      </c>
      <c r="CQ1" s="298" t="s">
        <v>1647</v>
      </c>
      <c r="CR1" s="297" t="s">
        <v>1772</v>
      </c>
      <c r="CS1" s="297" t="s">
        <v>1773</v>
      </c>
      <c r="CT1" s="297" t="s">
        <v>1774</v>
      </c>
      <c r="CU1" s="297" t="s">
        <v>1775</v>
      </c>
      <c r="CV1" s="298" t="s">
        <v>1661</v>
      </c>
      <c r="CW1" s="297" t="s">
        <v>1776</v>
      </c>
      <c r="CX1" s="297" t="s">
        <v>1777</v>
      </c>
      <c r="CY1" s="297" t="s">
        <v>1778</v>
      </c>
      <c r="CZ1" s="297" t="s">
        <v>1779</v>
      </c>
      <c r="DA1" s="298" t="s">
        <v>1675</v>
      </c>
      <c r="DB1" s="297" t="s">
        <v>1780</v>
      </c>
      <c r="DC1" s="297" t="s">
        <v>1781</v>
      </c>
      <c r="DD1" s="297" t="s">
        <v>1782</v>
      </c>
      <c r="DE1" s="297" t="s">
        <v>1783</v>
      </c>
      <c r="DF1" s="298" t="s">
        <v>1689</v>
      </c>
      <c r="DG1" s="297" t="s">
        <v>1784</v>
      </c>
      <c r="DH1" s="297" t="s">
        <v>1785</v>
      </c>
      <c r="DI1" s="297" t="s">
        <v>1786</v>
      </c>
      <c r="DJ1" s="297" t="s">
        <v>1787</v>
      </c>
      <c r="DK1" s="298" t="s">
        <v>1703</v>
      </c>
      <c r="DL1" s="297" t="s">
        <v>1788</v>
      </c>
      <c r="DM1" s="297" t="s">
        <v>1789</v>
      </c>
      <c r="DN1" s="297" t="s">
        <v>1790</v>
      </c>
      <c r="DO1" s="297" t="s">
        <v>1791</v>
      </c>
      <c r="DP1" s="298" t="s">
        <v>1862</v>
      </c>
      <c r="DQ1" s="297" t="s">
        <v>1792</v>
      </c>
      <c r="DR1" s="297" t="s">
        <v>1793</v>
      </c>
      <c r="DS1" s="297" t="s">
        <v>1794</v>
      </c>
      <c r="DT1" s="297" t="s">
        <v>1795</v>
      </c>
      <c r="DU1" s="299" t="s">
        <v>1637</v>
      </c>
      <c r="DV1" s="298" t="s">
        <v>1863</v>
      </c>
      <c r="DW1" s="297" t="s">
        <v>1796</v>
      </c>
      <c r="DX1" s="297" t="s">
        <v>1797</v>
      </c>
      <c r="DY1" s="297" t="s">
        <v>1798</v>
      </c>
      <c r="DZ1" s="297" t="s">
        <v>1799</v>
      </c>
      <c r="EA1" s="299" t="s">
        <v>1651</v>
      </c>
      <c r="EB1" s="298" t="s">
        <v>1864</v>
      </c>
      <c r="EC1" s="297" t="s">
        <v>1800</v>
      </c>
      <c r="ED1" s="297" t="s">
        <v>1801</v>
      </c>
      <c r="EE1" s="297" t="s">
        <v>1802</v>
      </c>
      <c r="EF1" s="297" t="s">
        <v>1803</v>
      </c>
      <c r="EG1" s="299" t="s">
        <v>1665</v>
      </c>
      <c r="EH1" s="298" t="s">
        <v>1865</v>
      </c>
      <c r="EI1" s="297" t="s">
        <v>1804</v>
      </c>
      <c r="EJ1" s="297" t="s">
        <v>1805</v>
      </c>
      <c r="EK1" s="297" t="s">
        <v>1806</v>
      </c>
      <c r="EL1" s="297" t="s">
        <v>1807</v>
      </c>
      <c r="EM1" s="299" t="s">
        <v>1679</v>
      </c>
      <c r="EN1" s="298" t="s">
        <v>1866</v>
      </c>
      <c r="EO1" s="297" t="s">
        <v>1808</v>
      </c>
      <c r="EP1" s="297" t="s">
        <v>1809</v>
      </c>
      <c r="EQ1" s="297" t="s">
        <v>1810</v>
      </c>
      <c r="ER1" s="297" t="s">
        <v>1811</v>
      </c>
      <c r="ES1" s="299" t="s">
        <v>1693</v>
      </c>
      <c r="ET1" s="298" t="s">
        <v>1867</v>
      </c>
      <c r="EU1" s="297" t="s">
        <v>1812</v>
      </c>
      <c r="EV1" s="297" t="s">
        <v>1813</v>
      </c>
      <c r="EW1" s="297" t="s">
        <v>1814</v>
      </c>
      <c r="EX1" s="297" t="s">
        <v>1815</v>
      </c>
      <c r="EY1" s="299" t="s">
        <v>1707</v>
      </c>
      <c r="EZ1" s="300" t="s">
        <v>1638</v>
      </c>
      <c r="FA1" s="300" t="s">
        <v>1652</v>
      </c>
      <c r="FB1" s="300" t="s">
        <v>1666</v>
      </c>
      <c r="FC1" s="300" t="s">
        <v>1680</v>
      </c>
      <c r="FD1" s="300" t="s">
        <v>1694</v>
      </c>
      <c r="FE1" s="300" t="s">
        <v>1708</v>
      </c>
      <c r="FF1" s="298" t="s">
        <v>1868</v>
      </c>
      <c r="FG1" s="297" t="s">
        <v>1817</v>
      </c>
      <c r="FH1" s="297" t="s">
        <v>1818</v>
      </c>
      <c r="FI1" s="297" t="s">
        <v>1819</v>
      </c>
      <c r="FJ1" s="297" t="s">
        <v>1820</v>
      </c>
      <c r="FK1" s="299" t="s">
        <v>1816</v>
      </c>
      <c r="FL1" s="298" t="s">
        <v>1869</v>
      </c>
      <c r="FM1" s="297" t="s">
        <v>1822</v>
      </c>
      <c r="FN1" s="297" t="s">
        <v>1823</v>
      </c>
      <c r="FO1" s="297" t="s">
        <v>1824</v>
      </c>
      <c r="FP1" s="297" t="s">
        <v>1825</v>
      </c>
      <c r="FQ1" s="299" t="s">
        <v>1821</v>
      </c>
      <c r="FR1" s="298" t="s">
        <v>1870</v>
      </c>
      <c r="FS1" s="297" t="s">
        <v>1827</v>
      </c>
      <c r="FT1" s="297" t="s">
        <v>1828</v>
      </c>
      <c r="FU1" s="297" t="s">
        <v>1829</v>
      </c>
      <c r="FV1" s="297" t="s">
        <v>1830</v>
      </c>
      <c r="FW1" s="299" t="s">
        <v>1826</v>
      </c>
      <c r="FX1" s="298" t="s">
        <v>1871</v>
      </c>
      <c r="FY1" s="297" t="s">
        <v>1832</v>
      </c>
      <c r="FZ1" s="297" t="s">
        <v>1833</v>
      </c>
      <c r="GA1" s="297" t="s">
        <v>1834</v>
      </c>
      <c r="GB1" s="297" t="s">
        <v>1835</v>
      </c>
      <c r="GC1" s="299" t="s">
        <v>1831</v>
      </c>
      <c r="GD1" s="298" t="s">
        <v>1872</v>
      </c>
      <c r="GE1" s="297" t="s">
        <v>1837</v>
      </c>
      <c r="GF1" s="297" t="s">
        <v>1838</v>
      </c>
      <c r="GG1" s="297" t="s">
        <v>1839</v>
      </c>
      <c r="GH1" s="297" t="s">
        <v>1840</v>
      </c>
      <c r="GI1" s="299" t="s">
        <v>1836</v>
      </c>
      <c r="GJ1" s="298" t="s">
        <v>1873</v>
      </c>
      <c r="GK1" s="297" t="s">
        <v>1842</v>
      </c>
      <c r="GL1" s="297" t="s">
        <v>1843</v>
      </c>
      <c r="GM1" s="297" t="s">
        <v>1844</v>
      </c>
      <c r="GN1" s="297" t="s">
        <v>1845</v>
      </c>
      <c r="GO1" s="299" t="s">
        <v>1841</v>
      </c>
      <c r="GP1" s="298" t="s">
        <v>1553</v>
      </c>
      <c r="GQ1" s="278" t="s">
        <v>1849</v>
      </c>
      <c r="GR1" s="278" t="s">
        <v>1850</v>
      </c>
      <c r="GS1" s="278" t="s">
        <v>1851</v>
      </c>
      <c r="GT1" s="278" t="s">
        <v>1852</v>
      </c>
      <c r="GU1" s="278" t="s">
        <v>1853</v>
      </c>
      <c r="GV1" s="278" t="s">
        <v>1854</v>
      </c>
      <c r="GW1" s="301" t="s">
        <v>1542</v>
      </c>
      <c r="GX1" s="302" t="s">
        <v>1551</v>
      </c>
      <c r="GY1" s="303" t="s">
        <v>1624</v>
      </c>
      <c r="GZ1" s="304">
        <f>Detail!GE1</f>
        <v>5</v>
      </c>
      <c r="HA1" s="303" t="s">
        <v>1625</v>
      </c>
      <c r="HB1" s="304">
        <f>Detail!GG1</f>
        <v>116</v>
      </c>
    </row>
    <row r="2" spans="1:210" s="214" customFormat="1" ht="89.25">
      <c r="A2" s="288">
        <f>Detail!A2</f>
        <v>1</v>
      </c>
      <c r="B2" s="288" t="str">
        <f>Detail!B2</f>
        <v>VNMOBILE-HCM</v>
      </c>
      <c r="C2" s="288" t="str">
        <f>Detail!C2</f>
        <v>MOBIFONE</v>
      </c>
      <c r="D2" s="288">
        <f>Detail!D2</f>
        <v>0</v>
      </c>
      <c r="E2" s="288" t="str">
        <f>Detail!E2</f>
        <v>Số 204, đường Huỳnh Văn Cù, phường Chánh Mỹ, thành phố Thủ Dầu Một, tỉnh Bình Dương.</v>
      </c>
      <c r="F2" s="288" t="str">
        <f>Detail!F2</f>
        <v>Bình Dương</v>
      </c>
      <c r="G2" s="288" t="str">
        <f>Detail!G2</f>
        <v>106,647723</v>
      </c>
      <c r="H2" s="288" t="str">
        <f>Detail!H2</f>
        <v>10,991285</v>
      </c>
      <c r="I2" s="288">
        <f>Detail!I2</f>
        <v>3</v>
      </c>
      <c r="J2" s="288" t="str">
        <f>Detail!J2</f>
        <v>K00458221018D005</v>
      </c>
      <c r="K2" s="288">
        <f>Detail!K2</f>
        <v>43423</v>
      </c>
      <c r="L2" s="288">
        <f>Detail!L2</f>
        <v>43395</v>
      </c>
      <c r="M2" s="288" t="str">
        <f>Detail!M2</f>
        <v>TỔNG CÔNG TY HẠ TẦNG MẠNG;TỔNG CÔNG TY HẠ TẦNG MẠNG;TỔNG CÔNG TY HẠ TẦNG MẠNG</v>
      </c>
      <c r="N2" s="288" t="str">
        <f>Detail!N2</f>
        <v>BDGTDM002;BDGTDM002;BDGTDM002</v>
      </c>
      <c r="O2" s="288" t="str">
        <f>Detail!O2</f>
        <v>MOTOROLA HORIZON II MACRO;ERICSSON RBS 6601;NSN FLEXI MULTIRADIO 10 (FHED)</v>
      </c>
      <c r="P2" s="288" t="str">
        <f>Detail!P2</f>
        <v>3;3;3</v>
      </c>
      <c r="Q2" s="288" t="str">
        <f>Detail!Q2</f>
        <v>4/4/4;2/2/2;1/1/1</v>
      </c>
      <c r="R2" s="288" t="str">
        <f>Detail!R2</f>
        <v>20W/20W/20W;60W/60W/60W;160W/160W/160W</v>
      </c>
      <c r="S2" s="288" t="str">
        <f>Detail!S2</f>
        <v>G900;U2100;L1800</v>
      </c>
      <c r="T2" s="288" t="str">
        <f>Detail!T2</f>
        <v>36m/ 36m/ 36m;36m/ 36m/ 36m;36m/ 36m/ 36m</v>
      </c>
      <c r="U2" s="288">
        <f>Detail!U2</f>
        <v>1</v>
      </c>
      <c r="V2" s="288" t="str">
        <f>Detail!V2</f>
        <v>FX-X-CG-00T-900;S-Wave EW/EW/EW-65-18DV2/12I-F-64K-VN;S-Wave EW/EW/EW-65-18DV2/12I-F-64K-VN</v>
      </c>
      <c r="W2" s="288" t="str">
        <f>Detail!W2</f>
        <v>Yes</v>
      </c>
      <c r="X2" s="288" t="str">
        <f>Detail!X2</f>
        <v>Có</v>
      </c>
      <c r="Y2" s="288">
        <f>Detail!Y2</f>
        <v>36</v>
      </c>
      <c r="Z2" s="288" t="str">
        <f>Detail!Z2</f>
        <v>Có</v>
      </c>
      <c r="AA2" s="288">
        <f>Detail!AA2</f>
        <v>24</v>
      </c>
      <c r="AB2" s="288" t="str">
        <f>Detail!AB2</f>
        <v/>
      </c>
      <c r="AC2" s="288">
        <f>Detail!AC2</f>
        <v>0</v>
      </c>
      <c r="AD2" s="288">
        <f>Detail!AD2</f>
        <v>0</v>
      </c>
      <c r="AE2" s="29" t="str">
        <f t="shared" ref="AE2" si="0">IF(LEN(AF2)=4,"B0"&amp;AF2&amp;AG2&amp;AH2,IF(LEN(AF2)=3,"B00"&amp;AF2&amp;AG2&amp;AH2,IF(LEN(AF2)=2,"B000"&amp;AF2&amp;AG2&amp;AH2,IF(LEN(AF2)=1,"B0000"&amp;AF2&amp;AG2&amp;AH2,"B"&amp;AF2&amp;AG2&amp;AH2))))</f>
        <v>B00410011217TG05</v>
      </c>
      <c r="AF2" s="307">
        <v>410</v>
      </c>
      <c r="AG2" s="30" t="str">
        <f>TEXT(AK2,"ddmmyy")</f>
        <v>011217</v>
      </c>
      <c r="AH2" s="29" t="s">
        <v>204</v>
      </c>
      <c r="AI2" s="30" t="str">
        <f t="shared" ref="AI2:AJ2" si="1">TEXT(AK2,"dd/mm/yyyy")</f>
        <v>01/12/2017</v>
      </c>
      <c r="AJ2" s="30" t="str">
        <f t="shared" si="1"/>
        <v>01/12/2022</v>
      </c>
      <c r="AK2" s="124" t="s">
        <v>258</v>
      </c>
      <c r="AL2" s="30">
        <f>DATE(YEAR(AK2) + 5,MONTH(AK2),DAY(AK2))</f>
        <v>44896</v>
      </c>
      <c r="AM2" s="30" t="b">
        <f>RIGHT(E2,LEN(F2)+1)=(F2&amp;".")</f>
        <v>1</v>
      </c>
      <c r="AN2" s="30" t="b">
        <f xml:space="preserve"> IF((K2-L2)&gt;120,FALSE,TRUE)</f>
        <v>1</v>
      </c>
      <c r="AO2" s="308">
        <f>IFERROR(MATCH("",$BG$2:$BL$2,0)-1,6)</f>
        <v>3</v>
      </c>
      <c r="AP2" s="113" t="str">
        <f>AO2&amp;"-"&amp;AV2</f>
        <v>3-3</v>
      </c>
      <c r="AQ2" s="113" t="str">
        <f>IF(BH2&lt;&gt;"",IF(BH2=$BG$2,"CHUNG","KHAC"),"")</f>
        <v>CHUNG</v>
      </c>
      <c r="AR2" s="113" t="str">
        <f t="shared" ref="AR2:AU2" si="2">IF(BI2&lt;&gt;"",IF(BI2=$BG$2,"CHUNG","KHAC"),"")</f>
        <v>CHUNG</v>
      </c>
      <c r="AS2" s="113" t="str">
        <f t="shared" si="2"/>
        <v/>
      </c>
      <c r="AT2" s="113" t="str">
        <f t="shared" si="2"/>
        <v/>
      </c>
      <c r="AU2" s="113" t="str">
        <f t="shared" si="2"/>
        <v/>
      </c>
      <c r="AV2" s="113">
        <f t="shared" ref="AV2" si="3">IF(COUNTIF(AQ2:AU2,"CHUNG")=0,1,COUNTIF(AQ2:AU2,"CHUNG")+1)</f>
        <v>3</v>
      </c>
      <c r="AW2" s="37">
        <f>AO2-AV2</f>
        <v>0</v>
      </c>
      <c r="AX2" s="37" t="str">
        <f>IF(AW2=0,"No","Yes")</f>
        <v>No</v>
      </c>
      <c r="AY2" s="37" t="str">
        <f t="shared" ref="AY2" si="4">IF(AW2=0,"No","Yes")</f>
        <v>No</v>
      </c>
      <c r="AZ2" s="37">
        <f>Detail!AE2</f>
        <v>0</v>
      </c>
      <c r="BA2" s="288" t="str">
        <f>Detail!AF2</f>
        <v>VCC2</v>
      </c>
      <c r="BB2" s="288">
        <f>Detail!AG2</f>
        <v>0</v>
      </c>
      <c r="BC2" s="288">
        <f>Detail!AH2</f>
        <v>0</v>
      </c>
      <c r="BD2" s="288" t="str">
        <f>Detail!AI2</f>
        <v>CHI NHÁNH VNMOBILE TẠI TPHCM</v>
      </c>
      <c r="BE2" s="288" t="str">
        <f>Detail!AJ2</f>
        <v>TỔNG CÔNG TY VIỄN THÔNG MOBIFONE</v>
      </c>
      <c r="BF2" s="288" t="str">
        <f>Detail!AK2</f>
        <v>BDG</v>
      </c>
      <c r="BG2" s="288" t="str">
        <f>Detail!AL2</f>
        <v>TỔNG CÔNG TY HẠ TẦNG MẠNG</v>
      </c>
      <c r="BH2" s="288" t="str">
        <f>Detail!AM2</f>
        <v>TỔNG CÔNG TY HẠ TẦNG MẠNG</v>
      </c>
      <c r="BI2" s="288" t="str">
        <f>Detail!AN2</f>
        <v>TỔNG CÔNG TY HẠ TẦNG MẠNG</v>
      </c>
      <c r="BJ2" s="288" t="str">
        <f>Detail!AO2</f>
        <v/>
      </c>
      <c r="BK2" s="288" t="str">
        <f>Detail!AP2</f>
        <v/>
      </c>
      <c r="BL2" s="288" t="str">
        <f>Detail!AQ2</f>
        <v/>
      </c>
      <c r="BM2" s="288" t="str">
        <f>Detail!AR2</f>
        <v>VINAPHONE</v>
      </c>
      <c r="BN2" s="288" t="str">
        <f>Detail!AS2</f>
        <v>VINAPHONE</v>
      </c>
      <c r="BO2" s="288" t="str">
        <f>Detail!AT2</f>
        <v>VINAPHONE</v>
      </c>
      <c r="BP2" s="288" t="str">
        <f>Detail!AU2</f>
        <v/>
      </c>
      <c r="BQ2" s="288" t="str">
        <f>Detail!AV2</f>
        <v/>
      </c>
      <c r="BR2" s="288" t="str">
        <f>Detail!AW2</f>
        <v/>
      </c>
      <c r="BS2" s="288" t="str">
        <f>Detail!AX2</f>
        <v>VINAPHONE;VINAPHONE;VINAPHONE</v>
      </c>
      <c r="BT2" s="288" t="str">
        <f>Detail!AY2</f>
        <v>BDGTDM002</v>
      </c>
      <c r="BU2" s="288" t="str">
        <f>Detail!AZ2</f>
        <v>BDGTDM002</v>
      </c>
      <c r="BV2" s="288" t="str">
        <f>Detail!BA2</f>
        <v>BDGTDM002</v>
      </c>
      <c r="BW2" s="288" t="str">
        <f>Detail!BB2</f>
        <v/>
      </c>
      <c r="BX2" s="288" t="str">
        <f>Detail!BC2</f>
        <v/>
      </c>
      <c r="BY2" s="288" t="str">
        <f>Detail!BD2</f>
        <v/>
      </c>
      <c r="BZ2" s="288" t="str">
        <f>Detail!BE2</f>
        <v>MOTOROLA HORIZON II MACRO</v>
      </c>
      <c r="CA2" s="288" t="str">
        <f>Detail!BF2</f>
        <v>ERICSSON RBS 6601</v>
      </c>
      <c r="CB2" s="288" t="str">
        <f>Detail!BG2</f>
        <v>NSN FLEXI MULTIRADIO 10 (FHED)</v>
      </c>
      <c r="CC2" s="288" t="str">
        <f>Detail!BH2</f>
        <v/>
      </c>
      <c r="CD2" s="288" t="str">
        <f>Detail!BI2</f>
        <v/>
      </c>
      <c r="CE2" s="288" t="str">
        <f>Detail!BJ2</f>
        <v/>
      </c>
      <c r="CF2" s="288">
        <f>Detail!BK2</f>
        <v>3</v>
      </c>
      <c r="CG2" s="288">
        <f>Detail!BL2</f>
        <v>3</v>
      </c>
      <c r="CH2" s="288">
        <f>Detail!BM2</f>
        <v>3</v>
      </c>
      <c r="CI2" s="288">
        <f>Detail!BN2</f>
        <v>0</v>
      </c>
      <c r="CJ2" s="288">
        <f>Detail!BO2</f>
        <v>0</v>
      </c>
      <c r="CK2" s="288">
        <f>Detail!BP2</f>
        <v>0</v>
      </c>
      <c r="CL2" s="288" t="str">
        <f>Detail!BQ2</f>
        <v>4/4/4</v>
      </c>
      <c r="CM2" s="288">
        <f>Detail!BR2</f>
        <v>4</v>
      </c>
      <c r="CN2" s="288">
        <f>Detail!BS2</f>
        <v>4</v>
      </c>
      <c r="CO2" s="288">
        <f>Detail!BT2</f>
        <v>4</v>
      </c>
      <c r="CP2" s="288">
        <f>Detail!BU2</f>
        <v>0</v>
      </c>
      <c r="CQ2" s="288" t="str">
        <f>Detail!BV2</f>
        <v>2/2/2</v>
      </c>
      <c r="CR2" s="288">
        <f>Detail!BW2</f>
        <v>2</v>
      </c>
      <c r="CS2" s="288">
        <f>Detail!BX2</f>
        <v>2</v>
      </c>
      <c r="CT2" s="288">
        <f>Detail!BY2</f>
        <v>2</v>
      </c>
      <c r="CU2" s="288">
        <f>Detail!BZ2</f>
        <v>0</v>
      </c>
      <c r="CV2" s="288" t="str">
        <f>Detail!CA2</f>
        <v>1/1/1</v>
      </c>
      <c r="CW2" s="288">
        <f>Detail!CB2</f>
        <v>1</v>
      </c>
      <c r="CX2" s="288">
        <f>Detail!CC2</f>
        <v>1</v>
      </c>
      <c r="CY2" s="288">
        <f>Detail!CD2</f>
        <v>1</v>
      </c>
      <c r="CZ2" s="288">
        <f>Detail!CE2</f>
        <v>0</v>
      </c>
      <c r="DA2" s="288" t="str">
        <f>Detail!CF2</f>
        <v/>
      </c>
      <c r="DB2" s="288">
        <f>Detail!CG2</f>
        <v>0</v>
      </c>
      <c r="DC2" s="288">
        <f>Detail!CH2</f>
        <v>0</v>
      </c>
      <c r="DD2" s="288">
        <f>Detail!CI2</f>
        <v>0</v>
      </c>
      <c r="DE2" s="288">
        <f>Detail!CJ2</f>
        <v>0</v>
      </c>
      <c r="DF2" s="288" t="str">
        <f>Detail!CK2</f>
        <v/>
      </c>
      <c r="DG2" s="288">
        <f>Detail!CL2</f>
        <v>0</v>
      </c>
      <c r="DH2" s="288">
        <f>Detail!CM2</f>
        <v>0</v>
      </c>
      <c r="DI2" s="288">
        <f>Detail!CN2</f>
        <v>0</v>
      </c>
      <c r="DJ2" s="288">
        <f>Detail!CO2</f>
        <v>0</v>
      </c>
      <c r="DK2" s="288" t="str">
        <f>Detail!CP2</f>
        <v/>
      </c>
      <c r="DL2" s="288">
        <f>Detail!CQ2</f>
        <v>0</v>
      </c>
      <c r="DM2" s="288">
        <f>Detail!CR2</f>
        <v>0</v>
      </c>
      <c r="DN2" s="288">
        <f>Detail!CS2</f>
        <v>0</v>
      </c>
      <c r="DO2" s="288">
        <f>Detail!CT2</f>
        <v>0</v>
      </c>
      <c r="DP2" s="288" t="str">
        <f>Detail!CU2</f>
        <v>20W/20W/20W</v>
      </c>
      <c r="DQ2" s="288">
        <f>Detail!CV2</f>
        <v>20</v>
      </c>
      <c r="DR2" s="288">
        <f>Detail!CW2</f>
        <v>20</v>
      </c>
      <c r="DS2" s="288">
        <f>Detail!CX2</f>
        <v>20</v>
      </c>
      <c r="DT2" s="288">
        <f>Detail!CY2</f>
        <v>0</v>
      </c>
      <c r="DU2" s="288" t="str">
        <f>Detail!CZ2</f>
        <v>20W/20W/20W</v>
      </c>
      <c r="DV2" s="288" t="str">
        <f>Detail!DA2</f>
        <v>60W/60W/60W</v>
      </c>
      <c r="DW2" s="288">
        <f>Detail!DB2</f>
        <v>60</v>
      </c>
      <c r="DX2" s="288">
        <f>Detail!DC2</f>
        <v>60</v>
      </c>
      <c r="DY2" s="288">
        <f>Detail!DD2</f>
        <v>60</v>
      </c>
      <c r="DZ2" s="288">
        <f>Detail!DE2</f>
        <v>0</v>
      </c>
      <c r="EA2" s="288" t="str">
        <f>Detail!DF2</f>
        <v>60W/60W/60W</v>
      </c>
      <c r="EB2" s="288" t="str">
        <f>Detail!DG2</f>
        <v>160W/160W/160W</v>
      </c>
      <c r="EC2" s="288">
        <f>Detail!DH2</f>
        <v>160</v>
      </c>
      <c r="ED2" s="288">
        <f>Detail!DI2</f>
        <v>160</v>
      </c>
      <c r="EE2" s="288">
        <f>Detail!DJ2</f>
        <v>160</v>
      </c>
      <c r="EF2" s="288">
        <f>Detail!DK2</f>
        <v>0</v>
      </c>
      <c r="EG2" s="288" t="str">
        <f>Detail!DL2</f>
        <v>160W/160W/160W</v>
      </c>
      <c r="EH2" s="288" t="str">
        <f>Detail!DM2</f>
        <v/>
      </c>
      <c r="EI2" s="288">
        <f>Detail!DN2</f>
        <v>0</v>
      </c>
      <c r="EJ2" s="288">
        <f>Detail!DO2</f>
        <v>0</v>
      </c>
      <c r="EK2" s="288">
        <f>Detail!DP2</f>
        <v>0</v>
      </c>
      <c r="EL2" s="288">
        <f>Detail!DQ2</f>
        <v>0</v>
      </c>
      <c r="EM2" s="288" t="str">
        <f>Detail!DR2</f>
        <v/>
      </c>
      <c r="EN2" s="288" t="str">
        <f>Detail!DS2</f>
        <v/>
      </c>
      <c r="EO2" s="288">
        <f>Detail!DT2</f>
        <v>0</v>
      </c>
      <c r="EP2" s="288">
        <f>Detail!DU2</f>
        <v>0</v>
      </c>
      <c r="EQ2" s="288">
        <f>Detail!DV2</f>
        <v>0</v>
      </c>
      <c r="ER2" s="288">
        <f>Detail!DW2</f>
        <v>0</v>
      </c>
      <c r="ES2" s="288" t="str">
        <f>Detail!DX2</f>
        <v/>
      </c>
      <c r="ET2" s="288" t="str">
        <f>Detail!DY2</f>
        <v/>
      </c>
      <c r="EU2" s="288">
        <f>Detail!DZ2</f>
        <v>0</v>
      </c>
      <c r="EV2" s="288">
        <f>Detail!EA2</f>
        <v>0</v>
      </c>
      <c r="EW2" s="288">
        <f>Detail!EB2</f>
        <v>0</v>
      </c>
      <c r="EX2" s="288">
        <f>Detail!EC2</f>
        <v>0</v>
      </c>
      <c r="EY2" s="288" t="str">
        <f>Detail!ED2</f>
        <v/>
      </c>
      <c r="EZ2" s="288" t="str">
        <f>Detail!EE2</f>
        <v>G900</v>
      </c>
      <c r="FA2" s="288" t="str">
        <f>Detail!EF2</f>
        <v>U2100</v>
      </c>
      <c r="FB2" s="288" t="str">
        <f>Detail!EG2</f>
        <v>L1800</v>
      </c>
      <c r="FC2" s="288" t="str">
        <f>Detail!EH2</f>
        <v/>
      </c>
      <c r="FD2" s="288" t="str">
        <f>Detail!EI2</f>
        <v/>
      </c>
      <c r="FE2" s="288" t="str">
        <f>Detail!EJ2</f>
        <v/>
      </c>
      <c r="FF2" s="288" t="str">
        <f>Detail!EK2</f>
        <v>36m/ 36m/ 36m</v>
      </c>
      <c r="FG2" s="288">
        <f>Detail!EL2</f>
        <v>36</v>
      </c>
      <c r="FH2" s="288">
        <f>Detail!EM2</f>
        <v>36</v>
      </c>
      <c r="FI2" s="288">
        <f>Detail!EN2</f>
        <v>36</v>
      </c>
      <c r="FJ2" s="288">
        <f>Detail!EO2</f>
        <v>0</v>
      </c>
      <c r="FK2" s="288" t="str">
        <f>Detail!EP2</f>
        <v>36m/36m/36m</v>
      </c>
      <c r="FL2" s="288" t="str">
        <f>Detail!EQ2</f>
        <v>36m/ 36m/ 36m</v>
      </c>
      <c r="FM2" s="288">
        <f>Detail!ER2</f>
        <v>36</v>
      </c>
      <c r="FN2" s="288">
        <f>Detail!ES2</f>
        <v>36</v>
      </c>
      <c r="FO2" s="288">
        <f>Detail!ET2</f>
        <v>36</v>
      </c>
      <c r="FP2" s="288">
        <f>Detail!EU2</f>
        <v>0</v>
      </c>
      <c r="FQ2" s="288" t="str">
        <f>Detail!EV2</f>
        <v>36m/36m/36m</v>
      </c>
      <c r="FR2" s="288" t="str">
        <f>Detail!EW2</f>
        <v>36m/ 36m/ 36m</v>
      </c>
      <c r="FS2" s="288">
        <f>Detail!EX2</f>
        <v>36</v>
      </c>
      <c r="FT2" s="288">
        <f>Detail!EY2</f>
        <v>36</v>
      </c>
      <c r="FU2" s="288">
        <f>Detail!EZ2</f>
        <v>36</v>
      </c>
      <c r="FV2" s="288">
        <f>Detail!FA2</f>
        <v>0</v>
      </c>
      <c r="FW2" s="288" t="str">
        <f>Detail!FB2</f>
        <v>36m/36m/36m</v>
      </c>
      <c r="FX2" s="288" t="str">
        <f>Detail!FC2</f>
        <v/>
      </c>
      <c r="FY2" s="288">
        <f>Detail!FD2</f>
        <v>0</v>
      </c>
      <c r="FZ2" s="288">
        <f>Detail!FE2</f>
        <v>0</v>
      </c>
      <c r="GA2" s="288">
        <f>Detail!FF2</f>
        <v>0</v>
      </c>
      <c r="GB2" s="288">
        <f>Detail!FG2</f>
        <v>0</v>
      </c>
      <c r="GC2" s="288" t="str">
        <f>Detail!FH2</f>
        <v/>
      </c>
      <c r="GD2" s="288" t="str">
        <f>Detail!FI2</f>
        <v/>
      </c>
      <c r="GE2" s="288">
        <f>Detail!FJ2</f>
        <v>0</v>
      </c>
      <c r="GF2" s="288">
        <f>Detail!FK2</f>
        <v>0</v>
      </c>
      <c r="GG2" s="288">
        <f>Detail!FL2</f>
        <v>0</v>
      </c>
      <c r="GH2" s="288">
        <f>Detail!FM2</f>
        <v>0</v>
      </c>
      <c r="GI2" s="288" t="str">
        <f>Detail!FN2</f>
        <v/>
      </c>
      <c r="GJ2" s="288" t="str">
        <f>Detail!FO2</f>
        <v/>
      </c>
      <c r="GK2" s="288">
        <f>Detail!FP2</f>
        <v>0</v>
      </c>
      <c r="GL2" s="288">
        <f>Detail!FQ2</f>
        <v>0</v>
      </c>
      <c r="GM2" s="288">
        <f>Detail!FR2</f>
        <v>0</v>
      </c>
      <c r="GN2" s="288">
        <f>Detail!FS2</f>
        <v>0</v>
      </c>
      <c r="GO2" s="288" t="str">
        <f>Detail!FT2</f>
        <v/>
      </c>
      <c r="GP2" s="288" t="str">
        <f>Detail!FU2</f>
        <v>Trung tâm Kiểm định và Chứng nhận 2</v>
      </c>
      <c r="GQ2" s="288">
        <f>Detail!FV2</f>
        <v>36</v>
      </c>
      <c r="GR2" s="288">
        <f>Detail!FW2</f>
        <v>36</v>
      </c>
      <c r="GS2" s="288">
        <f>Detail!FX2</f>
        <v>36</v>
      </c>
      <c r="GT2" s="288">
        <f>Detail!FY2</f>
        <v>0</v>
      </c>
      <c r="GU2" s="288">
        <f>Detail!FZ2</f>
        <v>0</v>
      </c>
      <c r="GV2" s="288">
        <f>Detail!GA2</f>
        <v>0</v>
      </c>
      <c r="GW2" s="288">
        <f>Detail!GB2</f>
        <v>36</v>
      </c>
      <c r="GX2" s="288">
        <f>Detail!GC2</f>
        <v>12</v>
      </c>
      <c r="GY2" s="281"/>
      <c r="GZ2" s="281"/>
      <c r="HA2" s="281"/>
      <c r="HB2" s="281"/>
    </row>
    <row r="3" spans="1:210" s="214" customFormat="1">
      <c r="A3" s="213"/>
      <c r="B3" s="213"/>
      <c r="C3" s="213"/>
      <c r="D3" s="213"/>
      <c r="E3" s="213"/>
      <c r="F3" s="213"/>
      <c r="G3" s="213"/>
      <c r="H3" s="213"/>
      <c r="I3" s="213"/>
      <c r="J3" s="213"/>
      <c r="K3" s="284"/>
      <c r="L3" s="284"/>
      <c r="M3" s="213"/>
      <c r="N3" s="213"/>
      <c r="O3" s="213"/>
      <c r="P3" s="213"/>
      <c r="Q3" s="213"/>
      <c r="R3" s="213"/>
      <c r="S3" s="213"/>
      <c r="T3" s="213"/>
      <c r="U3" s="213"/>
      <c r="V3" s="213"/>
      <c r="W3" s="213"/>
      <c r="X3" s="213"/>
      <c r="Y3" s="213"/>
      <c r="Z3" s="213"/>
      <c r="AA3" s="213"/>
      <c r="AB3" s="213"/>
      <c r="AC3" s="213"/>
      <c r="AD3" s="213"/>
      <c r="AE3" s="213"/>
      <c r="AF3" s="213"/>
      <c r="AG3" s="213"/>
      <c r="AH3" s="213"/>
      <c r="AI3" s="213"/>
      <c r="AJ3" s="213"/>
      <c r="AK3" s="213"/>
      <c r="AL3" s="213"/>
      <c r="AM3" s="213"/>
      <c r="AN3" s="213"/>
      <c r="AO3" s="213"/>
      <c r="AP3" s="213"/>
      <c r="AQ3" s="213"/>
      <c r="AR3" s="213"/>
      <c r="AS3" s="213"/>
      <c r="AT3" s="213"/>
      <c r="AU3" s="213"/>
      <c r="AV3" s="213"/>
      <c r="AW3" s="213"/>
      <c r="AX3" s="213"/>
      <c r="AY3" s="213"/>
      <c r="AZ3" s="213"/>
      <c r="BA3" s="213"/>
      <c r="BB3" s="213"/>
      <c r="BF3" s="213"/>
      <c r="GW3" s="213"/>
      <c r="GX3" s="213"/>
    </row>
    <row r="4" spans="1:210" s="214" customFormat="1">
      <c r="A4" s="213"/>
      <c r="B4" s="213"/>
      <c r="C4" s="213"/>
      <c r="D4" s="213"/>
      <c r="E4" s="213"/>
      <c r="F4" s="213"/>
      <c r="G4" s="213"/>
      <c r="H4" s="213"/>
      <c r="I4" s="213"/>
      <c r="J4" s="213"/>
      <c r="K4" s="284"/>
      <c r="L4" s="284"/>
      <c r="M4" s="213"/>
      <c r="N4" s="213"/>
      <c r="O4" s="213"/>
      <c r="P4" s="213"/>
      <c r="Q4" s="213"/>
      <c r="R4" s="213"/>
      <c r="S4" s="213"/>
      <c r="T4" s="213"/>
      <c r="U4" s="213"/>
      <c r="V4" s="213"/>
      <c r="W4" s="213"/>
      <c r="X4" s="213"/>
      <c r="Y4" s="213"/>
      <c r="Z4" s="213"/>
      <c r="AA4" s="213"/>
      <c r="AB4" s="213"/>
      <c r="AC4" s="213"/>
      <c r="AD4" s="213"/>
      <c r="AE4" s="213"/>
      <c r="AF4" s="213"/>
      <c r="AG4" s="213"/>
      <c r="AH4" s="213"/>
      <c r="AI4" s="213"/>
      <c r="AJ4" s="213"/>
      <c r="AK4" s="213"/>
      <c r="AL4" s="213"/>
      <c r="AM4" s="213"/>
      <c r="AN4" s="213"/>
      <c r="AO4" s="213"/>
      <c r="AP4" s="213"/>
      <c r="AQ4" s="213"/>
      <c r="AR4" s="213"/>
      <c r="AS4" s="213"/>
      <c r="AT4" s="213"/>
      <c r="AU4" s="213"/>
      <c r="AV4" s="213"/>
      <c r="AW4" s="213"/>
      <c r="AX4" s="213"/>
      <c r="AY4" s="213"/>
      <c r="AZ4" s="213"/>
      <c r="BA4" s="213"/>
      <c r="BB4" s="213"/>
      <c r="BF4" s="213"/>
      <c r="GW4" s="213"/>
      <c r="GX4" s="213"/>
    </row>
    <row r="5" spans="1:210" s="214" customFormat="1">
      <c r="A5" s="213"/>
      <c r="B5" s="213"/>
      <c r="C5" s="213"/>
      <c r="D5" s="213"/>
      <c r="E5" s="213"/>
      <c r="F5" s="213"/>
      <c r="G5" s="213"/>
      <c r="H5" s="213"/>
      <c r="I5" s="213"/>
      <c r="J5" s="213"/>
      <c r="K5" s="284"/>
      <c r="L5" s="284"/>
      <c r="M5" s="213"/>
      <c r="N5" s="213"/>
      <c r="O5" s="213"/>
      <c r="P5" s="213"/>
      <c r="Q5" s="213"/>
      <c r="R5" s="213"/>
      <c r="S5" s="213"/>
      <c r="T5" s="213"/>
      <c r="U5" s="213"/>
      <c r="V5" s="213"/>
      <c r="W5" s="213"/>
      <c r="X5" s="213"/>
      <c r="Y5" s="213"/>
      <c r="Z5" s="213"/>
      <c r="AA5" s="213"/>
      <c r="AB5" s="213"/>
      <c r="AC5" s="213"/>
      <c r="AD5" s="213"/>
      <c r="AE5" s="213"/>
      <c r="AF5" s="213"/>
      <c r="AG5" s="213"/>
      <c r="AH5" s="213"/>
      <c r="AI5" s="213"/>
      <c r="AJ5" s="213"/>
      <c r="AK5" s="213"/>
      <c r="AL5" s="213"/>
      <c r="AM5" s="213"/>
      <c r="AN5" s="213"/>
      <c r="AO5" s="213"/>
      <c r="AP5" s="213"/>
      <c r="AQ5" s="213"/>
      <c r="AR5" s="213"/>
      <c r="AS5" s="213"/>
      <c r="AT5" s="213"/>
      <c r="AU5" s="213"/>
      <c r="AV5" s="213"/>
      <c r="AW5" s="213"/>
      <c r="AX5" s="213"/>
      <c r="AY5" s="213"/>
      <c r="AZ5" s="213"/>
      <c r="BA5" s="213"/>
      <c r="BB5" s="213"/>
      <c r="BF5" s="213"/>
      <c r="GW5" s="213"/>
      <c r="GX5" s="213"/>
    </row>
    <row r="6" spans="1:210" s="214" customFormat="1">
      <c r="A6" s="213"/>
      <c r="B6" s="213"/>
      <c r="C6" s="213"/>
      <c r="D6" s="213"/>
      <c r="E6" s="213"/>
      <c r="F6" s="213"/>
      <c r="G6" s="213"/>
      <c r="H6" s="213"/>
      <c r="I6" s="213"/>
      <c r="J6" s="213"/>
      <c r="K6" s="284"/>
      <c r="L6" s="284"/>
      <c r="M6" s="213"/>
      <c r="N6" s="213"/>
      <c r="O6" s="213"/>
      <c r="P6" s="213"/>
      <c r="Q6" s="213"/>
      <c r="R6" s="213"/>
      <c r="S6" s="213"/>
      <c r="T6" s="213"/>
      <c r="U6" s="213"/>
      <c r="V6" s="213"/>
      <c r="W6" s="213"/>
      <c r="X6" s="213"/>
      <c r="Y6" s="213"/>
      <c r="Z6" s="213"/>
      <c r="AA6" s="213"/>
      <c r="AB6" s="213"/>
      <c r="AC6" s="213"/>
      <c r="AD6" s="213"/>
      <c r="AE6" s="213"/>
      <c r="AF6" s="213"/>
      <c r="AG6" s="213"/>
      <c r="AH6" s="213"/>
      <c r="AI6" s="213"/>
      <c r="AJ6" s="213"/>
      <c r="AK6" s="213"/>
      <c r="AL6" s="213"/>
      <c r="AM6" s="213"/>
      <c r="AN6" s="213"/>
      <c r="AO6" s="213"/>
      <c r="AP6" s="213"/>
      <c r="AQ6" s="213"/>
      <c r="AR6" s="213"/>
      <c r="AS6" s="213"/>
      <c r="AT6" s="213"/>
      <c r="AU6" s="213"/>
      <c r="AV6" s="213"/>
      <c r="AW6" s="213"/>
      <c r="AX6" s="213"/>
      <c r="AY6" s="213"/>
      <c r="AZ6" s="213"/>
      <c r="BA6" s="213"/>
      <c r="BB6" s="213"/>
      <c r="BF6" s="213"/>
      <c r="GW6" s="213"/>
      <c r="GX6" s="213"/>
    </row>
    <row r="7" spans="1:210" s="214" customFormat="1">
      <c r="A7" s="213"/>
      <c r="B7" s="213"/>
      <c r="C7" s="213"/>
      <c r="D7" s="213"/>
      <c r="E7" s="213"/>
      <c r="F7" s="213"/>
      <c r="G7" s="213"/>
      <c r="H7" s="213"/>
      <c r="I7" s="213"/>
      <c r="J7" s="213"/>
      <c r="K7" s="284"/>
      <c r="L7" s="284"/>
      <c r="M7" s="213"/>
      <c r="N7" s="213"/>
      <c r="O7" s="213"/>
      <c r="P7" s="213"/>
      <c r="Q7" s="213"/>
      <c r="R7" s="213"/>
      <c r="S7" s="213"/>
      <c r="T7" s="213"/>
      <c r="U7" s="213"/>
      <c r="V7" s="213"/>
      <c r="W7" s="213"/>
      <c r="X7" s="213"/>
      <c r="Y7" s="213"/>
      <c r="Z7" s="213"/>
      <c r="AA7" s="213"/>
      <c r="AB7" s="213"/>
      <c r="AC7" s="213"/>
      <c r="AD7" s="213"/>
      <c r="AE7" s="213"/>
      <c r="AF7" s="213"/>
      <c r="AG7" s="213"/>
      <c r="AH7" s="213"/>
      <c r="AI7" s="213"/>
      <c r="AJ7" s="213"/>
      <c r="AK7" s="213"/>
      <c r="AL7" s="213"/>
      <c r="AM7" s="213"/>
      <c r="AN7" s="213"/>
      <c r="AO7" s="213"/>
      <c r="AP7" s="213"/>
      <c r="AQ7" s="213"/>
      <c r="AR7" s="213"/>
      <c r="AS7" s="213"/>
      <c r="AT7" s="213"/>
      <c r="AU7" s="213"/>
      <c r="AV7" s="213"/>
      <c r="AW7" s="213"/>
      <c r="AX7" s="213"/>
      <c r="AY7" s="213"/>
      <c r="AZ7" s="213"/>
      <c r="BA7" s="213"/>
      <c r="BB7" s="213"/>
      <c r="BF7" s="213"/>
      <c r="GW7" s="213"/>
      <c r="GX7" s="213"/>
    </row>
    <row r="8" spans="1:210" s="214" customFormat="1">
      <c r="A8" s="213"/>
      <c r="B8" s="213"/>
      <c r="C8" s="213"/>
      <c r="D8" s="213"/>
      <c r="E8" s="213"/>
      <c r="F8" s="213"/>
      <c r="G8" s="213"/>
      <c r="H8" s="213"/>
      <c r="I8" s="213"/>
      <c r="J8" s="213"/>
      <c r="K8" s="284"/>
      <c r="L8" s="284"/>
      <c r="M8" s="213"/>
      <c r="N8" s="213"/>
      <c r="O8" s="213"/>
      <c r="P8" s="213"/>
      <c r="Q8" s="213"/>
      <c r="R8" s="213"/>
      <c r="S8" s="213"/>
      <c r="T8" s="213"/>
      <c r="U8" s="213"/>
      <c r="V8" s="213"/>
      <c r="W8" s="213"/>
      <c r="X8" s="213"/>
      <c r="Y8" s="213"/>
      <c r="Z8" s="213"/>
      <c r="AA8" s="213"/>
      <c r="AB8" s="213"/>
      <c r="AC8" s="213"/>
      <c r="AD8" s="213"/>
      <c r="AE8" s="213"/>
      <c r="AF8" s="213"/>
      <c r="AG8" s="213"/>
      <c r="AH8" s="213"/>
      <c r="AI8" s="213"/>
      <c r="AJ8" s="213"/>
      <c r="AK8" s="213"/>
      <c r="AL8" s="305"/>
      <c r="AM8" s="305"/>
      <c r="AN8" s="305"/>
      <c r="AO8" s="305"/>
      <c r="AP8" s="305"/>
      <c r="AQ8" s="305"/>
      <c r="AR8" s="305"/>
      <c r="AS8" s="305"/>
      <c r="AT8" s="305"/>
      <c r="AU8" s="305"/>
      <c r="AV8" s="305"/>
      <c r="AW8" s="305"/>
      <c r="AX8" s="305"/>
      <c r="AY8" s="305"/>
      <c r="AZ8" s="305"/>
      <c r="BA8" s="213"/>
      <c r="BB8" s="213"/>
      <c r="BF8" s="213"/>
      <c r="GW8" s="213"/>
      <c r="GX8" s="213"/>
    </row>
    <row r="9" spans="1:210" s="214" customFormat="1">
      <c r="A9" s="213"/>
      <c r="B9" s="213"/>
      <c r="C9" s="213"/>
      <c r="D9" s="213"/>
      <c r="E9" s="213"/>
      <c r="F9" s="213"/>
      <c r="G9" s="213"/>
      <c r="H9" s="213"/>
      <c r="I9" s="213"/>
      <c r="J9" s="213"/>
      <c r="K9" s="284"/>
      <c r="L9" s="284"/>
      <c r="M9" s="213"/>
      <c r="N9" s="213"/>
      <c r="O9" s="213"/>
      <c r="P9" s="213"/>
      <c r="Q9" s="213"/>
      <c r="R9" s="213"/>
      <c r="S9" s="213"/>
      <c r="T9" s="213"/>
      <c r="U9" s="213"/>
      <c r="V9" s="213"/>
      <c r="W9" s="213"/>
      <c r="X9" s="213"/>
      <c r="Y9" s="213"/>
      <c r="Z9" s="213"/>
      <c r="AA9" s="213"/>
      <c r="AB9" s="213"/>
      <c r="AC9" s="213"/>
      <c r="AD9" s="213"/>
      <c r="AE9" s="213"/>
      <c r="AF9" s="213"/>
      <c r="AG9" s="213"/>
      <c r="AH9" s="213"/>
      <c r="AI9" s="213"/>
      <c r="AJ9" s="213"/>
      <c r="AK9" s="213"/>
      <c r="AL9" s="213"/>
      <c r="AM9" s="213"/>
      <c r="AN9" s="213"/>
      <c r="AO9" s="213"/>
      <c r="AP9" s="213"/>
      <c r="AQ9" s="213"/>
      <c r="AR9" s="213"/>
      <c r="AS9" s="213"/>
      <c r="AT9" s="213"/>
      <c r="AU9" s="213"/>
      <c r="AV9" s="213"/>
      <c r="AW9" s="213"/>
      <c r="AX9" s="213"/>
      <c r="AY9" s="213"/>
      <c r="AZ9" s="213"/>
      <c r="BA9" s="213"/>
      <c r="BB9" s="213"/>
      <c r="BF9" s="213"/>
      <c r="GW9" s="213"/>
      <c r="GX9" s="213"/>
    </row>
    <row r="10" spans="1:210" s="214" customFormat="1">
      <c r="A10" s="213"/>
      <c r="B10" s="213"/>
      <c r="C10" s="213"/>
      <c r="D10" s="213"/>
      <c r="E10" s="213"/>
      <c r="F10" s="213"/>
      <c r="G10" s="213"/>
      <c r="H10" s="213"/>
      <c r="I10" s="213"/>
      <c r="J10" s="213"/>
      <c r="K10" s="284"/>
      <c r="L10" s="284"/>
      <c r="M10" s="213"/>
      <c r="N10" s="213"/>
      <c r="O10" s="213"/>
      <c r="P10" s="213"/>
      <c r="Q10" s="213"/>
      <c r="R10" s="213"/>
      <c r="S10" s="213"/>
      <c r="T10" s="213"/>
      <c r="U10" s="213"/>
      <c r="V10" s="213"/>
      <c r="W10" s="213"/>
      <c r="X10" s="213"/>
      <c r="Y10" s="213"/>
      <c r="Z10" s="213"/>
      <c r="AA10" s="213"/>
      <c r="AB10" s="213"/>
      <c r="AC10" s="213"/>
      <c r="AD10" s="213"/>
      <c r="AE10" s="213"/>
      <c r="AF10" s="213"/>
      <c r="AG10" s="213"/>
      <c r="AH10" s="213"/>
      <c r="AI10" s="213"/>
      <c r="AJ10" s="213"/>
      <c r="AK10" s="213"/>
      <c r="AL10" s="213"/>
      <c r="AM10" s="213"/>
      <c r="AN10" s="213"/>
      <c r="AO10" s="213"/>
      <c r="AP10" s="213"/>
      <c r="AQ10" s="213"/>
      <c r="AR10" s="213"/>
      <c r="AS10" s="213"/>
      <c r="AT10" s="213"/>
      <c r="AU10" s="213"/>
      <c r="AV10" s="213"/>
      <c r="AW10" s="213"/>
      <c r="AX10" s="213"/>
      <c r="AY10" s="213"/>
      <c r="AZ10" s="213"/>
      <c r="BA10" s="213"/>
      <c r="BB10" s="213"/>
      <c r="BF10" s="213"/>
      <c r="GW10" s="213"/>
      <c r="GX10" s="213"/>
    </row>
  </sheetData>
  <autoFilter ref="A1:AD1"/>
  <conditionalFormatting sqref="W3:X1048576">
    <cfRule type="containsText" dxfId="18" priority="5" operator="containsText" text="no">
      <formula>NOT(ISERROR(SEARCH("no",W3)))</formula>
    </cfRule>
  </conditionalFormatting>
  <conditionalFormatting sqref="X1 AC1">
    <cfRule type="containsText" dxfId="17" priority="4" operator="containsText" text="no">
      <formula>NOT(ISERROR(SEARCH("no",X1)))</formula>
    </cfRule>
  </conditionalFormatting>
  <conditionalFormatting sqref="HC1:XFD1 BA1:GX1 A1:AD2 BA2:XFD2 A3:XFD1048576">
    <cfRule type="containsErrors" dxfId="16" priority="3">
      <formula>ISERROR(A1)</formula>
    </cfRule>
  </conditionalFormatting>
  <conditionalFormatting sqref="AM1:AN1">
    <cfRule type="cellIs" dxfId="15" priority="1" stopIfTrue="1" operator="notEqual">
      <formula>TRUE</formula>
    </cfRule>
  </conditionalFormatting>
  <pageMargins left="0.27" right="0.28999999999999998" top="0.74803149606299213" bottom="0.74803149606299213" header="0.31496062992125984" footer="0.31496062992125984"/>
  <pageSetup paperSize="9" orientation="landscape"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D4"/>
  <sheetViews>
    <sheetView workbookViewId="0">
      <selection activeCell="D5" sqref="D5"/>
    </sheetView>
  </sheetViews>
  <sheetFormatPr defaultRowHeight="15"/>
  <cols>
    <col min="1" max="1" width="5.28515625" style="211" customWidth="1"/>
    <col min="2" max="2" width="7.140625" style="211" customWidth="1"/>
    <col min="3" max="3" width="14.85546875" customWidth="1"/>
    <col min="4" max="4" width="44.140625" customWidth="1"/>
  </cols>
  <sheetData>
    <row r="1" spans="1:4">
      <c r="A1" s="439" t="s">
        <v>1879</v>
      </c>
      <c r="B1" s="439" t="s">
        <v>1885</v>
      </c>
      <c r="C1" s="438" t="s">
        <v>1880</v>
      </c>
      <c r="D1" s="438" t="s">
        <v>1881</v>
      </c>
    </row>
    <row r="2" spans="1:4">
      <c r="A2" s="211">
        <v>1</v>
      </c>
      <c r="B2" s="211">
        <v>1</v>
      </c>
      <c r="C2" t="s">
        <v>1882</v>
      </c>
    </row>
    <row r="3" spans="1:4">
      <c r="A3" s="211">
        <v>2</v>
      </c>
      <c r="B3" s="211">
        <v>2</v>
      </c>
      <c r="C3" t="s">
        <v>1883</v>
      </c>
    </row>
    <row r="4" spans="1:4">
      <c r="A4" s="211">
        <v>3</v>
      </c>
      <c r="B4" s="211">
        <v>3</v>
      </c>
      <c r="C4" t="s">
        <v>1884</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E188"/>
  <sheetViews>
    <sheetView zoomScale="77" zoomScaleNormal="77" workbookViewId="0"/>
  </sheetViews>
  <sheetFormatPr defaultColWidth="9.140625" defaultRowHeight="12.75"/>
  <cols>
    <col min="1" max="1" width="5" style="3" bestFit="1" customWidth="1"/>
    <col min="2" max="2" width="32.5703125" style="174" customWidth="1"/>
    <col min="3" max="3" width="16.5703125" style="3" customWidth="1"/>
    <col min="4" max="4" width="54.140625" style="3" customWidth="1"/>
    <col min="5" max="5" width="16.5703125" style="3" customWidth="1"/>
    <col min="6" max="6" width="9.42578125" style="3" customWidth="1"/>
    <col min="7" max="7" width="8" style="4" customWidth="1"/>
    <col min="8" max="8" width="8.5703125" style="183" customWidth="1"/>
    <col min="9" max="9" width="23.140625" style="4" customWidth="1"/>
    <col min="10" max="11" width="11.28515625" style="4" bestFit="1" customWidth="1"/>
    <col min="12" max="12" width="33.28515625" style="4" customWidth="1"/>
    <col min="13" max="14" width="15.28515625" style="4" customWidth="1"/>
    <col min="15" max="15" width="9.140625" style="4"/>
    <col min="16" max="16" width="15.42578125" style="4" bestFit="1" customWidth="1"/>
    <col min="17" max="17" width="42.140625" style="4" customWidth="1"/>
    <col min="18" max="18" width="27.28515625" style="4" customWidth="1"/>
    <col min="19" max="19" width="14.28515625" style="4" customWidth="1"/>
    <col min="20" max="20" width="7.7109375" style="4" customWidth="1"/>
    <col min="21" max="21" width="20.42578125" style="4" customWidth="1"/>
    <col min="22" max="23" width="10.5703125" style="4" customWidth="1"/>
    <col min="24" max="30" width="13" style="4" customWidth="1"/>
    <col min="31" max="31" width="32.28515625" style="4" customWidth="1"/>
    <col min="32" max="16384" width="9.140625" style="4"/>
  </cols>
  <sheetData>
    <row r="1" spans="1:31" s="3" customFormat="1" ht="57">
      <c r="A1" s="1" t="s">
        <v>0</v>
      </c>
      <c r="B1" s="172" t="s">
        <v>9</v>
      </c>
      <c r="C1" s="1" t="s">
        <v>16</v>
      </c>
      <c r="D1" s="1" t="s">
        <v>10</v>
      </c>
      <c r="E1" s="1" t="s">
        <v>206</v>
      </c>
      <c r="F1" s="1" t="s">
        <v>11</v>
      </c>
      <c r="G1" s="2" t="s">
        <v>12</v>
      </c>
      <c r="H1" s="2" t="s">
        <v>13</v>
      </c>
      <c r="I1" s="2" t="s">
        <v>14</v>
      </c>
      <c r="J1" s="2" t="s">
        <v>15</v>
      </c>
      <c r="K1" s="2" t="s">
        <v>2</v>
      </c>
      <c r="L1" s="2" t="s">
        <v>19</v>
      </c>
      <c r="M1" s="2" t="s">
        <v>17</v>
      </c>
      <c r="N1" s="2" t="s">
        <v>3</v>
      </c>
      <c r="O1" s="2" t="s">
        <v>4</v>
      </c>
      <c r="P1" s="2" t="s">
        <v>5</v>
      </c>
      <c r="Q1" s="2" t="s">
        <v>6</v>
      </c>
      <c r="R1" s="2" t="s">
        <v>7</v>
      </c>
      <c r="S1" s="2" t="s">
        <v>72</v>
      </c>
      <c r="T1" s="2" t="s">
        <v>18</v>
      </c>
      <c r="U1" s="2" t="s">
        <v>8</v>
      </c>
      <c r="V1" s="5" t="s">
        <v>20</v>
      </c>
      <c r="W1" s="5" t="s">
        <v>21</v>
      </c>
      <c r="X1" s="5" t="s">
        <v>71</v>
      </c>
      <c r="Y1" s="5" t="s">
        <v>235</v>
      </c>
      <c r="Z1" s="5" t="s">
        <v>233</v>
      </c>
      <c r="AA1" s="5" t="s">
        <v>242</v>
      </c>
      <c r="AB1" s="5" t="s">
        <v>267</v>
      </c>
      <c r="AC1" s="206" t="s">
        <v>274</v>
      </c>
      <c r="AD1" s="206" t="s">
        <v>275</v>
      </c>
      <c r="AE1" s="123" t="s">
        <v>173</v>
      </c>
    </row>
    <row r="2" spans="1:31" s="63" customFormat="1" ht="51">
      <c r="A2" s="66">
        <v>1</v>
      </c>
      <c r="B2" s="173" t="s">
        <v>276</v>
      </c>
      <c r="C2" s="67" t="s">
        <v>277</v>
      </c>
      <c r="D2" s="207" t="s">
        <v>278</v>
      </c>
      <c r="E2" s="149" t="s">
        <v>279</v>
      </c>
      <c r="F2" s="149" t="s">
        <v>280</v>
      </c>
      <c r="G2" s="149" t="s">
        <v>281</v>
      </c>
      <c r="H2" s="66">
        <v>3</v>
      </c>
      <c r="I2" s="149" t="s">
        <v>282</v>
      </c>
      <c r="J2" s="150">
        <v>43423</v>
      </c>
      <c r="K2" s="150">
        <v>43395</v>
      </c>
      <c r="L2" s="151" t="s">
        <v>283</v>
      </c>
      <c r="M2" s="151" t="s">
        <v>284</v>
      </c>
      <c r="N2" s="152" t="s">
        <v>285</v>
      </c>
      <c r="O2" s="151">
        <v>9</v>
      </c>
      <c r="P2" s="153" t="s">
        <v>286</v>
      </c>
      <c r="Q2" s="154" t="s">
        <v>287</v>
      </c>
      <c r="R2" s="155" t="s">
        <v>288</v>
      </c>
      <c r="S2" s="155" t="s">
        <v>289</v>
      </c>
      <c r="T2" s="156">
        <v>1</v>
      </c>
      <c r="U2" s="151" t="s">
        <v>290</v>
      </c>
      <c r="V2" s="151" t="s">
        <v>70</v>
      </c>
      <c r="W2" s="151" t="s">
        <v>291</v>
      </c>
      <c r="X2" s="151">
        <v>36</v>
      </c>
      <c r="Y2" s="151" t="s">
        <v>291</v>
      </c>
      <c r="Z2" s="151">
        <v>24</v>
      </c>
      <c r="AA2" s="151" t="s">
        <v>130</v>
      </c>
      <c r="AB2" s="151" t="s">
        <v>249</v>
      </c>
      <c r="AC2" s="151">
        <v>0</v>
      </c>
      <c r="AD2" s="151">
        <v>12</v>
      </c>
      <c r="AE2" s="182" t="s">
        <v>292</v>
      </c>
    </row>
    <row r="3" spans="1:31" ht="63.75">
      <c r="A3" s="66">
        <v>2</v>
      </c>
      <c r="B3" s="173" t="s">
        <v>276</v>
      </c>
      <c r="C3" s="67" t="s">
        <v>277</v>
      </c>
      <c r="D3" s="207" t="s">
        <v>293</v>
      </c>
      <c r="E3" s="149" t="s">
        <v>279</v>
      </c>
      <c r="F3" s="149" t="s">
        <v>294</v>
      </c>
      <c r="G3" s="149" t="s">
        <v>295</v>
      </c>
      <c r="H3" s="66">
        <v>4</v>
      </c>
      <c r="I3" s="149" t="s">
        <v>296</v>
      </c>
      <c r="J3" s="150">
        <v>43423</v>
      </c>
      <c r="K3" s="150">
        <v>43395</v>
      </c>
      <c r="L3" s="151" t="s">
        <v>297</v>
      </c>
      <c r="M3" s="151" t="s">
        <v>298</v>
      </c>
      <c r="N3" s="152" t="s">
        <v>299</v>
      </c>
      <c r="O3" s="151">
        <v>12</v>
      </c>
      <c r="P3" s="153" t="s">
        <v>300</v>
      </c>
      <c r="Q3" s="154" t="s">
        <v>301</v>
      </c>
      <c r="R3" s="155" t="s">
        <v>302</v>
      </c>
      <c r="S3" s="155" t="s">
        <v>303</v>
      </c>
      <c r="T3" s="156">
        <v>1</v>
      </c>
      <c r="U3" s="151" t="s">
        <v>304</v>
      </c>
      <c r="V3" s="151" t="s">
        <v>70</v>
      </c>
      <c r="W3" s="151" t="s">
        <v>249</v>
      </c>
      <c r="X3" s="151" t="s">
        <v>130</v>
      </c>
      <c r="Y3" s="151" t="s">
        <v>291</v>
      </c>
      <c r="Z3" s="151">
        <v>14</v>
      </c>
      <c r="AA3" s="151" t="s">
        <v>130</v>
      </c>
      <c r="AB3" s="151" t="s">
        <v>249</v>
      </c>
      <c r="AC3" s="151">
        <v>0</v>
      </c>
      <c r="AD3" s="151">
        <v>20</v>
      </c>
      <c r="AE3" s="182" t="s">
        <v>305</v>
      </c>
    </row>
    <row r="4" spans="1:31" ht="51">
      <c r="A4" s="66">
        <v>3</v>
      </c>
      <c r="B4" s="173" t="s">
        <v>276</v>
      </c>
      <c r="C4" s="67" t="s">
        <v>277</v>
      </c>
      <c r="D4" s="207" t="s">
        <v>306</v>
      </c>
      <c r="E4" s="149" t="s">
        <v>279</v>
      </c>
      <c r="F4" s="149" t="s">
        <v>307</v>
      </c>
      <c r="G4" s="149" t="s">
        <v>308</v>
      </c>
      <c r="H4" s="66">
        <v>3</v>
      </c>
      <c r="I4" s="149" t="s">
        <v>309</v>
      </c>
      <c r="J4" s="150">
        <v>43423</v>
      </c>
      <c r="K4" s="150">
        <v>43395</v>
      </c>
      <c r="L4" s="151" t="s">
        <v>283</v>
      </c>
      <c r="M4" s="151" t="s">
        <v>310</v>
      </c>
      <c r="N4" s="152" t="s">
        <v>311</v>
      </c>
      <c r="O4" s="151">
        <v>9</v>
      </c>
      <c r="P4" s="153" t="s">
        <v>286</v>
      </c>
      <c r="Q4" s="154" t="s">
        <v>287</v>
      </c>
      <c r="R4" s="155" t="s">
        <v>288</v>
      </c>
      <c r="S4" s="155" t="s">
        <v>312</v>
      </c>
      <c r="T4" s="156">
        <v>1</v>
      </c>
      <c r="U4" s="151" t="s">
        <v>290</v>
      </c>
      <c r="V4" s="151" t="s">
        <v>70</v>
      </c>
      <c r="W4" s="151" t="s">
        <v>249</v>
      </c>
      <c r="X4" s="151" t="s">
        <v>130</v>
      </c>
      <c r="Y4" s="151" t="s">
        <v>291</v>
      </c>
      <c r="Z4" s="151">
        <v>17</v>
      </c>
      <c r="AA4" s="151" t="s">
        <v>130</v>
      </c>
      <c r="AB4" s="151" t="s">
        <v>249</v>
      </c>
      <c r="AC4" s="151">
        <v>0</v>
      </c>
      <c r="AD4" s="151">
        <v>11</v>
      </c>
      <c r="AE4" s="182" t="s">
        <v>130</v>
      </c>
    </row>
    <row r="5" spans="1:31" ht="51">
      <c r="A5" s="66">
        <v>4</v>
      </c>
      <c r="B5" s="173" t="s">
        <v>276</v>
      </c>
      <c r="C5" s="67" t="s">
        <v>277</v>
      </c>
      <c r="D5" s="207" t="s">
        <v>313</v>
      </c>
      <c r="E5" s="149" t="s">
        <v>279</v>
      </c>
      <c r="F5" s="149" t="s">
        <v>314</v>
      </c>
      <c r="G5" s="149" t="s">
        <v>315</v>
      </c>
      <c r="H5" s="66">
        <v>3</v>
      </c>
      <c r="I5" s="149" t="s">
        <v>316</v>
      </c>
      <c r="J5" s="150">
        <v>43423</v>
      </c>
      <c r="K5" s="150">
        <v>43395</v>
      </c>
      <c r="L5" s="151" t="s">
        <v>283</v>
      </c>
      <c r="M5" s="151" t="s">
        <v>317</v>
      </c>
      <c r="N5" s="152" t="s">
        <v>285</v>
      </c>
      <c r="O5" s="151">
        <v>9</v>
      </c>
      <c r="P5" s="153" t="s">
        <v>318</v>
      </c>
      <c r="Q5" s="154" t="s">
        <v>319</v>
      </c>
      <c r="R5" s="155" t="s">
        <v>320</v>
      </c>
      <c r="S5" s="155" t="s">
        <v>321</v>
      </c>
      <c r="T5" s="156">
        <v>1</v>
      </c>
      <c r="U5" s="151" t="s">
        <v>322</v>
      </c>
      <c r="V5" s="151" t="s">
        <v>70</v>
      </c>
      <c r="W5" s="151" t="s">
        <v>249</v>
      </c>
      <c r="X5" s="151" t="s">
        <v>130</v>
      </c>
      <c r="Y5" s="151" t="s">
        <v>291</v>
      </c>
      <c r="Z5" s="151">
        <v>-1</v>
      </c>
      <c r="AA5" s="151" t="s">
        <v>130</v>
      </c>
      <c r="AB5" s="151" t="s">
        <v>249</v>
      </c>
      <c r="AC5" s="151">
        <v>11</v>
      </c>
      <c r="AD5" s="151" t="s">
        <v>323</v>
      </c>
      <c r="AE5" s="182" t="s">
        <v>130</v>
      </c>
    </row>
    <row r="6" spans="1:31" ht="51">
      <c r="A6" s="66">
        <v>5</v>
      </c>
      <c r="B6" s="173" t="s">
        <v>276</v>
      </c>
      <c r="C6" s="67" t="s">
        <v>277</v>
      </c>
      <c r="D6" s="207" t="s">
        <v>324</v>
      </c>
      <c r="E6" s="149" t="s">
        <v>279</v>
      </c>
      <c r="F6" s="149" t="s">
        <v>325</v>
      </c>
      <c r="G6" s="149" t="s">
        <v>326</v>
      </c>
      <c r="H6" s="66">
        <v>3</v>
      </c>
      <c r="I6" s="149" t="s">
        <v>327</v>
      </c>
      <c r="J6" s="150">
        <v>43423</v>
      </c>
      <c r="K6" s="150">
        <v>43395</v>
      </c>
      <c r="L6" s="151" t="s">
        <v>283</v>
      </c>
      <c r="M6" s="151" t="s">
        <v>328</v>
      </c>
      <c r="N6" s="152" t="s">
        <v>329</v>
      </c>
      <c r="O6" s="151">
        <v>9</v>
      </c>
      <c r="P6" s="153" t="s">
        <v>330</v>
      </c>
      <c r="Q6" s="154" t="s">
        <v>331</v>
      </c>
      <c r="R6" s="155" t="s">
        <v>288</v>
      </c>
      <c r="S6" s="155" t="s">
        <v>332</v>
      </c>
      <c r="T6" s="156">
        <v>1</v>
      </c>
      <c r="U6" s="151" t="s">
        <v>290</v>
      </c>
      <c r="V6" s="151" t="s">
        <v>70</v>
      </c>
      <c r="W6" s="151" t="s">
        <v>291</v>
      </c>
      <c r="X6" s="151">
        <v>35</v>
      </c>
      <c r="Y6" s="151" t="s">
        <v>291</v>
      </c>
      <c r="Z6" s="151">
        <v>19</v>
      </c>
      <c r="AA6" s="151" t="s">
        <v>130</v>
      </c>
      <c r="AB6" s="151" t="s">
        <v>249</v>
      </c>
      <c r="AC6" s="151">
        <v>0</v>
      </c>
      <c r="AD6" s="151">
        <v>16</v>
      </c>
      <c r="AE6" s="182" t="s">
        <v>333</v>
      </c>
    </row>
    <row r="7" spans="1:31" ht="51">
      <c r="A7" s="66">
        <v>6</v>
      </c>
      <c r="B7" s="173" t="s">
        <v>276</v>
      </c>
      <c r="C7" s="67" t="s">
        <v>277</v>
      </c>
      <c r="D7" s="207" t="s">
        <v>334</v>
      </c>
      <c r="E7" s="149" t="s">
        <v>279</v>
      </c>
      <c r="F7" s="149" t="s">
        <v>335</v>
      </c>
      <c r="G7" s="149" t="s">
        <v>336</v>
      </c>
      <c r="H7" s="66">
        <v>3</v>
      </c>
      <c r="I7" s="149" t="s">
        <v>337</v>
      </c>
      <c r="J7" s="150">
        <v>43423</v>
      </c>
      <c r="K7" s="150">
        <v>43395</v>
      </c>
      <c r="L7" s="151" t="s">
        <v>283</v>
      </c>
      <c r="M7" s="151" t="s">
        <v>338</v>
      </c>
      <c r="N7" s="152" t="s">
        <v>329</v>
      </c>
      <c r="O7" s="151">
        <v>9</v>
      </c>
      <c r="P7" s="153" t="s">
        <v>330</v>
      </c>
      <c r="Q7" s="154" t="s">
        <v>331</v>
      </c>
      <c r="R7" s="155" t="s">
        <v>288</v>
      </c>
      <c r="S7" s="155" t="s">
        <v>339</v>
      </c>
      <c r="T7" s="156">
        <v>1</v>
      </c>
      <c r="U7" s="151" t="s">
        <v>290</v>
      </c>
      <c r="V7" s="151" t="s">
        <v>70</v>
      </c>
      <c r="W7" s="151" t="s">
        <v>249</v>
      </c>
      <c r="X7" s="151" t="s">
        <v>130</v>
      </c>
      <c r="Y7" s="151" t="s">
        <v>291</v>
      </c>
      <c r="Z7" s="151">
        <v>16</v>
      </c>
      <c r="AA7" s="151" t="s">
        <v>130</v>
      </c>
      <c r="AB7" s="151" t="s">
        <v>249</v>
      </c>
      <c r="AC7" s="151">
        <v>0</v>
      </c>
      <c r="AD7" s="151">
        <v>10</v>
      </c>
      <c r="AE7" s="182" t="s">
        <v>333</v>
      </c>
    </row>
    <row r="8" spans="1:31" ht="51">
      <c r="A8" s="66">
        <v>7</v>
      </c>
      <c r="B8" s="173" t="s">
        <v>276</v>
      </c>
      <c r="C8" s="67" t="s">
        <v>277</v>
      </c>
      <c r="D8" s="207" t="s">
        <v>340</v>
      </c>
      <c r="E8" s="149" t="s">
        <v>279</v>
      </c>
      <c r="F8" s="149" t="s">
        <v>341</v>
      </c>
      <c r="G8" s="149" t="s">
        <v>342</v>
      </c>
      <c r="H8" s="66">
        <v>3</v>
      </c>
      <c r="I8" s="149" t="s">
        <v>343</v>
      </c>
      <c r="J8" s="150">
        <v>43423</v>
      </c>
      <c r="K8" s="150">
        <v>43395</v>
      </c>
      <c r="L8" s="151" t="s">
        <v>283</v>
      </c>
      <c r="M8" s="151" t="s">
        <v>344</v>
      </c>
      <c r="N8" s="152" t="s">
        <v>311</v>
      </c>
      <c r="O8" s="151">
        <v>9</v>
      </c>
      <c r="P8" s="153" t="s">
        <v>286</v>
      </c>
      <c r="Q8" s="154" t="s">
        <v>287</v>
      </c>
      <c r="R8" s="155" t="s">
        <v>288</v>
      </c>
      <c r="S8" s="155" t="s">
        <v>345</v>
      </c>
      <c r="T8" s="156">
        <v>1</v>
      </c>
      <c r="U8" s="151" t="s">
        <v>290</v>
      </c>
      <c r="V8" s="151" t="s">
        <v>70</v>
      </c>
      <c r="W8" s="151" t="s">
        <v>249</v>
      </c>
      <c r="X8" s="151" t="s">
        <v>130</v>
      </c>
      <c r="Y8" s="151" t="s">
        <v>291</v>
      </c>
      <c r="Z8" s="151">
        <v>8</v>
      </c>
      <c r="AA8" s="151" t="s">
        <v>130</v>
      </c>
      <c r="AB8" s="151" t="s">
        <v>249</v>
      </c>
      <c r="AC8" s="151">
        <v>0</v>
      </c>
      <c r="AD8" s="151">
        <v>16</v>
      </c>
      <c r="AE8" s="182" t="s">
        <v>305</v>
      </c>
    </row>
    <row r="9" spans="1:31" ht="51">
      <c r="A9" s="66">
        <v>8</v>
      </c>
      <c r="B9" s="173" t="s">
        <v>276</v>
      </c>
      <c r="C9" s="67" t="s">
        <v>277</v>
      </c>
      <c r="D9" s="207" t="s">
        <v>346</v>
      </c>
      <c r="E9" s="149" t="s">
        <v>279</v>
      </c>
      <c r="F9" s="149" t="s">
        <v>347</v>
      </c>
      <c r="G9" s="149" t="s">
        <v>348</v>
      </c>
      <c r="H9" s="66">
        <v>3</v>
      </c>
      <c r="I9" s="149" t="s">
        <v>349</v>
      </c>
      <c r="J9" s="150">
        <v>43423</v>
      </c>
      <c r="K9" s="150">
        <v>43395</v>
      </c>
      <c r="L9" s="151" t="s">
        <v>283</v>
      </c>
      <c r="M9" s="151" t="s">
        <v>350</v>
      </c>
      <c r="N9" s="152" t="s">
        <v>329</v>
      </c>
      <c r="O9" s="151">
        <v>9</v>
      </c>
      <c r="P9" s="153" t="s">
        <v>330</v>
      </c>
      <c r="Q9" s="154" t="s">
        <v>331</v>
      </c>
      <c r="R9" s="155" t="s">
        <v>288</v>
      </c>
      <c r="S9" s="155" t="s">
        <v>351</v>
      </c>
      <c r="T9" s="156">
        <v>1</v>
      </c>
      <c r="U9" s="151" t="s">
        <v>290</v>
      </c>
      <c r="V9" s="151" t="s">
        <v>70</v>
      </c>
      <c r="W9" s="151" t="s">
        <v>249</v>
      </c>
      <c r="X9" s="151" t="s">
        <v>130</v>
      </c>
      <c r="Y9" s="151" t="s">
        <v>291</v>
      </c>
      <c r="Z9" s="151">
        <v>-7</v>
      </c>
      <c r="AA9" s="151" t="s">
        <v>130</v>
      </c>
      <c r="AB9" s="151" t="s">
        <v>249</v>
      </c>
      <c r="AC9" s="151">
        <v>12</v>
      </c>
      <c r="AD9" s="151">
        <v>35</v>
      </c>
      <c r="AE9" s="182" t="s">
        <v>130</v>
      </c>
    </row>
    <row r="10" spans="1:31" ht="63.75">
      <c r="A10" s="66">
        <v>9</v>
      </c>
      <c r="B10" s="173" t="s">
        <v>276</v>
      </c>
      <c r="C10" s="67" t="s">
        <v>277</v>
      </c>
      <c r="D10" s="207" t="s">
        <v>352</v>
      </c>
      <c r="E10" s="149" t="s">
        <v>279</v>
      </c>
      <c r="F10" s="149" t="s">
        <v>353</v>
      </c>
      <c r="G10" s="149" t="s">
        <v>354</v>
      </c>
      <c r="H10" s="66">
        <v>4</v>
      </c>
      <c r="I10" s="149" t="s">
        <v>355</v>
      </c>
      <c r="J10" s="150">
        <v>43423</v>
      </c>
      <c r="K10" s="150">
        <v>43396</v>
      </c>
      <c r="L10" s="151" t="s">
        <v>297</v>
      </c>
      <c r="M10" s="151" t="s">
        <v>356</v>
      </c>
      <c r="N10" s="152" t="s">
        <v>299</v>
      </c>
      <c r="O10" s="151">
        <v>12</v>
      </c>
      <c r="P10" s="153" t="s">
        <v>357</v>
      </c>
      <c r="Q10" s="154" t="s">
        <v>301</v>
      </c>
      <c r="R10" s="155" t="s">
        <v>302</v>
      </c>
      <c r="S10" s="155" t="s">
        <v>358</v>
      </c>
      <c r="T10" s="156">
        <v>1</v>
      </c>
      <c r="U10" s="151" t="s">
        <v>304</v>
      </c>
      <c r="V10" s="151" t="s">
        <v>70</v>
      </c>
      <c r="W10" s="151" t="s">
        <v>249</v>
      </c>
      <c r="X10" s="151" t="s">
        <v>130</v>
      </c>
      <c r="Y10" s="151" t="s">
        <v>291</v>
      </c>
      <c r="Z10" s="151">
        <v>19</v>
      </c>
      <c r="AA10" s="151" t="s">
        <v>130</v>
      </c>
      <c r="AB10" s="151" t="s">
        <v>249</v>
      </c>
      <c r="AC10" s="151">
        <v>34</v>
      </c>
      <c r="AD10" s="151">
        <v>15</v>
      </c>
      <c r="AE10" s="182" t="s">
        <v>305</v>
      </c>
    </row>
    <row r="11" spans="1:31" ht="63.75">
      <c r="A11" s="66">
        <v>10</v>
      </c>
      <c r="B11" s="173" t="s">
        <v>276</v>
      </c>
      <c r="C11" s="67" t="s">
        <v>277</v>
      </c>
      <c r="D11" s="207" t="s">
        <v>359</v>
      </c>
      <c r="E11" s="149" t="s">
        <v>279</v>
      </c>
      <c r="F11" s="149" t="s">
        <v>360</v>
      </c>
      <c r="G11" s="149" t="s">
        <v>361</v>
      </c>
      <c r="H11" s="66">
        <v>3</v>
      </c>
      <c r="I11" s="149" t="s">
        <v>362</v>
      </c>
      <c r="J11" s="150">
        <v>43423</v>
      </c>
      <c r="K11" s="150">
        <v>43397</v>
      </c>
      <c r="L11" s="151" t="s">
        <v>283</v>
      </c>
      <c r="M11" s="151" t="s">
        <v>363</v>
      </c>
      <c r="N11" s="152" t="s">
        <v>329</v>
      </c>
      <c r="O11" s="151">
        <v>9</v>
      </c>
      <c r="P11" s="153" t="s">
        <v>364</v>
      </c>
      <c r="Q11" s="154" t="s">
        <v>331</v>
      </c>
      <c r="R11" s="155" t="s">
        <v>288</v>
      </c>
      <c r="S11" s="155" t="s">
        <v>365</v>
      </c>
      <c r="T11" s="156">
        <v>1</v>
      </c>
      <c r="U11" s="151" t="s">
        <v>290</v>
      </c>
      <c r="V11" s="151" t="s">
        <v>70</v>
      </c>
      <c r="W11" s="151" t="s">
        <v>249</v>
      </c>
      <c r="X11" s="151" t="s">
        <v>130</v>
      </c>
      <c r="Y11" s="151" t="s">
        <v>291</v>
      </c>
      <c r="Z11" s="151">
        <v>-37</v>
      </c>
      <c r="AA11" s="151" t="s">
        <v>130</v>
      </c>
      <c r="AB11" s="151" t="s">
        <v>249</v>
      </c>
      <c r="AC11" s="151">
        <v>28</v>
      </c>
      <c r="AD11" s="151">
        <v>60</v>
      </c>
      <c r="AE11" s="182" t="s">
        <v>333</v>
      </c>
    </row>
    <row r="12" spans="1:31" ht="51">
      <c r="A12" s="66">
        <v>11</v>
      </c>
      <c r="B12" s="173" t="s">
        <v>276</v>
      </c>
      <c r="C12" s="67" t="s">
        <v>277</v>
      </c>
      <c r="D12" s="207" t="s">
        <v>366</v>
      </c>
      <c r="E12" s="149" t="s">
        <v>279</v>
      </c>
      <c r="F12" s="149" t="s">
        <v>367</v>
      </c>
      <c r="G12" s="149" t="s">
        <v>368</v>
      </c>
      <c r="H12" s="66">
        <v>3</v>
      </c>
      <c r="I12" s="149" t="s">
        <v>369</v>
      </c>
      <c r="J12" s="150">
        <v>43423</v>
      </c>
      <c r="K12" s="150">
        <v>43396</v>
      </c>
      <c r="L12" s="151" t="s">
        <v>283</v>
      </c>
      <c r="M12" s="151" t="s">
        <v>370</v>
      </c>
      <c r="N12" s="152" t="s">
        <v>329</v>
      </c>
      <c r="O12" s="151">
        <v>9</v>
      </c>
      <c r="P12" s="153" t="s">
        <v>286</v>
      </c>
      <c r="Q12" s="154" t="s">
        <v>331</v>
      </c>
      <c r="R12" s="155" t="s">
        <v>288</v>
      </c>
      <c r="S12" s="155" t="s">
        <v>371</v>
      </c>
      <c r="T12" s="156">
        <v>1</v>
      </c>
      <c r="U12" s="151" t="s">
        <v>290</v>
      </c>
      <c r="V12" s="151" t="s">
        <v>70</v>
      </c>
      <c r="W12" s="151" t="s">
        <v>249</v>
      </c>
      <c r="X12" s="151" t="s">
        <v>130</v>
      </c>
      <c r="Y12" s="151" t="s">
        <v>291</v>
      </c>
      <c r="Z12" s="151">
        <v>8</v>
      </c>
      <c r="AA12" s="151" t="s">
        <v>130</v>
      </c>
      <c r="AB12" s="151" t="s">
        <v>249</v>
      </c>
      <c r="AC12" s="151">
        <v>0</v>
      </c>
      <c r="AD12" s="151">
        <v>19</v>
      </c>
      <c r="AE12" s="182" t="s">
        <v>305</v>
      </c>
    </row>
    <row r="13" spans="1:31" ht="51">
      <c r="A13" s="66">
        <v>12</v>
      </c>
      <c r="B13" s="173" t="s">
        <v>276</v>
      </c>
      <c r="C13" s="67" t="s">
        <v>277</v>
      </c>
      <c r="D13" s="207" t="s">
        <v>372</v>
      </c>
      <c r="E13" s="149" t="s">
        <v>279</v>
      </c>
      <c r="F13" s="149" t="s">
        <v>373</v>
      </c>
      <c r="G13" s="149" t="s">
        <v>374</v>
      </c>
      <c r="H13" s="66">
        <v>3</v>
      </c>
      <c r="I13" s="149" t="s">
        <v>375</v>
      </c>
      <c r="J13" s="150">
        <v>43423</v>
      </c>
      <c r="K13" s="150">
        <v>43396</v>
      </c>
      <c r="L13" s="151" t="s">
        <v>283</v>
      </c>
      <c r="M13" s="151" t="s">
        <v>376</v>
      </c>
      <c r="N13" s="152" t="s">
        <v>285</v>
      </c>
      <c r="O13" s="151">
        <v>9</v>
      </c>
      <c r="P13" s="153" t="s">
        <v>377</v>
      </c>
      <c r="Q13" s="154" t="s">
        <v>287</v>
      </c>
      <c r="R13" s="155" t="s">
        <v>288</v>
      </c>
      <c r="S13" s="155" t="s">
        <v>378</v>
      </c>
      <c r="T13" s="156">
        <v>1</v>
      </c>
      <c r="U13" s="151" t="s">
        <v>290</v>
      </c>
      <c r="V13" s="151" t="s">
        <v>70</v>
      </c>
      <c r="W13" s="151" t="s">
        <v>249</v>
      </c>
      <c r="X13" s="151" t="s">
        <v>130</v>
      </c>
      <c r="Y13" s="151" t="s">
        <v>291</v>
      </c>
      <c r="Z13" s="151">
        <v>8</v>
      </c>
      <c r="AA13" s="151" t="s">
        <v>130</v>
      </c>
      <c r="AB13" s="151" t="s">
        <v>249</v>
      </c>
      <c r="AC13" s="151">
        <v>14</v>
      </c>
      <c r="AD13" s="151">
        <v>16</v>
      </c>
      <c r="AE13" s="182" t="s">
        <v>292</v>
      </c>
    </row>
    <row r="14" spans="1:31" ht="51">
      <c r="A14" s="66">
        <v>13</v>
      </c>
      <c r="B14" s="173" t="s">
        <v>276</v>
      </c>
      <c r="C14" s="67" t="s">
        <v>277</v>
      </c>
      <c r="D14" s="207" t="s">
        <v>379</v>
      </c>
      <c r="E14" s="149" t="s">
        <v>279</v>
      </c>
      <c r="F14" s="149" t="s">
        <v>380</v>
      </c>
      <c r="G14" s="149" t="s">
        <v>381</v>
      </c>
      <c r="H14" s="66">
        <v>3</v>
      </c>
      <c r="I14" s="149" t="s">
        <v>382</v>
      </c>
      <c r="J14" s="150">
        <v>43423</v>
      </c>
      <c r="K14" s="150">
        <v>43396</v>
      </c>
      <c r="L14" s="151" t="s">
        <v>283</v>
      </c>
      <c r="M14" s="151" t="s">
        <v>383</v>
      </c>
      <c r="N14" s="152" t="s">
        <v>311</v>
      </c>
      <c r="O14" s="151">
        <v>9</v>
      </c>
      <c r="P14" s="153" t="s">
        <v>286</v>
      </c>
      <c r="Q14" s="154" t="s">
        <v>287</v>
      </c>
      <c r="R14" s="155" t="s">
        <v>288</v>
      </c>
      <c r="S14" s="155" t="s">
        <v>384</v>
      </c>
      <c r="T14" s="156">
        <v>1</v>
      </c>
      <c r="U14" s="151" t="s">
        <v>290</v>
      </c>
      <c r="V14" s="151" t="s">
        <v>70</v>
      </c>
      <c r="W14" s="151" t="s">
        <v>249</v>
      </c>
      <c r="X14" s="151" t="s">
        <v>130</v>
      </c>
      <c r="Y14" s="151" t="s">
        <v>291</v>
      </c>
      <c r="Z14" s="151">
        <v>7</v>
      </c>
      <c r="AA14" s="151" t="s">
        <v>130</v>
      </c>
      <c r="AB14" s="151" t="s">
        <v>249</v>
      </c>
      <c r="AC14" s="151">
        <v>0</v>
      </c>
      <c r="AD14" s="151">
        <v>25</v>
      </c>
      <c r="AE14" s="182" t="s">
        <v>333</v>
      </c>
    </row>
    <row r="15" spans="1:31" ht="51">
      <c r="A15" s="66">
        <v>14</v>
      </c>
      <c r="B15" s="173" t="s">
        <v>276</v>
      </c>
      <c r="C15" s="67" t="s">
        <v>277</v>
      </c>
      <c r="D15" s="207" t="s">
        <v>385</v>
      </c>
      <c r="E15" s="149" t="s">
        <v>279</v>
      </c>
      <c r="F15" s="149" t="s">
        <v>386</v>
      </c>
      <c r="G15" s="149" t="s">
        <v>387</v>
      </c>
      <c r="H15" s="66">
        <v>3</v>
      </c>
      <c r="I15" s="149" t="s">
        <v>388</v>
      </c>
      <c r="J15" s="150">
        <v>43423</v>
      </c>
      <c r="K15" s="150">
        <v>43396</v>
      </c>
      <c r="L15" s="151" t="s">
        <v>283</v>
      </c>
      <c r="M15" s="151" t="s">
        <v>389</v>
      </c>
      <c r="N15" s="152" t="s">
        <v>311</v>
      </c>
      <c r="O15" s="151">
        <v>9</v>
      </c>
      <c r="P15" s="153" t="s">
        <v>330</v>
      </c>
      <c r="Q15" s="154" t="s">
        <v>287</v>
      </c>
      <c r="R15" s="155" t="s">
        <v>288</v>
      </c>
      <c r="S15" s="155" t="s">
        <v>390</v>
      </c>
      <c r="T15" s="156">
        <v>1</v>
      </c>
      <c r="U15" s="151" t="s">
        <v>290</v>
      </c>
      <c r="V15" s="151" t="s">
        <v>70</v>
      </c>
      <c r="W15" s="151" t="s">
        <v>249</v>
      </c>
      <c r="X15" s="151" t="s">
        <v>130</v>
      </c>
      <c r="Y15" s="151" t="s">
        <v>291</v>
      </c>
      <c r="Z15" s="151">
        <v>11</v>
      </c>
      <c r="AA15" s="151" t="s">
        <v>130</v>
      </c>
      <c r="AB15" s="151" t="s">
        <v>249</v>
      </c>
      <c r="AC15" s="151">
        <v>9</v>
      </c>
      <c r="AD15" s="151">
        <v>11</v>
      </c>
      <c r="AE15" s="182" t="s">
        <v>391</v>
      </c>
    </row>
    <row r="16" spans="1:31" ht="51">
      <c r="A16" s="66">
        <v>15</v>
      </c>
      <c r="B16" s="173" t="s">
        <v>276</v>
      </c>
      <c r="C16" s="67" t="s">
        <v>277</v>
      </c>
      <c r="D16" s="207" t="s">
        <v>392</v>
      </c>
      <c r="E16" s="149" t="s">
        <v>279</v>
      </c>
      <c r="F16" s="149" t="s">
        <v>393</v>
      </c>
      <c r="G16" s="149" t="s">
        <v>394</v>
      </c>
      <c r="H16" s="66">
        <v>3</v>
      </c>
      <c r="I16" s="149" t="s">
        <v>395</v>
      </c>
      <c r="J16" s="150">
        <v>43423</v>
      </c>
      <c r="K16" s="150">
        <v>43396</v>
      </c>
      <c r="L16" s="151" t="s">
        <v>283</v>
      </c>
      <c r="M16" s="151" t="s">
        <v>396</v>
      </c>
      <c r="N16" s="152" t="s">
        <v>311</v>
      </c>
      <c r="O16" s="151">
        <v>9</v>
      </c>
      <c r="P16" s="153" t="s">
        <v>286</v>
      </c>
      <c r="Q16" s="154" t="s">
        <v>287</v>
      </c>
      <c r="R16" s="155" t="s">
        <v>288</v>
      </c>
      <c r="S16" s="155" t="s">
        <v>397</v>
      </c>
      <c r="T16" s="156">
        <v>1</v>
      </c>
      <c r="U16" s="151" t="s">
        <v>290</v>
      </c>
      <c r="V16" s="151" t="s">
        <v>70</v>
      </c>
      <c r="W16" s="151" t="s">
        <v>249</v>
      </c>
      <c r="X16" s="151" t="s">
        <v>130</v>
      </c>
      <c r="Y16" s="151" t="s">
        <v>291</v>
      </c>
      <c r="Z16" s="151">
        <v>2</v>
      </c>
      <c r="AA16" s="151" t="s">
        <v>130</v>
      </c>
      <c r="AB16" s="151" t="s">
        <v>249</v>
      </c>
      <c r="AC16" s="151">
        <v>0</v>
      </c>
      <c r="AD16" s="151">
        <v>29</v>
      </c>
      <c r="AE16" s="182" t="s">
        <v>333</v>
      </c>
    </row>
    <row r="17" spans="1:31" ht="51">
      <c r="A17" s="66">
        <v>16</v>
      </c>
      <c r="B17" s="173" t="s">
        <v>276</v>
      </c>
      <c r="C17" s="67" t="s">
        <v>277</v>
      </c>
      <c r="D17" s="207" t="s">
        <v>398</v>
      </c>
      <c r="E17" s="149" t="s">
        <v>279</v>
      </c>
      <c r="F17" s="149" t="s">
        <v>399</v>
      </c>
      <c r="G17" s="149" t="s">
        <v>400</v>
      </c>
      <c r="H17" s="66">
        <v>3</v>
      </c>
      <c r="I17" s="149" t="s">
        <v>401</v>
      </c>
      <c r="J17" s="150">
        <v>43423</v>
      </c>
      <c r="K17" s="150">
        <v>43396</v>
      </c>
      <c r="L17" s="151" t="s">
        <v>283</v>
      </c>
      <c r="M17" s="151" t="s">
        <v>402</v>
      </c>
      <c r="N17" s="152" t="s">
        <v>285</v>
      </c>
      <c r="O17" s="151">
        <v>9</v>
      </c>
      <c r="P17" s="153" t="s">
        <v>286</v>
      </c>
      <c r="Q17" s="154" t="s">
        <v>287</v>
      </c>
      <c r="R17" s="155" t="s">
        <v>288</v>
      </c>
      <c r="S17" s="155" t="s">
        <v>403</v>
      </c>
      <c r="T17" s="156">
        <v>1</v>
      </c>
      <c r="U17" s="151" t="s">
        <v>290</v>
      </c>
      <c r="V17" s="151" t="s">
        <v>70</v>
      </c>
      <c r="W17" s="151" t="s">
        <v>249</v>
      </c>
      <c r="X17" s="151" t="s">
        <v>130</v>
      </c>
      <c r="Y17" s="151" t="s">
        <v>291</v>
      </c>
      <c r="Z17" s="151">
        <v>15</v>
      </c>
      <c r="AA17" s="151" t="s">
        <v>130</v>
      </c>
      <c r="AB17" s="151" t="s">
        <v>249</v>
      </c>
      <c r="AC17" s="151">
        <v>0</v>
      </c>
      <c r="AD17" s="151">
        <v>12</v>
      </c>
      <c r="AE17" s="182" t="s">
        <v>333</v>
      </c>
    </row>
    <row r="18" spans="1:31" ht="63.75">
      <c r="A18" s="66">
        <v>17</v>
      </c>
      <c r="B18" s="173" t="s">
        <v>276</v>
      </c>
      <c r="C18" s="67" t="s">
        <v>277</v>
      </c>
      <c r="D18" s="207" t="s">
        <v>404</v>
      </c>
      <c r="E18" s="149" t="s">
        <v>279</v>
      </c>
      <c r="F18" s="149" t="s">
        <v>405</v>
      </c>
      <c r="G18" s="149" t="s">
        <v>406</v>
      </c>
      <c r="H18" s="66">
        <v>4</v>
      </c>
      <c r="I18" s="149" t="s">
        <v>407</v>
      </c>
      <c r="J18" s="150">
        <v>43423</v>
      </c>
      <c r="K18" s="150">
        <v>43397</v>
      </c>
      <c r="L18" s="151" t="s">
        <v>297</v>
      </c>
      <c r="M18" s="151" t="s">
        <v>408</v>
      </c>
      <c r="N18" s="152" t="s">
        <v>299</v>
      </c>
      <c r="O18" s="151">
        <v>12</v>
      </c>
      <c r="P18" s="153" t="s">
        <v>409</v>
      </c>
      <c r="Q18" s="154" t="s">
        <v>301</v>
      </c>
      <c r="R18" s="155" t="s">
        <v>302</v>
      </c>
      <c r="S18" s="155" t="s">
        <v>410</v>
      </c>
      <c r="T18" s="156">
        <v>1</v>
      </c>
      <c r="U18" s="151" t="s">
        <v>304</v>
      </c>
      <c r="V18" s="151" t="s">
        <v>70</v>
      </c>
      <c r="W18" s="151" t="s">
        <v>249</v>
      </c>
      <c r="X18" s="151" t="s">
        <v>130</v>
      </c>
      <c r="Y18" s="151" t="s">
        <v>291</v>
      </c>
      <c r="Z18" s="151">
        <v>-6</v>
      </c>
      <c r="AA18" s="151" t="s">
        <v>130</v>
      </c>
      <c r="AB18" s="151" t="s">
        <v>291</v>
      </c>
      <c r="AC18" s="151">
        <v>0</v>
      </c>
      <c r="AD18" s="151" t="s">
        <v>411</v>
      </c>
      <c r="AE18" s="182" t="s">
        <v>130</v>
      </c>
    </row>
    <row r="19" spans="1:31" ht="63.75">
      <c r="A19" s="66">
        <v>18</v>
      </c>
      <c r="B19" s="173" t="s">
        <v>276</v>
      </c>
      <c r="C19" s="67" t="s">
        <v>277</v>
      </c>
      <c r="D19" s="207" t="s">
        <v>412</v>
      </c>
      <c r="E19" s="149" t="s">
        <v>279</v>
      </c>
      <c r="F19" s="149" t="s">
        <v>413</v>
      </c>
      <c r="G19" s="149" t="s">
        <v>414</v>
      </c>
      <c r="H19" s="66">
        <v>3</v>
      </c>
      <c r="I19" s="149" t="s">
        <v>415</v>
      </c>
      <c r="J19" s="150">
        <v>43423</v>
      </c>
      <c r="K19" s="150">
        <v>43397</v>
      </c>
      <c r="L19" s="151" t="s">
        <v>283</v>
      </c>
      <c r="M19" s="151" t="s">
        <v>416</v>
      </c>
      <c r="N19" s="152" t="s">
        <v>311</v>
      </c>
      <c r="O19" s="151">
        <v>9</v>
      </c>
      <c r="P19" s="153" t="s">
        <v>330</v>
      </c>
      <c r="Q19" s="154" t="s">
        <v>287</v>
      </c>
      <c r="R19" s="155" t="s">
        <v>288</v>
      </c>
      <c r="S19" s="155" t="s">
        <v>417</v>
      </c>
      <c r="T19" s="156">
        <v>1</v>
      </c>
      <c r="U19" s="151" t="s">
        <v>290</v>
      </c>
      <c r="V19" s="151" t="s">
        <v>70</v>
      </c>
      <c r="W19" s="151" t="s">
        <v>249</v>
      </c>
      <c r="X19" s="151" t="s">
        <v>130</v>
      </c>
      <c r="Y19" s="151" t="s">
        <v>291</v>
      </c>
      <c r="Z19" s="151">
        <v>17</v>
      </c>
      <c r="AA19" s="151" t="s">
        <v>130</v>
      </c>
      <c r="AB19" s="151" t="s">
        <v>249</v>
      </c>
      <c r="AC19" s="151">
        <v>26.5</v>
      </c>
      <c r="AD19" s="151">
        <v>8</v>
      </c>
      <c r="AE19" s="182" t="s">
        <v>333</v>
      </c>
    </row>
    <row r="20" spans="1:31" ht="51">
      <c r="A20" s="66">
        <v>19</v>
      </c>
      <c r="B20" s="173" t="s">
        <v>276</v>
      </c>
      <c r="C20" s="67" t="s">
        <v>277</v>
      </c>
      <c r="D20" s="207" t="s">
        <v>418</v>
      </c>
      <c r="E20" s="149" t="s">
        <v>279</v>
      </c>
      <c r="F20" s="149" t="s">
        <v>419</v>
      </c>
      <c r="G20" s="149" t="s">
        <v>420</v>
      </c>
      <c r="H20" s="66">
        <v>3</v>
      </c>
      <c r="I20" s="149" t="s">
        <v>421</v>
      </c>
      <c r="J20" s="150">
        <v>43423</v>
      </c>
      <c r="K20" s="150">
        <v>43396</v>
      </c>
      <c r="L20" s="151" t="s">
        <v>283</v>
      </c>
      <c r="M20" s="151" t="s">
        <v>422</v>
      </c>
      <c r="N20" s="152" t="s">
        <v>285</v>
      </c>
      <c r="O20" s="151">
        <v>9</v>
      </c>
      <c r="P20" s="153" t="s">
        <v>286</v>
      </c>
      <c r="Q20" s="154" t="s">
        <v>287</v>
      </c>
      <c r="R20" s="155" t="s">
        <v>288</v>
      </c>
      <c r="S20" s="155" t="s">
        <v>423</v>
      </c>
      <c r="T20" s="156">
        <v>1</v>
      </c>
      <c r="U20" s="151" t="s">
        <v>290</v>
      </c>
      <c r="V20" s="151" t="s">
        <v>70</v>
      </c>
      <c r="W20" s="151" t="s">
        <v>249</v>
      </c>
      <c r="X20" s="151" t="s">
        <v>130</v>
      </c>
      <c r="Y20" s="151" t="s">
        <v>291</v>
      </c>
      <c r="Z20" s="151">
        <v>6</v>
      </c>
      <c r="AA20" s="151" t="s">
        <v>130</v>
      </c>
      <c r="AB20" s="151" t="s">
        <v>249</v>
      </c>
      <c r="AC20" s="151">
        <v>0</v>
      </c>
      <c r="AD20" s="151">
        <v>25</v>
      </c>
      <c r="AE20" s="182" t="s">
        <v>333</v>
      </c>
    </row>
    <row r="21" spans="1:31" ht="51">
      <c r="A21" s="66">
        <v>20</v>
      </c>
      <c r="B21" s="173" t="s">
        <v>276</v>
      </c>
      <c r="C21" s="67" t="s">
        <v>277</v>
      </c>
      <c r="D21" s="207" t="s">
        <v>424</v>
      </c>
      <c r="E21" s="149" t="s">
        <v>279</v>
      </c>
      <c r="F21" s="149" t="s">
        <v>425</v>
      </c>
      <c r="G21" s="149" t="s">
        <v>426</v>
      </c>
      <c r="H21" s="66">
        <v>3</v>
      </c>
      <c r="I21" s="149" t="s">
        <v>427</v>
      </c>
      <c r="J21" s="150">
        <v>43423</v>
      </c>
      <c r="K21" s="150">
        <v>43397</v>
      </c>
      <c r="L21" s="151" t="s">
        <v>283</v>
      </c>
      <c r="M21" s="151" t="s">
        <v>428</v>
      </c>
      <c r="N21" s="152" t="s">
        <v>311</v>
      </c>
      <c r="O21" s="151">
        <v>9</v>
      </c>
      <c r="P21" s="153" t="s">
        <v>429</v>
      </c>
      <c r="Q21" s="154" t="s">
        <v>319</v>
      </c>
      <c r="R21" s="155" t="s">
        <v>320</v>
      </c>
      <c r="S21" s="155" t="s">
        <v>430</v>
      </c>
      <c r="T21" s="156">
        <v>1</v>
      </c>
      <c r="U21" s="151" t="s">
        <v>322</v>
      </c>
      <c r="V21" s="151" t="s">
        <v>70</v>
      </c>
      <c r="W21" s="151" t="s">
        <v>249</v>
      </c>
      <c r="X21" s="151" t="s">
        <v>130</v>
      </c>
      <c r="Y21" s="151" t="s">
        <v>291</v>
      </c>
      <c r="Z21" s="151">
        <v>13</v>
      </c>
      <c r="AA21" s="151" t="s">
        <v>130</v>
      </c>
      <c r="AB21" s="151" t="s">
        <v>249</v>
      </c>
      <c r="AC21" s="151">
        <v>14</v>
      </c>
      <c r="AD21" s="151">
        <v>16</v>
      </c>
      <c r="AE21" s="182" t="s">
        <v>292</v>
      </c>
    </row>
    <row r="22" spans="1:31" ht="51">
      <c r="A22" s="66">
        <v>21</v>
      </c>
      <c r="B22" s="173" t="s">
        <v>276</v>
      </c>
      <c r="C22" s="67" t="s">
        <v>277</v>
      </c>
      <c r="D22" s="207" t="s">
        <v>431</v>
      </c>
      <c r="E22" s="149" t="s">
        <v>432</v>
      </c>
      <c r="F22" s="149" t="s">
        <v>433</v>
      </c>
      <c r="G22" s="149" t="s">
        <v>434</v>
      </c>
      <c r="H22" s="66">
        <v>3</v>
      </c>
      <c r="I22" s="149" t="s">
        <v>435</v>
      </c>
      <c r="J22" s="150">
        <v>43423</v>
      </c>
      <c r="K22" s="150">
        <v>43419</v>
      </c>
      <c r="L22" s="151" t="s">
        <v>283</v>
      </c>
      <c r="M22" s="151" t="s">
        <v>436</v>
      </c>
      <c r="N22" s="152" t="s">
        <v>437</v>
      </c>
      <c r="O22" s="151">
        <v>9</v>
      </c>
      <c r="P22" s="153" t="s">
        <v>438</v>
      </c>
      <c r="Q22" s="154" t="s">
        <v>439</v>
      </c>
      <c r="R22" s="155" t="s">
        <v>288</v>
      </c>
      <c r="S22" s="155" t="s">
        <v>440</v>
      </c>
      <c r="T22" s="156">
        <v>1</v>
      </c>
      <c r="U22" s="151" t="s">
        <v>441</v>
      </c>
      <c r="V22" s="151" t="s">
        <v>70</v>
      </c>
      <c r="W22" s="151" t="s">
        <v>249</v>
      </c>
      <c r="X22" s="151" t="s">
        <v>130</v>
      </c>
      <c r="Y22" s="151" t="s">
        <v>291</v>
      </c>
      <c r="Z22" s="151">
        <v>18</v>
      </c>
      <c r="AA22" s="151" t="s">
        <v>130</v>
      </c>
      <c r="AB22" s="151" t="s">
        <v>249</v>
      </c>
      <c r="AC22" s="151">
        <v>0</v>
      </c>
      <c r="AD22" s="151">
        <v>18</v>
      </c>
      <c r="AE22" s="182" t="s">
        <v>130</v>
      </c>
    </row>
    <row r="23" spans="1:31" ht="63.75">
      <c r="A23" s="66">
        <v>22</v>
      </c>
      <c r="B23" s="173" t="s">
        <v>276</v>
      </c>
      <c r="C23" s="67" t="s">
        <v>277</v>
      </c>
      <c r="D23" s="207" t="s">
        <v>442</v>
      </c>
      <c r="E23" s="149" t="s">
        <v>432</v>
      </c>
      <c r="F23" s="149" t="s">
        <v>443</v>
      </c>
      <c r="G23" s="149" t="s">
        <v>444</v>
      </c>
      <c r="H23" s="66">
        <v>4</v>
      </c>
      <c r="I23" s="149" t="s">
        <v>445</v>
      </c>
      <c r="J23" s="150">
        <v>43423</v>
      </c>
      <c r="K23" s="150">
        <v>43419</v>
      </c>
      <c r="L23" s="151" t="s">
        <v>297</v>
      </c>
      <c r="M23" s="151" t="s">
        <v>446</v>
      </c>
      <c r="N23" s="152" t="s">
        <v>447</v>
      </c>
      <c r="O23" s="151">
        <v>12</v>
      </c>
      <c r="P23" s="153" t="s">
        <v>448</v>
      </c>
      <c r="Q23" s="154" t="s">
        <v>449</v>
      </c>
      <c r="R23" s="155" t="s">
        <v>302</v>
      </c>
      <c r="S23" s="155" t="s">
        <v>450</v>
      </c>
      <c r="T23" s="156">
        <v>1</v>
      </c>
      <c r="U23" s="151" t="s">
        <v>451</v>
      </c>
      <c r="V23" s="151" t="s">
        <v>70</v>
      </c>
      <c r="W23" s="151" t="s">
        <v>249</v>
      </c>
      <c r="X23" s="151" t="s">
        <v>130</v>
      </c>
      <c r="Y23" s="151" t="s">
        <v>291</v>
      </c>
      <c r="Z23" s="151">
        <v>13</v>
      </c>
      <c r="AA23" s="151" t="s">
        <v>130</v>
      </c>
      <c r="AB23" s="151" t="s">
        <v>249</v>
      </c>
      <c r="AC23" s="151">
        <v>0</v>
      </c>
      <c r="AD23" s="151">
        <v>11</v>
      </c>
      <c r="AE23" s="182" t="s">
        <v>130</v>
      </c>
    </row>
    <row r="24" spans="1:31" ht="51">
      <c r="A24" s="66">
        <v>23</v>
      </c>
      <c r="B24" s="173" t="s">
        <v>276</v>
      </c>
      <c r="C24" s="67" t="s">
        <v>277</v>
      </c>
      <c r="D24" s="207" t="s">
        <v>452</v>
      </c>
      <c r="E24" s="149" t="s">
        <v>432</v>
      </c>
      <c r="F24" s="149" t="s">
        <v>453</v>
      </c>
      <c r="G24" s="149" t="s">
        <v>454</v>
      </c>
      <c r="H24" s="66">
        <v>3</v>
      </c>
      <c r="I24" s="149" t="s">
        <v>455</v>
      </c>
      <c r="J24" s="150">
        <v>43423</v>
      </c>
      <c r="K24" s="150">
        <v>43415</v>
      </c>
      <c r="L24" s="151" t="s">
        <v>283</v>
      </c>
      <c r="M24" s="151" t="s">
        <v>456</v>
      </c>
      <c r="N24" s="152" t="s">
        <v>457</v>
      </c>
      <c r="O24" s="151">
        <v>9</v>
      </c>
      <c r="P24" s="153" t="s">
        <v>286</v>
      </c>
      <c r="Q24" s="154" t="s">
        <v>458</v>
      </c>
      <c r="R24" s="155" t="s">
        <v>288</v>
      </c>
      <c r="S24" s="155" t="s">
        <v>459</v>
      </c>
      <c r="T24" s="156">
        <v>1</v>
      </c>
      <c r="U24" s="151" t="s">
        <v>441</v>
      </c>
      <c r="V24" s="151" t="s">
        <v>70</v>
      </c>
      <c r="W24" s="151" t="s">
        <v>249</v>
      </c>
      <c r="X24" s="151" t="s">
        <v>130</v>
      </c>
      <c r="Y24" s="151" t="s">
        <v>291</v>
      </c>
      <c r="Z24" s="151">
        <v>26</v>
      </c>
      <c r="AA24" s="151" t="s">
        <v>130</v>
      </c>
      <c r="AB24" s="151" t="s">
        <v>249</v>
      </c>
      <c r="AC24" s="151">
        <v>0</v>
      </c>
      <c r="AD24" s="151">
        <v>4</v>
      </c>
      <c r="AE24" s="182" t="s">
        <v>130</v>
      </c>
    </row>
    <row r="25" spans="1:31" ht="63.75">
      <c r="A25" s="66">
        <v>24</v>
      </c>
      <c r="B25" s="173" t="s">
        <v>276</v>
      </c>
      <c r="C25" s="67" t="s">
        <v>277</v>
      </c>
      <c r="D25" s="207" t="s">
        <v>460</v>
      </c>
      <c r="E25" s="149" t="s">
        <v>432</v>
      </c>
      <c r="F25" s="149" t="s">
        <v>461</v>
      </c>
      <c r="G25" s="149" t="s">
        <v>462</v>
      </c>
      <c r="H25" s="66">
        <v>4</v>
      </c>
      <c r="I25" s="149" t="s">
        <v>463</v>
      </c>
      <c r="J25" s="150">
        <v>43423</v>
      </c>
      <c r="K25" s="150">
        <v>43419</v>
      </c>
      <c r="L25" s="151" t="s">
        <v>297</v>
      </c>
      <c r="M25" s="151" t="s">
        <v>464</v>
      </c>
      <c r="N25" s="152" t="s">
        <v>447</v>
      </c>
      <c r="O25" s="151">
        <v>12</v>
      </c>
      <c r="P25" s="153" t="s">
        <v>465</v>
      </c>
      <c r="Q25" s="154" t="s">
        <v>449</v>
      </c>
      <c r="R25" s="155" t="s">
        <v>302</v>
      </c>
      <c r="S25" s="155" t="s">
        <v>466</v>
      </c>
      <c r="T25" s="156">
        <v>1</v>
      </c>
      <c r="U25" s="151" t="s">
        <v>451</v>
      </c>
      <c r="V25" s="151" t="s">
        <v>70</v>
      </c>
      <c r="W25" s="151" t="s">
        <v>249</v>
      </c>
      <c r="X25" s="151" t="s">
        <v>130</v>
      </c>
      <c r="Y25" s="151" t="s">
        <v>291</v>
      </c>
      <c r="Z25" s="151">
        <v>19</v>
      </c>
      <c r="AA25" s="151" t="s">
        <v>130</v>
      </c>
      <c r="AB25" s="151" t="s">
        <v>249</v>
      </c>
      <c r="AC25" s="151">
        <v>0</v>
      </c>
      <c r="AD25" s="151">
        <v>14</v>
      </c>
      <c r="AE25" s="182" t="s">
        <v>130</v>
      </c>
    </row>
    <row r="26" spans="1:31" ht="51">
      <c r="A26" s="66">
        <v>25</v>
      </c>
      <c r="B26" s="173" t="s">
        <v>276</v>
      </c>
      <c r="C26" s="67" t="s">
        <v>277</v>
      </c>
      <c r="D26" s="207" t="s">
        <v>467</v>
      </c>
      <c r="E26" s="149" t="s">
        <v>432</v>
      </c>
      <c r="F26" s="149" t="s">
        <v>468</v>
      </c>
      <c r="G26" s="149" t="s">
        <v>469</v>
      </c>
      <c r="H26" s="66">
        <v>4</v>
      </c>
      <c r="I26" s="149" t="s">
        <v>470</v>
      </c>
      <c r="J26" s="150">
        <v>43423</v>
      </c>
      <c r="K26" s="150">
        <v>43419</v>
      </c>
      <c r="L26" s="151" t="s">
        <v>297</v>
      </c>
      <c r="M26" s="151" t="s">
        <v>471</v>
      </c>
      <c r="N26" s="152" t="s">
        <v>447</v>
      </c>
      <c r="O26" s="151">
        <v>10</v>
      </c>
      <c r="P26" s="153" t="s">
        <v>472</v>
      </c>
      <c r="Q26" s="154" t="s">
        <v>473</v>
      </c>
      <c r="R26" s="155" t="s">
        <v>302</v>
      </c>
      <c r="S26" s="155" t="s">
        <v>474</v>
      </c>
      <c r="T26" s="156">
        <v>1</v>
      </c>
      <c r="U26" s="151" t="s">
        <v>451</v>
      </c>
      <c r="V26" s="151" t="s">
        <v>70</v>
      </c>
      <c r="W26" s="151" t="s">
        <v>249</v>
      </c>
      <c r="X26" s="151" t="s">
        <v>130</v>
      </c>
      <c r="Y26" s="151" t="s">
        <v>291</v>
      </c>
      <c r="Z26" s="151">
        <v>21</v>
      </c>
      <c r="AA26" s="151" t="s">
        <v>130</v>
      </c>
      <c r="AB26" s="151" t="s">
        <v>249</v>
      </c>
      <c r="AC26" s="151">
        <v>0</v>
      </c>
      <c r="AD26" s="151">
        <v>11</v>
      </c>
      <c r="AE26" s="182" t="s">
        <v>130</v>
      </c>
    </row>
    <row r="27" spans="1:31" ht="51">
      <c r="A27" s="66">
        <v>26</v>
      </c>
      <c r="B27" s="173" t="s">
        <v>276</v>
      </c>
      <c r="C27" s="67" t="s">
        <v>277</v>
      </c>
      <c r="D27" s="207" t="s">
        <v>475</v>
      </c>
      <c r="E27" s="149" t="s">
        <v>432</v>
      </c>
      <c r="F27" s="149" t="s">
        <v>476</v>
      </c>
      <c r="G27" s="149" t="s">
        <v>477</v>
      </c>
      <c r="H27" s="66">
        <v>4</v>
      </c>
      <c r="I27" s="149" t="s">
        <v>478</v>
      </c>
      <c r="J27" s="150">
        <v>43423</v>
      </c>
      <c r="K27" s="150">
        <v>43420</v>
      </c>
      <c r="L27" s="151" t="s">
        <v>297</v>
      </c>
      <c r="M27" s="151" t="s">
        <v>479</v>
      </c>
      <c r="N27" s="152" t="s">
        <v>447</v>
      </c>
      <c r="O27" s="151">
        <v>10</v>
      </c>
      <c r="P27" s="153" t="s">
        <v>472</v>
      </c>
      <c r="Q27" s="154" t="s">
        <v>473</v>
      </c>
      <c r="R27" s="155" t="s">
        <v>302</v>
      </c>
      <c r="S27" s="155" t="s">
        <v>480</v>
      </c>
      <c r="T27" s="156">
        <v>1</v>
      </c>
      <c r="U27" s="151" t="s">
        <v>451</v>
      </c>
      <c r="V27" s="151" t="s">
        <v>70</v>
      </c>
      <c r="W27" s="151" t="s">
        <v>291</v>
      </c>
      <c r="X27" s="151">
        <v>36</v>
      </c>
      <c r="Y27" s="151" t="s">
        <v>291</v>
      </c>
      <c r="Z27" s="151">
        <v>29</v>
      </c>
      <c r="AA27" s="151" t="s">
        <v>130</v>
      </c>
      <c r="AB27" s="151" t="s">
        <v>249</v>
      </c>
      <c r="AC27" s="151">
        <v>36</v>
      </c>
      <c r="AD27" s="151">
        <v>7</v>
      </c>
      <c r="AE27" s="182" t="s">
        <v>130</v>
      </c>
    </row>
    <row r="28" spans="1:31" ht="51">
      <c r="A28" s="66">
        <v>27</v>
      </c>
      <c r="B28" s="173" t="s">
        <v>276</v>
      </c>
      <c r="C28" s="67" t="s">
        <v>277</v>
      </c>
      <c r="D28" s="207" t="s">
        <v>481</v>
      </c>
      <c r="E28" s="149" t="s">
        <v>432</v>
      </c>
      <c r="F28" s="149" t="s">
        <v>482</v>
      </c>
      <c r="G28" s="149" t="s">
        <v>483</v>
      </c>
      <c r="H28" s="66">
        <v>3</v>
      </c>
      <c r="I28" s="149" t="s">
        <v>484</v>
      </c>
      <c r="J28" s="150">
        <v>43423</v>
      </c>
      <c r="K28" s="150">
        <v>43415</v>
      </c>
      <c r="L28" s="151" t="s">
        <v>283</v>
      </c>
      <c r="M28" s="151" t="s">
        <v>485</v>
      </c>
      <c r="N28" s="152" t="s">
        <v>457</v>
      </c>
      <c r="O28" s="151">
        <v>9</v>
      </c>
      <c r="P28" s="153" t="s">
        <v>286</v>
      </c>
      <c r="Q28" s="154" t="s">
        <v>458</v>
      </c>
      <c r="R28" s="155" t="s">
        <v>288</v>
      </c>
      <c r="S28" s="155" t="s">
        <v>486</v>
      </c>
      <c r="T28" s="156">
        <v>1</v>
      </c>
      <c r="U28" s="151" t="s">
        <v>441</v>
      </c>
      <c r="V28" s="151" t="s">
        <v>70</v>
      </c>
      <c r="W28" s="151" t="s">
        <v>291</v>
      </c>
      <c r="X28" s="151">
        <v>33</v>
      </c>
      <c r="Y28" s="151" t="s">
        <v>291</v>
      </c>
      <c r="Z28" s="151">
        <v>29</v>
      </c>
      <c r="AA28" s="151" t="s">
        <v>130</v>
      </c>
      <c r="AB28" s="151" t="s">
        <v>249</v>
      </c>
      <c r="AC28" s="151">
        <v>0</v>
      </c>
      <c r="AD28" s="151">
        <v>4</v>
      </c>
      <c r="AE28" s="182" t="s">
        <v>130</v>
      </c>
    </row>
    <row r="29" spans="1:31" ht="51">
      <c r="A29" s="66">
        <v>28</v>
      </c>
      <c r="B29" s="173" t="s">
        <v>276</v>
      </c>
      <c r="C29" s="67" t="s">
        <v>277</v>
      </c>
      <c r="D29" s="207" t="s">
        <v>487</v>
      </c>
      <c r="E29" s="149" t="s">
        <v>432</v>
      </c>
      <c r="F29" s="149" t="s">
        <v>488</v>
      </c>
      <c r="G29" s="149" t="s">
        <v>489</v>
      </c>
      <c r="H29" s="66">
        <v>3</v>
      </c>
      <c r="I29" s="149" t="s">
        <v>490</v>
      </c>
      <c r="J29" s="150">
        <v>43423</v>
      </c>
      <c r="K29" s="150">
        <v>43415</v>
      </c>
      <c r="L29" s="151" t="s">
        <v>283</v>
      </c>
      <c r="M29" s="151" t="s">
        <v>491</v>
      </c>
      <c r="N29" s="152" t="s">
        <v>457</v>
      </c>
      <c r="O29" s="151">
        <v>9</v>
      </c>
      <c r="P29" s="153" t="s">
        <v>492</v>
      </c>
      <c r="Q29" s="154" t="s">
        <v>458</v>
      </c>
      <c r="R29" s="155" t="s">
        <v>288</v>
      </c>
      <c r="S29" s="155" t="s">
        <v>493</v>
      </c>
      <c r="T29" s="156">
        <v>1</v>
      </c>
      <c r="U29" s="151" t="s">
        <v>441</v>
      </c>
      <c r="V29" s="151" t="s">
        <v>70</v>
      </c>
      <c r="W29" s="151" t="s">
        <v>291</v>
      </c>
      <c r="X29" s="151">
        <v>33</v>
      </c>
      <c r="Y29" s="151" t="s">
        <v>291</v>
      </c>
      <c r="Z29" s="151">
        <v>29</v>
      </c>
      <c r="AA29" s="151" t="s">
        <v>130</v>
      </c>
      <c r="AB29" s="151" t="s">
        <v>249</v>
      </c>
      <c r="AC29" s="151">
        <v>0</v>
      </c>
      <c r="AD29" s="151">
        <v>4</v>
      </c>
      <c r="AE29" s="182" t="s">
        <v>130</v>
      </c>
    </row>
    <row r="30" spans="1:31" ht="63.75">
      <c r="A30" s="66">
        <v>29</v>
      </c>
      <c r="B30" s="173" t="s">
        <v>276</v>
      </c>
      <c r="C30" s="67" t="s">
        <v>277</v>
      </c>
      <c r="D30" s="207" t="s">
        <v>494</v>
      </c>
      <c r="E30" s="149" t="s">
        <v>432</v>
      </c>
      <c r="F30" s="149" t="s">
        <v>495</v>
      </c>
      <c r="G30" s="149" t="s">
        <v>496</v>
      </c>
      <c r="H30" s="66">
        <v>4</v>
      </c>
      <c r="I30" s="149" t="s">
        <v>497</v>
      </c>
      <c r="J30" s="150">
        <v>43423</v>
      </c>
      <c r="K30" s="150">
        <v>43416</v>
      </c>
      <c r="L30" s="151" t="s">
        <v>297</v>
      </c>
      <c r="M30" s="151" t="s">
        <v>498</v>
      </c>
      <c r="N30" s="152" t="s">
        <v>447</v>
      </c>
      <c r="O30" s="151">
        <v>12</v>
      </c>
      <c r="P30" s="153" t="s">
        <v>499</v>
      </c>
      <c r="Q30" s="154" t="s">
        <v>449</v>
      </c>
      <c r="R30" s="155" t="s">
        <v>302</v>
      </c>
      <c r="S30" s="155" t="s">
        <v>500</v>
      </c>
      <c r="T30" s="156">
        <v>1</v>
      </c>
      <c r="U30" s="151" t="s">
        <v>451</v>
      </c>
      <c r="V30" s="151" t="s">
        <v>70</v>
      </c>
      <c r="W30" s="151" t="s">
        <v>291</v>
      </c>
      <c r="X30" s="151">
        <v>36</v>
      </c>
      <c r="Y30" s="151" t="s">
        <v>291</v>
      </c>
      <c r="Z30" s="151">
        <v>29</v>
      </c>
      <c r="AA30" s="151" t="s">
        <v>130</v>
      </c>
      <c r="AB30" s="151" t="s">
        <v>249</v>
      </c>
      <c r="AC30" s="151">
        <v>0</v>
      </c>
      <c r="AD30" s="151">
        <v>7</v>
      </c>
      <c r="AE30" s="182" t="s">
        <v>130</v>
      </c>
    </row>
    <row r="31" spans="1:31" ht="63.75">
      <c r="A31" s="66">
        <v>30</v>
      </c>
      <c r="B31" s="173" t="s">
        <v>276</v>
      </c>
      <c r="C31" s="67" t="s">
        <v>277</v>
      </c>
      <c r="D31" s="207" t="s">
        <v>501</v>
      </c>
      <c r="E31" s="149" t="s">
        <v>432</v>
      </c>
      <c r="F31" s="149" t="s">
        <v>502</v>
      </c>
      <c r="G31" s="149" t="s">
        <v>503</v>
      </c>
      <c r="H31" s="66">
        <v>4</v>
      </c>
      <c r="I31" s="149" t="s">
        <v>504</v>
      </c>
      <c r="J31" s="150">
        <v>43423</v>
      </c>
      <c r="K31" s="150">
        <v>43416</v>
      </c>
      <c r="L31" s="151" t="s">
        <v>297</v>
      </c>
      <c r="M31" s="151" t="s">
        <v>505</v>
      </c>
      <c r="N31" s="152" t="s">
        <v>447</v>
      </c>
      <c r="O31" s="151">
        <v>12</v>
      </c>
      <c r="P31" s="153" t="s">
        <v>409</v>
      </c>
      <c r="Q31" s="154" t="s">
        <v>449</v>
      </c>
      <c r="R31" s="155" t="s">
        <v>302</v>
      </c>
      <c r="S31" s="155" t="s">
        <v>506</v>
      </c>
      <c r="T31" s="156">
        <v>1</v>
      </c>
      <c r="U31" s="151" t="s">
        <v>451</v>
      </c>
      <c r="V31" s="151" t="s">
        <v>70</v>
      </c>
      <c r="W31" s="151" t="s">
        <v>249</v>
      </c>
      <c r="X31" s="151" t="s">
        <v>130</v>
      </c>
      <c r="Y31" s="151" t="s">
        <v>291</v>
      </c>
      <c r="Z31" s="151">
        <v>14</v>
      </c>
      <c r="AA31" s="151" t="s">
        <v>130</v>
      </c>
      <c r="AB31" s="151" t="s">
        <v>249</v>
      </c>
      <c r="AC31" s="151">
        <v>0</v>
      </c>
      <c r="AD31" s="151">
        <v>14</v>
      </c>
      <c r="AE31" s="182" t="s">
        <v>130</v>
      </c>
    </row>
    <row r="32" spans="1:31" ht="63.75">
      <c r="A32" s="66">
        <v>31</v>
      </c>
      <c r="B32" s="173" t="s">
        <v>276</v>
      </c>
      <c r="C32" s="67" t="s">
        <v>277</v>
      </c>
      <c r="D32" s="207" t="s">
        <v>507</v>
      </c>
      <c r="E32" s="149" t="s">
        <v>432</v>
      </c>
      <c r="F32" s="149" t="s">
        <v>508</v>
      </c>
      <c r="G32" s="149" t="s">
        <v>509</v>
      </c>
      <c r="H32" s="66">
        <v>4</v>
      </c>
      <c r="I32" s="149" t="s">
        <v>510</v>
      </c>
      <c r="J32" s="150">
        <v>43423</v>
      </c>
      <c r="K32" s="150">
        <v>43416</v>
      </c>
      <c r="L32" s="151" t="s">
        <v>297</v>
      </c>
      <c r="M32" s="151" t="s">
        <v>511</v>
      </c>
      <c r="N32" s="152" t="s">
        <v>447</v>
      </c>
      <c r="O32" s="151">
        <v>12</v>
      </c>
      <c r="P32" s="153" t="s">
        <v>409</v>
      </c>
      <c r="Q32" s="154" t="s">
        <v>449</v>
      </c>
      <c r="R32" s="155" t="s">
        <v>302</v>
      </c>
      <c r="S32" s="155" t="s">
        <v>512</v>
      </c>
      <c r="T32" s="156">
        <v>1</v>
      </c>
      <c r="U32" s="151" t="s">
        <v>451</v>
      </c>
      <c r="V32" s="151" t="s">
        <v>70</v>
      </c>
      <c r="W32" s="151" t="s">
        <v>249</v>
      </c>
      <c r="X32" s="151" t="s">
        <v>130</v>
      </c>
      <c r="Y32" s="151" t="s">
        <v>291</v>
      </c>
      <c r="Z32" s="151">
        <v>13</v>
      </c>
      <c r="AA32" s="151" t="s">
        <v>130</v>
      </c>
      <c r="AB32" s="151" t="s">
        <v>249</v>
      </c>
      <c r="AC32" s="151">
        <v>0</v>
      </c>
      <c r="AD32" s="151">
        <v>14</v>
      </c>
      <c r="AE32" s="182" t="s">
        <v>130</v>
      </c>
    </row>
    <row r="33" spans="1:31" ht="51">
      <c r="A33" s="66">
        <v>32</v>
      </c>
      <c r="B33" s="173" t="s">
        <v>276</v>
      </c>
      <c r="C33" s="67" t="s">
        <v>277</v>
      </c>
      <c r="D33" s="207" t="s">
        <v>513</v>
      </c>
      <c r="E33" s="149" t="s">
        <v>432</v>
      </c>
      <c r="F33" s="149" t="s">
        <v>514</v>
      </c>
      <c r="G33" s="149" t="s">
        <v>515</v>
      </c>
      <c r="H33" s="66">
        <v>3</v>
      </c>
      <c r="I33" s="149" t="s">
        <v>516</v>
      </c>
      <c r="J33" s="150">
        <v>43423</v>
      </c>
      <c r="K33" s="150">
        <v>43415</v>
      </c>
      <c r="L33" s="151" t="s">
        <v>283</v>
      </c>
      <c r="M33" s="151" t="s">
        <v>517</v>
      </c>
      <c r="N33" s="152" t="s">
        <v>457</v>
      </c>
      <c r="O33" s="151">
        <v>9</v>
      </c>
      <c r="P33" s="153" t="s">
        <v>518</v>
      </c>
      <c r="Q33" s="154" t="s">
        <v>458</v>
      </c>
      <c r="R33" s="155" t="s">
        <v>288</v>
      </c>
      <c r="S33" s="155" t="s">
        <v>493</v>
      </c>
      <c r="T33" s="156">
        <v>1</v>
      </c>
      <c r="U33" s="151" t="s">
        <v>441</v>
      </c>
      <c r="V33" s="151" t="s">
        <v>70</v>
      </c>
      <c r="W33" s="151" t="s">
        <v>291</v>
      </c>
      <c r="X33" s="151">
        <v>33</v>
      </c>
      <c r="Y33" s="151" t="s">
        <v>291</v>
      </c>
      <c r="Z33" s="151">
        <v>29</v>
      </c>
      <c r="AA33" s="151" t="s">
        <v>130</v>
      </c>
      <c r="AB33" s="151" t="s">
        <v>249</v>
      </c>
      <c r="AC33" s="151">
        <v>0</v>
      </c>
      <c r="AD33" s="151">
        <v>4</v>
      </c>
      <c r="AE33" s="182" t="s">
        <v>130</v>
      </c>
    </row>
    <row r="34" spans="1:31" ht="63.75">
      <c r="A34" s="66">
        <v>33</v>
      </c>
      <c r="B34" s="173" t="s">
        <v>276</v>
      </c>
      <c r="C34" s="67" t="s">
        <v>277</v>
      </c>
      <c r="D34" s="207" t="s">
        <v>519</v>
      </c>
      <c r="E34" s="149" t="s">
        <v>432</v>
      </c>
      <c r="F34" s="149" t="s">
        <v>520</v>
      </c>
      <c r="G34" s="149" t="s">
        <v>521</v>
      </c>
      <c r="H34" s="66">
        <v>4</v>
      </c>
      <c r="I34" s="149" t="s">
        <v>522</v>
      </c>
      <c r="J34" s="150">
        <v>43423</v>
      </c>
      <c r="K34" s="150">
        <v>43416</v>
      </c>
      <c r="L34" s="151" t="s">
        <v>297</v>
      </c>
      <c r="M34" s="151" t="s">
        <v>523</v>
      </c>
      <c r="N34" s="152" t="s">
        <v>447</v>
      </c>
      <c r="O34" s="151">
        <v>12</v>
      </c>
      <c r="P34" s="153" t="s">
        <v>409</v>
      </c>
      <c r="Q34" s="154" t="s">
        <v>449</v>
      </c>
      <c r="R34" s="155" t="s">
        <v>302</v>
      </c>
      <c r="S34" s="155" t="s">
        <v>524</v>
      </c>
      <c r="T34" s="156">
        <v>1</v>
      </c>
      <c r="U34" s="151" t="s">
        <v>451</v>
      </c>
      <c r="V34" s="151" t="s">
        <v>70</v>
      </c>
      <c r="W34" s="151" t="s">
        <v>249</v>
      </c>
      <c r="X34" s="151" t="s">
        <v>130</v>
      </c>
      <c r="Y34" s="151" t="s">
        <v>291</v>
      </c>
      <c r="Z34" s="151">
        <v>11</v>
      </c>
      <c r="AA34" s="151" t="s">
        <v>130</v>
      </c>
      <c r="AB34" s="151" t="s">
        <v>249</v>
      </c>
      <c r="AC34" s="151">
        <v>0</v>
      </c>
      <c r="AD34" s="151">
        <v>11</v>
      </c>
      <c r="AE34" s="182" t="s">
        <v>130</v>
      </c>
    </row>
    <row r="35" spans="1:31" ht="63.75">
      <c r="A35" s="66">
        <v>34</v>
      </c>
      <c r="B35" s="173" t="s">
        <v>276</v>
      </c>
      <c r="C35" s="67" t="s">
        <v>277</v>
      </c>
      <c r="D35" s="207" t="s">
        <v>525</v>
      </c>
      <c r="E35" s="149" t="s">
        <v>432</v>
      </c>
      <c r="F35" s="149" t="s">
        <v>526</v>
      </c>
      <c r="G35" s="149" t="s">
        <v>527</v>
      </c>
      <c r="H35" s="66">
        <v>4</v>
      </c>
      <c r="I35" s="149" t="s">
        <v>528</v>
      </c>
      <c r="J35" s="150">
        <v>43423</v>
      </c>
      <c r="K35" s="150">
        <v>43419</v>
      </c>
      <c r="L35" s="151" t="s">
        <v>297</v>
      </c>
      <c r="M35" s="151" t="s">
        <v>529</v>
      </c>
      <c r="N35" s="152" t="s">
        <v>447</v>
      </c>
      <c r="O35" s="151">
        <v>12</v>
      </c>
      <c r="P35" s="153" t="s">
        <v>409</v>
      </c>
      <c r="Q35" s="154" t="s">
        <v>449</v>
      </c>
      <c r="R35" s="155" t="s">
        <v>302</v>
      </c>
      <c r="S35" s="155" t="s">
        <v>530</v>
      </c>
      <c r="T35" s="156">
        <v>1</v>
      </c>
      <c r="U35" s="151" t="s">
        <v>451</v>
      </c>
      <c r="V35" s="151" t="s">
        <v>70</v>
      </c>
      <c r="W35" s="151" t="s">
        <v>249</v>
      </c>
      <c r="X35" s="151" t="s">
        <v>130</v>
      </c>
      <c r="Y35" s="151" t="s">
        <v>291</v>
      </c>
      <c r="Z35" s="151">
        <v>12</v>
      </c>
      <c r="AA35" s="151" t="s">
        <v>130</v>
      </c>
      <c r="AB35" s="151" t="s">
        <v>249</v>
      </c>
      <c r="AC35" s="151">
        <v>0</v>
      </c>
      <c r="AD35" s="151">
        <v>14</v>
      </c>
      <c r="AE35" s="182" t="s">
        <v>130</v>
      </c>
    </row>
    <row r="36" spans="1:31" ht="51">
      <c r="A36" s="66">
        <v>35</v>
      </c>
      <c r="B36" s="173" t="s">
        <v>276</v>
      </c>
      <c r="C36" s="67" t="s">
        <v>277</v>
      </c>
      <c r="D36" s="207" t="s">
        <v>531</v>
      </c>
      <c r="E36" s="149" t="s">
        <v>432</v>
      </c>
      <c r="F36" s="149" t="s">
        <v>532</v>
      </c>
      <c r="G36" s="149" t="s">
        <v>533</v>
      </c>
      <c r="H36" s="66">
        <v>3</v>
      </c>
      <c r="I36" s="149" t="s">
        <v>534</v>
      </c>
      <c r="J36" s="150">
        <v>43423</v>
      </c>
      <c r="K36" s="150">
        <v>43415</v>
      </c>
      <c r="L36" s="151" t="s">
        <v>283</v>
      </c>
      <c r="M36" s="151" t="s">
        <v>535</v>
      </c>
      <c r="N36" s="152" t="s">
        <v>437</v>
      </c>
      <c r="O36" s="151">
        <v>9</v>
      </c>
      <c r="P36" s="153" t="s">
        <v>286</v>
      </c>
      <c r="Q36" s="154" t="s">
        <v>439</v>
      </c>
      <c r="R36" s="155" t="s">
        <v>288</v>
      </c>
      <c r="S36" s="155" t="s">
        <v>486</v>
      </c>
      <c r="T36" s="156">
        <v>1</v>
      </c>
      <c r="U36" s="151" t="s">
        <v>441</v>
      </c>
      <c r="V36" s="151" t="s">
        <v>70</v>
      </c>
      <c r="W36" s="151" t="s">
        <v>291</v>
      </c>
      <c r="X36" s="151">
        <v>33</v>
      </c>
      <c r="Y36" s="151" t="s">
        <v>291</v>
      </c>
      <c r="Z36" s="151">
        <v>26</v>
      </c>
      <c r="AA36" s="151" t="s">
        <v>130</v>
      </c>
      <c r="AB36" s="151" t="s">
        <v>249</v>
      </c>
      <c r="AC36" s="151">
        <v>0</v>
      </c>
      <c r="AD36" s="151">
        <v>7</v>
      </c>
      <c r="AE36" s="182" t="s">
        <v>130</v>
      </c>
    </row>
    <row r="37" spans="1:31" ht="51">
      <c r="A37" s="66">
        <v>36</v>
      </c>
      <c r="B37" s="173" t="s">
        <v>276</v>
      </c>
      <c r="C37" s="67" t="s">
        <v>277</v>
      </c>
      <c r="D37" s="207" t="s">
        <v>536</v>
      </c>
      <c r="E37" s="149" t="s">
        <v>432</v>
      </c>
      <c r="F37" s="149" t="s">
        <v>537</v>
      </c>
      <c r="G37" s="149" t="s">
        <v>538</v>
      </c>
      <c r="H37" s="66">
        <v>3</v>
      </c>
      <c r="I37" s="149" t="s">
        <v>539</v>
      </c>
      <c r="J37" s="150">
        <v>43423</v>
      </c>
      <c r="K37" s="150">
        <v>43415</v>
      </c>
      <c r="L37" s="151" t="s">
        <v>283</v>
      </c>
      <c r="M37" s="151" t="s">
        <v>540</v>
      </c>
      <c r="N37" s="152" t="s">
        <v>457</v>
      </c>
      <c r="O37" s="151">
        <v>9</v>
      </c>
      <c r="P37" s="153" t="s">
        <v>286</v>
      </c>
      <c r="Q37" s="154" t="s">
        <v>458</v>
      </c>
      <c r="R37" s="155" t="s">
        <v>288</v>
      </c>
      <c r="S37" s="155" t="s">
        <v>541</v>
      </c>
      <c r="T37" s="156">
        <v>1</v>
      </c>
      <c r="U37" s="151" t="s">
        <v>441</v>
      </c>
      <c r="V37" s="151" t="s">
        <v>70</v>
      </c>
      <c r="W37" s="151" t="s">
        <v>291</v>
      </c>
      <c r="X37" s="151">
        <v>32</v>
      </c>
      <c r="Y37" s="151" t="s">
        <v>291</v>
      </c>
      <c r="Z37" s="151">
        <v>28</v>
      </c>
      <c r="AA37" s="151" t="s">
        <v>130</v>
      </c>
      <c r="AB37" s="151" t="s">
        <v>249</v>
      </c>
      <c r="AC37" s="151">
        <v>0</v>
      </c>
      <c r="AD37" s="151">
        <v>4</v>
      </c>
      <c r="AE37" s="182" t="s">
        <v>130</v>
      </c>
    </row>
    <row r="38" spans="1:31" ht="63.75">
      <c r="A38" s="66">
        <v>37</v>
      </c>
      <c r="B38" s="173" t="s">
        <v>276</v>
      </c>
      <c r="C38" s="67" t="s">
        <v>277</v>
      </c>
      <c r="D38" s="207" t="s">
        <v>542</v>
      </c>
      <c r="E38" s="149" t="s">
        <v>432</v>
      </c>
      <c r="F38" s="149" t="s">
        <v>543</v>
      </c>
      <c r="G38" s="149" t="s">
        <v>544</v>
      </c>
      <c r="H38" s="66">
        <v>4</v>
      </c>
      <c r="I38" s="149" t="s">
        <v>545</v>
      </c>
      <c r="J38" s="150">
        <v>43423</v>
      </c>
      <c r="K38" s="150">
        <v>43415</v>
      </c>
      <c r="L38" s="151" t="s">
        <v>297</v>
      </c>
      <c r="M38" s="151" t="s">
        <v>546</v>
      </c>
      <c r="N38" s="152" t="s">
        <v>447</v>
      </c>
      <c r="O38" s="151">
        <v>12</v>
      </c>
      <c r="P38" s="153" t="s">
        <v>547</v>
      </c>
      <c r="Q38" s="154" t="s">
        <v>449</v>
      </c>
      <c r="R38" s="155" t="s">
        <v>302</v>
      </c>
      <c r="S38" s="155" t="s">
        <v>548</v>
      </c>
      <c r="T38" s="156">
        <v>1</v>
      </c>
      <c r="U38" s="151" t="s">
        <v>451</v>
      </c>
      <c r="V38" s="151" t="s">
        <v>70</v>
      </c>
      <c r="W38" s="151" t="s">
        <v>249</v>
      </c>
      <c r="X38" s="151" t="s">
        <v>130</v>
      </c>
      <c r="Y38" s="151" t="s">
        <v>291</v>
      </c>
      <c r="Z38" s="151">
        <v>19</v>
      </c>
      <c r="AA38" s="151" t="s">
        <v>130</v>
      </c>
      <c r="AB38" s="151" t="s">
        <v>249</v>
      </c>
      <c r="AC38" s="151">
        <v>33</v>
      </c>
      <c r="AD38" s="151" t="s">
        <v>549</v>
      </c>
      <c r="AE38" s="182" t="s">
        <v>130</v>
      </c>
    </row>
    <row r="39" spans="1:31" ht="63.75">
      <c r="A39" s="66">
        <v>38</v>
      </c>
      <c r="B39" s="173" t="s">
        <v>276</v>
      </c>
      <c r="C39" s="67" t="s">
        <v>277</v>
      </c>
      <c r="D39" s="207" t="s">
        <v>550</v>
      </c>
      <c r="E39" s="149" t="s">
        <v>432</v>
      </c>
      <c r="F39" s="149" t="s">
        <v>551</v>
      </c>
      <c r="G39" s="149" t="s">
        <v>552</v>
      </c>
      <c r="H39" s="66">
        <v>4</v>
      </c>
      <c r="I39" s="149" t="s">
        <v>553</v>
      </c>
      <c r="J39" s="150">
        <v>43423</v>
      </c>
      <c r="K39" s="150">
        <v>43419</v>
      </c>
      <c r="L39" s="151" t="s">
        <v>297</v>
      </c>
      <c r="M39" s="151" t="s">
        <v>554</v>
      </c>
      <c r="N39" s="152" t="s">
        <v>447</v>
      </c>
      <c r="O39" s="151">
        <v>12</v>
      </c>
      <c r="P39" s="153" t="s">
        <v>409</v>
      </c>
      <c r="Q39" s="154" t="s">
        <v>449</v>
      </c>
      <c r="R39" s="155" t="s">
        <v>302</v>
      </c>
      <c r="S39" s="155" t="s">
        <v>500</v>
      </c>
      <c r="T39" s="156">
        <v>1</v>
      </c>
      <c r="U39" s="151" t="s">
        <v>451</v>
      </c>
      <c r="V39" s="151" t="s">
        <v>70</v>
      </c>
      <c r="W39" s="151" t="s">
        <v>291</v>
      </c>
      <c r="X39" s="151">
        <v>36</v>
      </c>
      <c r="Y39" s="151" t="s">
        <v>291</v>
      </c>
      <c r="Z39" s="151">
        <v>29</v>
      </c>
      <c r="AA39" s="151" t="s">
        <v>130</v>
      </c>
      <c r="AB39" s="151" t="s">
        <v>249</v>
      </c>
      <c r="AC39" s="151">
        <v>0</v>
      </c>
      <c r="AD39" s="151" t="s">
        <v>555</v>
      </c>
      <c r="AE39" s="182" t="s">
        <v>130</v>
      </c>
    </row>
    <row r="40" spans="1:31" ht="51">
      <c r="A40" s="66">
        <v>39</v>
      </c>
      <c r="B40" s="173" t="s">
        <v>276</v>
      </c>
      <c r="C40" s="67" t="s">
        <v>277</v>
      </c>
      <c r="D40" s="207" t="s">
        <v>556</v>
      </c>
      <c r="E40" s="149" t="s">
        <v>432</v>
      </c>
      <c r="F40" s="149" t="s">
        <v>557</v>
      </c>
      <c r="G40" s="149" t="s">
        <v>558</v>
      </c>
      <c r="H40" s="66">
        <v>3</v>
      </c>
      <c r="I40" s="149" t="s">
        <v>559</v>
      </c>
      <c r="J40" s="150">
        <v>43423</v>
      </c>
      <c r="K40" s="150">
        <v>43420</v>
      </c>
      <c r="L40" s="151" t="s">
        <v>283</v>
      </c>
      <c r="M40" s="151" t="s">
        <v>560</v>
      </c>
      <c r="N40" s="152" t="s">
        <v>437</v>
      </c>
      <c r="O40" s="151">
        <v>9</v>
      </c>
      <c r="P40" s="153" t="s">
        <v>286</v>
      </c>
      <c r="Q40" s="154" t="s">
        <v>439</v>
      </c>
      <c r="R40" s="155" t="s">
        <v>288</v>
      </c>
      <c r="S40" s="155" t="s">
        <v>561</v>
      </c>
      <c r="T40" s="156">
        <v>1</v>
      </c>
      <c r="U40" s="151" t="s">
        <v>441</v>
      </c>
      <c r="V40" s="151" t="s">
        <v>70</v>
      </c>
      <c r="W40" s="151" t="s">
        <v>291</v>
      </c>
      <c r="X40" s="151">
        <v>37</v>
      </c>
      <c r="Y40" s="151" t="s">
        <v>291</v>
      </c>
      <c r="Z40" s="151">
        <v>33</v>
      </c>
      <c r="AA40" s="151" t="s">
        <v>130</v>
      </c>
      <c r="AB40" s="151" t="s">
        <v>249</v>
      </c>
      <c r="AC40" s="151">
        <v>37</v>
      </c>
      <c r="AD40" s="151">
        <v>4</v>
      </c>
      <c r="AE40" s="182" t="s">
        <v>130</v>
      </c>
    </row>
    <row r="41" spans="1:31" ht="63.75">
      <c r="A41" s="66">
        <v>40</v>
      </c>
      <c r="B41" s="173" t="s">
        <v>276</v>
      </c>
      <c r="C41" s="67" t="s">
        <v>277</v>
      </c>
      <c r="D41" s="207" t="s">
        <v>562</v>
      </c>
      <c r="E41" s="149" t="s">
        <v>432</v>
      </c>
      <c r="F41" s="149" t="s">
        <v>563</v>
      </c>
      <c r="G41" s="149" t="s">
        <v>564</v>
      </c>
      <c r="H41" s="66">
        <v>4</v>
      </c>
      <c r="I41" s="149" t="s">
        <v>565</v>
      </c>
      <c r="J41" s="150">
        <v>43423</v>
      </c>
      <c r="K41" s="150">
        <v>43419</v>
      </c>
      <c r="L41" s="151" t="s">
        <v>297</v>
      </c>
      <c r="M41" s="151" t="s">
        <v>566</v>
      </c>
      <c r="N41" s="152" t="s">
        <v>447</v>
      </c>
      <c r="O41" s="151">
        <v>12</v>
      </c>
      <c r="P41" s="153" t="s">
        <v>448</v>
      </c>
      <c r="Q41" s="154" t="s">
        <v>449</v>
      </c>
      <c r="R41" s="155" t="s">
        <v>302</v>
      </c>
      <c r="S41" s="155" t="s">
        <v>567</v>
      </c>
      <c r="T41" s="156">
        <v>1</v>
      </c>
      <c r="U41" s="151" t="s">
        <v>451</v>
      </c>
      <c r="V41" s="151" t="s">
        <v>70</v>
      </c>
      <c r="W41" s="151" t="s">
        <v>249</v>
      </c>
      <c r="X41" s="151" t="s">
        <v>130</v>
      </c>
      <c r="Y41" s="151" t="s">
        <v>291</v>
      </c>
      <c r="Z41" s="151">
        <v>19</v>
      </c>
      <c r="AA41" s="151" t="s">
        <v>130</v>
      </c>
      <c r="AB41" s="151" t="s">
        <v>249</v>
      </c>
      <c r="AC41" s="151">
        <v>0</v>
      </c>
      <c r="AD41" s="151">
        <v>11</v>
      </c>
      <c r="AE41" s="182" t="s">
        <v>130</v>
      </c>
    </row>
    <row r="42" spans="1:31" ht="63.75">
      <c r="A42" s="66">
        <v>41</v>
      </c>
      <c r="B42" s="173" t="s">
        <v>276</v>
      </c>
      <c r="C42" s="67" t="s">
        <v>277</v>
      </c>
      <c r="D42" s="207" t="s">
        <v>568</v>
      </c>
      <c r="E42" s="149" t="s">
        <v>432</v>
      </c>
      <c r="F42" s="149" t="s">
        <v>569</v>
      </c>
      <c r="G42" s="149" t="s">
        <v>570</v>
      </c>
      <c r="H42" s="66">
        <v>4</v>
      </c>
      <c r="I42" s="149" t="s">
        <v>571</v>
      </c>
      <c r="J42" s="150">
        <v>43423</v>
      </c>
      <c r="K42" s="150">
        <v>43419</v>
      </c>
      <c r="L42" s="151" t="s">
        <v>297</v>
      </c>
      <c r="M42" s="151" t="s">
        <v>572</v>
      </c>
      <c r="N42" s="152" t="s">
        <v>447</v>
      </c>
      <c r="O42" s="151">
        <v>12</v>
      </c>
      <c r="P42" s="153" t="s">
        <v>499</v>
      </c>
      <c r="Q42" s="154" t="s">
        <v>449</v>
      </c>
      <c r="R42" s="155" t="s">
        <v>302</v>
      </c>
      <c r="S42" s="155" t="s">
        <v>573</v>
      </c>
      <c r="T42" s="156">
        <v>1</v>
      </c>
      <c r="U42" s="151" t="s">
        <v>451</v>
      </c>
      <c r="V42" s="151" t="s">
        <v>70</v>
      </c>
      <c r="W42" s="151" t="s">
        <v>249</v>
      </c>
      <c r="X42" s="151" t="s">
        <v>130</v>
      </c>
      <c r="Y42" s="151" t="s">
        <v>291</v>
      </c>
      <c r="Z42" s="151">
        <v>22</v>
      </c>
      <c r="AA42" s="151" t="s">
        <v>130</v>
      </c>
      <c r="AB42" s="151" t="s">
        <v>249</v>
      </c>
      <c r="AC42" s="151">
        <v>0</v>
      </c>
      <c r="AD42" s="151">
        <v>14</v>
      </c>
      <c r="AE42" s="182" t="s">
        <v>130</v>
      </c>
    </row>
    <row r="43" spans="1:31" ht="63.75">
      <c r="A43" s="66">
        <v>42</v>
      </c>
      <c r="B43" s="173" t="s">
        <v>276</v>
      </c>
      <c r="C43" s="67" t="s">
        <v>277</v>
      </c>
      <c r="D43" s="207" t="s">
        <v>574</v>
      </c>
      <c r="E43" s="149" t="s">
        <v>432</v>
      </c>
      <c r="F43" s="149" t="s">
        <v>575</v>
      </c>
      <c r="G43" s="149" t="s">
        <v>576</v>
      </c>
      <c r="H43" s="66">
        <v>4</v>
      </c>
      <c r="I43" s="149" t="s">
        <v>577</v>
      </c>
      <c r="J43" s="150">
        <v>43423</v>
      </c>
      <c r="K43" s="150">
        <v>43418</v>
      </c>
      <c r="L43" s="151" t="s">
        <v>297</v>
      </c>
      <c r="M43" s="151" t="s">
        <v>578</v>
      </c>
      <c r="N43" s="152" t="s">
        <v>447</v>
      </c>
      <c r="O43" s="151">
        <v>12</v>
      </c>
      <c r="P43" s="153" t="s">
        <v>579</v>
      </c>
      <c r="Q43" s="154" t="s">
        <v>449</v>
      </c>
      <c r="R43" s="155" t="s">
        <v>302</v>
      </c>
      <c r="S43" s="155" t="s">
        <v>580</v>
      </c>
      <c r="T43" s="156">
        <v>1</v>
      </c>
      <c r="U43" s="151" t="s">
        <v>451</v>
      </c>
      <c r="V43" s="151" t="s">
        <v>70</v>
      </c>
      <c r="W43" s="151" t="s">
        <v>249</v>
      </c>
      <c r="X43" s="151" t="s">
        <v>130</v>
      </c>
      <c r="Y43" s="151" t="s">
        <v>291</v>
      </c>
      <c r="Z43" s="151">
        <v>13</v>
      </c>
      <c r="AA43" s="151" t="s">
        <v>130</v>
      </c>
      <c r="AB43" s="151" t="s">
        <v>249</v>
      </c>
      <c r="AC43" s="151">
        <v>0</v>
      </c>
      <c r="AD43" s="151">
        <v>14</v>
      </c>
      <c r="AE43" s="182" t="s">
        <v>130</v>
      </c>
    </row>
    <row r="44" spans="1:31" ht="51">
      <c r="A44" s="66">
        <v>43</v>
      </c>
      <c r="B44" s="173" t="s">
        <v>276</v>
      </c>
      <c r="C44" s="67" t="s">
        <v>277</v>
      </c>
      <c r="D44" s="207" t="s">
        <v>581</v>
      </c>
      <c r="E44" s="149" t="s">
        <v>432</v>
      </c>
      <c r="F44" s="149" t="s">
        <v>582</v>
      </c>
      <c r="G44" s="149" t="s">
        <v>583</v>
      </c>
      <c r="H44" s="66">
        <v>3</v>
      </c>
      <c r="I44" s="149" t="s">
        <v>584</v>
      </c>
      <c r="J44" s="150">
        <v>43423</v>
      </c>
      <c r="K44" s="150">
        <v>43419</v>
      </c>
      <c r="L44" s="151" t="s">
        <v>283</v>
      </c>
      <c r="M44" s="151" t="s">
        <v>585</v>
      </c>
      <c r="N44" s="152" t="s">
        <v>457</v>
      </c>
      <c r="O44" s="151">
        <v>9</v>
      </c>
      <c r="P44" s="153" t="s">
        <v>286</v>
      </c>
      <c r="Q44" s="154" t="s">
        <v>458</v>
      </c>
      <c r="R44" s="155" t="s">
        <v>288</v>
      </c>
      <c r="S44" s="155" t="s">
        <v>289</v>
      </c>
      <c r="T44" s="156">
        <v>1</v>
      </c>
      <c r="U44" s="151" t="s">
        <v>441</v>
      </c>
      <c r="V44" s="151" t="s">
        <v>70</v>
      </c>
      <c r="W44" s="151" t="s">
        <v>249</v>
      </c>
      <c r="X44" s="151" t="s">
        <v>130</v>
      </c>
      <c r="Y44" s="151" t="s">
        <v>291</v>
      </c>
      <c r="Z44" s="151">
        <v>25</v>
      </c>
      <c r="AA44" s="151" t="s">
        <v>130</v>
      </c>
      <c r="AB44" s="151" t="s">
        <v>249</v>
      </c>
      <c r="AC44" s="151">
        <v>0</v>
      </c>
      <c r="AD44" s="151">
        <v>11</v>
      </c>
      <c r="AE44" s="182" t="s">
        <v>130</v>
      </c>
    </row>
    <row r="45" spans="1:31" ht="63.75">
      <c r="A45" s="66">
        <v>44</v>
      </c>
      <c r="B45" s="173" t="s">
        <v>276</v>
      </c>
      <c r="C45" s="67" t="s">
        <v>277</v>
      </c>
      <c r="D45" s="207" t="s">
        <v>586</v>
      </c>
      <c r="E45" s="149" t="s">
        <v>432</v>
      </c>
      <c r="F45" s="149" t="s">
        <v>587</v>
      </c>
      <c r="G45" s="149" t="s">
        <v>588</v>
      </c>
      <c r="H45" s="66">
        <v>4</v>
      </c>
      <c r="I45" s="149" t="s">
        <v>589</v>
      </c>
      <c r="J45" s="150">
        <v>43423</v>
      </c>
      <c r="K45" s="150">
        <v>43414</v>
      </c>
      <c r="L45" s="151" t="s">
        <v>297</v>
      </c>
      <c r="M45" s="151" t="s">
        <v>590</v>
      </c>
      <c r="N45" s="152" t="s">
        <v>447</v>
      </c>
      <c r="O45" s="151">
        <v>12</v>
      </c>
      <c r="P45" s="153" t="s">
        <v>591</v>
      </c>
      <c r="Q45" s="154" t="s">
        <v>449</v>
      </c>
      <c r="R45" s="155" t="s">
        <v>302</v>
      </c>
      <c r="S45" s="155" t="s">
        <v>592</v>
      </c>
      <c r="T45" s="156">
        <v>1</v>
      </c>
      <c r="U45" s="151" t="s">
        <v>451</v>
      </c>
      <c r="V45" s="151" t="s">
        <v>70</v>
      </c>
      <c r="W45" s="151" t="s">
        <v>249</v>
      </c>
      <c r="X45" s="151" t="s">
        <v>130</v>
      </c>
      <c r="Y45" s="151" t="s">
        <v>291</v>
      </c>
      <c r="Z45" s="151">
        <v>19</v>
      </c>
      <c r="AA45" s="151" t="s">
        <v>130</v>
      </c>
      <c r="AB45" s="151" t="s">
        <v>249</v>
      </c>
      <c r="AC45" s="151">
        <v>0</v>
      </c>
      <c r="AD45" s="151">
        <v>11</v>
      </c>
      <c r="AE45" s="182" t="s">
        <v>130</v>
      </c>
    </row>
    <row r="46" spans="1:31" ht="63.75">
      <c r="A46" s="66">
        <v>45</v>
      </c>
      <c r="B46" s="173" t="s">
        <v>276</v>
      </c>
      <c r="C46" s="67" t="s">
        <v>277</v>
      </c>
      <c r="D46" s="207" t="s">
        <v>593</v>
      </c>
      <c r="E46" s="149" t="s">
        <v>432</v>
      </c>
      <c r="F46" s="149" t="s">
        <v>594</v>
      </c>
      <c r="G46" s="149" t="s">
        <v>595</v>
      </c>
      <c r="H46" s="66">
        <v>4</v>
      </c>
      <c r="I46" s="149" t="s">
        <v>596</v>
      </c>
      <c r="J46" s="150">
        <v>43423</v>
      </c>
      <c r="K46" s="150">
        <v>43414</v>
      </c>
      <c r="L46" s="151" t="s">
        <v>297</v>
      </c>
      <c r="M46" s="151" t="s">
        <v>597</v>
      </c>
      <c r="N46" s="152" t="s">
        <v>447</v>
      </c>
      <c r="O46" s="151">
        <v>12</v>
      </c>
      <c r="P46" s="153" t="s">
        <v>598</v>
      </c>
      <c r="Q46" s="154" t="s">
        <v>449</v>
      </c>
      <c r="R46" s="155" t="s">
        <v>302</v>
      </c>
      <c r="S46" s="155" t="s">
        <v>599</v>
      </c>
      <c r="T46" s="156">
        <v>1</v>
      </c>
      <c r="U46" s="151" t="s">
        <v>451</v>
      </c>
      <c r="V46" s="151" t="s">
        <v>70</v>
      </c>
      <c r="W46" s="151" t="s">
        <v>249</v>
      </c>
      <c r="X46" s="151" t="s">
        <v>130</v>
      </c>
      <c r="Y46" s="151" t="s">
        <v>291</v>
      </c>
      <c r="Z46" s="151">
        <v>10</v>
      </c>
      <c r="AA46" s="151" t="s">
        <v>130</v>
      </c>
      <c r="AB46" s="151" t="s">
        <v>249</v>
      </c>
      <c r="AC46" s="151">
        <v>0</v>
      </c>
      <c r="AD46" s="151">
        <v>14</v>
      </c>
      <c r="AE46" s="182" t="s">
        <v>130</v>
      </c>
    </row>
    <row r="47" spans="1:31" ht="63.75">
      <c r="A47" s="66">
        <v>46</v>
      </c>
      <c r="B47" s="173" t="s">
        <v>276</v>
      </c>
      <c r="C47" s="67" t="s">
        <v>277</v>
      </c>
      <c r="D47" s="207" t="s">
        <v>600</v>
      </c>
      <c r="E47" s="149" t="s">
        <v>432</v>
      </c>
      <c r="F47" s="149" t="s">
        <v>601</v>
      </c>
      <c r="G47" s="149" t="s">
        <v>602</v>
      </c>
      <c r="H47" s="66">
        <v>4</v>
      </c>
      <c r="I47" s="149" t="s">
        <v>603</v>
      </c>
      <c r="J47" s="150">
        <v>43423</v>
      </c>
      <c r="K47" s="150">
        <v>43419</v>
      </c>
      <c r="L47" s="151" t="s">
        <v>297</v>
      </c>
      <c r="M47" s="151" t="s">
        <v>604</v>
      </c>
      <c r="N47" s="152" t="s">
        <v>447</v>
      </c>
      <c r="O47" s="151">
        <v>12</v>
      </c>
      <c r="P47" s="153" t="s">
        <v>605</v>
      </c>
      <c r="Q47" s="154" t="s">
        <v>449</v>
      </c>
      <c r="R47" s="155" t="s">
        <v>302</v>
      </c>
      <c r="S47" s="155" t="s">
        <v>606</v>
      </c>
      <c r="T47" s="156">
        <v>1</v>
      </c>
      <c r="U47" s="151" t="s">
        <v>451</v>
      </c>
      <c r="V47" s="151" t="s">
        <v>70</v>
      </c>
      <c r="W47" s="151" t="s">
        <v>249</v>
      </c>
      <c r="X47" s="151" t="s">
        <v>130</v>
      </c>
      <c r="Y47" s="151" t="s">
        <v>291</v>
      </c>
      <c r="Z47" s="151">
        <v>18</v>
      </c>
      <c r="AA47" s="151" t="s">
        <v>130</v>
      </c>
      <c r="AB47" s="151" t="s">
        <v>249</v>
      </c>
      <c r="AC47" s="151">
        <v>0</v>
      </c>
      <c r="AD47" s="151">
        <v>14</v>
      </c>
      <c r="AE47" s="182" t="s">
        <v>130</v>
      </c>
    </row>
    <row r="48" spans="1:31" ht="51">
      <c r="A48" s="66">
        <v>47</v>
      </c>
      <c r="B48" s="173" t="s">
        <v>276</v>
      </c>
      <c r="C48" s="67" t="s">
        <v>277</v>
      </c>
      <c r="D48" s="207" t="s">
        <v>607</v>
      </c>
      <c r="E48" s="149" t="s">
        <v>432</v>
      </c>
      <c r="F48" s="149" t="s">
        <v>608</v>
      </c>
      <c r="G48" s="149" t="s">
        <v>609</v>
      </c>
      <c r="H48" s="66">
        <v>3</v>
      </c>
      <c r="I48" s="149" t="s">
        <v>610</v>
      </c>
      <c r="J48" s="150">
        <v>43423</v>
      </c>
      <c r="K48" s="150">
        <v>43414</v>
      </c>
      <c r="L48" s="151" t="s">
        <v>283</v>
      </c>
      <c r="M48" s="151" t="s">
        <v>611</v>
      </c>
      <c r="N48" s="152" t="s">
        <v>457</v>
      </c>
      <c r="O48" s="151">
        <v>9</v>
      </c>
      <c r="P48" s="153" t="s">
        <v>286</v>
      </c>
      <c r="Q48" s="154" t="s">
        <v>458</v>
      </c>
      <c r="R48" s="155" t="s">
        <v>288</v>
      </c>
      <c r="S48" s="155" t="s">
        <v>440</v>
      </c>
      <c r="T48" s="156">
        <v>1</v>
      </c>
      <c r="U48" s="151" t="s">
        <v>441</v>
      </c>
      <c r="V48" s="151" t="s">
        <v>70</v>
      </c>
      <c r="W48" s="151" t="s">
        <v>291</v>
      </c>
      <c r="X48" s="151">
        <v>36</v>
      </c>
      <c r="Y48" s="151" t="s">
        <v>291</v>
      </c>
      <c r="Z48" s="151">
        <v>25</v>
      </c>
      <c r="AA48" s="151" t="s">
        <v>130</v>
      </c>
      <c r="AB48" s="151" t="s">
        <v>249</v>
      </c>
      <c r="AC48" s="151">
        <v>0</v>
      </c>
      <c r="AD48" s="151">
        <v>11</v>
      </c>
      <c r="AE48" s="182" t="s">
        <v>130</v>
      </c>
    </row>
    <row r="49" spans="1:31" ht="51">
      <c r="A49" s="66">
        <v>48</v>
      </c>
      <c r="B49" s="173" t="s">
        <v>276</v>
      </c>
      <c r="C49" s="67" t="s">
        <v>277</v>
      </c>
      <c r="D49" s="207" t="s">
        <v>612</v>
      </c>
      <c r="E49" s="149" t="s">
        <v>432</v>
      </c>
      <c r="F49" s="149" t="s">
        <v>613</v>
      </c>
      <c r="G49" s="149" t="s">
        <v>614</v>
      </c>
      <c r="H49" s="66">
        <v>3</v>
      </c>
      <c r="I49" s="149" t="s">
        <v>615</v>
      </c>
      <c r="J49" s="150">
        <v>43423</v>
      </c>
      <c r="K49" s="150">
        <v>43418</v>
      </c>
      <c r="L49" s="151" t="s">
        <v>283</v>
      </c>
      <c r="M49" s="151" t="s">
        <v>616</v>
      </c>
      <c r="N49" s="152" t="s">
        <v>457</v>
      </c>
      <c r="O49" s="151">
        <v>9</v>
      </c>
      <c r="P49" s="153" t="s">
        <v>286</v>
      </c>
      <c r="Q49" s="154" t="s">
        <v>458</v>
      </c>
      <c r="R49" s="155" t="s">
        <v>288</v>
      </c>
      <c r="S49" s="155" t="s">
        <v>289</v>
      </c>
      <c r="T49" s="156">
        <v>1</v>
      </c>
      <c r="U49" s="151" t="s">
        <v>441</v>
      </c>
      <c r="V49" s="151" t="s">
        <v>70</v>
      </c>
      <c r="W49" s="151" t="s">
        <v>291</v>
      </c>
      <c r="X49" s="151">
        <v>36</v>
      </c>
      <c r="Y49" s="151" t="s">
        <v>291</v>
      </c>
      <c r="Z49" s="151">
        <v>25</v>
      </c>
      <c r="AA49" s="151" t="s">
        <v>130</v>
      </c>
      <c r="AB49" s="151" t="s">
        <v>249</v>
      </c>
      <c r="AC49" s="151">
        <v>0</v>
      </c>
      <c r="AD49" s="151">
        <v>11</v>
      </c>
      <c r="AE49" s="182" t="s">
        <v>130</v>
      </c>
    </row>
    <row r="50" spans="1:31" ht="63.75">
      <c r="A50" s="66">
        <v>49</v>
      </c>
      <c r="B50" s="173" t="s">
        <v>276</v>
      </c>
      <c r="C50" s="67" t="s">
        <v>277</v>
      </c>
      <c r="D50" s="207" t="s">
        <v>617</v>
      </c>
      <c r="E50" s="149" t="s">
        <v>432</v>
      </c>
      <c r="F50" s="149" t="s">
        <v>618</v>
      </c>
      <c r="G50" s="149" t="s">
        <v>619</v>
      </c>
      <c r="H50" s="66">
        <v>4</v>
      </c>
      <c r="I50" s="149" t="s">
        <v>620</v>
      </c>
      <c r="J50" s="150">
        <v>43423</v>
      </c>
      <c r="K50" s="150">
        <v>43418</v>
      </c>
      <c r="L50" s="151" t="s">
        <v>297</v>
      </c>
      <c r="M50" s="151" t="s">
        <v>621</v>
      </c>
      <c r="N50" s="152" t="s">
        <v>447</v>
      </c>
      <c r="O50" s="151">
        <v>12</v>
      </c>
      <c r="P50" s="153" t="s">
        <v>622</v>
      </c>
      <c r="Q50" s="154" t="s">
        <v>449</v>
      </c>
      <c r="R50" s="155" t="s">
        <v>302</v>
      </c>
      <c r="S50" s="155" t="s">
        <v>623</v>
      </c>
      <c r="T50" s="156">
        <v>1</v>
      </c>
      <c r="U50" s="151" t="s">
        <v>451</v>
      </c>
      <c r="V50" s="151" t="s">
        <v>70</v>
      </c>
      <c r="W50" s="151" t="s">
        <v>291</v>
      </c>
      <c r="X50" s="151">
        <v>35</v>
      </c>
      <c r="Y50" s="151" t="s">
        <v>291</v>
      </c>
      <c r="Z50" s="151">
        <v>28</v>
      </c>
      <c r="AA50" s="151" t="s">
        <v>130</v>
      </c>
      <c r="AB50" s="151" t="s">
        <v>249</v>
      </c>
      <c r="AC50" s="151">
        <v>0</v>
      </c>
      <c r="AD50" s="151">
        <v>7</v>
      </c>
      <c r="AE50" s="182" t="s">
        <v>130</v>
      </c>
    </row>
    <row r="51" spans="1:31" ht="51">
      <c r="A51" s="66">
        <v>50</v>
      </c>
      <c r="B51" s="173" t="s">
        <v>276</v>
      </c>
      <c r="C51" s="67" t="s">
        <v>277</v>
      </c>
      <c r="D51" s="207" t="s">
        <v>624</v>
      </c>
      <c r="E51" s="149" t="s">
        <v>432</v>
      </c>
      <c r="F51" s="149" t="s">
        <v>625</v>
      </c>
      <c r="G51" s="149" t="s">
        <v>626</v>
      </c>
      <c r="H51" s="66">
        <v>4</v>
      </c>
      <c r="I51" s="149" t="s">
        <v>627</v>
      </c>
      <c r="J51" s="150">
        <v>43423</v>
      </c>
      <c r="K51" s="150">
        <v>43420</v>
      </c>
      <c r="L51" s="151" t="s">
        <v>297</v>
      </c>
      <c r="M51" s="151" t="s">
        <v>628</v>
      </c>
      <c r="N51" s="152" t="s">
        <v>629</v>
      </c>
      <c r="O51" s="151">
        <v>10</v>
      </c>
      <c r="P51" s="153" t="s">
        <v>630</v>
      </c>
      <c r="Q51" s="154" t="s">
        <v>631</v>
      </c>
      <c r="R51" s="155" t="s">
        <v>302</v>
      </c>
      <c r="S51" s="155" t="s">
        <v>632</v>
      </c>
      <c r="T51" s="156">
        <v>1</v>
      </c>
      <c r="U51" s="151" t="s">
        <v>633</v>
      </c>
      <c r="V51" s="151" t="s">
        <v>70</v>
      </c>
      <c r="W51" s="151" t="s">
        <v>291</v>
      </c>
      <c r="X51" s="151">
        <v>36</v>
      </c>
      <c r="Y51" s="151" t="s">
        <v>291</v>
      </c>
      <c r="Z51" s="151">
        <v>32</v>
      </c>
      <c r="AA51" s="151" t="s">
        <v>130</v>
      </c>
      <c r="AB51" s="151" t="s">
        <v>249</v>
      </c>
      <c r="AC51" s="151">
        <v>36</v>
      </c>
      <c r="AD51" s="151">
        <v>4</v>
      </c>
      <c r="AE51" s="182" t="s">
        <v>634</v>
      </c>
    </row>
    <row r="52" spans="1:31" ht="63.75">
      <c r="A52" s="66">
        <v>51</v>
      </c>
      <c r="B52" s="173" t="s">
        <v>276</v>
      </c>
      <c r="C52" s="67" t="s">
        <v>277</v>
      </c>
      <c r="D52" s="207" t="s">
        <v>635</v>
      </c>
      <c r="E52" s="149" t="s">
        <v>636</v>
      </c>
      <c r="F52" s="149" t="s">
        <v>637</v>
      </c>
      <c r="G52" s="149" t="s">
        <v>638</v>
      </c>
      <c r="H52" s="66">
        <v>4</v>
      </c>
      <c r="I52" s="149" t="s">
        <v>639</v>
      </c>
      <c r="J52" s="150">
        <v>43423</v>
      </c>
      <c r="K52" s="150">
        <v>43408</v>
      </c>
      <c r="L52" s="151" t="s">
        <v>297</v>
      </c>
      <c r="M52" s="151" t="s">
        <v>640</v>
      </c>
      <c r="N52" s="152" t="s">
        <v>641</v>
      </c>
      <c r="O52" s="151">
        <v>12</v>
      </c>
      <c r="P52" s="153" t="s">
        <v>642</v>
      </c>
      <c r="Q52" s="154" t="s">
        <v>643</v>
      </c>
      <c r="R52" s="155" t="s">
        <v>302</v>
      </c>
      <c r="S52" s="155" t="s">
        <v>644</v>
      </c>
      <c r="T52" s="156">
        <v>1</v>
      </c>
      <c r="U52" s="151" t="s">
        <v>304</v>
      </c>
      <c r="V52" s="151" t="s">
        <v>70</v>
      </c>
      <c r="W52" s="151" t="s">
        <v>249</v>
      </c>
      <c r="X52" s="151" t="s">
        <v>130</v>
      </c>
      <c r="Y52" s="151" t="s">
        <v>291</v>
      </c>
      <c r="Z52" s="151">
        <v>20</v>
      </c>
      <c r="AA52" s="151" t="s">
        <v>130</v>
      </c>
      <c r="AB52" s="151" t="s">
        <v>249</v>
      </c>
      <c r="AC52" s="151">
        <v>0</v>
      </c>
      <c r="AD52" s="151">
        <v>18</v>
      </c>
      <c r="AE52" s="182" t="s">
        <v>130</v>
      </c>
    </row>
    <row r="53" spans="1:31" ht="51">
      <c r="A53" s="66">
        <v>52</v>
      </c>
      <c r="B53" s="173" t="s">
        <v>276</v>
      </c>
      <c r="C53" s="67" t="s">
        <v>277</v>
      </c>
      <c r="D53" s="207" t="s">
        <v>645</v>
      </c>
      <c r="E53" s="149" t="s">
        <v>636</v>
      </c>
      <c r="F53" s="149" t="s">
        <v>646</v>
      </c>
      <c r="G53" s="149" t="s">
        <v>647</v>
      </c>
      <c r="H53" s="66">
        <v>3</v>
      </c>
      <c r="I53" s="149" t="s">
        <v>648</v>
      </c>
      <c r="J53" s="150">
        <v>43423</v>
      </c>
      <c r="K53" s="150">
        <v>43408</v>
      </c>
      <c r="L53" s="151" t="s">
        <v>283</v>
      </c>
      <c r="M53" s="151" t="s">
        <v>649</v>
      </c>
      <c r="N53" s="152" t="s">
        <v>650</v>
      </c>
      <c r="O53" s="151">
        <v>9</v>
      </c>
      <c r="P53" s="153" t="s">
        <v>364</v>
      </c>
      <c r="Q53" s="154" t="s">
        <v>651</v>
      </c>
      <c r="R53" s="155" t="s">
        <v>320</v>
      </c>
      <c r="S53" s="155" t="s">
        <v>652</v>
      </c>
      <c r="T53" s="156">
        <v>1</v>
      </c>
      <c r="U53" s="151" t="s">
        <v>322</v>
      </c>
      <c r="V53" s="151" t="s">
        <v>70</v>
      </c>
      <c r="W53" s="151" t="s">
        <v>249</v>
      </c>
      <c r="X53" s="151" t="s">
        <v>130</v>
      </c>
      <c r="Y53" s="151" t="s">
        <v>291</v>
      </c>
      <c r="Z53" s="151">
        <v>25</v>
      </c>
      <c r="AA53" s="151" t="s">
        <v>130</v>
      </c>
      <c r="AB53" s="151" t="s">
        <v>249</v>
      </c>
      <c r="AC53" s="151">
        <v>0</v>
      </c>
      <c r="AD53" s="151">
        <v>11</v>
      </c>
      <c r="AE53" s="182" t="s">
        <v>130</v>
      </c>
    </row>
    <row r="54" spans="1:31" ht="51">
      <c r="A54" s="66">
        <v>53</v>
      </c>
      <c r="B54" s="173" t="s">
        <v>276</v>
      </c>
      <c r="C54" s="67" t="s">
        <v>277</v>
      </c>
      <c r="D54" s="207" t="s">
        <v>653</v>
      </c>
      <c r="E54" s="149" t="s">
        <v>636</v>
      </c>
      <c r="F54" s="149" t="s">
        <v>654</v>
      </c>
      <c r="G54" s="149" t="s">
        <v>655</v>
      </c>
      <c r="H54" s="66">
        <v>3</v>
      </c>
      <c r="I54" s="149" t="s">
        <v>656</v>
      </c>
      <c r="J54" s="150">
        <v>43423</v>
      </c>
      <c r="K54" s="150">
        <v>43408</v>
      </c>
      <c r="L54" s="151" t="s">
        <v>283</v>
      </c>
      <c r="M54" s="151" t="s">
        <v>657</v>
      </c>
      <c r="N54" s="152" t="s">
        <v>650</v>
      </c>
      <c r="O54" s="151">
        <v>9</v>
      </c>
      <c r="P54" s="153" t="s">
        <v>364</v>
      </c>
      <c r="Q54" s="154" t="s">
        <v>658</v>
      </c>
      <c r="R54" s="155" t="s">
        <v>288</v>
      </c>
      <c r="S54" s="155" t="s">
        <v>659</v>
      </c>
      <c r="T54" s="156">
        <v>1</v>
      </c>
      <c r="U54" s="151" t="s">
        <v>290</v>
      </c>
      <c r="V54" s="151" t="s">
        <v>70</v>
      </c>
      <c r="W54" s="151" t="s">
        <v>291</v>
      </c>
      <c r="X54" s="151">
        <v>38</v>
      </c>
      <c r="Y54" s="151" t="s">
        <v>291</v>
      </c>
      <c r="Z54" s="151">
        <v>27</v>
      </c>
      <c r="AA54" s="151" t="s">
        <v>130</v>
      </c>
      <c r="AB54" s="151" t="s">
        <v>249</v>
      </c>
      <c r="AC54" s="151">
        <v>0</v>
      </c>
      <c r="AD54" s="151">
        <v>11</v>
      </c>
      <c r="AE54" s="182" t="s">
        <v>130</v>
      </c>
    </row>
    <row r="55" spans="1:31" ht="51">
      <c r="A55" s="66">
        <v>54</v>
      </c>
      <c r="B55" s="173" t="s">
        <v>276</v>
      </c>
      <c r="C55" s="67" t="s">
        <v>277</v>
      </c>
      <c r="D55" s="207" t="s">
        <v>660</v>
      </c>
      <c r="E55" s="149" t="s">
        <v>636</v>
      </c>
      <c r="F55" s="149" t="s">
        <v>661</v>
      </c>
      <c r="G55" s="149" t="s">
        <v>662</v>
      </c>
      <c r="H55" s="66">
        <v>3</v>
      </c>
      <c r="I55" s="149" t="s">
        <v>663</v>
      </c>
      <c r="J55" s="150">
        <v>43423</v>
      </c>
      <c r="K55" s="150">
        <v>43408</v>
      </c>
      <c r="L55" s="151" t="s">
        <v>283</v>
      </c>
      <c r="M55" s="151" t="s">
        <v>664</v>
      </c>
      <c r="N55" s="152" t="s">
        <v>650</v>
      </c>
      <c r="O55" s="151">
        <v>9</v>
      </c>
      <c r="P55" s="153" t="s">
        <v>286</v>
      </c>
      <c r="Q55" s="154" t="s">
        <v>651</v>
      </c>
      <c r="R55" s="155" t="s">
        <v>320</v>
      </c>
      <c r="S55" s="155" t="s">
        <v>665</v>
      </c>
      <c r="T55" s="156">
        <v>1</v>
      </c>
      <c r="U55" s="151" t="s">
        <v>322</v>
      </c>
      <c r="V55" s="151" t="s">
        <v>70</v>
      </c>
      <c r="W55" s="151" t="s">
        <v>249</v>
      </c>
      <c r="X55" s="151" t="s">
        <v>130</v>
      </c>
      <c r="Y55" s="151" t="s">
        <v>291</v>
      </c>
      <c r="Z55" s="151">
        <v>21</v>
      </c>
      <c r="AA55" s="151" t="s">
        <v>130</v>
      </c>
      <c r="AB55" s="151" t="s">
        <v>249</v>
      </c>
      <c r="AC55" s="151">
        <v>11</v>
      </c>
      <c r="AD55" s="151">
        <v>11</v>
      </c>
      <c r="AE55" s="182" t="s">
        <v>130</v>
      </c>
    </row>
    <row r="56" spans="1:31" ht="51">
      <c r="A56" s="66">
        <v>55</v>
      </c>
      <c r="B56" s="173" t="s">
        <v>276</v>
      </c>
      <c r="C56" s="67" t="s">
        <v>277</v>
      </c>
      <c r="D56" s="207" t="s">
        <v>666</v>
      </c>
      <c r="E56" s="149" t="s">
        <v>636</v>
      </c>
      <c r="F56" s="149" t="s">
        <v>667</v>
      </c>
      <c r="G56" s="149" t="s">
        <v>668</v>
      </c>
      <c r="H56" s="66">
        <v>3</v>
      </c>
      <c r="I56" s="149" t="s">
        <v>669</v>
      </c>
      <c r="J56" s="150">
        <v>43423</v>
      </c>
      <c r="K56" s="150">
        <v>43408</v>
      </c>
      <c r="L56" s="151" t="s">
        <v>283</v>
      </c>
      <c r="M56" s="151" t="s">
        <v>670</v>
      </c>
      <c r="N56" s="152" t="s">
        <v>650</v>
      </c>
      <c r="O56" s="151">
        <v>9</v>
      </c>
      <c r="P56" s="153" t="s">
        <v>286</v>
      </c>
      <c r="Q56" s="154" t="s">
        <v>658</v>
      </c>
      <c r="R56" s="155" t="s">
        <v>288</v>
      </c>
      <c r="S56" s="155" t="s">
        <v>671</v>
      </c>
      <c r="T56" s="156">
        <v>1</v>
      </c>
      <c r="U56" s="151" t="s">
        <v>290</v>
      </c>
      <c r="V56" s="151" t="s">
        <v>70</v>
      </c>
      <c r="W56" s="151" t="s">
        <v>249</v>
      </c>
      <c r="X56" s="151" t="s">
        <v>130</v>
      </c>
      <c r="Y56" s="151" t="s">
        <v>291</v>
      </c>
      <c r="Z56" s="151">
        <v>5</v>
      </c>
      <c r="AA56" s="151" t="s">
        <v>130</v>
      </c>
      <c r="AB56" s="151" t="s">
        <v>249</v>
      </c>
      <c r="AC56" s="151">
        <v>7</v>
      </c>
      <c r="AD56" s="151">
        <v>18</v>
      </c>
      <c r="AE56" s="182" t="s">
        <v>130</v>
      </c>
    </row>
    <row r="57" spans="1:31" ht="51">
      <c r="A57" s="66">
        <v>56</v>
      </c>
      <c r="B57" s="173" t="s">
        <v>276</v>
      </c>
      <c r="C57" s="67" t="s">
        <v>277</v>
      </c>
      <c r="D57" s="207" t="s">
        <v>672</v>
      </c>
      <c r="E57" s="149" t="s">
        <v>673</v>
      </c>
      <c r="F57" s="149" t="s">
        <v>674</v>
      </c>
      <c r="G57" s="149" t="s">
        <v>675</v>
      </c>
      <c r="H57" s="66">
        <v>3</v>
      </c>
      <c r="I57" s="149" t="s">
        <v>676</v>
      </c>
      <c r="J57" s="150">
        <v>43423</v>
      </c>
      <c r="K57" s="150">
        <v>43415</v>
      </c>
      <c r="L57" s="151" t="s">
        <v>283</v>
      </c>
      <c r="M57" s="151" t="s">
        <v>677</v>
      </c>
      <c r="N57" s="152" t="s">
        <v>457</v>
      </c>
      <c r="O57" s="151">
        <v>9</v>
      </c>
      <c r="P57" s="153" t="s">
        <v>678</v>
      </c>
      <c r="Q57" s="154" t="s">
        <v>679</v>
      </c>
      <c r="R57" s="155" t="s">
        <v>320</v>
      </c>
      <c r="S57" s="155" t="s">
        <v>493</v>
      </c>
      <c r="T57" s="156">
        <v>1</v>
      </c>
      <c r="U57" s="151" t="s">
        <v>680</v>
      </c>
      <c r="V57" s="151" t="s">
        <v>70</v>
      </c>
      <c r="W57" s="151" t="s">
        <v>249</v>
      </c>
      <c r="X57" s="151" t="s">
        <v>130</v>
      </c>
      <c r="Y57" s="151" t="s">
        <v>291</v>
      </c>
      <c r="Z57" s="151">
        <v>15</v>
      </c>
      <c r="AA57" s="151" t="s">
        <v>130</v>
      </c>
      <c r="AB57" s="151" t="s">
        <v>249</v>
      </c>
      <c r="AC57" s="151">
        <v>0</v>
      </c>
      <c r="AD57" s="151">
        <v>18</v>
      </c>
      <c r="AE57" s="182" t="s">
        <v>130</v>
      </c>
    </row>
    <row r="58" spans="1:31" ht="51">
      <c r="A58" s="66">
        <v>57</v>
      </c>
      <c r="B58" s="173" t="s">
        <v>276</v>
      </c>
      <c r="C58" s="67" t="s">
        <v>277</v>
      </c>
      <c r="D58" s="207" t="s">
        <v>681</v>
      </c>
      <c r="E58" s="149" t="s">
        <v>673</v>
      </c>
      <c r="F58" s="149" t="s">
        <v>682</v>
      </c>
      <c r="G58" s="149" t="s">
        <v>683</v>
      </c>
      <c r="H58" s="66">
        <v>3</v>
      </c>
      <c r="I58" s="149" t="s">
        <v>684</v>
      </c>
      <c r="J58" s="150">
        <v>43423</v>
      </c>
      <c r="K58" s="150">
        <v>43417</v>
      </c>
      <c r="L58" s="151" t="s">
        <v>283</v>
      </c>
      <c r="M58" s="151" t="s">
        <v>685</v>
      </c>
      <c r="N58" s="152" t="s">
        <v>457</v>
      </c>
      <c r="O58" s="151">
        <v>9</v>
      </c>
      <c r="P58" s="153" t="s">
        <v>686</v>
      </c>
      <c r="Q58" s="154" t="s">
        <v>679</v>
      </c>
      <c r="R58" s="155" t="s">
        <v>320</v>
      </c>
      <c r="S58" s="155" t="s">
        <v>687</v>
      </c>
      <c r="T58" s="156">
        <v>1</v>
      </c>
      <c r="U58" s="151" t="s">
        <v>680</v>
      </c>
      <c r="V58" s="151" t="s">
        <v>70</v>
      </c>
      <c r="W58" s="151" t="s">
        <v>249</v>
      </c>
      <c r="X58" s="151" t="s">
        <v>130</v>
      </c>
      <c r="Y58" s="151" t="s">
        <v>291</v>
      </c>
      <c r="Z58" s="151">
        <v>20</v>
      </c>
      <c r="AA58" s="151" t="s">
        <v>130</v>
      </c>
      <c r="AB58" s="151" t="s">
        <v>249</v>
      </c>
      <c r="AC58" s="151">
        <v>0</v>
      </c>
      <c r="AD58" s="151">
        <v>7</v>
      </c>
      <c r="AE58" s="182" t="s">
        <v>130</v>
      </c>
    </row>
    <row r="59" spans="1:31" ht="51">
      <c r="A59" s="66">
        <v>58</v>
      </c>
      <c r="B59" s="173" t="s">
        <v>276</v>
      </c>
      <c r="C59" s="67" t="s">
        <v>277</v>
      </c>
      <c r="D59" s="207" t="s">
        <v>688</v>
      </c>
      <c r="E59" s="149" t="s">
        <v>673</v>
      </c>
      <c r="F59" s="149" t="s">
        <v>689</v>
      </c>
      <c r="G59" s="149" t="s">
        <v>690</v>
      </c>
      <c r="H59" s="66">
        <v>3</v>
      </c>
      <c r="I59" s="149" t="s">
        <v>691</v>
      </c>
      <c r="J59" s="150">
        <v>43423</v>
      </c>
      <c r="K59" s="150">
        <v>43415</v>
      </c>
      <c r="L59" s="151" t="s">
        <v>283</v>
      </c>
      <c r="M59" s="151" t="s">
        <v>692</v>
      </c>
      <c r="N59" s="152" t="s">
        <v>437</v>
      </c>
      <c r="O59" s="151">
        <v>9</v>
      </c>
      <c r="P59" s="153" t="s">
        <v>286</v>
      </c>
      <c r="Q59" s="154" t="s">
        <v>439</v>
      </c>
      <c r="R59" s="155" t="s">
        <v>288</v>
      </c>
      <c r="S59" s="155" t="s">
        <v>693</v>
      </c>
      <c r="T59" s="156">
        <v>1</v>
      </c>
      <c r="U59" s="151" t="s">
        <v>441</v>
      </c>
      <c r="V59" s="151" t="s">
        <v>70</v>
      </c>
      <c r="W59" s="151" t="s">
        <v>291</v>
      </c>
      <c r="X59" s="151">
        <v>35</v>
      </c>
      <c r="Y59" s="151" t="s">
        <v>291</v>
      </c>
      <c r="Z59" s="151">
        <v>24</v>
      </c>
      <c r="AA59" s="151" t="s">
        <v>130</v>
      </c>
      <c r="AB59" s="151" t="s">
        <v>249</v>
      </c>
      <c r="AC59" s="151">
        <v>0</v>
      </c>
      <c r="AD59" s="151">
        <v>11</v>
      </c>
      <c r="AE59" s="182" t="s">
        <v>130</v>
      </c>
    </row>
    <row r="60" spans="1:31" ht="51">
      <c r="A60" s="66">
        <v>59</v>
      </c>
      <c r="B60" s="173" t="s">
        <v>276</v>
      </c>
      <c r="C60" s="67" t="s">
        <v>277</v>
      </c>
      <c r="D60" s="207" t="s">
        <v>694</v>
      </c>
      <c r="E60" s="149" t="s">
        <v>673</v>
      </c>
      <c r="F60" s="149" t="s">
        <v>695</v>
      </c>
      <c r="G60" s="149" t="s">
        <v>696</v>
      </c>
      <c r="H60" s="66">
        <v>3</v>
      </c>
      <c r="I60" s="149" t="s">
        <v>697</v>
      </c>
      <c r="J60" s="150">
        <v>43423</v>
      </c>
      <c r="K60" s="150">
        <v>43417</v>
      </c>
      <c r="L60" s="151" t="s">
        <v>283</v>
      </c>
      <c r="M60" s="151" t="s">
        <v>698</v>
      </c>
      <c r="N60" s="152" t="s">
        <v>457</v>
      </c>
      <c r="O60" s="151">
        <v>9</v>
      </c>
      <c r="P60" s="153" t="s">
        <v>286</v>
      </c>
      <c r="Q60" s="154" t="s">
        <v>458</v>
      </c>
      <c r="R60" s="155" t="s">
        <v>288</v>
      </c>
      <c r="S60" s="155" t="s">
        <v>652</v>
      </c>
      <c r="T60" s="156">
        <v>1</v>
      </c>
      <c r="U60" s="151" t="s">
        <v>441</v>
      </c>
      <c r="V60" s="151" t="s">
        <v>70</v>
      </c>
      <c r="W60" s="151" t="s">
        <v>291</v>
      </c>
      <c r="X60" s="151">
        <v>36</v>
      </c>
      <c r="Y60" s="151" t="s">
        <v>291</v>
      </c>
      <c r="Z60" s="151">
        <v>32</v>
      </c>
      <c r="AA60" s="151" t="s">
        <v>130</v>
      </c>
      <c r="AB60" s="151" t="s">
        <v>249</v>
      </c>
      <c r="AC60" s="151">
        <v>0</v>
      </c>
      <c r="AD60" s="151">
        <v>4</v>
      </c>
      <c r="AE60" s="182" t="s">
        <v>130</v>
      </c>
    </row>
    <row r="61" spans="1:31" ht="51">
      <c r="A61" s="66">
        <v>60</v>
      </c>
      <c r="B61" s="173" t="s">
        <v>276</v>
      </c>
      <c r="C61" s="67" t="s">
        <v>277</v>
      </c>
      <c r="D61" s="207" t="s">
        <v>699</v>
      </c>
      <c r="E61" s="149" t="s">
        <v>673</v>
      </c>
      <c r="F61" s="149" t="s">
        <v>700</v>
      </c>
      <c r="G61" s="149" t="s">
        <v>701</v>
      </c>
      <c r="H61" s="66">
        <v>4</v>
      </c>
      <c r="I61" s="149" t="s">
        <v>702</v>
      </c>
      <c r="J61" s="150">
        <v>43423</v>
      </c>
      <c r="K61" s="150">
        <v>43419</v>
      </c>
      <c r="L61" s="151" t="s">
        <v>297</v>
      </c>
      <c r="M61" s="151" t="s">
        <v>703</v>
      </c>
      <c r="N61" s="152" t="s">
        <v>447</v>
      </c>
      <c r="O61" s="151">
        <v>10</v>
      </c>
      <c r="P61" s="153" t="s">
        <v>704</v>
      </c>
      <c r="Q61" s="154" t="s">
        <v>473</v>
      </c>
      <c r="R61" s="155" t="s">
        <v>302</v>
      </c>
      <c r="S61" s="155" t="s">
        <v>705</v>
      </c>
      <c r="T61" s="156">
        <v>1</v>
      </c>
      <c r="U61" s="151" t="s">
        <v>451</v>
      </c>
      <c r="V61" s="151" t="s">
        <v>70</v>
      </c>
      <c r="W61" s="151" t="s">
        <v>249</v>
      </c>
      <c r="X61" s="151" t="s">
        <v>130</v>
      </c>
      <c r="Y61" s="151" t="s">
        <v>291</v>
      </c>
      <c r="Z61" s="151">
        <v>26</v>
      </c>
      <c r="AA61" s="151" t="s">
        <v>130</v>
      </c>
      <c r="AB61" s="151" t="s">
        <v>249</v>
      </c>
      <c r="AC61" s="151">
        <v>0</v>
      </c>
      <c r="AD61" s="151">
        <v>7</v>
      </c>
      <c r="AE61" s="182" t="s">
        <v>706</v>
      </c>
    </row>
    <row r="62" spans="1:31" ht="51">
      <c r="A62" s="66">
        <v>61</v>
      </c>
      <c r="B62" s="173" t="s">
        <v>276</v>
      </c>
      <c r="C62" s="67" t="s">
        <v>277</v>
      </c>
      <c r="D62" s="207" t="s">
        <v>707</v>
      </c>
      <c r="E62" s="149" t="s">
        <v>673</v>
      </c>
      <c r="F62" s="149" t="s">
        <v>708</v>
      </c>
      <c r="G62" s="149" t="s">
        <v>709</v>
      </c>
      <c r="H62" s="66">
        <v>3</v>
      </c>
      <c r="I62" s="149" t="s">
        <v>710</v>
      </c>
      <c r="J62" s="150">
        <v>43423</v>
      </c>
      <c r="K62" s="150">
        <v>43417</v>
      </c>
      <c r="L62" s="151" t="s">
        <v>283</v>
      </c>
      <c r="M62" s="151" t="s">
        <v>711</v>
      </c>
      <c r="N62" s="152" t="s">
        <v>457</v>
      </c>
      <c r="O62" s="151">
        <v>9</v>
      </c>
      <c r="P62" s="153" t="s">
        <v>286</v>
      </c>
      <c r="Q62" s="154" t="s">
        <v>458</v>
      </c>
      <c r="R62" s="155" t="s">
        <v>288</v>
      </c>
      <c r="S62" s="155" t="s">
        <v>712</v>
      </c>
      <c r="T62" s="156">
        <v>1</v>
      </c>
      <c r="U62" s="151" t="s">
        <v>441</v>
      </c>
      <c r="V62" s="151" t="s">
        <v>70</v>
      </c>
      <c r="W62" s="151" t="s">
        <v>249</v>
      </c>
      <c r="X62" s="151" t="s">
        <v>130</v>
      </c>
      <c r="Y62" s="151" t="s">
        <v>291</v>
      </c>
      <c r="Z62" s="151">
        <v>26</v>
      </c>
      <c r="AA62" s="151" t="s">
        <v>130</v>
      </c>
      <c r="AB62" s="151" t="s">
        <v>249</v>
      </c>
      <c r="AC62" s="151">
        <v>0</v>
      </c>
      <c r="AD62" s="151">
        <v>4</v>
      </c>
      <c r="AE62" s="182" t="s">
        <v>130</v>
      </c>
    </row>
    <row r="63" spans="1:31" ht="63.75">
      <c r="A63" s="66">
        <v>62</v>
      </c>
      <c r="B63" s="173" t="s">
        <v>276</v>
      </c>
      <c r="C63" s="67" t="s">
        <v>277</v>
      </c>
      <c r="D63" s="207" t="s">
        <v>713</v>
      </c>
      <c r="E63" s="149" t="s">
        <v>673</v>
      </c>
      <c r="F63" s="149" t="s">
        <v>714</v>
      </c>
      <c r="G63" s="149" t="s">
        <v>715</v>
      </c>
      <c r="H63" s="66">
        <v>4</v>
      </c>
      <c r="I63" s="149" t="s">
        <v>716</v>
      </c>
      <c r="J63" s="150">
        <v>43423</v>
      </c>
      <c r="K63" s="150">
        <v>43418</v>
      </c>
      <c r="L63" s="151" t="s">
        <v>297</v>
      </c>
      <c r="M63" s="151" t="s">
        <v>717</v>
      </c>
      <c r="N63" s="152" t="s">
        <v>447</v>
      </c>
      <c r="O63" s="151">
        <v>12</v>
      </c>
      <c r="P63" s="153" t="s">
        <v>598</v>
      </c>
      <c r="Q63" s="154" t="s">
        <v>449</v>
      </c>
      <c r="R63" s="155" t="s">
        <v>302</v>
      </c>
      <c r="S63" s="155" t="s">
        <v>718</v>
      </c>
      <c r="T63" s="156">
        <v>1</v>
      </c>
      <c r="U63" s="151" t="s">
        <v>451</v>
      </c>
      <c r="V63" s="151" t="s">
        <v>70</v>
      </c>
      <c r="W63" s="151" t="s">
        <v>291</v>
      </c>
      <c r="X63" s="151">
        <v>33</v>
      </c>
      <c r="Y63" s="151" t="s">
        <v>291</v>
      </c>
      <c r="Z63" s="151">
        <v>29</v>
      </c>
      <c r="AA63" s="151" t="s">
        <v>130</v>
      </c>
      <c r="AB63" s="151" t="s">
        <v>249</v>
      </c>
      <c r="AC63" s="151">
        <v>0</v>
      </c>
      <c r="AD63" s="151">
        <v>4</v>
      </c>
      <c r="AE63" s="182" t="s">
        <v>130</v>
      </c>
    </row>
    <row r="64" spans="1:31" ht="51">
      <c r="A64" s="66">
        <v>63</v>
      </c>
      <c r="B64" s="173" t="s">
        <v>276</v>
      </c>
      <c r="C64" s="67" t="s">
        <v>277</v>
      </c>
      <c r="D64" s="207" t="s">
        <v>719</v>
      </c>
      <c r="E64" s="149" t="s">
        <v>673</v>
      </c>
      <c r="F64" s="149" t="s">
        <v>720</v>
      </c>
      <c r="G64" s="149" t="s">
        <v>721</v>
      </c>
      <c r="H64" s="66">
        <v>3</v>
      </c>
      <c r="I64" s="149" t="s">
        <v>722</v>
      </c>
      <c r="J64" s="150">
        <v>43423</v>
      </c>
      <c r="K64" s="150">
        <v>43417</v>
      </c>
      <c r="L64" s="151" t="s">
        <v>283</v>
      </c>
      <c r="M64" s="151" t="s">
        <v>723</v>
      </c>
      <c r="N64" s="152" t="s">
        <v>437</v>
      </c>
      <c r="O64" s="151">
        <v>9</v>
      </c>
      <c r="P64" s="153" t="s">
        <v>286</v>
      </c>
      <c r="Q64" s="154" t="s">
        <v>439</v>
      </c>
      <c r="R64" s="155" t="s">
        <v>288</v>
      </c>
      <c r="S64" s="155" t="s">
        <v>561</v>
      </c>
      <c r="T64" s="156">
        <v>1</v>
      </c>
      <c r="U64" s="151" t="s">
        <v>441</v>
      </c>
      <c r="V64" s="151" t="s">
        <v>70</v>
      </c>
      <c r="W64" s="151" t="s">
        <v>291</v>
      </c>
      <c r="X64" s="151">
        <v>37</v>
      </c>
      <c r="Y64" s="151" t="s">
        <v>291</v>
      </c>
      <c r="Z64" s="151">
        <v>30</v>
      </c>
      <c r="AA64" s="151" t="s">
        <v>130</v>
      </c>
      <c r="AB64" s="151" t="s">
        <v>249</v>
      </c>
      <c r="AC64" s="151">
        <v>0</v>
      </c>
      <c r="AD64" s="151">
        <v>7</v>
      </c>
      <c r="AE64" s="182" t="s">
        <v>130</v>
      </c>
    </row>
    <row r="65" spans="1:31" ht="63.75">
      <c r="A65" s="66">
        <v>64</v>
      </c>
      <c r="B65" s="173" t="s">
        <v>276</v>
      </c>
      <c r="C65" s="67" t="s">
        <v>277</v>
      </c>
      <c r="D65" s="207" t="s">
        <v>724</v>
      </c>
      <c r="E65" s="149" t="s">
        <v>673</v>
      </c>
      <c r="F65" s="149" t="s">
        <v>725</v>
      </c>
      <c r="G65" s="149" t="s">
        <v>726</v>
      </c>
      <c r="H65" s="66">
        <v>4</v>
      </c>
      <c r="I65" s="149" t="s">
        <v>727</v>
      </c>
      <c r="J65" s="150">
        <v>43423</v>
      </c>
      <c r="K65" s="150">
        <v>43421</v>
      </c>
      <c r="L65" s="151" t="s">
        <v>297</v>
      </c>
      <c r="M65" s="151" t="s">
        <v>728</v>
      </c>
      <c r="N65" s="152" t="s">
        <v>447</v>
      </c>
      <c r="O65" s="151">
        <v>12</v>
      </c>
      <c r="P65" s="153" t="s">
        <v>357</v>
      </c>
      <c r="Q65" s="154" t="s">
        <v>729</v>
      </c>
      <c r="R65" s="155" t="s">
        <v>730</v>
      </c>
      <c r="S65" s="155" t="s">
        <v>731</v>
      </c>
      <c r="T65" s="156">
        <v>1</v>
      </c>
      <c r="U65" s="151" t="s">
        <v>732</v>
      </c>
      <c r="V65" s="151" t="s">
        <v>70</v>
      </c>
      <c r="W65" s="151" t="s">
        <v>249</v>
      </c>
      <c r="X65" s="151" t="s">
        <v>130</v>
      </c>
      <c r="Y65" s="151" t="s">
        <v>291</v>
      </c>
      <c r="Z65" s="151">
        <v>26</v>
      </c>
      <c r="AA65" s="151" t="s">
        <v>130</v>
      </c>
      <c r="AB65" s="151" t="s">
        <v>249</v>
      </c>
      <c r="AC65" s="151">
        <v>30</v>
      </c>
      <c r="AD65" s="151">
        <v>4</v>
      </c>
      <c r="AE65" s="182" t="s">
        <v>733</v>
      </c>
    </row>
    <row r="66" spans="1:31" ht="51">
      <c r="A66" s="66">
        <v>65</v>
      </c>
      <c r="B66" s="173" t="s">
        <v>276</v>
      </c>
      <c r="C66" s="67" t="s">
        <v>277</v>
      </c>
      <c r="D66" s="207" t="s">
        <v>734</v>
      </c>
      <c r="E66" s="149" t="s">
        <v>673</v>
      </c>
      <c r="F66" s="149" t="s">
        <v>735</v>
      </c>
      <c r="G66" s="149" t="s">
        <v>736</v>
      </c>
      <c r="H66" s="66">
        <v>3</v>
      </c>
      <c r="I66" s="149" t="s">
        <v>737</v>
      </c>
      <c r="J66" s="150">
        <v>43423</v>
      </c>
      <c r="K66" s="150">
        <v>43419</v>
      </c>
      <c r="L66" s="151" t="s">
        <v>283</v>
      </c>
      <c r="M66" s="151" t="s">
        <v>738</v>
      </c>
      <c r="N66" s="152" t="s">
        <v>457</v>
      </c>
      <c r="O66" s="151">
        <v>9</v>
      </c>
      <c r="P66" s="153" t="s">
        <v>286</v>
      </c>
      <c r="Q66" s="154" t="s">
        <v>458</v>
      </c>
      <c r="R66" s="155" t="s">
        <v>288</v>
      </c>
      <c r="S66" s="155" t="s">
        <v>739</v>
      </c>
      <c r="T66" s="156">
        <v>1</v>
      </c>
      <c r="U66" s="151" t="s">
        <v>441</v>
      </c>
      <c r="V66" s="151" t="s">
        <v>70</v>
      </c>
      <c r="W66" s="151" t="s">
        <v>291</v>
      </c>
      <c r="X66" s="151">
        <v>33</v>
      </c>
      <c r="Y66" s="151" t="s">
        <v>291</v>
      </c>
      <c r="Z66" s="151">
        <v>29</v>
      </c>
      <c r="AA66" s="151" t="s">
        <v>130</v>
      </c>
      <c r="AB66" s="151" t="s">
        <v>249</v>
      </c>
      <c r="AC66" s="151">
        <v>0</v>
      </c>
      <c r="AD66" s="151">
        <v>4</v>
      </c>
      <c r="AE66" s="182" t="s">
        <v>130</v>
      </c>
    </row>
    <row r="67" spans="1:31" ht="51">
      <c r="A67" s="66">
        <v>66</v>
      </c>
      <c r="B67" s="173" t="s">
        <v>276</v>
      </c>
      <c r="C67" s="67" t="s">
        <v>277</v>
      </c>
      <c r="D67" s="207" t="s">
        <v>740</v>
      </c>
      <c r="E67" s="149" t="s">
        <v>673</v>
      </c>
      <c r="F67" s="149" t="s">
        <v>741</v>
      </c>
      <c r="G67" s="149" t="s">
        <v>742</v>
      </c>
      <c r="H67" s="66">
        <v>4</v>
      </c>
      <c r="I67" s="149" t="s">
        <v>743</v>
      </c>
      <c r="J67" s="150">
        <v>43423</v>
      </c>
      <c r="K67" s="150">
        <v>43417</v>
      </c>
      <c r="L67" s="151" t="s">
        <v>297</v>
      </c>
      <c r="M67" s="151" t="s">
        <v>744</v>
      </c>
      <c r="N67" s="152" t="s">
        <v>447</v>
      </c>
      <c r="O67" s="151">
        <v>10</v>
      </c>
      <c r="P67" s="153" t="s">
        <v>745</v>
      </c>
      <c r="Q67" s="154" t="s">
        <v>473</v>
      </c>
      <c r="R67" s="155" t="s">
        <v>302</v>
      </c>
      <c r="S67" s="155" t="s">
        <v>746</v>
      </c>
      <c r="T67" s="156">
        <v>1</v>
      </c>
      <c r="U67" s="151" t="s">
        <v>451</v>
      </c>
      <c r="V67" s="151" t="s">
        <v>70</v>
      </c>
      <c r="W67" s="151" t="s">
        <v>249</v>
      </c>
      <c r="X67" s="151" t="s">
        <v>130</v>
      </c>
      <c r="Y67" s="151" t="s">
        <v>291</v>
      </c>
      <c r="Z67" s="151">
        <v>25</v>
      </c>
      <c r="AA67" s="151" t="s">
        <v>130</v>
      </c>
      <c r="AB67" s="151" t="s">
        <v>249</v>
      </c>
      <c r="AC67" s="151">
        <v>0</v>
      </c>
      <c r="AD67" s="151">
        <v>4</v>
      </c>
      <c r="AE67" s="182" t="s">
        <v>747</v>
      </c>
    </row>
    <row r="68" spans="1:31" ht="38.25">
      <c r="A68" s="66">
        <v>67</v>
      </c>
      <c r="B68" s="173" t="s">
        <v>276</v>
      </c>
      <c r="C68" s="67" t="s">
        <v>277</v>
      </c>
      <c r="D68" s="207" t="s">
        <v>748</v>
      </c>
      <c r="E68" s="149" t="s">
        <v>673</v>
      </c>
      <c r="F68" s="149" t="s">
        <v>749</v>
      </c>
      <c r="G68" s="149" t="s">
        <v>750</v>
      </c>
      <c r="H68" s="66">
        <v>2</v>
      </c>
      <c r="I68" s="149" t="s">
        <v>751</v>
      </c>
      <c r="J68" s="150">
        <v>43423</v>
      </c>
      <c r="K68" s="150">
        <v>43418</v>
      </c>
      <c r="L68" s="151" t="s">
        <v>752</v>
      </c>
      <c r="M68" s="151" t="s">
        <v>753</v>
      </c>
      <c r="N68" s="152" t="s">
        <v>754</v>
      </c>
      <c r="O68" s="151">
        <v>6</v>
      </c>
      <c r="P68" s="153" t="s">
        <v>755</v>
      </c>
      <c r="Q68" s="154" t="s">
        <v>756</v>
      </c>
      <c r="R68" s="155" t="s">
        <v>757</v>
      </c>
      <c r="S68" s="155" t="s">
        <v>758</v>
      </c>
      <c r="T68" s="156">
        <v>1</v>
      </c>
      <c r="U68" s="151" t="s">
        <v>759</v>
      </c>
      <c r="V68" s="151" t="s">
        <v>70</v>
      </c>
      <c r="W68" s="151" t="s">
        <v>291</v>
      </c>
      <c r="X68" s="151">
        <v>36</v>
      </c>
      <c r="Y68" s="151" t="s">
        <v>291</v>
      </c>
      <c r="Z68" s="151">
        <v>29</v>
      </c>
      <c r="AA68" s="151" t="s">
        <v>130</v>
      </c>
      <c r="AB68" s="151" t="s">
        <v>249</v>
      </c>
      <c r="AC68" s="151">
        <v>0</v>
      </c>
      <c r="AD68" s="151">
        <v>7</v>
      </c>
      <c r="AE68" s="182" t="s">
        <v>130</v>
      </c>
    </row>
    <row r="69" spans="1:31" ht="51">
      <c r="A69" s="66">
        <v>68</v>
      </c>
      <c r="B69" s="173" t="s">
        <v>276</v>
      </c>
      <c r="C69" s="67" t="s">
        <v>277</v>
      </c>
      <c r="D69" s="207" t="s">
        <v>760</v>
      </c>
      <c r="E69" s="149" t="s">
        <v>673</v>
      </c>
      <c r="F69" s="149" t="s">
        <v>761</v>
      </c>
      <c r="G69" s="149" t="s">
        <v>762</v>
      </c>
      <c r="H69" s="66">
        <v>3</v>
      </c>
      <c r="I69" s="149" t="s">
        <v>763</v>
      </c>
      <c r="J69" s="150">
        <v>43423</v>
      </c>
      <c r="K69" s="150">
        <v>43414</v>
      </c>
      <c r="L69" s="151" t="s">
        <v>283</v>
      </c>
      <c r="M69" s="151" t="s">
        <v>764</v>
      </c>
      <c r="N69" s="152" t="s">
        <v>765</v>
      </c>
      <c r="O69" s="151">
        <v>9</v>
      </c>
      <c r="P69" s="153" t="s">
        <v>286</v>
      </c>
      <c r="Q69" s="154" t="s">
        <v>766</v>
      </c>
      <c r="R69" s="155" t="s">
        <v>288</v>
      </c>
      <c r="S69" s="155" t="s">
        <v>767</v>
      </c>
      <c r="T69" s="156">
        <v>1</v>
      </c>
      <c r="U69" s="151" t="s">
        <v>441</v>
      </c>
      <c r="V69" s="151" t="s">
        <v>70</v>
      </c>
      <c r="W69" s="151" t="s">
        <v>291</v>
      </c>
      <c r="X69" s="151">
        <v>32</v>
      </c>
      <c r="Y69" s="151" t="s">
        <v>291</v>
      </c>
      <c r="Z69" s="151">
        <v>28</v>
      </c>
      <c r="AA69" s="151" t="s">
        <v>130</v>
      </c>
      <c r="AB69" s="151" t="s">
        <v>249</v>
      </c>
      <c r="AC69" s="151">
        <v>0</v>
      </c>
      <c r="AD69" s="151">
        <v>4</v>
      </c>
      <c r="AE69" s="182" t="s">
        <v>130</v>
      </c>
    </row>
    <row r="70" spans="1:31" ht="51">
      <c r="A70" s="66">
        <v>69</v>
      </c>
      <c r="B70" s="173" t="s">
        <v>276</v>
      </c>
      <c r="C70" s="67" t="s">
        <v>277</v>
      </c>
      <c r="D70" s="207" t="s">
        <v>768</v>
      </c>
      <c r="E70" s="149" t="s">
        <v>673</v>
      </c>
      <c r="F70" s="149" t="s">
        <v>769</v>
      </c>
      <c r="G70" s="149" t="s">
        <v>770</v>
      </c>
      <c r="H70" s="66">
        <v>3</v>
      </c>
      <c r="I70" s="149" t="s">
        <v>771</v>
      </c>
      <c r="J70" s="150">
        <v>43423</v>
      </c>
      <c r="K70" s="150">
        <v>43414</v>
      </c>
      <c r="L70" s="151" t="s">
        <v>283</v>
      </c>
      <c r="M70" s="151" t="s">
        <v>772</v>
      </c>
      <c r="N70" s="152" t="s">
        <v>765</v>
      </c>
      <c r="O70" s="151">
        <v>9</v>
      </c>
      <c r="P70" s="153" t="s">
        <v>286</v>
      </c>
      <c r="Q70" s="154" t="s">
        <v>766</v>
      </c>
      <c r="R70" s="155" t="s">
        <v>288</v>
      </c>
      <c r="S70" s="155" t="s">
        <v>773</v>
      </c>
      <c r="T70" s="156">
        <v>1</v>
      </c>
      <c r="U70" s="151" t="s">
        <v>441</v>
      </c>
      <c r="V70" s="151" t="s">
        <v>70</v>
      </c>
      <c r="W70" s="151" t="s">
        <v>291</v>
      </c>
      <c r="X70" s="151">
        <v>33</v>
      </c>
      <c r="Y70" s="151" t="s">
        <v>291</v>
      </c>
      <c r="Z70" s="151">
        <v>29</v>
      </c>
      <c r="AA70" s="151" t="s">
        <v>130</v>
      </c>
      <c r="AB70" s="151" t="s">
        <v>249</v>
      </c>
      <c r="AC70" s="151">
        <v>0</v>
      </c>
      <c r="AD70" s="151">
        <v>4</v>
      </c>
      <c r="AE70" s="182" t="s">
        <v>130</v>
      </c>
    </row>
    <row r="71" spans="1:31" ht="51">
      <c r="A71" s="66">
        <v>70</v>
      </c>
      <c r="B71" s="173" t="s">
        <v>276</v>
      </c>
      <c r="C71" s="67" t="s">
        <v>277</v>
      </c>
      <c r="D71" s="207" t="s">
        <v>774</v>
      </c>
      <c r="E71" s="149" t="s">
        <v>673</v>
      </c>
      <c r="F71" s="149" t="s">
        <v>775</v>
      </c>
      <c r="G71" s="149" t="s">
        <v>776</v>
      </c>
      <c r="H71" s="66">
        <v>3</v>
      </c>
      <c r="I71" s="149" t="s">
        <v>777</v>
      </c>
      <c r="J71" s="150">
        <v>43423</v>
      </c>
      <c r="K71" s="150">
        <v>43414</v>
      </c>
      <c r="L71" s="151" t="s">
        <v>283</v>
      </c>
      <c r="M71" s="151" t="s">
        <v>778</v>
      </c>
      <c r="N71" s="152" t="s">
        <v>765</v>
      </c>
      <c r="O71" s="151">
        <v>9</v>
      </c>
      <c r="P71" s="153" t="s">
        <v>286</v>
      </c>
      <c r="Q71" s="154" t="s">
        <v>766</v>
      </c>
      <c r="R71" s="155" t="s">
        <v>288</v>
      </c>
      <c r="S71" s="155" t="s">
        <v>779</v>
      </c>
      <c r="T71" s="156">
        <v>1</v>
      </c>
      <c r="U71" s="151" t="s">
        <v>441</v>
      </c>
      <c r="V71" s="151" t="s">
        <v>70</v>
      </c>
      <c r="W71" s="151" t="s">
        <v>291</v>
      </c>
      <c r="X71" s="151">
        <v>35</v>
      </c>
      <c r="Y71" s="151" t="s">
        <v>291</v>
      </c>
      <c r="Z71" s="151">
        <v>28</v>
      </c>
      <c r="AA71" s="151" t="s">
        <v>130</v>
      </c>
      <c r="AB71" s="151" t="s">
        <v>249</v>
      </c>
      <c r="AC71" s="151">
        <v>0</v>
      </c>
      <c r="AD71" s="151">
        <v>7</v>
      </c>
      <c r="AE71" s="182" t="s">
        <v>130</v>
      </c>
    </row>
    <row r="72" spans="1:31" ht="51">
      <c r="A72" s="66">
        <v>71</v>
      </c>
      <c r="B72" s="173" t="s">
        <v>276</v>
      </c>
      <c r="C72" s="67" t="s">
        <v>277</v>
      </c>
      <c r="D72" s="207" t="s">
        <v>780</v>
      </c>
      <c r="E72" s="149" t="s">
        <v>673</v>
      </c>
      <c r="F72" s="149" t="s">
        <v>781</v>
      </c>
      <c r="G72" s="149" t="s">
        <v>782</v>
      </c>
      <c r="H72" s="66">
        <v>3</v>
      </c>
      <c r="I72" s="149" t="s">
        <v>783</v>
      </c>
      <c r="J72" s="150">
        <v>43423</v>
      </c>
      <c r="K72" s="150">
        <v>43417</v>
      </c>
      <c r="L72" s="151" t="s">
        <v>283</v>
      </c>
      <c r="M72" s="151" t="s">
        <v>784</v>
      </c>
      <c r="N72" s="152" t="s">
        <v>457</v>
      </c>
      <c r="O72" s="151">
        <v>9</v>
      </c>
      <c r="P72" s="153" t="s">
        <v>286</v>
      </c>
      <c r="Q72" s="154" t="s">
        <v>458</v>
      </c>
      <c r="R72" s="155" t="s">
        <v>288</v>
      </c>
      <c r="S72" s="155" t="s">
        <v>785</v>
      </c>
      <c r="T72" s="156">
        <v>1</v>
      </c>
      <c r="U72" s="151" t="s">
        <v>441</v>
      </c>
      <c r="V72" s="151" t="s">
        <v>70</v>
      </c>
      <c r="W72" s="151" t="s">
        <v>291</v>
      </c>
      <c r="X72" s="151">
        <v>34</v>
      </c>
      <c r="Y72" s="151" t="s">
        <v>291</v>
      </c>
      <c r="Z72" s="151">
        <v>30</v>
      </c>
      <c r="AA72" s="151" t="s">
        <v>130</v>
      </c>
      <c r="AB72" s="151" t="s">
        <v>249</v>
      </c>
      <c r="AC72" s="151">
        <v>0</v>
      </c>
      <c r="AD72" s="151">
        <v>4</v>
      </c>
      <c r="AE72" s="182" t="s">
        <v>130</v>
      </c>
    </row>
    <row r="73" spans="1:31" ht="51">
      <c r="A73" s="66">
        <v>72</v>
      </c>
      <c r="B73" s="173" t="s">
        <v>276</v>
      </c>
      <c r="C73" s="67" t="s">
        <v>277</v>
      </c>
      <c r="D73" s="207" t="s">
        <v>786</v>
      </c>
      <c r="E73" s="149" t="s">
        <v>673</v>
      </c>
      <c r="F73" s="149" t="s">
        <v>787</v>
      </c>
      <c r="G73" s="149" t="s">
        <v>788</v>
      </c>
      <c r="H73" s="66">
        <v>3</v>
      </c>
      <c r="I73" s="149" t="s">
        <v>789</v>
      </c>
      <c r="J73" s="150">
        <v>43423</v>
      </c>
      <c r="K73" s="150">
        <v>43418</v>
      </c>
      <c r="L73" s="151" t="s">
        <v>283</v>
      </c>
      <c r="M73" s="151" t="s">
        <v>790</v>
      </c>
      <c r="N73" s="152" t="s">
        <v>437</v>
      </c>
      <c r="O73" s="151">
        <v>9</v>
      </c>
      <c r="P73" s="153" t="s">
        <v>286</v>
      </c>
      <c r="Q73" s="154" t="s">
        <v>439</v>
      </c>
      <c r="R73" s="155" t="s">
        <v>288</v>
      </c>
      <c r="S73" s="155" t="s">
        <v>791</v>
      </c>
      <c r="T73" s="156">
        <v>1</v>
      </c>
      <c r="U73" s="151" t="s">
        <v>441</v>
      </c>
      <c r="V73" s="151" t="s">
        <v>70</v>
      </c>
      <c r="W73" s="151" t="s">
        <v>291</v>
      </c>
      <c r="X73" s="151">
        <v>39</v>
      </c>
      <c r="Y73" s="151" t="s">
        <v>291</v>
      </c>
      <c r="Z73" s="151">
        <v>32</v>
      </c>
      <c r="AA73" s="151" t="s">
        <v>130</v>
      </c>
      <c r="AB73" s="151" t="s">
        <v>249</v>
      </c>
      <c r="AC73" s="151">
        <v>0</v>
      </c>
      <c r="AD73" s="151" t="s">
        <v>555</v>
      </c>
      <c r="AE73" s="182" t="s">
        <v>130</v>
      </c>
    </row>
    <row r="74" spans="1:31" ht="51">
      <c r="A74" s="66">
        <v>73</v>
      </c>
      <c r="B74" s="173" t="s">
        <v>276</v>
      </c>
      <c r="C74" s="67" t="s">
        <v>277</v>
      </c>
      <c r="D74" s="207" t="s">
        <v>792</v>
      </c>
      <c r="E74" s="149" t="s">
        <v>673</v>
      </c>
      <c r="F74" s="149" t="s">
        <v>793</v>
      </c>
      <c r="G74" s="149" t="s">
        <v>794</v>
      </c>
      <c r="H74" s="66">
        <v>3</v>
      </c>
      <c r="I74" s="149" t="s">
        <v>795</v>
      </c>
      <c r="J74" s="150">
        <v>43423</v>
      </c>
      <c r="K74" s="150">
        <v>43419</v>
      </c>
      <c r="L74" s="151" t="s">
        <v>283</v>
      </c>
      <c r="M74" s="151" t="s">
        <v>796</v>
      </c>
      <c r="N74" s="152" t="s">
        <v>457</v>
      </c>
      <c r="O74" s="151">
        <v>9</v>
      </c>
      <c r="P74" s="153" t="s">
        <v>286</v>
      </c>
      <c r="Q74" s="154" t="s">
        <v>458</v>
      </c>
      <c r="R74" s="155" t="s">
        <v>288</v>
      </c>
      <c r="S74" s="155" t="s">
        <v>797</v>
      </c>
      <c r="T74" s="156">
        <v>1</v>
      </c>
      <c r="U74" s="151" t="s">
        <v>441</v>
      </c>
      <c r="V74" s="151" t="s">
        <v>70</v>
      </c>
      <c r="W74" s="151" t="s">
        <v>291</v>
      </c>
      <c r="X74" s="151">
        <v>36</v>
      </c>
      <c r="Y74" s="151" t="s">
        <v>291</v>
      </c>
      <c r="Z74" s="151">
        <v>32</v>
      </c>
      <c r="AA74" s="151" t="s">
        <v>130</v>
      </c>
      <c r="AB74" s="151" t="s">
        <v>249</v>
      </c>
      <c r="AC74" s="151">
        <v>0</v>
      </c>
      <c r="AD74" s="151">
        <v>4</v>
      </c>
      <c r="AE74" s="182" t="s">
        <v>130</v>
      </c>
    </row>
    <row r="75" spans="1:31" ht="63.75">
      <c r="A75" s="66">
        <v>74</v>
      </c>
      <c r="B75" s="173" t="s">
        <v>276</v>
      </c>
      <c r="C75" s="67" t="s">
        <v>277</v>
      </c>
      <c r="D75" s="207" t="s">
        <v>798</v>
      </c>
      <c r="E75" s="149" t="s">
        <v>673</v>
      </c>
      <c r="F75" s="149" t="s">
        <v>799</v>
      </c>
      <c r="G75" s="149" t="s">
        <v>800</v>
      </c>
      <c r="H75" s="66">
        <v>4</v>
      </c>
      <c r="I75" s="149" t="s">
        <v>801</v>
      </c>
      <c r="J75" s="150">
        <v>43423</v>
      </c>
      <c r="K75" s="150">
        <v>43419</v>
      </c>
      <c r="L75" s="151" t="s">
        <v>297</v>
      </c>
      <c r="M75" s="151" t="s">
        <v>802</v>
      </c>
      <c r="N75" s="152" t="s">
        <v>447</v>
      </c>
      <c r="O75" s="151">
        <v>12</v>
      </c>
      <c r="P75" s="153" t="s">
        <v>409</v>
      </c>
      <c r="Q75" s="154" t="s">
        <v>449</v>
      </c>
      <c r="R75" s="155" t="s">
        <v>302</v>
      </c>
      <c r="S75" s="155" t="s">
        <v>803</v>
      </c>
      <c r="T75" s="156">
        <v>1</v>
      </c>
      <c r="U75" s="151" t="s">
        <v>451</v>
      </c>
      <c r="V75" s="151" t="s">
        <v>70</v>
      </c>
      <c r="W75" s="151" t="s">
        <v>291</v>
      </c>
      <c r="X75" s="151">
        <v>33</v>
      </c>
      <c r="Y75" s="151" t="s">
        <v>291</v>
      </c>
      <c r="Z75" s="151">
        <v>29</v>
      </c>
      <c r="AA75" s="151" t="s">
        <v>130</v>
      </c>
      <c r="AB75" s="151" t="s">
        <v>249</v>
      </c>
      <c r="AC75" s="151">
        <v>0</v>
      </c>
      <c r="AD75" s="151">
        <v>4</v>
      </c>
      <c r="AE75" s="182" t="s">
        <v>130</v>
      </c>
    </row>
    <row r="76" spans="1:31" ht="51">
      <c r="A76" s="66">
        <v>75</v>
      </c>
      <c r="B76" s="173" t="s">
        <v>276</v>
      </c>
      <c r="C76" s="67" t="s">
        <v>277</v>
      </c>
      <c r="D76" s="207" t="s">
        <v>804</v>
      </c>
      <c r="E76" s="149" t="s">
        <v>673</v>
      </c>
      <c r="F76" s="149" t="s">
        <v>805</v>
      </c>
      <c r="G76" s="149" t="s">
        <v>806</v>
      </c>
      <c r="H76" s="66">
        <v>3</v>
      </c>
      <c r="I76" s="149" t="s">
        <v>807</v>
      </c>
      <c r="J76" s="150">
        <v>43423</v>
      </c>
      <c r="K76" s="150">
        <v>43418</v>
      </c>
      <c r="L76" s="151" t="s">
        <v>283</v>
      </c>
      <c r="M76" s="151" t="s">
        <v>808</v>
      </c>
      <c r="N76" s="152" t="s">
        <v>457</v>
      </c>
      <c r="O76" s="151">
        <v>9</v>
      </c>
      <c r="P76" s="153" t="s">
        <v>286</v>
      </c>
      <c r="Q76" s="154" t="s">
        <v>458</v>
      </c>
      <c r="R76" s="155" t="s">
        <v>288</v>
      </c>
      <c r="S76" s="155" t="s">
        <v>809</v>
      </c>
      <c r="T76" s="156">
        <v>1</v>
      </c>
      <c r="U76" s="151" t="s">
        <v>441</v>
      </c>
      <c r="V76" s="151" t="s">
        <v>70</v>
      </c>
      <c r="W76" s="151" t="s">
        <v>291</v>
      </c>
      <c r="X76" s="151">
        <v>33</v>
      </c>
      <c r="Y76" s="151" t="s">
        <v>291</v>
      </c>
      <c r="Z76" s="151">
        <v>29</v>
      </c>
      <c r="AA76" s="151" t="s">
        <v>130</v>
      </c>
      <c r="AB76" s="151" t="s">
        <v>249</v>
      </c>
      <c r="AC76" s="151">
        <v>0</v>
      </c>
      <c r="AD76" s="151">
        <v>4</v>
      </c>
      <c r="AE76" s="182" t="s">
        <v>130</v>
      </c>
    </row>
    <row r="77" spans="1:31" ht="63.75">
      <c r="A77" s="66">
        <v>76</v>
      </c>
      <c r="B77" s="173" t="s">
        <v>276</v>
      </c>
      <c r="C77" s="67" t="s">
        <v>277</v>
      </c>
      <c r="D77" s="207" t="s">
        <v>810</v>
      </c>
      <c r="E77" s="149" t="s">
        <v>673</v>
      </c>
      <c r="F77" s="149" t="s">
        <v>811</v>
      </c>
      <c r="G77" s="149" t="s">
        <v>812</v>
      </c>
      <c r="H77" s="66">
        <v>4</v>
      </c>
      <c r="I77" s="149" t="s">
        <v>813</v>
      </c>
      <c r="J77" s="150">
        <v>43423</v>
      </c>
      <c r="K77" s="150">
        <v>43419</v>
      </c>
      <c r="L77" s="151" t="s">
        <v>297</v>
      </c>
      <c r="M77" s="151" t="s">
        <v>814</v>
      </c>
      <c r="N77" s="152" t="s">
        <v>447</v>
      </c>
      <c r="O77" s="151">
        <v>12</v>
      </c>
      <c r="P77" s="153" t="s">
        <v>409</v>
      </c>
      <c r="Q77" s="154" t="s">
        <v>449</v>
      </c>
      <c r="R77" s="155" t="s">
        <v>302</v>
      </c>
      <c r="S77" s="155" t="s">
        <v>815</v>
      </c>
      <c r="T77" s="156">
        <v>1</v>
      </c>
      <c r="U77" s="151" t="s">
        <v>451</v>
      </c>
      <c r="V77" s="151" t="s">
        <v>70</v>
      </c>
      <c r="W77" s="151" t="s">
        <v>291</v>
      </c>
      <c r="X77" s="151">
        <v>45</v>
      </c>
      <c r="Y77" s="151" t="s">
        <v>291</v>
      </c>
      <c r="Z77" s="151">
        <v>34</v>
      </c>
      <c r="AA77" s="151" t="s">
        <v>130</v>
      </c>
      <c r="AB77" s="151" t="s">
        <v>249</v>
      </c>
      <c r="AC77" s="151">
        <v>0</v>
      </c>
      <c r="AD77" s="151">
        <v>11</v>
      </c>
      <c r="AE77" s="182" t="s">
        <v>130</v>
      </c>
    </row>
    <row r="78" spans="1:31" ht="51">
      <c r="A78" s="66">
        <v>77</v>
      </c>
      <c r="B78" s="173" t="s">
        <v>276</v>
      </c>
      <c r="C78" s="67" t="s">
        <v>277</v>
      </c>
      <c r="D78" s="207" t="s">
        <v>816</v>
      </c>
      <c r="E78" s="149" t="s">
        <v>673</v>
      </c>
      <c r="F78" s="149" t="s">
        <v>817</v>
      </c>
      <c r="G78" s="149" t="s">
        <v>818</v>
      </c>
      <c r="H78" s="66">
        <v>3</v>
      </c>
      <c r="I78" s="149" t="s">
        <v>819</v>
      </c>
      <c r="J78" s="150">
        <v>43423</v>
      </c>
      <c r="K78" s="150">
        <v>43414</v>
      </c>
      <c r="L78" s="151" t="s">
        <v>283</v>
      </c>
      <c r="M78" s="151" t="s">
        <v>820</v>
      </c>
      <c r="N78" s="152" t="s">
        <v>437</v>
      </c>
      <c r="O78" s="151">
        <v>9</v>
      </c>
      <c r="P78" s="153" t="s">
        <v>377</v>
      </c>
      <c r="Q78" s="154" t="s">
        <v>439</v>
      </c>
      <c r="R78" s="155" t="s">
        <v>288</v>
      </c>
      <c r="S78" s="155" t="s">
        <v>821</v>
      </c>
      <c r="T78" s="156">
        <v>1</v>
      </c>
      <c r="U78" s="151" t="s">
        <v>441</v>
      </c>
      <c r="V78" s="151" t="s">
        <v>70</v>
      </c>
      <c r="W78" s="151" t="s">
        <v>249</v>
      </c>
      <c r="X78" s="151" t="s">
        <v>130</v>
      </c>
      <c r="Y78" s="151" t="s">
        <v>291</v>
      </c>
      <c r="Z78" s="151">
        <v>26</v>
      </c>
      <c r="AA78" s="151" t="s">
        <v>130</v>
      </c>
      <c r="AB78" s="151" t="s">
        <v>249</v>
      </c>
      <c r="AC78" s="151">
        <v>0</v>
      </c>
      <c r="AD78" s="151">
        <v>7</v>
      </c>
      <c r="AE78" s="182" t="s">
        <v>130</v>
      </c>
    </row>
    <row r="79" spans="1:31" ht="51">
      <c r="A79" s="66">
        <v>78</v>
      </c>
      <c r="B79" s="173" t="s">
        <v>276</v>
      </c>
      <c r="C79" s="67" t="s">
        <v>277</v>
      </c>
      <c r="D79" s="207" t="s">
        <v>822</v>
      </c>
      <c r="E79" s="149" t="s">
        <v>673</v>
      </c>
      <c r="F79" s="149" t="s">
        <v>823</v>
      </c>
      <c r="G79" s="149" t="s">
        <v>824</v>
      </c>
      <c r="H79" s="66">
        <v>3</v>
      </c>
      <c r="I79" s="149" t="s">
        <v>825</v>
      </c>
      <c r="J79" s="150">
        <v>43423</v>
      </c>
      <c r="K79" s="150">
        <v>43414</v>
      </c>
      <c r="L79" s="151" t="s">
        <v>283</v>
      </c>
      <c r="M79" s="151" t="s">
        <v>826</v>
      </c>
      <c r="N79" s="152" t="s">
        <v>765</v>
      </c>
      <c r="O79" s="151">
        <v>9</v>
      </c>
      <c r="P79" s="153" t="s">
        <v>286</v>
      </c>
      <c r="Q79" s="154" t="s">
        <v>766</v>
      </c>
      <c r="R79" s="155" t="s">
        <v>288</v>
      </c>
      <c r="S79" s="155" t="s">
        <v>827</v>
      </c>
      <c r="T79" s="156">
        <v>1</v>
      </c>
      <c r="U79" s="151" t="s">
        <v>441</v>
      </c>
      <c r="V79" s="151" t="s">
        <v>70</v>
      </c>
      <c r="W79" s="151" t="s">
        <v>291</v>
      </c>
      <c r="X79" s="151">
        <v>34</v>
      </c>
      <c r="Y79" s="151" t="s">
        <v>291</v>
      </c>
      <c r="Z79" s="151">
        <v>27</v>
      </c>
      <c r="AA79" s="151" t="s">
        <v>130</v>
      </c>
      <c r="AB79" s="151" t="s">
        <v>249</v>
      </c>
      <c r="AC79" s="151">
        <v>0</v>
      </c>
      <c r="AD79" s="151">
        <v>7</v>
      </c>
      <c r="AE79" s="182" t="s">
        <v>130</v>
      </c>
    </row>
    <row r="80" spans="1:31" ht="51">
      <c r="A80" s="66">
        <v>79</v>
      </c>
      <c r="B80" s="173" t="s">
        <v>276</v>
      </c>
      <c r="C80" s="67" t="s">
        <v>277</v>
      </c>
      <c r="D80" s="207" t="s">
        <v>828</v>
      </c>
      <c r="E80" s="149" t="s">
        <v>673</v>
      </c>
      <c r="F80" s="149" t="s">
        <v>829</v>
      </c>
      <c r="G80" s="149" t="s">
        <v>830</v>
      </c>
      <c r="H80" s="66">
        <v>3</v>
      </c>
      <c r="I80" s="149" t="s">
        <v>831</v>
      </c>
      <c r="J80" s="150">
        <v>43423</v>
      </c>
      <c r="K80" s="150">
        <v>43415</v>
      </c>
      <c r="L80" s="151" t="s">
        <v>283</v>
      </c>
      <c r="M80" s="151" t="s">
        <v>832</v>
      </c>
      <c r="N80" s="152" t="s">
        <v>457</v>
      </c>
      <c r="O80" s="151">
        <v>9</v>
      </c>
      <c r="P80" s="153" t="s">
        <v>286</v>
      </c>
      <c r="Q80" s="154" t="s">
        <v>458</v>
      </c>
      <c r="R80" s="155" t="s">
        <v>288</v>
      </c>
      <c r="S80" s="155" t="s">
        <v>797</v>
      </c>
      <c r="T80" s="156">
        <v>1</v>
      </c>
      <c r="U80" s="151" t="s">
        <v>441</v>
      </c>
      <c r="V80" s="151" t="s">
        <v>70</v>
      </c>
      <c r="W80" s="151" t="s">
        <v>291</v>
      </c>
      <c r="X80" s="151">
        <v>36</v>
      </c>
      <c r="Y80" s="151" t="s">
        <v>291</v>
      </c>
      <c r="Z80" s="151">
        <v>32</v>
      </c>
      <c r="AA80" s="151" t="s">
        <v>130</v>
      </c>
      <c r="AB80" s="151" t="s">
        <v>249</v>
      </c>
      <c r="AC80" s="151">
        <v>0</v>
      </c>
      <c r="AD80" s="151">
        <v>4</v>
      </c>
      <c r="AE80" s="182" t="s">
        <v>130</v>
      </c>
    </row>
    <row r="81" spans="1:31" ht="51">
      <c r="A81" s="66">
        <v>80</v>
      </c>
      <c r="B81" s="173" t="s">
        <v>276</v>
      </c>
      <c r="C81" s="67" t="s">
        <v>277</v>
      </c>
      <c r="D81" s="207" t="s">
        <v>833</v>
      </c>
      <c r="E81" s="149" t="s">
        <v>834</v>
      </c>
      <c r="F81" s="149" t="s">
        <v>835</v>
      </c>
      <c r="G81" s="149" t="s">
        <v>836</v>
      </c>
      <c r="H81" s="66">
        <v>3</v>
      </c>
      <c r="I81" s="149" t="s">
        <v>837</v>
      </c>
      <c r="J81" s="150">
        <v>43423</v>
      </c>
      <c r="K81" s="150">
        <v>43399</v>
      </c>
      <c r="L81" s="151" t="s">
        <v>283</v>
      </c>
      <c r="M81" s="151" t="s">
        <v>838</v>
      </c>
      <c r="N81" s="152" t="s">
        <v>311</v>
      </c>
      <c r="O81" s="151">
        <v>9</v>
      </c>
      <c r="P81" s="153" t="s">
        <v>286</v>
      </c>
      <c r="Q81" s="154" t="s">
        <v>287</v>
      </c>
      <c r="R81" s="155" t="s">
        <v>288</v>
      </c>
      <c r="S81" s="155" t="s">
        <v>839</v>
      </c>
      <c r="T81" s="156">
        <v>1</v>
      </c>
      <c r="U81" s="151" t="s">
        <v>290</v>
      </c>
      <c r="V81" s="151" t="s">
        <v>70</v>
      </c>
      <c r="W81" s="151" t="s">
        <v>249</v>
      </c>
      <c r="X81" s="151" t="s">
        <v>130</v>
      </c>
      <c r="Y81" s="151" t="s">
        <v>291</v>
      </c>
      <c r="Z81" s="151">
        <v>13</v>
      </c>
      <c r="AA81" s="151" t="s">
        <v>130</v>
      </c>
      <c r="AB81" s="151" t="s">
        <v>249</v>
      </c>
      <c r="AC81" s="151">
        <v>11</v>
      </c>
      <c r="AD81" s="151">
        <v>14</v>
      </c>
      <c r="AE81" s="182" t="s">
        <v>130</v>
      </c>
    </row>
    <row r="82" spans="1:31" ht="51">
      <c r="A82" s="66">
        <v>81</v>
      </c>
      <c r="B82" s="173" t="s">
        <v>276</v>
      </c>
      <c r="C82" s="67" t="s">
        <v>277</v>
      </c>
      <c r="D82" s="207" t="s">
        <v>840</v>
      </c>
      <c r="E82" s="149" t="s">
        <v>834</v>
      </c>
      <c r="F82" s="149" t="s">
        <v>841</v>
      </c>
      <c r="G82" s="149" t="s">
        <v>842</v>
      </c>
      <c r="H82" s="66">
        <v>3</v>
      </c>
      <c r="I82" s="149" t="s">
        <v>843</v>
      </c>
      <c r="J82" s="150">
        <v>43423</v>
      </c>
      <c r="K82" s="150">
        <v>43398</v>
      </c>
      <c r="L82" s="151" t="s">
        <v>283</v>
      </c>
      <c r="M82" s="151" t="s">
        <v>844</v>
      </c>
      <c r="N82" s="152" t="s">
        <v>311</v>
      </c>
      <c r="O82" s="151">
        <v>9</v>
      </c>
      <c r="P82" s="153" t="s">
        <v>286</v>
      </c>
      <c r="Q82" s="154" t="s">
        <v>287</v>
      </c>
      <c r="R82" s="155" t="s">
        <v>288</v>
      </c>
      <c r="S82" s="155" t="s">
        <v>845</v>
      </c>
      <c r="T82" s="156">
        <v>1</v>
      </c>
      <c r="U82" s="151" t="s">
        <v>290</v>
      </c>
      <c r="V82" s="151" t="s">
        <v>70</v>
      </c>
      <c r="W82" s="151" t="s">
        <v>249</v>
      </c>
      <c r="X82" s="151" t="s">
        <v>130</v>
      </c>
      <c r="Y82" s="151" t="s">
        <v>291</v>
      </c>
      <c r="Z82" s="151">
        <v>-24</v>
      </c>
      <c r="AA82" s="151" t="s">
        <v>130</v>
      </c>
      <c r="AB82" s="151" t="s">
        <v>249</v>
      </c>
      <c r="AC82" s="151">
        <v>11</v>
      </c>
      <c r="AD82" s="151">
        <v>53</v>
      </c>
      <c r="AE82" s="182" t="s">
        <v>130</v>
      </c>
    </row>
    <row r="83" spans="1:31" ht="51">
      <c r="A83" s="66">
        <v>82</v>
      </c>
      <c r="B83" s="173" t="s">
        <v>276</v>
      </c>
      <c r="C83" s="67" t="s">
        <v>277</v>
      </c>
      <c r="D83" s="207" t="s">
        <v>846</v>
      </c>
      <c r="E83" s="149" t="s">
        <v>834</v>
      </c>
      <c r="F83" s="149" t="s">
        <v>847</v>
      </c>
      <c r="G83" s="149" t="s">
        <v>848</v>
      </c>
      <c r="H83" s="66">
        <v>3</v>
      </c>
      <c r="I83" s="149" t="s">
        <v>849</v>
      </c>
      <c r="J83" s="150">
        <v>43423</v>
      </c>
      <c r="K83" s="150">
        <v>43399</v>
      </c>
      <c r="L83" s="151" t="s">
        <v>283</v>
      </c>
      <c r="M83" s="151" t="s">
        <v>850</v>
      </c>
      <c r="N83" s="152" t="s">
        <v>329</v>
      </c>
      <c r="O83" s="151">
        <v>9</v>
      </c>
      <c r="P83" s="153" t="s">
        <v>286</v>
      </c>
      <c r="Q83" s="154" t="s">
        <v>331</v>
      </c>
      <c r="R83" s="155" t="s">
        <v>288</v>
      </c>
      <c r="S83" s="155" t="s">
        <v>851</v>
      </c>
      <c r="T83" s="156">
        <v>1</v>
      </c>
      <c r="U83" s="151" t="s">
        <v>290</v>
      </c>
      <c r="V83" s="151" t="s">
        <v>70</v>
      </c>
      <c r="W83" s="151" t="s">
        <v>249</v>
      </c>
      <c r="X83" s="151" t="s">
        <v>130</v>
      </c>
      <c r="Y83" s="151" t="s">
        <v>291</v>
      </c>
      <c r="Z83" s="151">
        <v>15</v>
      </c>
      <c r="AA83" s="151" t="s">
        <v>130</v>
      </c>
      <c r="AB83" s="151" t="s">
        <v>249</v>
      </c>
      <c r="AC83" s="151">
        <v>11</v>
      </c>
      <c r="AD83" s="151">
        <v>14</v>
      </c>
      <c r="AE83" s="182" t="s">
        <v>130</v>
      </c>
    </row>
    <row r="84" spans="1:31" ht="51">
      <c r="A84" s="66">
        <v>83</v>
      </c>
      <c r="B84" s="173" t="s">
        <v>276</v>
      </c>
      <c r="C84" s="67" t="s">
        <v>277</v>
      </c>
      <c r="D84" s="207" t="s">
        <v>852</v>
      </c>
      <c r="E84" s="149" t="s">
        <v>834</v>
      </c>
      <c r="F84" s="149" t="s">
        <v>853</v>
      </c>
      <c r="G84" s="149" t="s">
        <v>854</v>
      </c>
      <c r="H84" s="66">
        <v>3</v>
      </c>
      <c r="I84" s="149" t="s">
        <v>855</v>
      </c>
      <c r="J84" s="150">
        <v>43423</v>
      </c>
      <c r="K84" s="150">
        <v>43399</v>
      </c>
      <c r="L84" s="151" t="s">
        <v>283</v>
      </c>
      <c r="M84" s="151" t="s">
        <v>856</v>
      </c>
      <c r="N84" s="152" t="s">
        <v>329</v>
      </c>
      <c r="O84" s="151">
        <v>9</v>
      </c>
      <c r="P84" s="153" t="s">
        <v>364</v>
      </c>
      <c r="Q84" s="154" t="s">
        <v>857</v>
      </c>
      <c r="R84" s="155" t="s">
        <v>320</v>
      </c>
      <c r="S84" s="155" t="s">
        <v>858</v>
      </c>
      <c r="T84" s="156">
        <v>1</v>
      </c>
      <c r="U84" s="151" t="s">
        <v>322</v>
      </c>
      <c r="V84" s="151" t="s">
        <v>70</v>
      </c>
      <c r="W84" s="151" t="s">
        <v>249</v>
      </c>
      <c r="X84" s="151" t="s">
        <v>130</v>
      </c>
      <c r="Y84" s="151" t="s">
        <v>291</v>
      </c>
      <c r="Z84" s="151">
        <v>12</v>
      </c>
      <c r="AA84" s="151" t="s">
        <v>130</v>
      </c>
      <c r="AB84" s="151" t="s">
        <v>249</v>
      </c>
      <c r="AC84" s="151">
        <v>11</v>
      </c>
      <c r="AD84" s="151">
        <v>14</v>
      </c>
      <c r="AE84" s="182" t="s">
        <v>130</v>
      </c>
    </row>
    <row r="85" spans="1:31" ht="51">
      <c r="A85" s="66">
        <v>84</v>
      </c>
      <c r="B85" s="173" t="s">
        <v>276</v>
      </c>
      <c r="C85" s="67" t="s">
        <v>277</v>
      </c>
      <c r="D85" s="207" t="s">
        <v>859</v>
      </c>
      <c r="E85" s="149" t="s">
        <v>834</v>
      </c>
      <c r="F85" s="149" t="s">
        <v>860</v>
      </c>
      <c r="G85" s="149" t="s">
        <v>861</v>
      </c>
      <c r="H85" s="66">
        <v>3</v>
      </c>
      <c r="I85" s="149" t="s">
        <v>862</v>
      </c>
      <c r="J85" s="150">
        <v>43423</v>
      </c>
      <c r="K85" s="150">
        <v>43399</v>
      </c>
      <c r="L85" s="151" t="s">
        <v>283</v>
      </c>
      <c r="M85" s="151" t="s">
        <v>863</v>
      </c>
      <c r="N85" s="152" t="s">
        <v>329</v>
      </c>
      <c r="O85" s="151">
        <v>9</v>
      </c>
      <c r="P85" s="153" t="s">
        <v>286</v>
      </c>
      <c r="Q85" s="154" t="s">
        <v>331</v>
      </c>
      <c r="R85" s="155" t="s">
        <v>288</v>
      </c>
      <c r="S85" s="155" t="s">
        <v>864</v>
      </c>
      <c r="T85" s="156">
        <v>1</v>
      </c>
      <c r="U85" s="151" t="s">
        <v>290</v>
      </c>
      <c r="V85" s="151" t="s">
        <v>70</v>
      </c>
      <c r="W85" s="151" t="s">
        <v>249</v>
      </c>
      <c r="X85" s="151" t="s">
        <v>130</v>
      </c>
      <c r="Y85" s="151" t="s">
        <v>291</v>
      </c>
      <c r="Z85" s="151">
        <v>14</v>
      </c>
      <c r="AA85" s="151" t="s">
        <v>130</v>
      </c>
      <c r="AB85" s="151" t="s">
        <v>249</v>
      </c>
      <c r="AC85" s="151">
        <v>11</v>
      </c>
      <c r="AD85" s="151">
        <v>11</v>
      </c>
      <c r="AE85" s="182" t="s">
        <v>130</v>
      </c>
    </row>
    <row r="86" spans="1:31" ht="51">
      <c r="A86" s="66">
        <v>85</v>
      </c>
      <c r="B86" s="173" t="s">
        <v>276</v>
      </c>
      <c r="C86" s="67" t="s">
        <v>277</v>
      </c>
      <c r="D86" s="207" t="s">
        <v>865</v>
      </c>
      <c r="E86" s="149" t="s">
        <v>834</v>
      </c>
      <c r="F86" s="149" t="s">
        <v>866</v>
      </c>
      <c r="G86" s="149" t="s">
        <v>867</v>
      </c>
      <c r="H86" s="66">
        <v>3</v>
      </c>
      <c r="I86" s="149" t="s">
        <v>868</v>
      </c>
      <c r="J86" s="150">
        <v>43423</v>
      </c>
      <c r="K86" s="150">
        <v>43402</v>
      </c>
      <c r="L86" s="151" t="s">
        <v>283</v>
      </c>
      <c r="M86" s="151" t="s">
        <v>869</v>
      </c>
      <c r="N86" s="152" t="s">
        <v>329</v>
      </c>
      <c r="O86" s="151">
        <v>9</v>
      </c>
      <c r="P86" s="153" t="s">
        <v>286</v>
      </c>
      <c r="Q86" s="154" t="s">
        <v>857</v>
      </c>
      <c r="R86" s="155" t="s">
        <v>320</v>
      </c>
      <c r="S86" s="155" t="s">
        <v>339</v>
      </c>
      <c r="T86" s="156">
        <v>1</v>
      </c>
      <c r="U86" s="151" t="s">
        <v>322</v>
      </c>
      <c r="V86" s="151" t="s">
        <v>70</v>
      </c>
      <c r="W86" s="151" t="s">
        <v>249</v>
      </c>
      <c r="X86" s="151" t="s">
        <v>130</v>
      </c>
      <c r="Y86" s="151" t="s">
        <v>291</v>
      </c>
      <c r="Z86" s="151">
        <v>12</v>
      </c>
      <c r="AA86" s="151" t="s">
        <v>130</v>
      </c>
      <c r="AB86" s="151" t="s">
        <v>249</v>
      </c>
      <c r="AC86" s="151">
        <v>11</v>
      </c>
      <c r="AD86" s="151">
        <v>14</v>
      </c>
      <c r="AE86" s="182" t="s">
        <v>130</v>
      </c>
    </row>
    <row r="87" spans="1:31" ht="51">
      <c r="A87" s="66">
        <v>86</v>
      </c>
      <c r="B87" s="173" t="s">
        <v>276</v>
      </c>
      <c r="C87" s="67" t="s">
        <v>277</v>
      </c>
      <c r="D87" s="207" t="s">
        <v>870</v>
      </c>
      <c r="E87" s="149" t="s">
        <v>834</v>
      </c>
      <c r="F87" s="149" t="s">
        <v>871</v>
      </c>
      <c r="G87" s="149" t="s">
        <v>872</v>
      </c>
      <c r="H87" s="66">
        <v>3</v>
      </c>
      <c r="I87" s="149" t="s">
        <v>873</v>
      </c>
      <c r="J87" s="150">
        <v>43423</v>
      </c>
      <c r="K87" s="150">
        <v>43402</v>
      </c>
      <c r="L87" s="151" t="s">
        <v>283</v>
      </c>
      <c r="M87" s="151" t="s">
        <v>874</v>
      </c>
      <c r="N87" s="152" t="s">
        <v>329</v>
      </c>
      <c r="O87" s="151">
        <v>10</v>
      </c>
      <c r="P87" s="153" t="s">
        <v>875</v>
      </c>
      <c r="Q87" s="154" t="s">
        <v>876</v>
      </c>
      <c r="R87" s="155" t="s">
        <v>320</v>
      </c>
      <c r="S87" s="155" t="s">
        <v>877</v>
      </c>
      <c r="T87" s="156">
        <v>1</v>
      </c>
      <c r="U87" s="151" t="s">
        <v>322</v>
      </c>
      <c r="V87" s="151" t="s">
        <v>70</v>
      </c>
      <c r="W87" s="151" t="s">
        <v>249</v>
      </c>
      <c r="X87" s="151" t="s">
        <v>130</v>
      </c>
      <c r="Y87" s="151" t="s">
        <v>291</v>
      </c>
      <c r="Z87" s="151">
        <v>17</v>
      </c>
      <c r="AA87" s="151" t="s">
        <v>130</v>
      </c>
      <c r="AB87" s="151" t="s">
        <v>249</v>
      </c>
      <c r="AC87" s="151">
        <v>0</v>
      </c>
      <c r="AD87" s="151">
        <v>11</v>
      </c>
      <c r="AE87" s="182" t="s">
        <v>878</v>
      </c>
    </row>
    <row r="88" spans="1:31" ht="51">
      <c r="A88" s="66">
        <v>87</v>
      </c>
      <c r="B88" s="173" t="s">
        <v>276</v>
      </c>
      <c r="C88" s="67" t="s">
        <v>277</v>
      </c>
      <c r="D88" s="207" t="s">
        <v>879</v>
      </c>
      <c r="E88" s="149" t="s">
        <v>834</v>
      </c>
      <c r="F88" s="149" t="s">
        <v>880</v>
      </c>
      <c r="G88" s="149" t="s">
        <v>881</v>
      </c>
      <c r="H88" s="66">
        <v>3</v>
      </c>
      <c r="I88" s="149" t="s">
        <v>882</v>
      </c>
      <c r="J88" s="150">
        <v>43423</v>
      </c>
      <c r="K88" s="150">
        <v>43398</v>
      </c>
      <c r="L88" s="151" t="s">
        <v>283</v>
      </c>
      <c r="M88" s="151" t="s">
        <v>883</v>
      </c>
      <c r="N88" s="152" t="s">
        <v>311</v>
      </c>
      <c r="O88" s="151">
        <v>9</v>
      </c>
      <c r="P88" s="153" t="s">
        <v>286</v>
      </c>
      <c r="Q88" s="154" t="s">
        <v>287</v>
      </c>
      <c r="R88" s="155" t="s">
        <v>288</v>
      </c>
      <c r="S88" s="155" t="s">
        <v>884</v>
      </c>
      <c r="T88" s="156">
        <v>1</v>
      </c>
      <c r="U88" s="151" t="s">
        <v>290</v>
      </c>
      <c r="V88" s="151" t="s">
        <v>70</v>
      </c>
      <c r="W88" s="151" t="s">
        <v>249</v>
      </c>
      <c r="X88" s="151" t="s">
        <v>130</v>
      </c>
      <c r="Y88" s="151" t="s">
        <v>291</v>
      </c>
      <c r="Z88" s="151">
        <v>25</v>
      </c>
      <c r="AA88" s="151" t="s">
        <v>130</v>
      </c>
      <c r="AB88" s="151" t="s">
        <v>249</v>
      </c>
      <c r="AC88" s="151">
        <v>0</v>
      </c>
      <c r="AD88" s="151">
        <v>14</v>
      </c>
      <c r="AE88" s="182" t="s">
        <v>130</v>
      </c>
    </row>
    <row r="89" spans="1:31" ht="51">
      <c r="A89" s="66">
        <v>88</v>
      </c>
      <c r="B89" s="173" t="s">
        <v>276</v>
      </c>
      <c r="C89" s="67" t="s">
        <v>277</v>
      </c>
      <c r="D89" s="207" t="s">
        <v>885</v>
      </c>
      <c r="E89" s="149" t="s">
        <v>834</v>
      </c>
      <c r="F89" s="149" t="s">
        <v>886</v>
      </c>
      <c r="G89" s="149" t="s">
        <v>887</v>
      </c>
      <c r="H89" s="66">
        <v>3</v>
      </c>
      <c r="I89" s="149" t="s">
        <v>888</v>
      </c>
      <c r="J89" s="150">
        <v>43423</v>
      </c>
      <c r="K89" s="150">
        <v>43402</v>
      </c>
      <c r="L89" s="151" t="s">
        <v>283</v>
      </c>
      <c r="M89" s="151" t="s">
        <v>889</v>
      </c>
      <c r="N89" s="152" t="s">
        <v>329</v>
      </c>
      <c r="O89" s="151">
        <v>9</v>
      </c>
      <c r="P89" s="153" t="s">
        <v>286</v>
      </c>
      <c r="Q89" s="154" t="s">
        <v>331</v>
      </c>
      <c r="R89" s="155" t="s">
        <v>288</v>
      </c>
      <c r="S89" s="155" t="s">
        <v>890</v>
      </c>
      <c r="T89" s="156">
        <v>1</v>
      </c>
      <c r="U89" s="151" t="s">
        <v>290</v>
      </c>
      <c r="V89" s="151" t="s">
        <v>70</v>
      </c>
      <c r="W89" s="151" t="s">
        <v>249</v>
      </c>
      <c r="X89" s="151" t="s">
        <v>130</v>
      </c>
      <c r="Y89" s="151" t="s">
        <v>291</v>
      </c>
      <c r="Z89" s="151">
        <v>12</v>
      </c>
      <c r="AA89" s="151" t="s">
        <v>130</v>
      </c>
      <c r="AB89" s="151" t="s">
        <v>249</v>
      </c>
      <c r="AC89" s="151">
        <v>11</v>
      </c>
      <c r="AD89" s="151">
        <v>11</v>
      </c>
      <c r="AE89" s="182" t="s">
        <v>130</v>
      </c>
    </row>
    <row r="90" spans="1:31" ht="63.75">
      <c r="A90" s="66">
        <v>89</v>
      </c>
      <c r="B90" s="173" t="s">
        <v>276</v>
      </c>
      <c r="C90" s="67" t="s">
        <v>277</v>
      </c>
      <c r="D90" s="207" t="s">
        <v>891</v>
      </c>
      <c r="E90" s="149" t="s">
        <v>834</v>
      </c>
      <c r="F90" s="149" t="s">
        <v>892</v>
      </c>
      <c r="G90" s="149" t="s">
        <v>893</v>
      </c>
      <c r="H90" s="66">
        <v>4</v>
      </c>
      <c r="I90" s="149" t="s">
        <v>894</v>
      </c>
      <c r="J90" s="150">
        <v>43423</v>
      </c>
      <c r="K90" s="150">
        <v>43402</v>
      </c>
      <c r="L90" s="151" t="s">
        <v>297</v>
      </c>
      <c r="M90" s="151" t="s">
        <v>895</v>
      </c>
      <c r="N90" s="152" t="s">
        <v>299</v>
      </c>
      <c r="O90" s="151">
        <v>12</v>
      </c>
      <c r="P90" s="153" t="s">
        <v>896</v>
      </c>
      <c r="Q90" s="154" t="s">
        <v>301</v>
      </c>
      <c r="R90" s="155" t="s">
        <v>302</v>
      </c>
      <c r="S90" s="155" t="s">
        <v>897</v>
      </c>
      <c r="T90" s="156">
        <v>1</v>
      </c>
      <c r="U90" s="151" t="s">
        <v>304</v>
      </c>
      <c r="V90" s="151" t="s">
        <v>70</v>
      </c>
      <c r="W90" s="151" t="s">
        <v>249</v>
      </c>
      <c r="X90" s="151" t="s">
        <v>130</v>
      </c>
      <c r="Y90" s="151" t="s">
        <v>291</v>
      </c>
      <c r="Z90" s="151">
        <v>-43</v>
      </c>
      <c r="AA90" s="151" t="s">
        <v>130</v>
      </c>
      <c r="AB90" s="151" t="s">
        <v>249</v>
      </c>
      <c r="AC90" s="151">
        <v>11</v>
      </c>
      <c r="AD90" s="151">
        <v>67</v>
      </c>
      <c r="AE90" s="182" t="s">
        <v>130</v>
      </c>
    </row>
    <row r="91" spans="1:31" ht="51">
      <c r="A91" s="66">
        <v>90</v>
      </c>
      <c r="B91" s="173" t="s">
        <v>276</v>
      </c>
      <c r="C91" s="67" t="s">
        <v>277</v>
      </c>
      <c r="D91" s="207" t="s">
        <v>898</v>
      </c>
      <c r="E91" s="149" t="s">
        <v>834</v>
      </c>
      <c r="F91" s="149" t="s">
        <v>899</v>
      </c>
      <c r="G91" s="149" t="s">
        <v>900</v>
      </c>
      <c r="H91" s="66">
        <v>3</v>
      </c>
      <c r="I91" s="149" t="s">
        <v>901</v>
      </c>
      <c r="J91" s="150">
        <v>43423</v>
      </c>
      <c r="K91" s="150">
        <v>43402</v>
      </c>
      <c r="L91" s="151" t="s">
        <v>283</v>
      </c>
      <c r="M91" s="151" t="s">
        <v>902</v>
      </c>
      <c r="N91" s="152" t="s">
        <v>285</v>
      </c>
      <c r="O91" s="151">
        <v>9</v>
      </c>
      <c r="P91" s="153" t="s">
        <v>286</v>
      </c>
      <c r="Q91" s="154" t="s">
        <v>319</v>
      </c>
      <c r="R91" s="155" t="s">
        <v>320</v>
      </c>
      <c r="S91" s="155" t="s">
        <v>903</v>
      </c>
      <c r="T91" s="156">
        <v>1</v>
      </c>
      <c r="U91" s="151" t="s">
        <v>322</v>
      </c>
      <c r="V91" s="151" t="s">
        <v>70</v>
      </c>
      <c r="W91" s="151" t="s">
        <v>249</v>
      </c>
      <c r="X91" s="151" t="s">
        <v>130</v>
      </c>
      <c r="Y91" s="151" t="s">
        <v>291</v>
      </c>
      <c r="Z91" s="151">
        <v>9</v>
      </c>
      <c r="AA91" s="151" t="s">
        <v>130</v>
      </c>
      <c r="AB91" s="151" t="s">
        <v>249</v>
      </c>
      <c r="AC91" s="151">
        <v>7</v>
      </c>
      <c r="AD91" s="151">
        <v>14</v>
      </c>
      <c r="AE91" s="182" t="s">
        <v>130</v>
      </c>
    </row>
    <row r="92" spans="1:31" ht="51">
      <c r="A92" s="66">
        <v>91</v>
      </c>
      <c r="B92" s="173" t="s">
        <v>276</v>
      </c>
      <c r="C92" s="67" t="s">
        <v>277</v>
      </c>
      <c r="D92" s="207" t="s">
        <v>904</v>
      </c>
      <c r="E92" s="149" t="s">
        <v>834</v>
      </c>
      <c r="F92" s="149" t="s">
        <v>905</v>
      </c>
      <c r="G92" s="149" t="s">
        <v>906</v>
      </c>
      <c r="H92" s="66">
        <v>3</v>
      </c>
      <c r="I92" s="149" t="s">
        <v>907</v>
      </c>
      <c r="J92" s="150">
        <v>43423</v>
      </c>
      <c r="K92" s="150">
        <v>43402</v>
      </c>
      <c r="L92" s="151" t="s">
        <v>283</v>
      </c>
      <c r="M92" s="151" t="s">
        <v>908</v>
      </c>
      <c r="N92" s="152" t="s">
        <v>285</v>
      </c>
      <c r="O92" s="151">
        <v>9</v>
      </c>
      <c r="P92" s="153" t="s">
        <v>909</v>
      </c>
      <c r="Q92" s="154" t="s">
        <v>287</v>
      </c>
      <c r="R92" s="155" t="s">
        <v>288</v>
      </c>
      <c r="S92" s="155" t="s">
        <v>903</v>
      </c>
      <c r="T92" s="156">
        <v>1</v>
      </c>
      <c r="U92" s="151" t="s">
        <v>290</v>
      </c>
      <c r="V92" s="151" t="s">
        <v>70</v>
      </c>
      <c r="W92" s="151" t="s">
        <v>249</v>
      </c>
      <c r="X92" s="151" t="s">
        <v>130</v>
      </c>
      <c r="Y92" s="151" t="s">
        <v>291</v>
      </c>
      <c r="Z92" s="151">
        <v>2</v>
      </c>
      <c r="AA92" s="151" t="s">
        <v>130</v>
      </c>
      <c r="AB92" s="151" t="s">
        <v>249</v>
      </c>
      <c r="AC92" s="151">
        <v>7</v>
      </c>
      <c r="AD92" s="151">
        <v>21</v>
      </c>
      <c r="AE92" s="182" t="s">
        <v>130</v>
      </c>
    </row>
    <row r="93" spans="1:31" ht="51">
      <c r="A93" s="66">
        <v>92</v>
      </c>
      <c r="B93" s="173" t="s">
        <v>276</v>
      </c>
      <c r="C93" s="67" t="s">
        <v>277</v>
      </c>
      <c r="D93" s="207" t="s">
        <v>910</v>
      </c>
      <c r="E93" s="149" t="s">
        <v>834</v>
      </c>
      <c r="F93" s="149" t="s">
        <v>911</v>
      </c>
      <c r="G93" s="149" t="s">
        <v>912</v>
      </c>
      <c r="H93" s="66">
        <v>3</v>
      </c>
      <c r="I93" s="149" t="s">
        <v>913</v>
      </c>
      <c r="J93" s="150">
        <v>43423</v>
      </c>
      <c r="K93" s="150">
        <v>43402</v>
      </c>
      <c r="L93" s="151" t="s">
        <v>283</v>
      </c>
      <c r="M93" s="151" t="s">
        <v>914</v>
      </c>
      <c r="N93" s="152" t="s">
        <v>311</v>
      </c>
      <c r="O93" s="151">
        <v>9</v>
      </c>
      <c r="P93" s="153" t="s">
        <v>377</v>
      </c>
      <c r="Q93" s="154" t="s">
        <v>319</v>
      </c>
      <c r="R93" s="155" t="s">
        <v>320</v>
      </c>
      <c r="S93" s="155" t="s">
        <v>915</v>
      </c>
      <c r="T93" s="156">
        <v>1</v>
      </c>
      <c r="U93" s="151" t="s">
        <v>322</v>
      </c>
      <c r="V93" s="151" t="s">
        <v>70</v>
      </c>
      <c r="W93" s="151" t="s">
        <v>249</v>
      </c>
      <c r="X93" s="151" t="s">
        <v>130</v>
      </c>
      <c r="Y93" s="151" t="s">
        <v>291</v>
      </c>
      <c r="Z93" s="151">
        <v>7</v>
      </c>
      <c r="AA93" s="151" t="s">
        <v>130</v>
      </c>
      <c r="AB93" s="151" t="s">
        <v>249</v>
      </c>
      <c r="AC93" s="151">
        <v>7</v>
      </c>
      <c r="AD93" s="151">
        <v>14</v>
      </c>
      <c r="AE93" s="182" t="s">
        <v>130</v>
      </c>
    </row>
    <row r="94" spans="1:31" ht="51">
      <c r="A94" s="66">
        <v>93</v>
      </c>
      <c r="B94" s="173" t="s">
        <v>276</v>
      </c>
      <c r="C94" s="67" t="s">
        <v>277</v>
      </c>
      <c r="D94" s="207" t="s">
        <v>916</v>
      </c>
      <c r="E94" s="149" t="s">
        <v>834</v>
      </c>
      <c r="F94" s="149" t="s">
        <v>917</v>
      </c>
      <c r="G94" s="149" t="s">
        <v>918</v>
      </c>
      <c r="H94" s="66">
        <v>3</v>
      </c>
      <c r="I94" s="149" t="s">
        <v>919</v>
      </c>
      <c r="J94" s="150">
        <v>43423</v>
      </c>
      <c r="K94" s="150">
        <v>43402</v>
      </c>
      <c r="L94" s="151" t="s">
        <v>283</v>
      </c>
      <c r="M94" s="151" t="s">
        <v>920</v>
      </c>
      <c r="N94" s="152" t="s">
        <v>329</v>
      </c>
      <c r="O94" s="151">
        <v>9</v>
      </c>
      <c r="P94" s="153" t="s">
        <v>286</v>
      </c>
      <c r="Q94" s="154" t="s">
        <v>331</v>
      </c>
      <c r="R94" s="155" t="s">
        <v>288</v>
      </c>
      <c r="S94" s="155" t="s">
        <v>921</v>
      </c>
      <c r="T94" s="156">
        <v>1</v>
      </c>
      <c r="U94" s="151" t="s">
        <v>290</v>
      </c>
      <c r="V94" s="151" t="s">
        <v>70</v>
      </c>
      <c r="W94" s="151" t="s">
        <v>249</v>
      </c>
      <c r="X94" s="151" t="s">
        <v>130</v>
      </c>
      <c r="Y94" s="151" t="s">
        <v>291</v>
      </c>
      <c r="Z94" s="151">
        <v>11</v>
      </c>
      <c r="AA94" s="151" t="s">
        <v>130</v>
      </c>
      <c r="AB94" s="151" t="s">
        <v>249</v>
      </c>
      <c r="AC94" s="151">
        <v>7</v>
      </c>
      <c r="AD94" s="151">
        <v>14</v>
      </c>
      <c r="AE94" s="182" t="s">
        <v>130</v>
      </c>
    </row>
    <row r="95" spans="1:31" ht="51">
      <c r="A95" s="66">
        <v>94</v>
      </c>
      <c r="B95" s="173" t="s">
        <v>276</v>
      </c>
      <c r="C95" s="67" t="s">
        <v>277</v>
      </c>
      <c r="D95" s="207" t="s">
        <v>922</v>
      </c>
      <c r="E95" s="149" t="s">
        <v>834</v>
      </c>
      <c r="F95" s="149" t="s">
        <v>923</v>
      </c>
      <c r="G95" s="149" t="s">
        <v>924</v>
      </c>
      <c r="H95" s="66">
        <v>3</v>
      </c>
      <c r="I95" s="149" t="s">
        <v>925</v>
      </c>
      <c r="J95" s="150">
        <v>43423</v>
      </c>
      <c r="K95" s="150">
        <v>43402</v>
      </c>
      <c r="L95" s="151" t="s">
        <v>283</v>
      </c>
      <c r="M95" s="151" t="s">
        <v>926</v>
      </c>
      <c r="N95" s="152" t="s">
        <v>311</v>
      </c>
      <c r="O95" s="151">
        <v>9</v>
      </c>
      <c r="P95" s="153" t="s">
        <v>927</v>
      </c>
      <c r="Q95" s="154" t="s">
        <v>287</v>
      </c>
      <c r="R95" s="155" t="s">
        <v>288</v>
      </c>
      <c r="S95" s="155" t="s">
        <v>928</v>
      </c>
      <c r="T95" s="156">
        <v>1</v>
      </c>
      <c r="U95" s="151" t="s">
        <v>290</v>
      </c>
      <c r="V95" s="151" t="s">
        <v>70</v>
      </c>
      <c r="W95" s="151" t="s">
        <v>249</v>
      </c>
      <c r="X95" s="151" t="s">
        <v>130</v>
      </c>
      <c r="Y95" s="151" t="s">
        <v>291</v>
      </c>
      <c r="Z95" s="151">
        <v>14</v>
      </c>
      <c r="AA95" s="151" t="s">
        <v>130</v>
      </c>
      <c r="AB95" s="151" t="s">
        <v>249</v>
      </c>
      <c r="AC95" s="151">
        <v>7</v>
      </c>
      <c r="AD95" s="151">
        <v>11</v>
      </c>
      <c r="AE95" s="182" t="s">
        <v>130</v>
      </c>
    </row>
    <row r="96" spans="1:31" ht="51">
      <c r="A96" s="66">
        <v>95</v>
      </c>
      <c r="B96" s="173" t="s">
        <v>276</v>
      </c>
      <c r="C96" s="67" t="s">
        <v>277</v>
      </c>
      <c r="D96" s="207" t="s">
        <v>929</v>
      </c>
      <c r="E96" s="149" t="s">
        <v>834</v>
      </c>
      <c r="F96" s="149" t="s">
        <v>930</v>
      </c>
      <c r="G96" s="149" t="s">
        <v>931</v>
      </c>
      <c r="H96" s="66">
        <v>3</v>
      </c>
      <c r="I96" s="149" t="s">
        <v>932</v>
      </c>
      <c r="J96" s="150">
        <v>43423</v>
      </c>
      <c r="K96" s="150">
        <v>43402</v>
      </c>
      <c r="L96" s="151" t="s">
        <v>283</v>
      </c>
      <c r="M96" s="151" t="s">
        <v>933</v>
      </c>
      <c r="N96" s="152" t="s">
        <v>285</v>
      </c>
      <c r="O96" s="151">
        <v>9</v>
      </c>
      <c r="P96" s="153" t="s">
        <v>286</v>
      </c>
      <c r="Q96" s="154" t="s">
        <v>319</v>
      </c>
      <c r="R96" s="155" t="s">
        <v>320</v>
      </c>
      <c r="S96" s="155" t="s">
        <v>934</v>
      </c>
      <c r="T96" s="156">
        <v>1</v>
      </c>
      <c r="U96" s="151" t="s">
        <v>322</v>
      </c>
      <c r="V96" s="151" t="s">
        <v>70</v>
      </c>
      <c r="W96" s="151" t="s">
        <v>249</v>
      </c>
      <c r="X96" s="151" t="s">
        <v>130</v>
      </c>
      <c r="Y96" s="151" t="s">
        <v>291</v>
      </c>
      <c r="Z96" s="151">
        <v>5</v>
      </c>
      <c r="AA96" s="151" t="s">
        <v>130</v>
      </c>
      <c r="AB96" s="151" t="s">
        <v>249</v>
      </c>
      <c r="AC96" s="151">
        <v>11</v>
      </c>
      <c r="AD96" s="151">
        <v>18</v>
      </c>
      <c r="AE96" s="182" t="s">
        <v>130</v>
      </c>
    </row>
    <row r="97" spans="1:31" ht="51">
      <c r="A97" s="66">
        <v>96</v>
      </c>
      <c r="B97" s="173" t="s">
        <v>276</v>
      </c>
      <c r="C97" s="67" t="s">
        <v>277</v>
      </c>
      <c r="D97" s="207" t="s">
        <v>935</v>
      </c>
      <c r="E97" s="149" t="s">
        <v>834</v>
      </c>
      <c r="F97" s="149" t="s">
        <v>936</v>
      </c>
      <c r="G97" s="149" t="s">
        <v>937</v>
      </c>
      <c r="H97" s="66">
        <v>3</v>
      </c>
      <c r="I97" s="149" t="s">
        <v>938</v>
      </c>
      <c r="J97" s="150">
        <v>43423</v>
      </c>
      <c r="K97" s="150">
        <v>43402</v>
      </c>
      <c r="L97" s="151" t="s">
        <v>283</v>
      </c>
      <c r="M97" s="151" t="s">
        <v>939</v>
      </c>
      <c r="N97" s="152" t="s">
        <v>329</v>
      </c>
      <c r="O97" s="151">
        <v>9</v>
      </c>
      <c r="P97" s="153" t="s">
        <v>286</v>
      </c>
      <c r="Q97" s="154" t="s">
        <v>857</v>
      </c>
      <c r="R97" s="155" t="s">
        <v>320</v>
      </c>
      <c r="S97" s="155" t="s">
        <v>940</v>
      </c>
      <c r="T97" s="156">
        <v>1</v>
      </c>
      <c r="U97" s="151" t="s">
        <v>322</v>
      </c>
      <c r="V97" s="151" t="s">
        <v>70</v>
      </c>
      <c r="W97" s="151" t="s">
        <v>249</v>
      </c>
      <c r="X97" s="151" t="s">
        <v>130</v>
      </c>
      <c r="Y97" s="151" t="s">
        <v>291</v>
      </c>
      <c r="Z97" s="151">
        <v>7</v>
      </c>
      <c r="AA97" s="151" t="s">
        <v>130</v>
      </c>
      <c r="AB97" s="151" t="s">
        <v>249</v>
      </c>
      <c r="AC97" s="151">
        <v>11</v>
      </c>
      <c r="AD97" s="151">
        <v>14</v>
      </c>
      <c r="AE97" s="182" t="s">
        <v>130</v>
      </c>
    </row>
    <row r="98" spans="1:31" ht="51">
      <c r="A98" s="66">
        <v>97</v>
      </c>
      <c r="B98" s="173" t="s">
        <v>276</v>
      </c>
      <c r="C98" s="67" t="s">
        <v>277</v>
      </c>
      <c r="D98" s="207" t="s">
        <v>941</v>
      </c>
      <c r="E98" s="149" t="s">
        <v>834</v>
      </c>
      <c r="F98" s="149" t="s">
        <v>942</v>
      </c>
      <c r="G98" s="149" t="s">
        <v>943</v>
      </c>
      <c r="H98" s="66">
        <v>3</v>
      </c>
      <c r="I98" s="149" t="s">
        <v>944</v>
      </c>
      <c r="J98" s="150">
        <v>43423</v>
      </c>
      <c r="K98" s="150">
        <v>43402</v>
      </c>
      <c r="L98" s="151" t="s">
        <v>283</v>
      </c>
      <c r="M98" s="151" t="s">
        <v>945</v>
      </c>
      <c r="N98" s="152" t="s">
        <v>329</v>
      </c>
      <c r="O98" s="151">
        <v>9</v>
      </c>
      <c r="P98" s="153" t="s">
        <v>909</v>
      </c>
      <c r="Q98" s="154" t="s">
        <v>857</v>
      </c>
      <c r="R98" s="155" t="s">
        <v>320</v>
      </c>
      <c r="S98" s="155" t="s">
        <v>946</v>
      </c>
      <c r="T98" s="156">
        <v>1</v>
      </c>
      <c r="U98" s="151" t="s">
        <v>322</v>
      </c>
      <c r="V98" s="151" t="s">
        <v>70</v>
      </c>
      <c r="W98" s="151" t="s">
        <v>249</v>
      </c>
      <c r="X98" s="151" t="s">
        <v>130</v>
      </c>
      <c r="Y98" s="151" t="s">
        <v>291</v>
      </c>
      <c r="Z98" s="151">
        <v>1</v>
      </c>
      <c r="AA98" s="151" t="s">
        <v>130</v>
      </c>
      <c r="AB98" s="151" t="s">
        <v>249</v>
      </c>
      <c r="AC98" s="151">
        <v>7</v>
      </c>
      <c r="AD98" s="151">
        <v>18</v>
      </c>
      <c r="AE98" s="182" t="s">
        <v>130</v>
      </c>
    </row>
    <row r="99" spans="1:31" ht="51">
      <c r="A99" s="66">
        <v>98</v>
      </c>
      <c r="B99" s="173" t="s">
        <v>276</v>
      </c>
      <c r="C99" s="67" t="s">
        <v>277</v>
      </c>
      <c r="D99" s="207" t="s">
        <v>947</v>
      </c>
      <c r="E99" s="149" t="s">
        <v>834</v>
      </c>
      <c r="F99" s="149" t="s">
        <v>948</v>
      </c>
      <c r="G99" s="149" t="s">
        <v>949</v>
      </c>
      <c r="H99" s="66">
        <v>3</v>
      </c>
      <c r="I99" s="149" t="s">
        <v>950</v>
      </c>
      <c r="J99" s="150">
        <v>43423</v>
      </c>
      <c r="K99" s="150">
        <v>43402</v>
      </c>
      <c r="L99" s="151" t="s">
        <v>283</v>
      </c>
      <c r="M99" s="151" t="s">
        <v>951</v>
      </c>
      <c r="N99" s="152" t="s">
        <v>285</v>
      </c>
      <c r="O99" s="151">
        <v>9</v>
      </c>
      <c r="P99" s="153" t="s">
        <v>927</v>
      </c>
      <c r="Q99" s="154" t="s">
        <v>287</v>
      </c>
      <c r="R99" s="155" t="s">
        <v>288</v>
      </c>
      <c r="S99" s="155" t="s">
        <v>952</v>
      </c>
      <c r="T99" s="156">
        <v>1</v>
      </c>
      <c r="U99" s="151" t="s">
        <v>290</v>
      </c>
      <c r="V99" s="151" t="s">
        <v>70</v>
      </c>
      <c r="W99" s="151" t="s">
        <v>249</v>
      </c>
      <c r="X99" s="151" t="s">
        <v>130</v>
      </c>
      <c r="Y99" s="151" t="s">
        <v>291</v>
      </c>
      <c r="Z99" s="151">
        <v>1</v>
      </c>
      <c r="AA99" s="151" t="s">
        <v>130</v>
      </c>
      <c r="AB99" s="151" t="s">
        <v>249</v>
      </c>
      <c r="AC99" s="151">
        <v>14</v>
      </c>
      <c r="AD99" s="151">
        <v>25</v>
      </c>
      <c r="AE99" s="182" t="s">
        <v>130</v>
      </c>
    </row>
    <row r="100" spans="1:31" ht="51">
      <c r="A100" s="66">
        <v>99</v>
      </c>
      <c r="B100" s="173" t="s">
        <v>276</v>
      </c>
      <c r="C100" s="67" t="s">
        <v>277</v>
      </c>
      <c r="D100" s="207" t="s">
        <v>953</v>
      </c>
      <c r="E100" s="149" t="s">
        <v>834</v>
      </c>
      <c r="F100" s="149" t="s">
        <v>954</v>
      </c>
      <c r="G100" s="149" t="s">
        <v>955</v>
      </c>
      <c r="H100" s="66">
        <v>3</v>
      </c>
      <c r="I100" s="149" t="s">
        <v>956</v>
      </c>
      <c r="J100" s="150">
        <v>43423</v>
      </c>
      <c r="K100" s="150">
        <v>43399</v>
      </c>
      <c r="L100" s="151" t="s">
        <v>283</v>
      </c>
      <c r="M100" s="151" t="s">
        <v>957</v>
      </c>
      <c r="N100" s="152" t="s">
        <v>285</v>
      </c>
      <c r="O100" s="151">
        <v>9</v>
      </c>
      <c r="P100" s="153" t="s">
        <v>286</v>
      </c>
      <c r="Q100" s="154" t="s">
        <v>319</v>
      </c>
      <c r="R100" s="155" t="s">
        <v>320</v>
      </c>
      <c r="S100" s="155" t="s">
        <v>915</v>
      </c>
      <c r="T100" s="156">
        <v>1</v>
      </c>
      <c r="U100" s="151" t="s">
        <v>322</v>
      </c>
      <c r="V100" s="151" t="s">
        <v>70</v>
      </c>
      <c r="W100" s="151" t="s">
        <v>249</v>
      </c>
      <c r="X100" s="151" t="s">
        <v>130</v>
      </c>
      <c r="Y100" s="151" t="s">
        <v>291</v>
      </c>
      <c r="Z100" s="151">
        <v>10</v>
      </c>
      <c r="AA100" s="151" t="s">
        <v>130</v>
      </c>
      <c r="AB100" s="151" t="s">
        <v>249</v>
      </c>
      <c r="AC100" s="151">
        <v>0</v>
      </c>
      <c r="AD100" s="151">
        <v>11</v>
      </c>
      <c r="AE100" s="182" t="s">
        <v>130</v>
      </c>
    </row>
    <row r="101" spans="1:31" ht="51">
      <c r="A101" s="66">
        <v>100</v>
      </c>
      <c r="B101" s="173" t="s">
        <v>276</v>
      </c>
      <c r="C101" s="67" t="s">
        <v>277</v>
      </c>
      <c r="D101" s="207" t="s">
        <v>958</v>
      </c>
      <c r="E101" s="149" t="s">
        <v>834</v>
      </c>
      <c r="F101" s="149" t="s">
        <v>959</v>
      </c>
      <c r="G101" s="149" t="s">
        <v>960</v>
      </c>
      <c r="H101" s="66">
        <v>3</v>
      </c>
      <c r="I101" s="149" t="s">
        <v>961</v>
      </c>
      <c r="J101" s="150">
        <v>43423</v>
      </c>
      <c r="K101" s="150">
        <v>43399</v>
      </c>
      <c r="L101" s="151" t="s">
        <v>283</v>
      </c>
      <c r="M101" s="151" t="s">
        <v>962</v>
      </c>
      <c r="N101" s="152" t="s">
        <v>285</v>
      </c>
      <c r="O101" s="151">
        <v>9</v>
      </c>
      <c r="P101" s="153" t="s">
        <v>286</v>
      </c>
      <c r="Q101" s="154" t="s">
        <v>319</v>
      </c>
      <c r="R101" s="155" t="s">
        <v>320</v>
      </c>
      <c r="S101" s="155" t="s">
        <v>928</v>
      </c>
      <c r="T101" s="156">
        <v>1</v>
      </c>
      <c r="U101" s="151" t="s">
        <v>322</v>
      </c>
      <c r="V101" s="151" t="s">
        <v>70</v>
      </c>
      <c r="W101" s="151" t="s">
        <v>249</v>
      </c>
      <c r="X101" s="151" t="s">
        <v>130</v>
      </c>
      <c r="Y101" s="151" t="s">
        <v>291</v>
      </c>
      <c r="Z101" s="151">
        <v>11</v>
      </c>
      <c r="AA101" s="151" t="s">
        <v>130</v>
      </c>
      <c r="AB101" s="151" t="s">
        <v>249</v>
      </c>
      <c r="AC101" s="151">
        <v>7</v>
      </c>
      <c r="AD101" s="151">
        <v>14</v>
      </c>
      <c r="AE101" s="182" t="s">
        <v>130</v>
      </c>
    </row>
    <row r="102" spans="1:31" ht="51">
      <c r="A102" s="66">
        <v>101</v>
      </c>
      <c r="B102" s="173" t="s">
        <v>276</v>
      </c>
      <c r="C102" s="67" t="s">
        <v>277</v>
      </c>
      <c r="D102" s="207" t="s">
        <v>963</v>
      </c>
      <c r="E102" s="149" t="s">
        <v>834</v>
      </c>
      <c r="F102" s="149" t="s">
        <v>964</v>
      </c>
      <c r="G102" s="149" t="s">
        <v>965</v>
      </c>
      <c r="H102" s="66">
        <v>3</v>
      </c>
      <c r="I102" s="149" t="s">
        <v>966</v>
      </c>
      <c r="J102" s="150">
        <v>43423</v>
      </c>
      <c r="K102" s="150">
        <v>43399</v>
      </c>
      <c r="L102" s="151" t="s">
        <v>283</v>
      </c>
      <c r="M102" s="151" t="s">
        <v>967</v>
      </c>
      <c r="N102" s="152" t="s">
        <v>285</v>
      </c>
      <c r="O102" s="151">
        <v>9</v>
      </c>
      <c r="P102" s="153" t="s">
        <v>909</v>
      </c>
      <c r="Q102" s="154" t="s">
        <v>319</v>
      </c>
      <c r="R102" s="155" t="s">
        <v>320</v>
      </c>
      <c r="S102" s="155" t="s">
        <v>968</v>
      </c>
      <c r="T102" s="156">
        <v>1</v>
      </c>
      <c r="U102" s="151" t="s">
        <v>322</v>
      </c>
      <c r="V102" s="151" t="s">
        <v>70</v>
      </c>
      <c r="W102" s="151" t="s">
        <v>249</v>
      </c>
      <c r="X102" s="151" t="s">
        <v>130</v>
      </c>
      <c r="Y102" s="151" t="s">
        <v>291</v>
      </c>
      <c r="Z102" s="151">
        <v>5</v>
      </c>
      <c r="AA102" s="151" t="s">
        <v>130</v>
      </c>
      <c r="AB102" s="151" t="s">
        <v>249</v>
      </c>
      <c r="AC102" s="151">
        <v>7</v>
      </c>
      <c r="AD102" s="151">
        <v>14</v>
      </c>
      <c r="AE102" s="182" t="s">
        <v>130</v>
      </c>
    </row>
    <row r="103" spans="1:31" ht="51">
      <c r="A103" s="66">
        <v>102</v>
      </c>
      <c r="B103" s="173" t="s">
        <v>276</v>
      </c>
      <c r="C103" s="67" t="s">
        <v>277</v>
      </c>
      <c r="D103" s="207" t="s">
        <v>969</v>
      </c>
      <c r="E103" s="149" t="s">
        <v>834</v>
      </c>
      <c r="F103" s="149" t="s">
        <v>970</v>
      </c>
      <c r="G103" s="149" t="s">
        <v>971</v>
      </c>
      <c r="H103" s="66">
        <v>3</v>
      </c>
      <c r="I103" s="149" t="s">
        <v>972</v>
      </c>
      <c r="J103" s="150">
        <v>43423</v>
      </c>
      <c r="K103" s="150">
        <v>43398</v>
      </c>
      <c r="L103" s="151" t="s">
        <v>283</v>
      </c>
      <c r="M103" s="151" t="s">
        <v>973</v>
      </c>
      <c r="N103" s="152" t="s">
        <v>285</v>
      </c>
      <c r="O103" s="151">
        <v>9</v>
      </c>
      <c r="P103" s="153" t="s">
        <v>286</v>
      </c>
      <c r="Q103" s="154" t="s">
        <v>287</v>
      </c>
      <c r="R103" s="155" t="s">
        <v>288</v>
      </c>
      <c r="S103" s="155" t="s">
        <v>952</v>
      </c>
      <c r="T103" s="156">
        <v>1</v>
      </c>
      <c r="U103" s="151" t="s">
        <v>290</v>
      </c>
      <c r="V103" s="151" t="s">
        <v>70</v>
      </c>
      <c r="W103" s="151" t="s">
        <v>249</v>
      </c>
      <c r="X103" s="151" t="s">
        <v>130</v>
      </c>
      <c r="Y103" s="151" t="s">
        <v>291</v>
      </c>
      <c r="Z103" s="151">
        <v>5</v>
      </c>
      <c r="AA103" s="151" t="s">
        <v>130</v>
      </c>
      <c r="AB103" s="151" t="s">
        <v>249</v>
      </c>
      <c r="AC103" s="151">
        <v>11</v>
      </c>
      <c r="AD103" s="151">
        <v>21</v>
      </c>
      <c r="AE103" s="182" t="s">
        <v>130</v>
      </c>
    </row>
    <row r="104" spans="1:31" ht="51">
      <c r="A104" s="66">
        <v>103</v>
      </c>
      <c r="B104" s="173" t="s">
        <v>276</v>
      </c>
      <c r="C104" s="67" t="s">
        <v>277</v>
      </c>
      <c r="D104" s="207" t="s">
        <v>974</v>
      </c>
      <c r="E104" s="149" t="s">
        <v>834</v>
      </c>
      <c r="F104" s="149" t="s">
        <v>975</v>
      </c>
      <c r="G104" s="149" t="s">
        <v>976</v>
      </c>
      <c r="H104" s="66">
        <v>3</v>
      </c>
      <c r="I104" s="149" t="s">
        <v>977</v>
      </c>
      <c r="J104" s="150">
        <v>43423</v>
      </c>
      <c r="K104" s="150">
        <v>43399</v>
      </c>
      <c r="L104" s="151" t="s">
        <v>283</v>
      </c>
      <c r="M104" s="151" t="s">
        <v>978</v>
      </c>
      <c r="N104" s="152" t="s">
        <v>329</v>
      </c>
      <c r="O104" s="151">
        <v>9</v>
      </c>
      <c r="P104" s="153" t="s">
        <v>286</v>
      </c>
      <c r="Q104" s="154" t="s">
        <v>857</v>
      </c>
      <c r="R104" s="155" t="s">
        <v>320</v>
      </c>
      <c r="S104" s="155" t="s">
        <v>952</v>
      </c>
      <c r="T104" s="156">
        <v>1</v>
      </c>
      <c r="U104" s="151" t="s">
        <v>322</v>
      </c>
      <c r="V104" s="151" t="s">
        <v>70</v>
      </c>
      <c r="W104" s="151" t="s">
        <v>249</v>
      </c>
      <c r="X104" s="151" t="s">
        <v>130</v>
      </c>
      <c r="Y104" s="151" t="s">
        <v>291</v>
      </c>
      <c r="Z104" s="151">
        <v>8</v>
      </c>
      <c r="AA104" s="151" t="s">
        <v>130</v>
      </c>
      <c r="AB104" s="151" t="s">
        <v>249</v>
      </c>
      <c r="AC104" s="151">
        <v>11</v>
      </c>
      <c r="AD104" s="151">
        <v>18</v>
      </c>
      <c r="AE104" s="182" t="s">
        <v>130</v>
      </c>
    </row>
    <row r="105" spans="1:31" ht="51">
      <c r="A105" s="66">
        <v>104</v>
      </c>
      <c r="B105" s="173" t="s">
        <v>276</v>
      </c>
      <c r="C105" s="67" t="s">
        <v>277</v>
      </c>
      <c r="D105" s="207" t="s">
        <v>979</v>
      </c>
      <c r="E105" s="149" t="s">
        <v>834</v>
      </c>
      <c r="F105" s="149" t="s">
        <v>980</v>
      </c>
      <c r="G105" s="149" t="s">
        <v>981</v>
      </c>
      <c r="H105" s="66">
        <v>3</v>
      </c>
      <c r="I105" s="149" t="s">
        <v>982</v>
      </c>
      <c r="J105" s="150">
        <v>43423</v>
      </c>
      <c r="K105" s="150">
        <v>43399</v>
      </c>
      <c r="L105" s="151" t="s">
        <v>283</v>
      </c>
      <c r="M105" s="151" t="s">
        <v>983</v>
      </c>
      <c r="N105" s="152" t="s">
        <v>329</v>
      </c>
      <c r="O105" s="151">
        <v>9</v>
      </c>
      <c r="P105" s="153" t="s">
        <v>286</v>
      </c>
      <c r="Q105" s="154" t="s">
        <v>857</v>
      </c>
      <c r="R105" s="155" t="s">
        <v>320</v>
      </c>
      <c r="S105" s="155" t="s">
        <v>984</v>
      </c>
      <c r="T105" s="156">
        <v>1</v>
      </c>
      <c r="U105" s="151" t="s">
        <v>322</v>
      </c>
      <c r="V105" s="151" t="s">
        <v>70</v>
      </c>
      <c r="W105" s="151" t="s">
        <v>249</v>
      </c>
      <c r="X105" s="151" t="s">
        <v>130</v>
      </c>
      <c r="Y105" s="151" t="s">
        <v>291</v>
      </c>
      <c r="Z105" s="151">
        <v>11</v>
      </c>
      <c r="AA105" s="151" t="s">
        <v>130</v>
      </c>
      <c r="AB105" s="151" t="s">
        <v>249</v>
      </c>
      <c r="AC105" s="151">
        <v>7</v>
      </c>
      <c r="AD105" s="151">
        <v>14</v>
      </c>
      <c r="AE105" s="182" t="s">
        <v>130</v>
      </c>
    </row>
    <row r="106" spans="1:31" ht="63.75">
      <c r="A106" s="66">
        <v>105</v>
      </c>
      <c r="B106" s="173" t="s">
        <v>276</v>
      </c>
      <c r="C106" s="67" t="s">
        <v>277</v>
      </c>
      <c r="D106" s="207" t="s">
        <v>985</v>
      </c>
      <c r="E106" s="149" t="s">
        <v>986</v>
      </c>
      <c r="F106" s="149" t="s">
        <v>987</v>
      </c>
      <c r="G106" s="149" t="s">
        <v>988</v>
      </c>
      <c r="H106" s="66">
        <v>4</v>
      </c>
      <c r="I106" s="149" t="s">
        <v>989</v>
      </c>
      <c r="J106" s="150">
        <v>43423</v>
      </c>
      <c r="K106" s="150">
        <v>43413</v>
      </c>
      <c r="L106" s="151" t="s">
        <v>297</v>
      </c>
      <c r="M106" s="151" t="s">
        <v>990</v>
      </c>
      <c r="N106" s="152" t="s">
        <v>447</v>
      </c>
      <c r="O106" s="151">
        <v>12</v>
      </c>
      <c r="P106" s="153" t="s">
        <v>357</v>
      </c>
      <c r="Q106" s="154" t="s">
        <v>449</v>
      </c>
      <c r="R106" s="155" t="s">
        <v>302</v>
      </c>
      <c r="S106" s="155" t="s">
        <v>991</v>
      </c>
      <c r="T106" s="156">
        <v>1</v>
      </c>
      <c r="U106" s="151" t="s">
        <v>451</v>
      </c>
      <c r="V106" s="151" t="s">
        <v>70</v>
      </c>
      <c r="W106" s="151" t="s">
        <v>249</v>
      </c>
      <c r="X106" s="151" t="s">
        <v>130</v>
      </c>
      <c r="Y106" s="151" t="s">
        <v>291</v>
      </c>
      <c r="Z106" s="151">
        <v>23</v>
      </c>
      <c r="AA106" s="151" t="s">
        <v>130</v>
      </c>
      <c r="AB106" s="151" t="s">
        <v>249</v>
      </c>
      <c r="AC106" s="151">
        <v>0</v>
      </c>
      <c r="AD106" s="151">
        <v>14</v>
      </c>
      <c r="AE106" s="182" t="s">
        <v>130</v>
      </c>
    </row>
    <row r="107" spans="1:31" ht="51">
      <c r="A107" s="66">
        <v>106</v>
      </c>
      <c r="B107" s="173" t="s">
        <v>276</v>
      </c>
      <c r="C107" s="67" t="s">
        <v>277</v>
      </c>
      <c r="D107" s="207" t="s">
        <v>992</v>
      </c>
      <c r="E107" s="149" t="s">
        <v>986</v>
      </c>
      <c r="F107" s="149" t="s">
        <v>993</v>
      </c>
      <c r="G107" s="149" t="s">
        <v>994</v>
      </c>
      <c r="H107" s="66">
        <v>3</v>
      </c>
      <c r="I107" s="149" t="s">
        <v>995</v>
      </c>
      <c r="J107" s="150">
        <v>43423</v>
      </c>
      <c r="K107" s="150">
        <v>43414</v>
      </c>
      <c r="L107" s="151" t="s">
        <v>283</v>
      </c>
      <c r="M107" s="151" t="s">
        <v>996</v>
      </c>
      <c r="N107" s="152" t="s">
        <v>437</v>
      </c>
      <c r="O107" s="151">
        <v>9</v>
      </c>
      <c r="P107" s="153" t="s">
        <v>909</v>
      </c>
      <c r="Q107" s="154" t="s">
        <v>439</v>
      </c>
      <c r="R107" s="155" t="s">
        <v>288</v>
      </c>
      <c r="S107" s="155" t="s">
        <v>561</v>
      </c>
      <c r="T107" s="156">
        <v>1</v>
      </c>
      <c r="U107" s="151" t="s">
        <v>441</v>
      </c>
      <c r="V107" s="151" t="s">
        <v>70</v>
      </c>
      <c r="W107" s="151" t="s">
        <v>291</v>
      </c>
      <c r="X107" s="151">
        <v>37</v>
      </c>
      <c r="Y107" s="151" t="s">
        <v>291</v>
      </c>
      <c r="Z107" s="151">
        <v>33</v>
      </c>
      <c r="AA107" s="151" t="s">
        <v>130</v>
      </c>
      <c r="AB107" s="151" t="s">
        <v>249</v>
      </c>
      <c r="AC107" s="151">
        <v>0</v>
      </c>
      <c r="AD107" s="151">
        <v>4</v>
      </c>
      <c r="AE107" s="182" t="s">
        <v>130</v>
      </c>
    </row>
    <row r="108" spans="1:31" ht="63.75">
      <c r="A108" s="66">
        <v>107</v>
      </c>
      <c r="B108" s="173" t="s">
        <v>276</v>
      </c>
      <c r="C108" s="67" t="s">
        <v>277</v>
      </c>
      <c r="D108" s="207" t="s">
        <v>997</v>
      </c>
      <c r="E108" s="149" t="s">
        <v>986</v>
      </c>
      <c r="F108" s="149" t="s">
        <v>998</v>
      </c>
      <c r="G108" s="149" t="s">
        <v>999</v>
      </c>
      <c r="H108" s="66">
        <v>4</v>
      </c>
      <c r="I108" s="149" t="s">
        <v>1000</v>
      </c>
      <c r="J108" s="150">
        <v>43423</v>
      </c>
      <c r="K108" s="150">
        <v>43414</v>
      </c>
      <c r="L108" s="151" t="s">
        <v>297</v>
      </c>
      <c r="M108" s="151" t="s">
        <v>1001</v>
      </c>
      <c r="N108" s="152" t="s">
        <v>447</v>
      </c>
      <c r="O108" s="151">
        <v>12</v>
      </c>
      <c r="P108" s="153" t="s">
        <v>1002</v>
      </c>
      <c r="Q108" s="154" t="s">
        <v>449</v>
      </c>
      <c r="R108" s="155" t="s">
        <v>302</v>
      </c>
      <c r="S108" s="155" t="s">
        <v>1003</v>
      </c>
      <c r="T108" s="156">
        <v>1</v>
      </c>
      <c r="U108" s="151" t="s">
        <v>451</v>
      </c>
      <c r="V108" s="151" t="s">
        <v>70</v>
      </c>
      <c r="W108" s="151" t="s">
        <v>249</v>
      </c>
      <c r="X108" s="151" t="s">
        <v>130</v>
      </c>
      <c r="Y108" s="151" t="s">
        <v>291</v>
      </c>
      <c r="Z108" s="151">
        <v>20</v>
      </c>
      <c r="AA108" s="151" t="s">
        <v>130</v>
      </c>
      <c r="AB108" s="151" t="s">
        <v>249</v>
      </c>
      <c r="AC108" s="151">
        <v>0</v>
      </c>
      <c r="AD108" s="151">
        <v>7</v>
      </c>
      <c r="AE108" s="182" t="s">
        <v>130</v>
      </c>
    </row>
    <row r="109" spans="1:31" ht="63.75">
      <c r="A109" s="66">
        <v>108</v>
      </c>
      <c r="B109" s="173" t="s">
        <v>276</v>
      </c>
      <c r="C109" s="67" t="s">
        <v>277</v>
      </c>
      <c r="D109" s="207" t="s">
        <v>1004</v>
      </c>
      <c r="E109" s="149" t="s">
        <v>986</v>
      </c>
      <c r="F109" s="149" t="s">
        <v>1005</v>
      </c>
      <c r="G109" s="149" t="s">
        <v>1006</v>
      </c>
      <c r="H109" s="66">
        <v>4</v>
      </c>
      <c r="I109" s="149" t="s">
        <v>1007</v>
      </c>
      <c r="J109" s="150">
        <v>43423</v>
      </c>
      <c r="K109" s="150">
        <v>43414</v>
      </c>
      <c r="L109" s="151" t="s">
        <v>297</v>
      </c>
      <c r="M109" s="151" t="s">
        <v>1008</v>
      </c>
      <c r="N109" s="152" t="s">
        <v>447</v>
      </c>
      <c r="O109" s="151">
        <v>12</v>
      </c>
      <c r="P109" s="153" t="s">
        <v>1009</v>
      </c>
      <c r="Q109" s="154" t="s">
        <v>1010</v>
      </c>
      <c r="R109" s="155" t="s">
        <v>302</v>
      </c>
      <c r="S109" s="155" t="s">
        <v>1011</v>
      </c>
      <c r="T109" s="156">
        <v>1</v>
      </c>
      <c r="U109" s="151" t="s">
        <v>451</v>
      </c>
      <c r="V109" s="151" t="s">
        <v>70</v>
      </c>
      <c r="W109" s="151" t="s">
        <v>291</v>
      </c>
      <c r="X109" s="151">
        <v>36</v>
      </c>
      <c r="Y109" s="151" t="s">
        <v>291</v>
      </c>
      <c r="Z109" s="151">
        <v>32</v>
      </c>
      <c r="AA109" s="151" t="s">
        <v>130</v>
      </c>
      <c r="AB109" s="151" t="s">
        <v>249</v>
      </c>
      <c r="AC109" s="151">
        <v>0</v>
      </c>
      <c r="AD109" s="151">
        <v>4</v>
      </c>
      <c r="AE109" s="182" t="s">
        <v>1012</v>
      </c>
    </row>
    <row r="110" spans="1:31" ht="51">
      <c r="A110" s="66">
        <v>109</v>
      </c>
      <c r="B110" s="173" t="s">
        <v>276</v>
      </c>
      <c r="C110" s="67" t="s">
        <v>277</v>
      </c>
      <c r="D110" s="207" t="s">
        <v>1013</v>
      </c>
      <c r="E110" s="149" t="s">
        <v>986</v>
      </c>
      <c r="F110" s="149" t="s">
        <v>1014</v>
      </c>
      <c r="G110" s="149" t="s">
        <v>1015</v>
      </c>
      <c r="H110" s="66">
        <v>3</v>
      </c>
      <c r="I110" s="149" t="s">
        <v>1016</v>
      </c>
      <c r="J110" s="150">
        <v>43423</v>
      </c>
      <c r="K110" s="150">
        <v>43413</v>
      </c>
      <c r="L110" s="151" t="s">
        <v>283</v>
      </c>
      <c r="M110" s="151" t="s">
        <v>1017</v>
      </c>
      <c r="N110" s="152" t="s">
        <v>437</v>
      </c>
      <c r="O110" s="151">
        <v>9</v>
      </c>
      <c r="P110" s="153" t="s">
        <v>909</v>
      </c>
      <c r="Q110" s="154" t="s">
        <v>439</v>
      </c>
      <c r="R110" s="155" t="s">
        <v>288</v>
      </c>
      <c r="S110" s="155" t="s">
        <v>561</v>
      </c>
      <c r="T110" s="156">
        <v>1</v>
      </c>
      <c r="U110" s="151" t="s">
        <v>441</v>
      </c>
      <c r="V110" s="151" t="s">
        <v>70</v>
      </c>
      <c r="W110" s="151" t="s">
        <v>291</v>
      </c>
      <c r="X110" s="151">
        <v>37</v>
      </c>
      <c r="Y110" s="151" t="s">
        <v>291</v>
      </c>
      <c r="Z110" s="151">
        <v>30</v>
      </c>
      <c r="AA110" s="151" t="s">
        <v>130</v>
      </c>
      <c r="AB110" s="151" t="s">
        <v>249</v>
      </c>
      <c r="AC110" s="151">
        <v>0</v>
      </c>
      <c r="AD110" s="151">
        <v>7</v>
      </c>
      <c r="AE110" s="182" t="s">
        <v>130</v>
      </c>
    </row>
    <row r="111" spans="1:31" ht="63.75">
      <c r="A111" s="66">
        <v>110</v>
      </c>
      <c r="B111" s="173" t="s">
        <v>276</v>
      </c>
      <c r="C111" s="67" t="s">
        <v>277</v>
      </c>
      <c r="D111" s="207" t="s">
        <v>1018</v>
      </c>
      <c r="E111" s="149" t="s">
        <v>986</v>
      </c>
      <c r="F111" s="149" t="s">
        <v>1019</v>
      </c>
      <c r="G111" s="149" t="s">
        <v>1020</v>
      </c>
      <c r="H111" s="66">
        <v>4</v>
      </c>
      <c r="I111" s="149" t="s">
        <v>1021</v>
      </c>
      <c r="J111" s="150">
        <v>43423</v>
      </c>
      <c r="K111" s="150">
        <v>43413</v>
      </c>
      <c r="L111" s="151" t="s">
        <v>297</v>
      </c>
      <c r="M111" s="151" t="s">
        <v>1022</v>
      </c>
      <c r="N111" s="152" t="s">
        <v>447</v>
      </c>
      <c r="O111" s="151">
        <v>12</v>
      </c>
      <c r="P111" s="153" t="s">
        <v>409</v>
      </c>
      <c r="Q111" s="154" t="s">
        <v>449</v>
      </c>
      <c r="R111" s="155" t="s">
        <v>302</v>
      </c>
      <c r="S111" s="155" t="s">
        <v>1023</v>
      </c>
      <c r="T111" s="156">
        <v>1</v>
      </c>
      <c r="U111" s="151" t="s">
        <v>451</v>
      </c>
      <c r="V111" s="151" t="s">
        <v>70</v>
      </c>
      <c r="W111" s="151" t="s">
        <v>291</v>
      </c>
      <c r="X111" s="151">
        <v>36</v>
      </c>
      <c r="Y111" s="151" t="s">
        <v>291</v>
      </c>
      <c r="Z111" s="151">
        <v>32</v>
      </c>
      <c r="AA111" s="151" t="s">
        <v>130</v>
      </c>
      <c r="AB111" s="151" t="s">
        <v>249</v>
      </c>
      <c r="AC111" s="151">
        <v>0</v>
      </c>
      <c r="AD111" s="151">
        <v>4</v>
      </c>
      <c r="AE111" s="182" t="s">
        <v>130</v>
      </c>
    </row>
    <row r="112" spans="1:31" ht="63.75">
      <c r="A112" s="66">
        <v>111</v>
      </c>
      <c r="B112" s="173" t="s">
        <v>276</v>
      </c>
      <c r="C112" s="67" t="s">
        <v>277</v>
      </c>
      <c r="D112" s="207" t="s">
        <v>1024</v>
      </c>
      <c r="E112" s="149" t="s">
        <v>986</v>
      </c>
      <c r="F112" s="149" t="s">
        <v>1025</v>
      </c>
      <c r="G112" s="149" t="s">
        <v>1026</v>
      </c>
      <c r="H112" s="66">
        <v>4</v>
      </c>
      <c r="I112" s="149" t="s">
        <v>1027</v>
      </c>
      <c r="J112" s="150">
        <v>43423</v>
      </c>
      <c r="K112" s="150">
        <v>43415</v>
      </c>
      <c r="L112" s="151" t="s">
        <v>297</v>
      </c>
      <c r="M112" s="151" t="s">
        <v>1028</v>
      </c>
      <c r="N112" s="152" t="s">
        <v>447</v>
      </c>
      <c r="O112" s="151">
        <v>12</v>
      </c>
      <c r="P112" s="153" t="s">
        <v>1029</v>
      </c>
      <c r="Q112" s="154" t="s">
        <v>449</v>
      </c>
      <c r="R112" s="155" t="s">
        <v>302</v>
      </c>
      <c r="S112" s="155" t="s">
        <v>1030</v>
      </c>
      <c r="T112" s="156">
        <v>1</v>
      </c>
      <c r="U112" s="151" t="s">
        <v>451</v>
      </c>
      <c r="V112" s="151" t="s">
        <v>70</v>
      </c>
      <c r="W112" s="151" t="s">
        <v>249</v>
      </c>
      <c r="X112" s="151" t="s">
        <v>130</v>
      </c>
      <c r="Y112" s="151" t="s">
        <v>291</v>
      </c>
      <c r="Z112" s="151">
        <v>22</v>
      </c>
      <c r="AA112" s="151" t="s">
        <v>130</v>
      </c>
      <c r="AB112" s="151" t="s">
        <v>249</v>
      </c>
      <c r="AC112" s="151">
        <v>0</v>
      </c>
      <c r="AD112" s="151" t="s">
        <v>555</v>
      </c>
      <c r="AE112" s="182" t="s">
        <v>130</v>
      </c>
    </row>
    <row r="113" spans="1:31" ht="51">
      <c r="A113" s="66">
        <v>112</v>
      </c>
      <c r="B113" s="173" t="s">
        <v>276</v>
      </c>
      <c r="C113" s="67" t="s">
        <v>277</v>
      </c>
      <c r="D113" s="207" t="s">
        <v>1031</v>
      </c>
      <c r="E113" s="149" t="s">
        <v>986</v>
      </c>
      <c r="F113" s="149" t="s">
        <v>1032</v>
      </c>
      <c r="G113" s="149" t="s">
        <v>1033</v>
      </c>
      <c r="H113" s="66">
        <v>3</v>
      </c>
      <c r="I113" s="149" t="s">
        <v>1034</v>
      </c>
      <c r="J113" s="150">
        <v>43423</v>
      </c>
      <c r="K113" s="150">
        <v>43413</v>
      </c>
      <c r="L113" s="151" t="s">
        <v>283</v>
      </c>
      <c r="M113" s="151" t="s">
        <v>1035</v>
      </c>
      <c r="N113" s="152" t="s">
        <v>437</v>
      </c>
      <c r="O113" s="151">
        <v>9</v>
      </c>
      <c r="P113" s="153" t="s">
        <v>286</v>
      </c>
      <c r="Q113" s="154" t="s">
        <v>439</v>
      </c>
      <c r="R113" s="155" t="s">
        <v>288</v>
      </c>
      <c r="S113" s="155" t="s">
        <v>1036</v>
      </c>
      <c r="T113" s="156">
        <v>1</v>
      </c>
      <c r="U113" s="151" t="s">
        <v>441</v>
      </c>
      <c r="V113" s="151" t="s">
        <v>70</v>
      </c>
      <c r="W113" s="151" t="s">
        <v>291</v>
      </c>
      <c r="X113" s="151">
        <v>37</v>
      </c>
      <c r="Y113" s="151" t="s">
        <v>291</v>
      </c>
      <c r="Z113" s="151">
        <v>33</v>
      </c>
      <c r="AA113" s="151" t="s">
        <v>130</v>
      </c>
      <c r="AB113" s="151" t="s">
        <v>249</v>
      </c>
      <c r="AC113" s="151">
        <v>0</v>
      </c>
      <c r="AD113" s="151">
        <v>4</v>
      </c>
      <c r="AE113" s="182" t="s">
        <v>130</v>
      </c>
    </row>
    <row r="114" spans="1:31" ht="63.75">
      <c r="A114" s="66">
        <v>113</v>
      </c>
      <c r="B114" s="173" t="s">
        <v>276</v>
      </c>
      <c r="C114" s="67" t="s">
        <v>277</v>
      </c>
      <c r="D114" s="207" t="s">
        <v>1037</v>
      </c>
      <c r="E114" s="149" t="s">
        <v>986</v>
      </c>
      <c r="F114" s="149" t="s">
        <v>1038</v>
      </c>
      <c r="G114" s="149" t="s">
        <v>1039</v>
      </c>
      <c r="H114" s="66">
        <v>4</v>
      </c>
      <c r="I114" s="149" t="s">
        <v>1040</v>
      </c>
      <c r="J114" s="150">
        <v>43423</v>
      </c>
      <c r="K114" s="150">
        <v>43413</v>
      </c>
      <c r="L114" s="151" t="s">
        <v>297</v>
      </c>
      <c r="M114" s="151" t="s">
        <v>1041</v>
      </c>
      <c r="N114" s="152" t="s">
        <v>447</v>
      </c>
      <c r="O114" s="151">
        <v>12</v>
      </c>
      <c r="P114" s="153" t="s">
        <v>598</v>
      </c>
      <c r="Q114" s="154" t="s">
        <v>449</v>
      </c>
      <c r="R114" s="155" t="s">
        <v>302</v>
      </c>
      <c r="S114" s="155" t="s">
        <v>1042</v>
      </c>
      <c r="T114" s="156">
        <v>1</v>
      </c>
      <c r="U114" s="151" t="s">
        <v>451</v>
      </c>
      <c r="V114" s="151" t="s">
        <v>70</v>
      </c>
      <c r="W114" s="151" t="s">
        <v>291</v>
      </c>
      <c r="X114" s="151">
        <v>36</v>
      </c>
      <c r="Y114" s="151" t="s">
        <v>291</v>
      </c>
      <c r="Z114" s="151">
        <v>25</v>
      </c>
      <c r="AA114" s="151" t="s">
        <v>130</v>
      </c>
      <c r="AB114" s="151" t="s">
        <v>249</v>
      </c>
      <c r="AC114" s="151">
        <v>0</v>
      </c>
      <c r="AD114" s="151">
        <v>11</v>
      </c>
      <c r="AE114" s="182" t="s">
        <v>130</v>
      </c>
    </row>
    <row r="115" spans="1:31" ht="51">
      <c r="A115" s="66">
        <v>114</v>
      </c>
      <c r="B115" s="173" t="s">
        <v>276</v>
      </c>
      <c r="C115" s="67" t="s">
        <v>277</v>
      </c>
      <c r="D115" s="207" t="s">
        <v>1043</v>
      </c>
      <c r="E115" s="149" t="s">
        <v>986</v>
      </c>
      <c r="F115" s="149" t="s">
        <v>1044</v>
      </c>
      <c r="G115" s="149" t="s">
        <v>1045</v>
      </c>
      <c r="H115" s="66">
        <v>3</v>
      </c>
      <c r="I115" s="149" t="s">
        <v>1046</v>
      </c>
      <c r="J115" s="150">
        <v>43423</v>
      </c>
      <c r="K115" s="150">
        <v>43413</v>
      </c>
      <c r="L115" s="151" t="s">
        <v>283</v>
      </c>
      <c r="M115" s="151" t="s">
        <v>1047</v>
      </c>
      <c r="N115" s="152" t="s">
        <v>457</v>
      </c>
      <c r="O115" s="151">
        <v>9</v>
      </c>
      <c r="P115" s="153" t="s">
        <v>286</v>
      </c>
      <c r="Q115" s="154" t="s">
        <v>458</v>
      </c>
      <c r="R115" s="155" t="s">
        <v>288</v>
      </c>
      <c r="S115" s="155" t="s">
        <v>1048</v>
      </c>
      <c r="T115" s="156">
        <v>1</v>
      </c>
      <c r="U115" s="151" t="s">
        <v>441</v>
      </c>
      <c r="V115" s="151" t="s">
        <v>70</v>
      </c>
      <c r="W115" s="151" t="s">
        <v>291</v>
      </c>
      <c r="X115" s="151">
        <v>39</v>
      </c>
      <c r="Y115" s="151" t="s">
        <v>291</v>
      </c>
      <c r="Z115" s="151">
        <v>35</v>
      </c>
      <c r="AA115" s="151" t="s">
        <v>130</v>
      </c>
      <c r="AB115" s="151" t="s">
        <v>249</v>
      </c>
      <c r="AC115" s="151">
        <v>0</v>
      </c>
      <c r="AD115" s="151">
        <v>4</v>
      </c>
      <c r="AE115" s="182" t="s">
        <v>130</v>
      </c>
    </row>
    <row r="116" spans="1:31" ht="51">
      <c r="A116" s="66">
        <v>115</v>
      </c>
      <c r="B116" s="173" t="s">
        <v>276</v>
      </c>
      <c r="C116" s="67" t="s">
        <v>277</v>
      </c>
      <c r="D116" s="207" t="s">
        <v>1049</v>
      </c>
      <c r="E116" s="149" t="s">
        <v>986</v>
      </c>
      <c r="F116" s="149" t="s">
        <v>1050</v>
      </c>
      <c r="G116" s="149" t="s">
        <v>1051</v>
      </c>
      <c r="H116" s="66">
        <v>3</v>
      </c>
      <c r="I116" s="149" t="s">
        <v>1052</v>
      </c>
      <c r="J116" s="150">
        <v>43423</v>
      </c>
      <c r="K116" s="150">
        <v>43413</v>
      </c>
      <c r="L116" s="151" t="s">
        <v>283</v>
      </c>
      <c r="M116" s="151" t="s">
        <v>1053</v>
      </c>
      <c r="N116" s="152" t="s">
        <v>437</v>
      </c>
      <c r="O116" s="151">
        <v>9</v>
      </c>
      <c r="P116" s="153" t="s">
        <v>364</v>
      </c>
      <c r="Q116" s="154" t="s">
        <v>439</v>
      </c>
      <c r="R116" s="155" t="s">
        <v>288</v>
      </c>
      <c r="S116" s="155" t="s">
        <v>1048</v>
      </c>
      <c r="T116" s="156">
        <v>1</v>
      </c>
      <c r="U116" s="151" t="s">
        <v>441</v>
      </c>
      <c r="V116" s="151" t="s">
        <v>70</v>
      </c>
      <c r="W116" s="151" t="s">
        <v>291</v>
      </c>
      <c r="X116" s="151">
        <v>39</v>
      </c>
      <c r="Y116" s="151" t="s">
        <v>291</v>
      </c>
      <c r="Z116" s="151">
        <v>32</v>
      </c>
      <c r="AA116" s="151" t="s">
        <v>130</v>
      </c>
      <c r="AB116" s="151" t="s">
        <v>249</v>
      </c>
      <c r="AC116" s="151">
        <v>0</v>
      </c>
      <c r="AD116" s="151">
        <v>7</v>
      </c>
      <c r="AE116" s="182" t="s">
        <v>130</v>
      </c>
    </row>
    <row r="117" spans="1:31" ht="63.75">
      <c r="A117" s="66">
        <v>116</v>
      </c>
      <c r="B117" s="173" t="s">
        <v>276</v>
      </c>
      <c r="C117" s="67" t="s">
        <v>277</v>
      </c>
      <c r="D117" s="207" t="s">
        <v>1054</v>
      </c>
      <c r="E117" s="149" t="s">
        <v>986</v>
      </c>
      <c r="F117" s="149" t="s">
        <v>1055</v>
      </c>
      <c r="G117" s="149" t="s">
        <v>1056</v>
      </c>
      <c r="H117" s="66">
        <v>4</v>
      </c>
      <c r="I117" s="149" t="s">
        <v>1057</v>
      </c>
      <c r="J117" s="150">
        <v>43423</v>
      </c>
      <c r="K117" s="150">
        <v>43414</v>
      </c>
      <c r="L117" s="151" t="s">
        <v>297</v>
      </c>
      <c r="M117" s="151" t="s">
        <v>1058</v>
      </c>
      <c r="N117" s="152" t="s">
        <v>1059</v>
      </c>
      <c r="O117" s="151">
        <v>12</v>
      </c>
      <c r="P117" s="153" t="s">
        <v>1060</v>
      </c>
      <c r="Q117" s="154" t="s">
        <v>1061</v>
      </c>
      <c r="R117" s="155" t="s">
        <v>302</v>
      </c>
      <c r="S117" s="155" t="s">
        <v>1062</v>
      </c>
      <c r="T117" s="156">
        <v>1</v>
      </c>
      <c r="U117" s="151" t="s">
        <v>451</v>
      </c>
      <c r="V117" s="151" t="s">
        <v>70</v>
      </c>
      <c r="W117" s="151" t="s">
        <v>249</v>
      </c>
      <c r="X117" s="151" t="s">
        <v>130</v>
      </c>
      <c r="Y117" s="151" t="s">
        <v>291</v>
      </c>
      <c r="Z117" s="151">
        <v>22</v>
      </c>
      <c r="AA117" s="151" t="s">
        <v>130</v>
      </c>
      <c r="AB117" s="151" t="s">
        <v>249</v>
      </c>
      <c r="AC117" s="151">
        <v>0</v>
      </c>
      <c r="AD117" s="151">
        <v>14</v>
      </c>
      <c r="AE117" s="182" t="s">
        <v>130</v>
      </c>
    </row>
    <row r="118" spans="1:31" ht="63.75">
      <c r="A118" s="66">
        <v>117</v>
      </c>
      <c r="B118" s="173" t="s">
        <v>276</v>
      </c>
      <c r="C118" s="67" t="s">
        <v>277</v>
      </c>
      <c r="D118" s="207" t="s">
        <v>1063</v>
      </c>
      <c r="E118" s="149" t="s">
        <v>986</v>
      </c>
      <c r="F118" s="149" t="s">
        <v>1064</v>
      </c>
      <c r="G118" s="149" t="s">
        <v>1065</v>
      </c>
      <c r="H118" s="66">
        <v>4</v>
      </c>
      <c r="I118" s="149" t="s">
        <v>1066</v>
      </c>
      <c r="J118" s="150">
        <v>43423</v>
      </c>
      <c r="K118" s="150">
        <v>43413</v>
      </c>
      <c r="L118" s="151" t="s">
        <v>297</v>
      </c>
      <c r="M118" s="151" t="s">
        <v>1067</v>
      </c>
      <c r="N118" s="152" t="s">
        <v>447</v>
      </c>
      <c r="O118" s="151">
        <v>12</v>
      </c>
      <c r="P118" s="153" t="s">
        <v>1068</v>
      </c>
      <c r="Q118" s="154" t="s">
        <v>449</v>
      </c>
      <c r="R118" s="155" t="s">
        <v>302</v>
      </c>
      <c r="S118" s="155" t="s">
        <v>1069</v>
      </c>
      <c r="T118" s="156">
        <v>1</v>
      </c>
      <c r="U118" s="151" t="s">
        <v>451</v>
      </c>
      <c r="V118" s="151" t="s">
        <v>70</v>
      </c>
      <c r="W118" s="151" t="s">
        <v>291</v>
      </c>
      <c r="X118" s="151">
        <v>37</v>
      </c>
      <c r="Y118" s="151" t="s">
        <v>291</v>
      </c>
      <c r="Z118" s="151">
        <v>30</v>
      </c>
      <c r="AA118" s="151" t="s">
        <v>130</v>
      </c>
      <c r="AB118" s="151" t="s">
        <v>249</v>
      </c>
      <c r="AC118" s="151">
        <v>0</v>
      </c>
      <c r="AD118" s="151">
        <v>7</v>
      </c>
      <c r="AE118" s="182" t="s">
        <v>130</v>
      </c>
    </row>
    <row r="119" spans="1:31" ht="51">
      <c r="A119" s="66">
        <v>118</v>
      </c>
      <c r="B119" s="173" t="s">
        <v>276</v>
      </c>
      <c r="C119" s="67" t="s">
        <v>277</v>
      </c>
      <c r="D119" s="207" t="s">
        <v>1070</v>
      </c>
      <c r="E119" s="149" t="s">
        <v>986</v>
      </c>
      <c r="F119" s="149" t="s">
        <v>1071</v>
      </c>
      <c r="G119" s="149" t="s">
        <v>1072</v>
      </c>
      <c r="H119" s="66">
        <v>3</v>
      </c>
      <c r="I119" s="149" t="s">
        <v>1073</v>
      </c>
      <c r="J119" s="150">
        <v>43423</v>
      </c>
      <c r="K119" s="150">
        <v>43414</v>
      </c>
      <c r="L119" s="151" t="s">
        <v>283</v>
      </c>
      <c r="M119" s="151" t="s">
        <v>1074</v>
      </c>
      <c r="N119" s="152" t="s">
        <v>457</v>
      </c>
      <c r="O119" s="151">
        <v>9</v>
      </c>
      <c r="P119" s="153" t="s">
        <v>330</v>
      </c>
      <c r="Q119" s="154" t="s">
        <v>458</v>
      </c>
      <c r="R119" s="155" t="s">
        <v>288</v>
      </c>
      <c r="S119" s="155" t="s">
        <v>1075</v>
      </c>
      <c r="T119" s="156">
        <v>1</v>
      </c>
      <c r="U119" s="151" t="s">
        <v>441</v>
      </c>
      <c r="V119" s="151" t="s">
        <v>70</v>
      </c>
      <c r="W119" s="151" t="s">
        <v>291</v>
      </c>
      <c r="X119" s="151">
        <v>35</v>
      </c>
      <c r="Y119" s="151" t="s">
        <v>291</v>
      </c>
      <c r="Z119" s="151">
        <v>31</v>
      </c>
      <c r="AA119" s="151" t="s">
        <v>130</v>
      </c>
      <c r="AB119" s="151" t="s">
        <v>249</v>
      </c>
      <c r="AC119" s="151">
        <v>0</v>
      </c>
      <c r="AD119" s="151">
        <v>4</v>
      </c>
      <c r="AE119" s="182" t="s">
        <v>130</v>
      </c>
    </row>
    <row r="120" spans="1:31" ht="51">
      <c r="A120" s="66">
        <v>119</v>
      </c>
      <c r="B120" s="173" t="s">
        <v>276</v>
      </c>
      <c r="C120" s="67" t="s">
        <v>277</v>
      </c>
      <c r="D120" s="207" t="s">
        <v>1076</v>
      </c>
      <c r="E120" s="149" t="s">
        <v>986</v>
      </c>
      <c r="F120" s="149" t="s">
        <v>1077</v>
      </c>
      <c r="G120" s="149" t="s">
        <v>1078</v>
      </c>
      <c r="H120" s="66">
        <v>4</v>
      </c>
      <c r="I120" s="149" t="s">
        <v>1079</v>
      </c>
      <c r="J120" s="150">
        <v>43423</v>
      </c>
      <c r="K120" s="150">
        <v>43415</v>
      </c>
      <c r="L120" s="151" t="s">
        <v>297</v>
      </c>
      <c r="M120" s="151" t="s">
        <v>1080</v>
      </c>
      <c r="N120" s="152" t="s">
        <v>447</v>
      </c>
      <c r="O120" s="151">
        <v>10</v>
      </c>
      <c r="P120" s="153" t="s">
        <v>1081</v>
      </c>
      <c r="Q120" s="154" t="s">
        <v>473</v>
      </c>
      <c r="R120" s="155" t="s">
        <v>302</v>
      </c>
      <c r="S120" s="155" t="s">
        <v>1082</v>
      </c>
      <c r="T120" s="156">
        <v>1</v>
      </c>
      <c r="U120" s="151" t="s">
        <v>451</v>
      </c>
      <c r="V120" s="151" t="s">
        <v>70</v>
      </c>
      <c r="W120" s="151" t="s">
        <v>291</v>
      </c>
      <c r="X120" s="151">
        <v>34</v>
      </c>
      <c r="Y120" s="151" t="s">
        <v>291</v>
      </c>
      <c r="Z120" s="151">
        <v>30</v>
      </c>
      <c r="AA120" s="151" t="s">
        <v>130</v>
      </c>
      <c r="AB120" s="151" t="s">
        <v>249</v>
      </c>
      <c r="AC120" s="151">
        <v>37.5</v>
      </c>
      <c r="AD120" s="151">
        <v>4</v>
      </c>
      <c r="AE120" s="182" t="s">
        <v>130</v>
      </c>
    </row>
    <row r="121" spans="1:31" ht="63.75">
      <c r="A121" s="66">
        <v>120</v>
      </c>
      <c r="B121" s="173" t="s">
        <v>276</v>
      </c>
      <c r="C121" s="67" t="s">
        <v>277</v>
      </c>
      <c r="D121" s="207" t="s">
        <v>1083</v>
      </c>
      <c r="E121" s="149" t="s">
        <v>986</v>
      </c>
      <c r="F121" s="149" t="s">
        <v>1084</v>
      </c>
      <c r="G121" s="149" t="s">
        <v>1085</v>
      </c>
      <c r="H121" s="66">
        <v>4</v>
      </c>
      <c r="I121" s="149" t="s">
        <v>1086</v>
      </c>
      <c r="J121" s="150">
        <v>43423</v>
      </c>
      <c r="K121" s="150">
        <v>43415</v>
      </c>
      <c r="L121" s="151" t="s">
        <v>297</v>
      </c>
      <c r="M121" s="151" t="s">
        <v>1087</v>
      </c>
      <c r="N121" s="152" t="s">
        <v>1059</v>
      </c>
      <c r="O121" s="151">
        <v>12</v>
      </c>
      <c r="P121" s="153" t="s">
        <v>409</v>
      </c>
      <c r="Q121" s="154" t="s">
        <v>1061</v>
      </c>
      <c r="R121" s="155" t="s">
        <v>302</v>
      </c>
      <c r="S121" s="155" t="s">
        <v>1088</v>
      </c>
      <c r="T121" s="156">
        <v>1</v>
      </c>
      <c r="U121" s="151" t="s">
        <v>451</v>
      </c>
      <c r="V121" s="151" t="s">
        <v>70</v>
      </c>
      <c r="W121" s="151" t="s">
        <v>291</v>
      </c>
      <c r="X121" s="151">
        <v>37</v>
      </c>
      <c r="Y121" s="151" t="s">
        <v>291</v>
      </c>
      <c r="Z121" s="151">
        <v>26</v>
      </c>
      <c r="AA121" s="151" t="s">
        <v>130</v>
      </c>
      <c r="AB121" s="151" t="s">
        <v>249</v>
      </c>
      <c r="AC121" s="151">
        <v>0</v>
      </c>
      <c r="AD121" s="151">
        <v>11</v>
      </c>
      <c r="AE121" s="182" t="s">
        <v>130</v>
      </c>
    </row>
    <row r="122" spans="1:31" ht="51">
      <c r="A122" s="66">
        <v>121</v>
      </c>
      <c r="B122" s="173" t="s">
        <v>276</v>
      </c>
      <c r="C122" s="67" t="s">
        <v>277</v>
      </c>
      <c r="D122" s="207" t="s">
        <v>1089</v>
      </c>
      <c r="E122" s="149" t="s">
        <v>1090</v>
      </c>
      <c r="F122" s="149" t="s">
        <v>1091</v>
      </c>
      <c r="G122" s="149" t="s">
        <v>1092</v>
      </c>
      <c r="H122" s="66">
        <v>3</v>
      </c>
      <c r="I122" s="149" t="s">
        <v>1093</v>
      </c>
      <c r="J122" s="150">
        <v>43423</v>
      </c>
      <c r="K122" s="150">
        <v>43404</v>
      </c>
      <c r="L122" s="151" t="s">
        <v>283</v>
      </c>
      <c r="M122" s="151" t="s">
        <v>1094</v>
      </c>
      <c r="N122" s="152" t="s">
        <v>650</v>
      </c>
      <c r="O122" s="151">
        <v>9</v>
      </c>
      <c r="P122" s="153" t="s">
        <v>927</v>
      </c>
      <c r="Q122" s="154" t="s">
        <v>651</v>
      </c>
      <c r="R122" s="155" t="s">
        <v>320</v>
      </c>
      <c r="S122" s="155" t="s">
        <v>1095</v>
      </c>
      <c r="T122" s="156">
        <v>1</v>
      </c>
      <c r="U122" s="151" t="s">
        <v>322</v>
      </c>
      <c r="V122" s="151" t="s">
        <v>70</v>
      </c>
      <c r="W122" s="151" t="s">
        <v>249</v>
      </c>
      <c r="X122" s="151" t="s">
        <v>130</v>
      </c>
      <c r="Y122" s="151" t="s">
        <v>291</v>
      </c>
      <c r="Z122" s="151">
        <v>5</v>
      </c>
      <c r="AA122" s="151" t="s">
        <v>130</v>
      </c>
      <c r="AB122" s="151" t="s">
        <v>249</v>
      </c>
      <c r="AC122" s="151">
        <v>14</v>
      </c>
      <c r="AD122" s="151">
        <v>21</v>
      </c>
      <c r="AE122" s="182" t="s">
        <v>130</v>
      </c>
    </row>
    <row r="123" spans="1:31" ht="51">
      <c r="A123" s="66">
        <v>122</v>
      </c>
      <c r="B123" s="173" t="s">
        <v>276</v>
      </c>
      <c r="C123" s="67" t="s">
        <v>277</v>
      </c>
      <c r="D123" s="207" t="s">
        <v>1096</v>
      </c>
      <c r="E123" s="149" t="s">
        <v>1090</v>
      </c>
      <c r="F123" s="149" t="s">
        <v>1097</v>
      </c>
      <c r="G123" s="149" t="s">
        <v>1098</v>
      </c>
      <c r="H123" s="66">
        <v>3</v>
      </c>
      <c r="I123" s="149" t="s">
        <v>1099</v>
      </c>
      <c r="J123" s="150">
        <v>43423</v>
      </c>
      <c r="K123" s="150">
        <v>43404</v>
      </c>
      <c r="L123" s="151" t="s">
        <v>283</v>
      </c>
      <c r="M123" s="151" t="s">
        <v>1100</v>
      </c>
      <c r="N123" s="152" t="s">
        <v>650</v>
      </c>
      <c r="O123" s="151">
        <v>9</v>
      </c>
      <c r="P123" s="153" t="s">
        <v>286</v>
      </c>
      <c r="Q123" s="154" t="s">
        <v>651</v>
      </c>
      <c r="R123" s="155" t="s">
        <v>320</v>
      </c>
      <c r="S123" s="155" t="s">
        <v>1101</v>
      </c>
      <c r="T123" s="156">
        <v>1</v>
      </c>
      <c r="U123" s="151" t="s">
        <v>322</v>
      </c>
      <c r="V123" s="151" t="s">
        <v>70</v>
      </c>
      <c r="W123" s="151" t="s">
        <v>249</v>
      </c>
      <c r="X123" s="151" t="s">
        <v>130</v>
      </c>
      <c r="Y123" s="151" t="s">
        <v>291</v>
      </c>
      <c r="Z123" s="151">
        <v>9</v>
      </c>
      <c r="AA123" s="151" t="s">
        <v>130</v>
      </c>
      <c r="AB123" s="151" t="s">
        <v>249</v>
      </c>
      <c r="AC123" s="151">
        <v>11</v>
      </c>
      <c r="AD123" s="151">
        <v>11</v>
      </c>
      <c r="AE123" s="182" t="s">
        <v>130</v>
      </c>
    </row>
    <row r="124" spans="1:31" ht="51">
      <c r="A124" s="66">
        <v>123</v>
      </c>
      <c r="B124" s="173" t="s">
        <v>276</v>
      </c>
      <c r="C124" s="67" t="s">
        <v>277</v>
      </c>
      <c r="D124" s="207" t="s">
        <v>1102</v>
      </c>
      <c r="E124" s="149" t="s">
        <v>1090</v>
      </c>
      <c r="F124" s="149" t="s">
        <v>1103</v>
      </c>
      <c r="G124" s="149" t="s">
        <v>1104</v>
      </c>
      <c r="H124" s="66">
        <v>3</v>
      </c>
      <c r="I124" s="149" t="s">
        <v>1105</v>
      </c>
      <c r="J124" s="150">
        <v>43423</v>
      </c>
      <c r="K124" s="150">
        <v>43404</v>
      </c>
      <c r="L124" s="151" t="s">
        <v>283</v>
      </c>
      <c r="M124" s="151" t="s">
        <v>1106</v>
      </c>
      <c r="N124" s="152" t="s">
        <v>650</v>
      </c>
      <c r="O124" s="151">
        <v>9</v>
      </c>
      <c r="P124" s="153" t="s">
        <v>286</v>
      </c>
      <c r="Q124" s="154" t="s">
        <v>658</v>
      </c>
      <c r="R124" s="155" t="s">
        <v>288</v>
      </c>
      <c r="S124" s="155" t="s">
        <v>1107</v>
      </c>
      <c r="T124" s="156">
        <v>1</v>
      </c>
      <c r="U124" s="151" t="s">
        <v>290</v>
      </c>
      <c r="V124" s="151" t="s">
        <v>70</v>
      </c>
      <c r="W124" s="151" t="s">
        <v>291</v>
      </c>
      <c r="X124" s="151">
        <v>41</v>
      </c>
      <c r="Y124" s="151" t="s">
        <v>291</v>
      </c>
      <c r="Z124" s="151">
        <v>30</v>
      </c>
      <c r="AA124" s="151" t="s">
        <v>130</v>
      </c>
      <c r="AB124" s="151" t="s">
        <v>249</v>
      </c>
      <c r="AC124" s="151">
        <v>0</v>
      </c>
      <c r="AD124" s="151">
        <v>11</v>
      </c>
      <c r="AE124" s="182" t="s">
        <v>130</v>
      </c>
    </row>
    <row r="125" spans="1:31" ht="51">
      <c r="A125" s="66">
        <v>124</v>
      </c>
      <c r="B125" s="173" t="s">
        <v>276</v>
      </c>
      <c r="C125" s="67" t="s">
        <v>277</v>
      </c>
      <c r="D125" s="207" t="s">
        <v>1108</v>
      </c>
      <c r="E125" s="149" t="s">
        <v>1090</v>
      </c>
      <c r="F125" s="149" t="s">
        <v>1109</v>
      </c>
      <c r="G125" s="149" t="s">
        <v>1110</v>
      </c>
      <c r="H125" s="66">
        <v>3</v>
      </c>
      <c r="I125" s="149" t="s">
        <v>1111</v>
      </c>
      <c r="J125" s="150">
        <v>43423</v>
      </c>
      <c r="K125" s="150">
        <v>43404</v>
      </c>
      <c r="L125" s="151" t="s">
        <v>283</v>
      </c>
      <c r="M125" s="151" t="s">
        <v>1112</v>
      </c>
      <c r="N125" s="152" t="s">
        <v>650</v>
      </c>
      <c r="O125" s="151">
        <v>9</v>
      </c>
      <c r="P125" s="153" t="s">
        <v>286</v>
      </c>
      <c r="Q125" s="154" t="s">
        <v>651</v>
      </c>
      <c r="R125" s="155" t="s">
        <v>320</v>
      </c>
      <c r="S125" s="155" t="s">
        <v>1048</v>
      </c>
      <c r="T125" s="156">
        <v>1</v>
      </c>
      <c r="U125" s="151" t="s">
        <v>322</v>
      </c>
      <c r="V125" s="151" t="s">
        <v>70</v>
      </c>
      <c r="W125" s="151" t="s">
        <v>249</v>
      </c>
      <c r="X125" s="151" t="s">
        <v>130</v>
      </c>
      <c r="Y125" s="151" t="s">
        <v>291</v>
      </c>
      <c r="Z125" s="151">
        <v>18</v>
      </c>
      <c r="AA125" s="151" t="s">
        <v>130</v>
      </c>
      <c r="AB125" s="151" t="s">
        <v>249</v>
      </c>
      <c r="AC125" s="151">
        <v>18</v>
      </c>
      <c r="AD125" s="151">
        <v>21</v>
      </c>
      <c r="AE125" s="182" t="s">
        <v>130</v>
      </c>
    </row>
    <row r="126" spans="1:31" ht="63.75">
      <c r="A126" s="66">
        <v>125</v>
      </c>
      <c r="B126" s="173" t="s">
        <v>276</v>
      </c>
      <c r="C126" s="67" t="s">
        <v>277</v>
      </c>
      <c r="D126" s="207" t="s">
        <v>1113</v>
      </c>
      <c r="E126" s="149" t="s">
        <v>1090</v>
      </c>
      <c r="F126" s="149" t="s">
        <v>1114</v>
      </c>
      <c r="G126" s="149" t="s">
        <v>1115</v>
      </c>
      <c r="H126" s="66">
        <v>4</v>
      </c>
      <c r="I126" s="149" t="s">
        <v>1116</v>
      </c>
      <c r="J126" s="150">
        <v>43423</v>
      </c>
      <c r="K126" s="150">
        <v>43403</v>
      </c>
      <c r="L126" s="151" t="s">
        <v>297</v>
      </c>
      <c r="M126" s="151" t="s">
        <v>1117</v>
      </c>
      <c r="N126" s="152" t="s">
        <v>641</v>
      </c>
      <c r="O126" s="151">
        <v>12</v>
      </c>
      <c r="P126" s="153" t="s">
        <v>357</v>
      </c>
      <c r="Q126" s="154" t="s">
        <v>1118</v>
      </c>
      <c r="R126" s="155" t="s">
        <v>302</v>
      </c>
      <c r="S126" s="155" t="s">
        <v>1119</v>
      </c>
      <c r="T126" s="156">
        <v>1</v>
      </c>
      <c r="U126" s="151" t="s">
        <v>304</v>
      </c>
      <c r="V126" s="151" t="s">
        <v>70</v>
      </c>
      <c r="W126" s="151" t="s">
        <v>291</v>
      </c>
      <c r="X126" s="151">
        <v>32</v>
      </c>
      <c r="Y126" s="151" t="s">
        <v>291</v>
      </c>
      <c r="Z126" s="151">
        <v>21</v>
      </c>
      <c r="AA126" s="151" t="s">
        <v>130</v>
      </c>
      <c r="AB126" s="151" t="s">
        <v>249</v>
      </c>
      <c r="AC126" s="151">
        <v>0</v>
      </c>
      <c r="AD126" s="151">
        <v>11</v>
      </c>
      <c r="AE126" s="182" t="s">
        <v>130</v>
      </c>
    </row>
    <row r="127" spans="1:31" ht="63.75">
      <c r="A127" s="66">
        <v>126</v>
      </c>
      <c r="B127" s="173" t="s">
        <v>276</v>
      </c>
      <c r="C127" s="67" t="s">
        <v>277</v>
      </c>
      <c r="D127" s="207" t="s">
        <v>1120</v>
      </c>
      <c r="E127" s="149" t="s">
        <v>1090</v>
      </c>
      <c r="F127" s="149" t="s">
        <v>1121</v>
      </c>
      <c r="G127" s="149" t="s">
        <v>1122</v>
      </c>
      <c r="H127" s="66">
        <v>4</v>
      </c>
      <c r="I127" s="149" t="s">
        <v>1123</v>
      </c>
      <c r="J127" s="150">
        <v>43423</v>
      </c>
      <c r="K127" s="150">
        <v>43403</v>
      </c>
      <c r="L127" s="151" t="s">
        <v>297</v>
      </c>
      <c r="M127" s="151" t="s">
        <v>1124</v>
      </c>
      <c r="N127" s="152" t="s">
        <v>641</v>
      </c>
      <c r="O127" s="151">
        <v>12</v>
      </c>
      <c r="P127" s="153" t="s">
        <v>1125</v>
      </c>
      <c r="Q127" s="154" t="s">
        <v>1118</v>
      </c>
      <c r="R127" s="155" t="s">
        <v>302</v>
      </c>
      <c r="S127" s="155" t="s">
        <v>1126</v>
      </c>
      <c r="T127" s="156">
        <v>1</v>
      </c>
      <c r="U127" s="151" t="s">
        <v>304</v>
      </c>
      <c r="V127" s="151" t="s">
        <v>70</v>
      </c>
      <c r="W127" s="151" t="s">
        <v>249</v>
      </c>
      <c r="X127" s="151" t="s">
        <v>130</v>
      </c>
      <c r="Y127" s="151" t="s">
        <v>291</v>
      </c>
      <c r="Z127" s="151">
        <v>8</v>
      </c>
      <c r="AA127" s="151" t="s">
        <v>130</v>
      </c>
      <c r="AB127" s="151" t="s">
        <v>249</v>
      </c>
      <c r="AC127" s="151">
        <v>7</v>
      </c>
      <c r="AD127" s="151">
        <v>14</v>
      </c>
      <c r="AE127" s="182" t="s">
        <v>130</v>
      </c>
    </row>
    <row r="128" spans="1:31" ht="51">
      <c r="A128" s="66">
        <v>127</v>
      </c>
      <c r="B128" s="173" t="s">
        <v>276</v>
      </c>
      <c r="C128" s="67" t="s">
        <v>277</v>
      </c>
      <c r="D128" s="207" t="s">
        <v>1127</v>
      </c>
      <c r="E128" s="149" t="s">
        <v>1090</v>
      </c>
      <c r="F128" s="149" t="s">
        <v>1128</v>
      </c>
      <c r="G128" s="149" t="s">
        <v>1129</v>
      </c>
      <c r="H128" s="66">
        <v>3</v>
      </c>
      <c r="I128" s="149" t="s">
        <v>1130</v>
      </c>
      <c r="J128" s="150">
        <v>43423</v>
      </c>
      <c r="K128" s="150">
        <v>43404</v>
      </c>
      <c r="L128" s="151" t="s">
        <v>283</v>
      </c>
      <c r="M128" s="151" t="s">
        <v>1131</v>
      </c>
      <c r="N128" s="152" t="s">
        <v>650</v>
      </c>
      <c r="O128" s="151">
        <v>9</v>
      </c>
      <c r="P128" s="153" t="s">
        <v>286</v>
      </c>
      <c r="Q128" s="154" t="s">
        <v>651</v>
      </c>
      <c r="R128" s="155" t="s">
        <v>320</v>
      </c>
      <c r="S128" s="155" t="s">
        <v>371</v>
      </c>
      <c r="T128" s="156">
        <v>1</v>
      </c>
      <c r="U128" s="151" t="s">
        <v>322</v>
      </c>
      <c r="V128" s="151" t="s">
        <v>70</v>
      </c>
      <c r="W128" s="151" t="s">
        <v>249</v>
      </c>
      <c r="X128" s="151" t="s">
        <v>130</v>
      </c>
      <c r="Y128" s="151" t="s">
        <v>291</v>
      </c>
      <c r="Z128" s="151">
        <v>16</v>
      </c>
      <c r="AA128" s="151" t="s">
        <v>130</v>
      </c>
      <c r="AB128" s="151" t="s">
        <v>249</v>
      </c>
      <c r="AC128" s="151">
        <v>0</v>
      </c>
      <c r="AD128" s="151">
        <v>11</v>
      </c>
      <c r="AE128" s="182" t="s">
        <v>130</v>
      </c>
    </row>
    <row r="129" spans="1:31" ht="51">
      <c r="A129" s="66">
        <v>128</v>
      </c>
      <c r="B129" s="173" t="s">
        <v>276</v>
      </c>
      <c r="C129" s="67" t="s">
        <v>277</v>
      </c>
      <c r="D129" s="207" t="s">
        <v>1132</v>
      </c>
      <c r="E129" s="149" t="s">
        <v>1090</v>
      </c>
      <c r="F129" s="149" t="s">
        <v>1133</v>
      </c>
      <c r="G129" s="149" t="s">
        <v>1134</v>
      </c>
      <c r="H129" s="66">
        <v>3</v>
      </c>
      <c r="I129" s="149" t="s">
        <v>1135</v>
      </c>
      <c r="J129" s="150">
        <v>43423</v>
      </c>
      <c r="K129" s="150">
        <v>43403</v>
      </c>
      <c r="L129" s="151" t="s">
        <v>283</v>
      </c>
      <c r="M129" s="151" t="s">
        <v>1136</v>
      </c>
      <c r="N129" s="152" t="s">
        <v>650</v>
      </c>
      <c r="O129" s="151">
        <v>9</v>
      </c>
      <c r="P129" s="153" t="s">
        <v>438</v>
      </c>
      <c r="Q129" s="154" t="s">
        <v>658</v>
      </c>
      <c r="R129" s="155" t="s">
        <v>288</v>
      </c>
      <c r="S129" s="155" t="s">
        <v>1137</v>
      </c>
      <c r="T129" s="156">
        <v>1</v>
      </c>
      <c r="U129" s="151" t="s">
        <v>290</v>
      </c>
      <c r="V129" s="151" t="s">
        <v>70</v>
      </c>
      <c r="W129" s="151" t="s">
        <v>249</v>
      </c>
      <c r="X129" s="151" t="s">
        <v>130</v>
      </c>
      <c r="Y129" s="151" t="s">
        <v>291</v>
      </c>
      <c r="Z129" s="151">
        <v>6</v>
      </c>
      <c r="AA129" s="151" t="s">
        <v>130</v>
      </c>
      <c r="AB129" s="151" t="s">
        <v>249</v>
      </c>
      <c r="AC129" s="151">
        <v>0</v>
      </c>
      <c r="AD129" s="151">
        <v>14</v>
      </c>
      <c r="AE129" s="182" t="s">
        <v>130</v>
      </c>
    </row>
    <row r="130" spans="1:31" ht="51">
      <c r="A130" s="66">
        <v>129</v>
      </c>
      <c r="B130" s="173" t="s">
        <v>276</v>
      </c>
      <c r="C130" s="67" t="s">
        <v>277</v>
      </c>
      <c r="D130" s="207" t="s">
        <v>1138</v>
      </c>
      <c r="E130" s="149" t="s">
        <v>1090</v>
      </c>
      <c r="F130" s="149" t="s">
        <v>1139</v>
      </c>
      <c r="G130" s="149" t="s">
        <v>1140</v>
      </c>
      <c r="H130" s="66">
        <v>3</v>
      </c>
      <c r="I130" s="149" t="s">
        <v>1141</v>
      </c>
      <c r="J130" s="150">
        <v>43423</v>
      </c>
      <c r="K130" s="150">
        <v>43403</v>
      </c>
      <c r="L130" s="151" t="s">
        <v>283</v>
      </c>
      <c r="M130" s="151" t="s">
        <v>1142</v>
      </c>
      <c r="N130" s="152" t="s">
        <v>650</v>
      </c>
      <c r="O130" s="151">
        <v>9</v>
      </c>
      <c r="P130" s="153" t="s">
        <v>438</v>
      </c>
      <c r="Q130" s="154" t="s">
        <v>658</v>
      </c>
      <c r="R130" s="155" t="s">
        <v>288</v>
      </c>
      <c r="S130" s="155" t="s">
        <v>1143</v>
      </c>
      <c r="T130" s="156">
        <v>1</v>
      </c>
      <c r="U130" s="151" t="s">
        <v>290</v>
      </c>
      <c r="V130" s="151" t="s">
        <v>70</v>
      </c>
      <c r="W130" s="151" t="s">
        <v>249</v>
      </c>
      <c r="X130" s="151" t="s">
        <v>130</v>
      </c>
      <c r="Y130" s="151" t="s">
        <v>291</v>
      </c>
      <c r="Z130" s="151">
        <v>6</v>
      </c>
      <c r="AA130" s="151" t="s">
        <v>130</v>
      </c>
      <c r="AB130" s="151" t="s">
        <v>249</v>
      </c>
      <c r="AC130" s="151">
        <v>11</v>
      </c>
      <c r="AD130" s="151">
        <v>18</v>
      </c>
      <c r="AE130" s="182" t="s">
        <v>130</v>
      </c>
    </row>
    <row r="131" spans="1:31" ht="63.75">
      <c r="A131" s="66">
        <v>130</v>
      </c>
      <c r="B131" s="173" t="s">
        <v>276</v>
      </c>
      <c r="C131" s="67" t="s">
        <v>277</v>
      </c>
      <c r="D131" s="207" t="s">
        <v>1144</v>
      </c>
      <c r="E131" s="149" t="s">
        <v>1090</v>
      </c>
      <c r="F131" s="149" t="s">
        <v>1145</v>
      </c>
      <c r="G131" s="149" t="s">
        <v>1146</v>
      </c>
      <c r="H131" s="66">
        <v>4</v>
      </c>
      <c r="I131" s="149" t="s">
        <v>1147</v>
      </c>
      <c r="J131" s="150">
        <v>43423</v>
      </c>
      <c r="K131" s="150">
        <v>43403</v>
      </c>
      <c r="L131" s="151" t="s">
        <v>297</v>
      </c>
      <c r="M131" s="151" t="s">
        <v>1148</v>
      </c>
      <c r="N131" s="152" t="s">
        <v>641</v>
      </c>
      <c r="O131" s="151">
        <v>12</v>
      </c>
      <c r="P131" s="153" t="s">
        <v>357</v>
      </c>
      <c r="Q131" s="154" t="s">
        <v>1118</v>
      </c>
      <c r="R131" s="155" t="s">
        <v>302</v>
      </c>
      <c r="S131" s="155" t="s">
        <v>1149</v>
      </c>
      <c r="T131" s="156">
        <v>1</v>
      </c>
      <c r="U131" s="151" t="s">
        <v>304</v>
      </c>
      <c r="V131" s="151" t="s">
        <v>70</v>
      </c>
      <c r="W131" s="151" t="s">
        <v>249</v>
      </c>
      <c r="X131" s="151" t="s">
        <v>130</v>
      </c>
      <c r="Y131" s="151" t="s">
        <v>291</v>
      </c>
      <c r="Z131" s="151">
        <v>7</v>
      </c>
      <c r="AA131" s="151" t="s">
        <v>130</v>
      </c>
      <c r="AB131" s="151" t="s">
        <v>249</v>
      </c>
      <c r="AC131" s="151">
        <v>0</v>
      </c>
      <c r="AD131" s="151">
        <v>21</v>
      </c>
      <c r="AE131" s="182" t="s">
        <v>130</v>
      </c>
    </row>
    <row r="132" spans="1:31" ht="51">
      <c r="A132" s="66">
        <v>131</v>
      </c>
      <c r="B132" s="173" t="s">
        <v>276</v>
      </c>
      <c r="C132" s="67" t="s">
        <v>277</v>
      </c>
      <c r="D132" s="207" t="s">
        <v>1150</v>
      </c>
      <c r="E132" s="149" t="s">
        <v>1090</v>
      </c>
      <c r="F132" s="149" t="s">
        <v>1151</v>
      </c>
      <c r="G132" s="149" t="s">
        <v>1152</v>
      </c>
      <c r="H132" s="66">
        <v>3</v>
      </c>
      <c r="I132" s="149" t="s">
        <v>1153</v>
      </c>
      <c r="J132" s="150">
        <v>43423</v>
      </c>
      <c r="K132" s="150">
        <v>43404</v>
      </c>
      <c r="L132" s="151" t="s">
        <v>283</v>
      </c>
      <c r="M132" s="151" t="s">
        <v>1154</v>
      </c>
      <c r="N132" s="152" t="s">
        <v>650</v>
      </c>
      <c r="O132" s="151">
        <v>9</v>
      </c>
      <c r="P132" s="153" t="s">
        <v>286</v>
      </c>
      <c r="Q132" s="154" t="s">
        <v>658</v>
      </c>
      <c r="R132" s="155" t="s">
        <v>288</v>
      </c>
      <c r="S132" s="155" t="s">
        <v>851</v>
      </c>
      <c r="T132" s="156">
        <v>1</v>
      </c>
      <c r="U132" s="151" t="s">
        <v>290</v>
      </c>
      <c r="V132" s="151" t="s">
        <v>70</v>
      </c>
      <c r="W132" s="151" t="s">
        <v>249</v>
      </c>
      <c r="X132" s="151" t="s">
        <v>130</v>
      </c>
      <c r="Y132" s="151" t="s">
        <v>291</v>
      </c>
      <c r="Z132" s="151">
        <v>11</v>
      </c>
      <c r="AA132" s="151" t="s">
        <v>130</v>
      </c>
      <c r="AB132" s="151" t="s">
        <v>249</v>
      </c>
      <c r="AC132" s="151">
        <v>14</v>
      </c>
      <c r="AD132" s="151">
        <v>18</v>
      </c>
      <c r="AE132" s="182" t="s">
        <v>130</v>
      </c>
    </row>
    <row r="133" spans="1:31" ht="51">
      <c r="A133" s="66">
        <v>132</v>
      </c>
      <c r="B133" s="173" t="s">
        <v>276</v>
      </c>
      <c r="C133" s="67" t="s">
        <v>277</v>
      </c>
      <c r="D133" s="207" t="s">
        <v>1155</v>
      </c>
      <c r="E133" s="149" t="s">
        <v>1090</v>
      </c>
      <c r="F133" s="149" t="s">
        <v>1156</v>
      </c>
      <c r="G133" s="149" t="s">
        <v>1157</v>
      </c>
      <c r="H133" s="66">
        <v>3</v>
      </c>
      <c r="I133" s="149" t="s">
        <v>1158</v>
      </c>
      <c r="J133" s="150">
        <v>43423</v>
      </c>
      <c r="K133" s="150">
        <v>43404</v>
      </c>
      <c r="L133" s="151" t="s">
        <v>283</v>
      </c>
      <c r="M133" s="151" t="s">
        <v>1159</v>
      </c>
      <c r="N133" s="152" t="s">
        <v>650</v>
      </c>
      <c r="O133" s="151">
        <v>9</v>
      </c>
      <c r="P133" s="153" t="s">
        <v>286</v>
      </c>
      <c r="Q133" s="154" t="s">
        <v>658</v>
      </c>
      <c r="R133" s="155" t="s">
        <v>288</v>
      </c>
      <c r="S133" s="155" t="s">
        <v>1160</v>
      </c>
      <c r="T133" s="156">
        <v>1</v>
      </c>
      <c r="U133" s="151" t="s">
        <v>290</v>
      </c>
      <c r="V133" s="151" t="s">
        <v>70</v>
      </c>
      <c r="W133" s="151" t="s">
        <v>249</v>
      </c>
      <c r="X133" s="151" t="s">
        <v>130</v>
      </c>
      <c r="Y133" s="151" t="s">
        <v>291</v>
      </c>
      <c r="Z133" s="151">
        <v>1</v>
      </c>
      <c r="AA133" s="151" t="s">
        <v>130</v>
      </c>
      <c r="AB133" s="151" t="s">
        <v>291</v>
      </c>
      <c r="AC133" s="151">
        <v>18</v>
      </c>
      <c r="AD133" s="151">
        <v>25</v>
      </c>
      <c r="AE133" s="182" t="s">
        <v>130</v>
      </c>
    </row>
    <row r="134" spans="1:31" ht="51">
      <c r="A134" s="66">
        <v>133</v>
      </c>
      <c r="B134" s="173" t="s">
        <v>276</v>
      </c>
      <c r="C134" s="67" t="s">
        <v>277</v>
      </c>
      <c r="D134" s="207" t="s">
        <v>1161</v>
      </c>
      <c r="E134" s="149" t="s">
        <v>1090</v>
      </c>
      <c r="F134" s="149" t="s">
        <v>1162</v>
      </c>
      <c r="G134" s="149" t="s">
        <v>1163</v>
      </c>
      <c r="H134" s="66">
        <v>3</v>
      </c>
      <c r="I134" s="149" t="s">
        <v>1164</v>
      </c>
      <c r="J134" s="150">
        <v>43423</v>
      </c>
      <c r="K134" s="150">
        <v>43404</v>
      </c>
      <c r="L134" s="151" t="s">
        <v>283</v>
      </c>
      <c r="M134" s="151" t="s">
        <v>1165</v>
      </c>
      <c r="N134" s="152" t="s">
        <v>650</v>
      </c>
      <c r="O134" s="151">
        <v>9</v>
      </c>
      <c r="P134" s="153" t="s">
        <v>330</v>
      </c>
      <c r="Q134" s="154" t="s">
        <v>658</v>
      </c>
      <c r="R134" s="155" t="s">
        <v>288</v>
      </c>
      <c r="S134" s="155" t="s">
        <v>486</v>
      </c>
      <c r="T134" s="156">
        <v>1</v>
      </c>
      <c r="U134" s="151" t="s">
        <v>290</v>
      </c>
      <c r="V134" s="151" t="s">
        <v>70</v>
      </c>
      <c r="W134" s="151" t="s">
        <v>249</v>
      </c>
      <c r="X134" s="151" t="s">
        <v>130</v>
      </c>
      <c r="Y134" s="151" t="s">
        <v>291</v>
      </c>
      <c r="Z134" s="151">
        <v>26</v>
      </c>
      <c r="AA134" s="151" t="s">
        <v>130</v>
      </c>
      <c r="AB134" s="151" t="s">
        <v>249</v>
      </c>
      <c r="AC134" s="151">
        <v>0</v>
      </c>
      <c r="AD134" s="151">
        <v>7</v>
      </c>
      <c r="AE134" s="182" t="s">
        <v>130</v>
      </c>
    </row>
    <row r="135" spans="1:31" ht="51">
      <c r="A135" s="66">
        <v>134</v>
      </c>
      <c r="B135" s="173" t="s">
        <v>276</v>
      </c>
      <c r="C135" s="67" t="s">
        <v>277</v>
      </c>
      <c r="D135" s="207" t="s">
        <v>1166</v>
      </c>
      <c r="E135" s="149" t="s">
        <v>1090</v>
      </c>
      <c r="F135" s="149" t="s">
        <v>1167</v>
      </c>
      <c r="G135" s="149" t="s">
        <v>1168</v>
      </c>
      <c r="H135" s="66">
        <v>3</v>
      </c>
      <c r="I135" s="149" t="s">
        <v>1169</v>
      </c>
      <c r="J135" s="150">
        <v>43423</v>
      </c>
      <c r="K135" s="150">
        <v>43404</v>
      </c>
      <c r="L135" s="151" t="s">
        <v>283</v>
      </c>
      <c r="M135" s="151" t="s">
        <v>1170</v>
      </c>
      <c r="N135" s="152" t="s">
        <v>650</v>
      </c>
      <c r="O135" s="151">
        <v>9</v>
      </c>
      <c r="P135" s="153" t="s">
        <v>364</v>
      </c>
      <c r="Q135" s="154" t="s">
        <v>658</v>
      </c>
      <c r="R135" s="155" t="s">
        <v>288</v>
      </c>
      <c r="S135" s="155" t="s">
        <v>671</v>
      </c>
      <c r="T135" s="156">
        <v>1</v>
      </c>
      <c r="U135" s="151" t="s">
        <v>290</v>
      </c>
      <c r="V135" s="151" t="s">
        <v>70</v>
      </c>
      <c r="W135" s="151" t="s">
        <v>249</v>
      </c>
      <c r="X135" s="151" t="s">
        <v>130</v>
      </c>
      <c r="Y135" s="151" t="s">
        <v>291</v>
      </c>
      <c r="Z135" s="151">
        <v>9</v>
      </c>
      <c r="AA135" s="151" t="s">
        <v>130</v>
      </c>
      <c r="AB135" s="151" t="s">
        <v>249</v>
      </c>
      <c r="AC135" s="151">
        <v>11</v>
      </c>
      <c r="AD135" s="151" t="s">
        <v>549</v>
      </c>
      <c r="AE135" s="182" t="s">
        <v>130</v>
      </c>
    </row>
    <row r="136" spans="1:31" ht="51">
      <c r="A136" s="66">
        <v>135</v>
      </c>
      <c r="B136" s="173" t="s">
        <v>276</v>
      </c>
      <c r="C136" s="67" t="s">
        <v>277</v>
      </c>
      <c r="D136" s="207" t="s">
        <v>1171</v>
      </c>
      <c r="E136" s="149" t="s">
        <v>1090</v>
      </c>
      <c r="F136" s="149" t="s">
        <v>1172</v>
      </c>
      <c r="G136" s="149" t="s">
        <v>1173</v>
      </c>
      <c r="H136" s="66">
        <v>3</v>
      </c>
      <c r="I136" s="149" t="s">
        <v>1174</v>
      </c>
      <c r="J136" s="150">
        <v>43423</v>
      </c>
      <c r="K136" s="150">
        <v>43404</v>
      </c>
      <c r="L136" s="151" t="s">
        <v>283</v>
      </c>
      <c r="M136" s="151" t="s">
        <v>1175</v>
      </c>
      <c r="N136" s="152" t="s">
        <v>650</v>
      </c>
      <c r="O136" s="151">
        <v>9</v>
      </c>
      <c r="P136" s="153" t="s">
        <v>286</v>
      </c>
      <c r="Q136" s="154" t="s">
        <v>658</v>
      </c>
      <c r="R136" s="155" t="s">
        <v>288</v>
      </c>
      <c r="S136" s="155" t="s">
        <v>289</v>
      </c>
      <c r="T136" s="156">
        <v>1</v>
      </c>
      <c r="U136" s="151" t="s">
        <v>290</v>
      </c>
      <c r="V136" s="151" t="s">
        <v>70</v>
      </c>
      <c r="W136" s="151" t="s">
        <v>249</v>
      </c>
      <c r="X136" s="151" t="s">
        <v>130</v>
      </c>
      <c r="Y136" s="151" t="s">
        <v>291</v>
      </c>
      <c r="Z136" s="151">
        <v>18</v>
      </c>
      <c r="AA136" s="151" t="s">
        <v>130</v>
      </c>
      <c r="AB136" s="151" t="s">
        <v>249</v>
      </c>
      <c r="AC136" s="151">
        <v>18</v>
      </c>
      <c r="AD136" s="151" t="s">
        <v>1176</v>
      </c>
      <c r="AE136" s="182" t="s">
        <v>130</v>
      </c>
    </row>
    <row r="137" spans="1:31" ht="51">
      <c r="A137" s="66">
        <v>136</v>
      </c>
      <c r="B137" s="173" t="s">
        <v>276</v>
      </c>
      <c r="C137" s="67" t="s">
        <v>277</v>
      </c>
      <c r="D137" s="207" t="s">
        <v>1177</v>
      </c>
      <c r="E137" s="149" t="s">
        <v>1090</v>
      </c>
      <c r="F137" s="149" t="s">
        <v>1178</v>
      </c>
      <c r="G137" s="149" t="s">
        <v>1179</v>
      </c>
      <c r="H137" s="66">
        <v>3</v>
      </c>
      <c r="I137" s="149" t="s">
        <v>1180</v>
      </c>
      <c r="J137" s="150">
        <v>43423</v>
      </c>
      <c r="K137" s="150">
        <v>43404</v>
      </c>
      <c r="L137" s="151" t="s">
        <v>283</v>
      </c>
      <c r="M137" s="151" t="s">
        <v>1181</v>
      </c>
      <c r="N137" s="152" t="s">
        <v>650</v>
      </c>
      <c r="O137" s="151">
        <v>9</v>
      </c>
      <c r="P137" s="153" t="s">
        <v>286</v>
      </c>
      <c r="Q137" s="154" t="s">
        <v>651</v>
      </c>
      <c r="R137" s="155" t="s">
        <v>320</v>
      </c>
      <c r="S137" s="155" t="s">
        <v>1182</v>
      </c>
      <c r="T137" s="156">
        <v>1</v>
      </c>
      <c r="U137" s="151" t="s">
        <v>322</v>
      </c>
      <c r="V137" s="151" t="s">
        <v>70</v>
      </c>
      <c r="W137" s="151" t="s">
        <v>249</v>
      </c>
      <c r="X137" s="151" t="s">
        <v>130</v>
      </c>
      <c r="Y137" s="151" t="s">
        <v>291</v>
      </c>
      <c r="Z137" s="151">
        <v>9</v>
      </c>
      <c r="AA137" s="151" t="s">
        <v>130</v>
      </c>
      <c r="AB137" s="151" t="s">
        <v>249</v>
      </c>
      <c r="AC137" s="151">
        <v>11</v>
      </c>
      <c r="AD137" s="151">
        <v>21</v>
      </c>
      <c r="AE137" s="182" t="s">
        <v>130</v>
      </c>
    </row>
    <row r="138" spans="1:31" ht="51">
      <c r="A138" s="66">
        <v>137</v>
      </c>
      <c r="B138" s="173" t="s">
        <v>276</v>
      </c>
      <c r="C138" s="67" t="s">
        <v>277</v>
      </c>
      <c r="D138" s="207" t="s">
        <v>1183</v>
      </c>
      <c r="E138" s="149" t="s">
        <v>1090</v>
      </c>
      <c r="F138" s="149" t="s">
        <v>1184</v>
      </c>
      <c r="G138" s="149" t="s">
        <v>1185</v>
      </c>
      <c r="H138" s="66">
        <v>3</v>
      </c>
      <c r="I138" s="149" t="s">
        <v>1186</v>
      </c>
      <c r="J138" s="150">
        <v>43423</v>
      </c>
      <c r="K138" s="150">
        <v>43404</v>
      </c>
      <c r="L138" s="151" t="s">
        <v>283</v>
      </c>
      <c r="M138" s="151" t="s">
        <v>1187</v>
      </c>
      <c r="N138" s="152" t="s">
        <v>650</v>
      </c>
      <c r="O138" s="151">
        <v>9</v>
      </c>
      <c r="P138" s="153" t="s">
        <v>286</v>
      </c>
      <c r="Q138" s="154" t="s">
        <v>651</v>
      </c>
      <c r="R138" s="155" t="s">
        <v>320</v>
      </c>
      <c r="S138" s="155" t="s">
        <v>1188</v>
      </c>
      <c r="T138" s="156">
        <v>1</v>
      </c>
      <c r="U138" s="151" t="s">
        <v>322</v>
      </c>
      <c r="V138" s="151" t="s">
        <v>70</v>
      </c>
      <c r="W138" s="151" t="s">
        <v>249</v>
      </c>
      <c r="X138" s="151" t="s">
        <v>130</v>
      </c>
      <c r="Y138" s="151" t="s">
        <v>291</v>
      </c>
      <c r="Z138" s="151">
        <v>16</v>
      </c>
      <c r="AA138" s="151" t="s">
        <v>130</v>
      </c>
      <c r="AB138" s="151" t="s">
        <v>249</v>
      </c>
      <c r="AC138" s="151">
        <v>18</v>
      </c>
      <c r="AD138" s="151" t="s">
        <v>1176</v>
      </c>
      <c r="AE138" s="182" t="s">
        <v>130</v>
      </c>
    </row>
    <row r="139" spans="1:31" ht="51">
      <c r="A139" s="66">
        <v>138</v>
      </c>
      <c r="B139" s="173" t="s">
        <v>276</v>
      </c>
      <c r="C139" s="67" t="s">
        <v>277</v>
      </c>
      <c r="D139" s="207" t="s">
        <v>1189</v>
      </c>
      <c r="E139" s="149" t="s">
        <v>1090</v>
      </c>
      <c r="F139" s="149" t="s">
        <v>1190</v>
      </c>
      <c r="G139" s="149" t="s">
        <v>1191</v>
      </c>
      <c r="H139" s="66">
        <v>4</v>
      </c>
      <c r="I139" s="149" t="s">
        <v>1192</v>
      </c>
      <c r="J139" s="150">
        <v>43423</v>
      </c>
      <c r="K139" s="150">
        <v>43403</v>
      </c>
      <c r="L139" s="151" t="s">
        <v>297</v>
      </c>
      <c r="M139" s="151" t="s">
        <v>1193</v>
      </c>
      <c r="N139" s="152" t="s">
        <v>641</v>
      </c>
      <c r="O139" s="151">
        <v>10</v>
      </c>
      <c r="P139" s="153" t="s">
        <v>1194</v>
      </c>
      <c r="Q139" s="154" t="s">
        <v>1195</v>
      </c>
      <c r="R139" s="155" t="s">
        <v>302</v>
      </c>
      <c r="S139" s="155" t="s">
        <v>1196</v>
      </c>
      <c r="T139" s="156">
        <v>1</v>
      </c>
      <c r="U139" s="151" t="s">
        <v>304</v>
      </c>
      <c r="V139" s="151" t="s">
        <v>70</v>
      </c>
      <c r="W139" s="151" t="s">
        <v>249</v>
      </c>
      <c r="X139" s="151" t="s">
        <v>130</v>
      </c>
      <c r="Y139" s="151" t="s">
        <v>291</v>
      </c>
      <c r="Z139" s="151">
        <v>9</v>
      </c>
      <c r="AA139" s="151" t="s">
        <v>130</v>
      </c>
      <c r="AB139" s="151" t="s">
        <v>249</v>
      </c>
      <c r="AC139" s="151">
        <v>7</v>
      </c>
      <c r="AD139" s="151">
        <v>11</v>
      </c>
      <c r="AE139" s="182" t="s">
        <v>130</v>
      </c>
    </row>
    <row r="140" spans="1:31" ht="51">
      <c r="A140" s="66">
        <v>139</v>
      </c>
      <c r="B140" s="173" t="s">
        <v>276</v>
      </c>
      <c r="C140" s="67" t="s">
        <v>277</v>
      </c>
      <c r="D140" s="207" t="s">
        <v>1197</v>
      </c>
      <c r="E140" s="149" t="s">
        <v>1090</v>
      </c>
      <c r="F140" s="149" t="s">
        <v>1198</v>
      </c>
      <c r="G140" s="149" t="s">
        <v>1199</v>
      </c>
      <c r="H140" s="66">
        <v>3</v>
      </c>
      <c r="I140" s="149" t="s">
        <v>1200</v>
      </c>
      <c r="J140" s="150">
        <v>43423</v>
      </c>
      <c r="K140" s="150">
        <v>43403</v>
      </c>
      <c r="L140" s="151" t="s">
        <v>283</v>
      </c>
      <c r="M140" s="151" t="s">
        <v>1201</v>
      </c>
      <c r="N140" s="152" t="s">
        <v>650</v>
      </c>
      <c r="O140" s="151">
        <v>9</v>
      </c>
      <c r="P140" s="153" t="s">
        <v>286</v>
      </c>
      <c r="Q140" s="154" t="s">
        <v>658</v>
      </c>
      <c r="R140" s="155" t="s">
        <v>288</v>
      </c>
      <c r="S140" s="155" t="s">
        <v>289</v>
      </c>
      <c r="T140" s="156">
        <v>1</v>
      </c>
      <c r="U140" s="151" t="s">
        <v>290</v>
      </c>
      <c r="V140" s="151" t="s">
        <v>70</v>
      </c>
      <c r="W140" s="151" t="s">
        <v>249</v>
      </c>
      <c r="X140" s="151" t="s">
        <v>130</v>
      </c>
      <c r="Y140" s="151" t="s">
        <v>291</v>
      </c>
      <c r="Z140" s="151">
        <v>22</v>
      </c>
      <c r="AA140" s="151" t="s">
        <v>130</v>
      </c>
      <c r="AB140" s="151" t="s">
        <v>249</v>
      </c>
      <c r="AC140" s="151">
        <v>0</v>
      </c>
      <c r="AD140" s="151">
        <v>14</v>
      </c>
      <c r="AE140" s="182" t="s">
        <v>130</v>
      </c>
    </row>
    <row r="141" spans="1:31" ht="51">
      <c r="A141" s="66">
        <v>140</v>
      </c>
      <c r="B141" s="173" t="s">
        <v>276</v>
      </c>
      <c r="C141" s="67" t="s">
        <v>277</v>
      </c>
      <c r="D141" s="207" t="s">
        <v>1202</v>
      </c>
      <c r="E141" s="149" t="s">
        <v>1090</v>
      </c>
      <c r="F141" s="149" t="s">
        <v>1203</v>
      </c>
      <c r="G141" s="149" t="s">
        <v>1204</v>
      </c>
      <c r="H141" s="66">
        <v>3</v>
      </c>
      <c r="I141" s="149" t="s">
        <v>1205</v>
      </c>
      <c r="J141" s="150">
        <v>43423</v>
      </c>
      <c r="K141" s="150">
        <v>43403</v>
      </c>
      <c r="L141" s="151" t="s">
        <v>283</v>
      </c>
      <c r="M141" s="151" t="s">
        <v>1206</v>
      </c>
      <c r="N141" s="152" t="s">
        <v>650</v>
      </c>
      <c r="O141" s="151">
        <v>9</v>
      </c>
      <c r="P141" s="153" t="s">
        <v>286</v>
      </c>
      <c r="Q141" s="154" t="s">
        <v>651</v>
      </c>
      <c r="R141" s="155" t="s">
        <v>320</v>
      </c>
      <c r="S141" s="155" t="s">
        <v>712</v>
      </c>
      <c r="T141" s="156">
        <v>1</v>
      </c>
      <c r="U141" s="151" t="s">
        <v>322</v>
      </c>
      <c r="V141" s="151" t="s">
        <v>70</v>
      </c>
      <c r="W141" s="151" t="s">
        <v>249</v>
      </c>
      <c r="X141" s="151" t="s">
        <v>130</v>
      </c>
      <c r="Y141" s="151" t="s">
        <v>291</v>
      </c>
      <c r="Z141" s="151">
        <v>16</v>
      </c>
      <c r="AA141" s="151" t="s">
        <v>130</v>
      </c>
      <c r="AB141" s="151" t="s">
        <v>249</v>
      </c>
      <c r="AC141" s="151">
        <v>14</v>
      </c>
      <c r="AD141" s="151">
        <v>14</v>
      </c>
      <c r="AE141" s="182" t="s">
        <v>130</v>
      </c>
    </row>
    <row r="142" spans="1:31" ht="51">
      <c r="A142" s="66">
        <v>141</v>
      </c>
      <c r="B142" s="173" t="s">
        <v>276</v>
      </c>
      <c r="C142" s="67" t="s">
        <v>277</v>
      </c>
      <c r="D142" s="207" t="s">
        <v>1207</v>
      </c>
      <c r="E142" s="149" t="s">
        <v>1208</v>
      </c>
      <c r="F142" s="149" t="s">
        <v>1209</v>
      </c>
      <c r="G142" s="149" t="s">
        <v>1210</v>
      </c>
      <c r="H142" s="66">
        <v>4</v>
      </c>
      <c r="I142" s="149" t="s">
        <v>1211</v>
      </c>
      <c r="J142" s="150">
        <v>43423</v>
      </c>
      <c r="K142" s="150">
        <v>43421</v>
      </c>
      <c r="L142" s="151" t="s">
        <v>297</v>
      </c>
      <c r="M142" s="151" t="s">
        <v>1212</v>
      </c>
      <c r="N142" s="152" t="s">
        <v>1059</v>
      </c>
      <c r="O142" s="151">
        <v>10</v>
      </c>
      <c r="P142" s="153" t="s">
        <v>1081</v>
      </c>
      <c r="Q142" s="154" t="s">
        <v>1213</v>
      </c>
      <c r="R142" s="155" t="s">
        <v>302</v>
      </c>
      <c r="S142" s="155" t="s">
        <v>480</v>
      </c>
      <c r="T142" s="156">
        <v>1</v>
      </c>
      <c r="U142" s="151" t="s">
        <v>1214</v>
      </c>
      <c r="V142" s="151" t="s">
        <v>70</v>
      </c>
      <c r="W142" s="151" t="s">
        <v>291</v>
      </c>
      <c r="X142" s="151">
        <v>36</v>
      </c>
      <c r="Y142" s="151" t="s">
        <v>291</v>
      </c>
      <c r="Z142" s="151">
        <v>25</v>
      </c>
      <c r="AA142" s="151" t="s">
        <v>130</v>
      </c>
      <c r="AB142" s="151" t="s">
        <v>249</v>
      </c>
      <c r="AC142" s="151">
        <v>36</v>
      </c>
      <c r="AD142" s="151">
        <v>11</v>
      </c>
      <c r="AE142" s="182" t="s">
        <v>1215</v>
      </c>
    </row>
    <row r="143" spans="1:31" ht="51">
      <c r="A143" s="66">
        <v>142</v>
      </c>
      <c r="B143" s="173" t="s">
        <v>276</v>
      </c>
      <c r="C143" s="67" t="s">
        <v>277</v>
      </c>
      <c r="D143" s="207" t="s">
        <v>1216</v>
      </c>
      <c r="E143" s="149" t="s">
        <v>1208</v>
      </c>
      <c r="F143" s="149" t="s">
        <v>1217</v>
      </c>
      <c r="G143" s="149" t="s">
        <v>1218</v>
      </c>
      <c r="H143" s="66">
        <v>3</v>
      </c>
      <c r="I143" s="149" t="s">
        <v>1219</v>
      </c>
      <c r="J143" s="150">
        <v>43423</v>
      </c>
      <c r="K143" s="150">
        <v>43421</v>
      </c>
      <c r="L143" s="151" t="s">
        <v>283</v>
      </c>
      <c r="M143" s="151" t="s">
        <v>1220</v>
      </c>
      <c r="N143" s="152" t="s">
        <v>437</v>
      </c>
      <c r="O143" s="151">
        <v>10</v>
      </c>
      <c r="P143" s="153" t="s">
        <v>1221</v>
      </c>
      <c r="Q143" s="154" t="s">
        <v>1222</v>
      </c>
      <c r="R143" s="155" t="s">
        <v>288</v>
      </c>
      <c r="S143" s="155" t="s">
        <v>1223</v>
      </c>
      <c r="T143" s="156">
        <v>1</v>
      </c>
      <c r="U143" s="151" t="s">
        <v>1224</v>
      </c>
      <c r="V143" s="151" t="s">
        <v>70</v>
      </c>
      <c r="W143" s="151" t="s">
        <v>291</v>
      </c>
      <c r="X143" s="151">
        <v>35</v>
      </c>
      <c r="Y143" s="151" t="s">
        <v>291</v>
      </c>
      <c r="Z143" s="151">
        <v>24</v>
      </c>
      <c r="AA143" s="151" t="s">
        <v>130</v>
      </c>
      <c r="AB143" s="151" t="s">
        <v>249</v>
      </c>
      <c r="AC143" s="151">
        <v>35</v>
      </c>
      <c r="AD143" s="151">
        <v>11</v>
      </c>
      <c r="AE143" s="182" t="s">
        <v>130</v>
      </c>
    </row>
    <row r="144" spans="1:31" ht="63.75">
      <c r="A144" s="66">
        <v>143</v>
      </c>
      <c r="B144" s="173" t="s">
        <v>276</v>
      </c>
      <c r="C144" s="67" t="s">
        <v>277</v>
      </c>
      <c r="D144" s="207" t="s">
        <v>1225</v>
      </c>
      <c r="E144" s="149" t="s">
        <v>1208</v>
      </c>
      <c r="F144" s="149" t="s">
        <v>1226</v>
      </c>
      <c r="G144" s="149" t="s">
        <v>1227</v>
      </c>
      <c r="H144" s="66">
        <v>4</v>
      </c>
      <c r="I144" s="149" t="s">
        <v>1228</v>
      </c>
      <c r="J144" s="150">
        <v>43423</v>
      </c>
      <c r="K144" s="150">
        <v>43421</v>
      </c>
      <c r="L144" s="151" t="s">
        <v>297</v>
      </c>
      <c r="M144" s="151" t="s">
        <v>1229</v>
      </c>
      <c r="N144" s="152" t="s">
        <v>447</v>
      </c>
      <c r="O144" s="151">
        <v>12</v>
      </c>
      <c r="P144" s="153" t="s">
        <v>409</v>
      </c>
      <c r="Q144" s="154" t="s">
        <v>449</v>
      </c>
      <c r="R144" s="155" t="s">
        <v>302</v>
      </c>
      <c r="S144" s="155" t="s">
        <v>1230</v>
      </c>
      <c r="T144" s="156">
        <v>1</v>
      </c>
      <c r="U144" s="151" t="s">
        <v>451</v>
      </c>
      <c r="V144" s="151" t="s">
        <v>70</v>
      </c>
      <c r="W144" s="151" t="s">
        <v>249</v>
      </c>
      <c r="X144" s="151" t="s">
        <v>130</v>
      </c>
      <c r="Y144" s="151" t="s">
        <v>291</v>
      </c>
      <c r="Z144" s="151">
        <v>25</v>
      </c>
      <c r="AA144" s="151" t="s">
        <v>130</v>
      </c>
      <c r="AB144" s="151" t="s">
        <v>249</v>
      </c>
      <c r="AC144" s="151">
        <v>36</v>
      </c>
      <c r="AD144" s="151" t="s">
        <v>1231</v>
      </c>
      <c r="AE144" s="182" t="s">
        <v>130</v>
      </c>
    </row>
    <row r="145" spans="1:31" ht="51">
      <c r="A145" s="66">
        <v>144</v>
      </c>
      <c r="B145" s="173" t="s">
        <v>276</v>
      </c>
      <c r="C145" s="67" t="s">
        <v>277</v>
      </c>
      <c r="D145" s="207" t="s">
        <v>1232</v>
      </c>
      <c r="E145" s="149" t="s">
        <v>1208</v>
      </c>
      <c r="F145" s="149" t="s">
        <v>1233</v>
      </c>
      <c r="G145" s="149" t="s">
        <v>1234</v>
      </c>
      <c r="H145" s="66">
        <v>3</v>
      </c>
      <c r="I145" s="149" t="s">
        <v>1235</v>
      </c>
      <c r="J145" s="150">
        <v>43423</v>
      </c>
      <c r="K145" s="150">
        <v>43421</v>
      </c>
      <c r="L145" s="151" t="s">
        <v>283</v>
      </c>
      <c r="M145" s="151" t="s">
        <v>1236</v>
      </c>
      <c r="N145" s="152" t="s">
        <v>437</v>
      </c>
      <c r="O145" s="151">
        <v>10</v>
      </c>
      <c r="P145" s="153" t="s">
        <v>1221</v>
      </c>
      <c r="Q145" s="154" t="s">
        <v>1222</v>
      </c>
      <c r="R145" s="155" t="s">
        <v>288</v>
      </c>
      <c r="S145" s="155" t="s">
        <v>1237</v>
      </c>
      <c r="T145" s="156">
        <v>1</v>
      </c>
      <c r="U145" s="151" t="s">
        <v>1224</v>
      </c>
      <c r="V145" s="151" t="s">
        <v>70</v>
      </c>
      <c r="W145" s="151" t="s">
        <v>249</v>
      </c>
      <c r="X145" s="151" t="s">
        <v>130</v>
      </c>
      <c r="Y145" s="151" t="s">
        <v>291</v>
      </c>
      <c r="Z145" s="151">
        <v>21</v>
      </c>
      <c r="AA145" s="151" t="s">
        <v>130</v>
      </c>
      <c r="AB145" s="151" t="s">
        <v>249</v>
      </c>
      <c r="AC145" s="151">
        <v>32</v>
      </c>
      <c r="AD145" s="151">
        <v>11</v>
      </c>
      <c r="AE145" s="182" t="s">
        <v>130</v>
      </c>
    </row>
    <row r="146" spans="1:31" ht="51">
      <c r="A146" s="66">
        <v>145</v>
      </c>
      <c r="B146" s="173" t="s">
        <v>276</v>
      </c>
      <c r="C146" s="67" t="s">
        <v>277</v>
      </c>
      <c r="D146" s="207" t="s">
        <v>1238</v>
      </c>
      <c r="E146" s="149" t="s">
        <v>1239</v>
      </c>
      <c r="F146" s="149" t="s">
        <v>1240</v>
      </c>
      <c r="G146" s="149" t="s">
        <v>1241</v>
      </c>
      <c r="H146" s="66">
        <v>3</v>
      </c>
      <c r="I146" s="149" t="s">
        <v>1242</v>
      </c>
      <c r="J146" s="150">
        <v>43423</v>
      </c>
      <c r="K146" s="150">
        <v>43405</v>
      </c>
      <c r="L146" s="151" t="s">
        <v>283</v>
      </c>
      <c r="M146" s="151" t="s">
        <v>1243</v>
      </c>
      <c r="N146" s="152" t="s">
        <v>650</v>
      </c>
      <c r="O146" s="151">
        <v>9</v>
      </c>
      <c r="P146" s="153" t="s">
        <v>286</v>
      </c>
      <c r="Q146" s="154" t="s">
        <v>651</v>
      </c>
      <c r="R146" s="155" t="s">
        <v>320</v>
      </c>
      <c r="S146" s="155" t="s">
        <v>1244</v>
      </c>
      <c r="T146" s="156">
        <v>1</v>
      </c>
      <c r="U146" s="151" t="s">
        <v>322</v>
      </c>
      <c r="V146" s="151" t="s">
        <v>70</v>
      </c>
      <c r="W146" s="151" t="s">
        <v>249</v>
      </c>
      <c r="X146" s="151" t="s">
        <v>130</v>
      </c>
      <c r="Y146" s="151" t="s">
        <v>291</v>
      </c>
      <c r="Z146" s="151">
        <v>20</v>
      </c>
      <c r="AA146" s="151" t="s">
        <v>130</v>
      </c>
      <c r="AB146" s="151" t="s">
        <v>249</v>
      </c>
      <c r="AC146" s="151">
        <v>0</v>
      </c>
      <c r="AD146" s="151">
        <v>11</v>
      </c>
      <c r="AE146" s="182" t="s">
        <v>130</v>
      </c>
    </row>
    <row r="147" spans="1:31" ht="51">
      <c r="A147" s="66">
        <v>146</v>
      </c>
      <c r="B147" s="173" t="s">
        <v>276</v>
      </c>
      <c r="C147" s="67" t="s">
        <v>277</v>
      </c>
      <c r="D147" s="207" t="s">
        <v>1245</v>
      </c>
      <c r="E147" s="149" t="s">
        <v>1239</v>
      </c>
      <c r="F147" s="149" t="s">
        <v>1246</v>
      </c>
      <c r="G147" s="149" t="s">
        <v>1247</v>
      </c>
      <c r="H147" s="66">
        <v>3</v>
      </c>
      <c r="I147" s="149" t="s">
        <v>1248</v>
      </c>
      <c r="J147" s="150">
        <v>43423</v>
      </c>
      <c r="K147" s="150">
        <v>43405</v>
      </c>
      <c r="L147" s="151" t="s">
        <v>283</v>
      </c>
      <c r="M147" s="151" t="s">
        <v>1249</v>
      </c>
      <c r="N147" s="152" t="s">
        <v>650</v>
      </c>
      <c r="O147" s="151">
        <v>9</v>
      </c>
      <c r="P147" s="153" t="s">
        <v>1250</v>
      </c>
      <c r="Q147" s="154" t="s">
        <v>658</v>
      </c>
      <c r="R147" s="155" t="s">
        <v>288</v>
      </c>
      <c r="S147" s="155" t="s">
        <v>1251</v>
      </c>
      <c r="T147" s="156">
        <v>1</v>
      </c>
      <c r="U147" s="151" t="s">
        <v>290</v>
      </c>
      <c r="V147" s="151" t="s">
        <v>70</v>
      </c>
      <c r="W147" s="151" t="s">
        <v>291</v>
      </c>
      <c r="X147" s="151">
        <v>35</v>
      </c>
      <c r="Y147" s="151" t="s">
        <v>291</v>
      </c>
      <c r="Z147" s="151">
        <v>28</v>
      </c>
      <c r="AA147" s="151" t="s">
        <v>130</v>
      </c>
      <c r="AB147" s="151" t="s">
        <v>249</v>
      </c>
      <c r="AC147" s="151">
        <v>0</v>
      </c>
      <c r="AD147" s="151">
        <v>7</v>
      </c>
      <c r="AE147" s="182" t="s">
        <v>130</v>
      </c>
    </row>
    <row r="148" spans="1:31" ht="51">
      <c r="A148" s="66">
        <v>147</v>
      </c>
      <c r="B148" s="173" t="s">
        <v>276</v>
      </c>
      <c r="C148" s="67" t="s">
        <v>277</v>
      </c>
      <c r="D148" s="207" t="s">
        <v>1252</v>
      </c>
      <c r="E148" s="149" t="s">
        <v>1239</v>
      </c>
      <c r="F148" s="149" t="s">
        <v>1253</v>
      </c>
      <c r="G148" s="149" t="s">
        <v>1254</v>
      </c>
      <c r="H148" s="66">
        <v>3</v>
      </c>
      <c r="I148" s="149" t="s">
        <v>1255</v>
      </c>
      <c r="J148" s="150">
        <v>43423</v>
      </c>
      <c r="K148" s="150">
        <v>43405</v>
      </c>
      <c r="L148" s="151" t="s">
        <v>283</v>
      </c>
      <c r="M148" s="151" t="s">
        <v>1256</v>
      </c>
      <c r="N148" s="152" t="s">
        <v>650</v>
      </c>
      <c r="O148" s="151">
        <v>9</v>
      </c>
      <c r="P148" s="153" t="s">
        <v>286</v>
      </c>
      <c r="Q148" s="154" t="s">
        <v>651</v>
      </c>
      <c r="R148" s="155" t="s">
        <v>320</v>
      </c>
      <c r="S148" s="155" t="s">
        <v>1251</v>
      </c>
      <c r="T148" s="156">
        <v>1</v>
      </c>
      <c r="U148" s="151" t="s">
        <v>322</v>
      </c>
      <c r="V148" s="151" t="s">
        <v>70</v>
      </c>
      <c r="W148" s="151" t="s">
        <v>291</v>
      </c>
      <c r="X148" s="151">
        <v>35</v>
      </c>
      <c r="Y148" s="151" t="s">
        <v>291</v>
      </c>
      <c r="Z148" s="151">
        <v>28</v>
      </c>
      <c r="AA148" s="151" t="s">
        <v>130</v>
      </c>
      <c r="AB148" s="151" t="s">
        <v>249</v>
      </c>
      <c r="AC148" s="151">
        <v>0</v>
      </c>
      <c r="AD148" s="151">
        <v>7</v>
      </c>
      <c r="AE148" s="182" t="s">
        <v>130</v>
      </c>
    </row>
    <row r="149" spans="1:31" ht="51">
      <c r="A149" s="66">
        <v>148</v>
      </c>
      <c r="B149" s="173" t="s">
        <v>276</v>
      </c>
      <c r="C149" s="67" t="s">
        <v>277</v>
      </c>
      <c r="D149" s="207" t="s">
        <v>1257</v>
      </c>
      <c r="E149" s="149" t="s">
        <v>1239</v>
      </c>
      <c r="F149" s="149" t="s">
        <v>1258</v>
      </c>
      <c r="G149" s="149" t="s">
        <v>1259</v>
      </c>
      <c r="H149" s="66">
        <v>3</v>
      </c>
      <c r="I149" s="149" t="s">
        <v>1260</v>
      </c>
      <c r="J149" s="150">
        <v>43423</v>
      </c>
      <c r="K149" s="150">
        <v>43405</v>
      </c>
      <c r="L149" s="151" t="s">
        <v>283</v>
      </c>
      <c r="M149" s="151" t="s">
        <v>1261</v>
      </c>
      <c r="N149" s="152" t="s">
        <v>650</v>
      </c>
      <c r="O149" s="151">
        <v>9</v>
      </c>
      <c r="P149" s="153" t="s">
        <v>286</v>
      </c>
      <c r="Q149" s="154" t="s">
        <v>658</v>
      </c>
      <c r="R149" s="155" t="s">
        <v>288</v>
      </c>
      <c r="S149" s="155" t="s">
        <v>440</v>
      </c>
      <c r="T149" s="156">
        <v>1</v>
      </c>
      <c r="U149" s="151" t="s">
        <v>290</v>
      </c>
      <c r="V149" s="151" t="s">
        <v>70</v>
      </c>
      <c r="W149" s="151" t="s">
        <v>249</v>
      </c>
      <c r="X149" s="151" t="s">
        <v>130</v>
      </c>
      <c r="Y149" s="151" t="s">
        <v>291</v>
      </c>
      <c r="Z149" s="151">
        <v>25</v>
      </c>
      <c r="AA149" s="151" t="s">
        <v>130</v>
      </c>
      <c r="AB149" s="151" t="s">
        <v>249</v>
      </c>
      <c r="AC149" s="151">
        <v>0</v>
      </c>
      <c r="AD149" s="151">
        <v>11</v>
      </c>
      <c r="AE149" s="182" t="s">
        <v>130</v>
      </c>
    </row>
    <row r="150" spans="1:31" ht="51">
      <c r="A150" s="66">
        <v>149</v>
      </c>
      <c r="B150" s="173" t="s">
        <v>276</v>
      </c>
      <c r="C150" s="67" t="s">
        <v>277</v>
      </c>
      <c r="D150" s="207" t="s">
        <v>1262</v>
      </c>
      <c r="E150" s="149" t="s">
        <v>1239</v>
      </c>
      <c r="F150" s="149" t="s">
        <v>1263</v>
      </c>
      <c r="G150" s="149" t="s">
        <v>1264</v>
      </c>
      <c r="H150" s="66">
        <v>3</v>
      </c>
      <c r="I150" s="149" t="s">
        <v>1265</v>
      </c>
      <c r="J150" s="150">
        <v>43423</v>
      </c>
      <c r="K150" s="150">
        <v>43405</v>
      </c>
      <c r="L150" s="151" t="s">
        <v>283</v>
      </c>
      <c r="M150" s="151" t="s">
        <v>1266</v>
      </c>
      <c r="N150" s="152" t="s">
        <v>650</v>
      </c>
      <c r="O150" s="151">
        <v>9</v>
      </c>
      <c r="P150" s="153" t="s">
        <v>286</v>
      </c>
      <c r="Q150" s="154" t="s">
        <v>651</v>
      </c>
      <c r="R150" s="155" t="s">
        <v>320</v>
      </c>
      <c r="S150" s="155" t="s">
        <v>1267</v>
      </c>
      <c r="T150" s="156">
        <v>1</v>
      </c>
      <c r="U150" s="151" t="s">
        <v>322</v>
      </c>
      <c r="V150" s="151" t="s">
        <v>70</v>
      </c>
      <c r="W150" s="151" t="s">
        <v>249</v>
      </c>
      <c r="X150" s="151" t="s">
        <v>130</v>
      </c>
      <c r="Y150" s="151" t="s">
        <v>291</v>
      </c>
      <c r="Z150" s="151">
        <v>31</v>
      </c>
      <c r="AA150" s="151" t="s">
        <v>130</v>
      </c>
      <c r="AB150" s="151" t="s">
        <v>249</v>
      </c>
      <c r="AC150" s="151">
        <v>4</v>
      </c>
      <c r="AD150" s="151">
        <v>7</v>
      </c>
      <c r="AE150" s="182" t="s">
        <v>130</v>
      </c>
    </row>
    <row r="151" spans="1:31" ht="38.25">
      <c r="A151" s="66">
        <v>150</v>
      </c>
      <c r="B151" s="173" t="s">
        <v>276</v>
      </c>
      <c r="C151" s="67" t="s">
        <v>277</v>
      </c>
      <c r="D151" s="207" t="s">
        <v>1268</v>
      </c>
      <c r="E151" s="149" t="s">
        <v>1269</v>
      </c>
      <c r="F151" s="149" t="s">
        <v>1270</v>
      </c>
      <c r="G151" s="149" t="s">
        <v>1271</v>
      </c>
      <c r="H151" s="66">
        <v>2</v>
      </c>
      <c r="I151" s="149" t="s">
        <v>1272</v>
      </c>
      <c r="J151" s="150">
        <v>43423</v>
      </c>
      <c r="K151" s="150">
        <v>43395</v>
      </c>
      <c r="L151" s="151" t="s">
        <v>752</v>
      </c>
      <c r="M151" s="151" t="s">
        <v>1273</v>
      </c>
      <c r="N151" s="152" t="s">
        <v>1274</v>
      </c>
      <c r="O151" s="151">
        <v>6</v>
      </c>
      <c r="P151" s="153" t="s">
        <v>755</v>
      </c>
      <c r="Q151" s="154" t="s">
        <v>1275</v>
      </c>
      <c r="R151" s="155" t="s">
        <v>757</v>
      </c>
      <c r="S151" s="155" t="s">
        <v>1276</v>
      </c>
      <c r="T151" s="156">
        <v>1</v>
      </c>
      <c r="U151" s="151" t="s">
        <v>1277</v>
      </c>
      <c r="V151" s="151" t="s">
        <v>70</v>
      </c>
      <c r="W151" s="151" t="s">
        <v>249</v>
      </c>
      <c r="X151" s="151" t="s">
        <v>130</v>
      </c>
      <c r="Y151" s="151" t="s">
        <v>291</v>
      </c>
      <c r="Z151" s="151">
        <v>10</v>
      </c>
      <c r="AA151" s="151" t="s">
        <v>130</v>
      </c>
      <c r="AB151" s="151" t="s">
        <v>249</v>
      </c>
      <c r="AC151" s="151">
        <v>15</v>
      </c>
      <c r="AD151" s="151">
        <v>15</v>
      </c>
      <c r="AE151" s="182" t="s">
        <v>130</v>
      </c>
    </row>
    <row r="152" spans="1:31" ht="51">
      <c r="A152" s="66">
        <v>151</v>
      </c>
      <c r="B152" s="173" t="s">
        <v>276</v>
      </c>
      <c r="C152" s="67" t="s">
        <v>277</v>
      </c>
      <c r="D152" s="207" t="s">
        <v>1278</v>
      </c>
      <c r="E152" s="149" t="s">
        <v>1269</v>
      </c>
      <c r="F152" s="149" t="s">
        <v>1279</v>
      </c>
      <c r="G152" s="149" t="s">
        <v>1280</v>
      </c>
      <c r="H152" s="66">
        <v>3</v>
      </c>
      <c r="I152" s="149" t="s">
        <v>1281</v>
      </c>
      <c r="J152" s="150">
        <v>43423</v>
      </c>
      <c r="K152" s="150">
        <v>43395</v>
      </c>
      <c r="L152" s="151" t="s">
        <v>283</v>
      </c>
      <c r="M152" s="151" t="s">
        <v>1282</v>
      </c>
      <c r="N152" s="152" t="s">
        <v>1283</v>
      </c>
      <c r="O152" s="151">
        <v>9</v>
      </c>
      <c r="P152" s="153" t="s">
        <v>330</v>
      </c>
      <c r="Q152" s="154" t="s">
        <v>1284</v>
      </c>
      <c r="R152" s="155" t="s">
        <v>288</v>
      </c>
      <c r="S152" s="155" t="s">
        <v>1285</v>
      </c>
      <c r="T152" s="156">
        <v>1</v>
      </c>
      <c r="U152" s="151" t="s">
        <v>290</v>
      </c>
      <c r="V152" s="151" t="s">
        <v>70</v>
      </c>
      <c r="W152" s="151" t="s">
        <v>291</v>
      </c>
      <c r="X152" s="151">
        <v>36</v>
      </c>
      <c r="Y152" s="151" t="s">
        <v>291</v>
      </c>
      <c r="Z152" s="151">
        <v>32</v>
      </c>
      <c r="AA152" s="151" t="s">
        <v>130</v>
      </c>
      <c r="AB152" s="151" t="s">
        <v>249</v>
      </c>
      <c r="AC152" s="151">
        <v>0</v>
      </c>
      <c r="AD152" s="151">
        <v>4</v>
      </c>
      <c r="AE152" s="182" t="s">
        <v>130</v>
      </c>
    </row>
    <row r="153" spans="1:31" ht="51">
      <c r="A153" s="66">
        <v>152</v>
      </c>
      <c r="B153" s="173" t="s">
        <v>276</v>
      </c>
      <c r="C153" s="67" t="s">
        <v>277</v>
      </c>
      <c r="D153" s="207" t="s">
        <v>1286</v>
      </c>
      <c r="E153" s="149" t="s">
        <v>1269</v>
      </c>
      <c r="F153" s="149" t="s">
        <v>1287</v>
      </c>
      <c r="G153" s="149" t="s">
        <v>1288</v>
      </c>
      <c r="H153" s="66">
        <v>3</v>
      </c>
      <c r="I153" s="149" t="s">
        <v>1289</v>
      </c>
      <c r="J153" s="150">
        <v>43423</v>
      </c>
      <c r="K153" s="150">
        <v>43395</v>
      </c>
      <c r="L153" s="151" t="s">
        <v>283</v>
      </c>
      <c r="M153" s="151" t="s">
        <v>1290</v>
      </c>
      <c r="N153" s="152" t="s">
        <v>1283</v>
      </c>
      <c r="O153" s="151">
        <v>9</v>
      </c>
      <c r="P153" s="153" t="s">
        <v>286</v>
      </c>
      <c r="Q153" s="154" t="s">
        <v>1284</v>
      </c>
      <c r="R153" s="155" t="s">
        <v>288</v>
      </c>
      <c r="S153" s="155" t="s">
        <v>1291</v>
      </c>
      <c r="T153" s="156">
        <v>1</v>
      </c>
      <c r="U153" s="151" t="s">
        <v>290</v>
      </c>
      <c r="V153" s="151" t="s">
        <v>70</v>
      </c>
      <c r="W153" s="151" t="s">
        <v>249</v>
      </c>
      <c r="X153" s="151" t="s">
        <v>130</v>
      </c>
      <c r="Y153" s="151" t="s">
        <v>291</v>
      </c>
      <c r="Z153" s="151">
        <v>8</v>
      </c>
      <c r="AA153" s="151" t="s">
        <v>130</v>
      </c>
      <c r="AB153" s="151" t="s">
        <v>249</v>
      </c>
      <c r="AC153" s="151">
        <v>22</v>
      </c>
      <c r="AD153" s="151">
        <v>22</v>
      </c>
      <c r="AE153" s="182" t="s">
        <v>130</v>
      </c>
    </row>
    <row r="154" spans="1:31" ht="38.25">
      <c r="A154" s="66">
        <v>153</v>
      </c>
      <c r="B154" s="173" t="s">
        <v>276</v>
      </c>
      <c r="C154" s="67" t="s">
        <v>277</v>
      </c>
      <c r="D154" s="207" t="s">
        <v>1292</v>
      </c>
      <c r="E154" s="149" t="s">
        <v>1269</v>
      </c>
      <c r="F154" s="149" t="s">
        <v>1293</v>
      </c>
      <c r="G154" s="149" t="s">
        <v>1294</v>
      </c>
      <c r="H154" s="66">
        <v>2</v>
      </c>
      <c r="I154" s="149" t="s">
        <v>1295</v>
      </c>
      <c r="J154" s="150">
        <v>43423</v>
      </c>
      <c r="K154" s="150">
        <v>43395</v>
      </c>
      <c r="L154" s="151" t="s">
        <v>752</v>
      </c>
      <c r="M154" s="151" t="s">
        <v>1296</v>
      </c>
      <c r="N154" s="152" t="s">
        <v>1297</v>
      </c>
      <c r="O154" s="151">
        <v>6</v>
      </c>
      <c r="P154" s="153" t="s">
        <v>1298</v>
      </c>
      <c r="Q154" s="154" t="s">
        <v>1299</v>
      </c>
      <c r="R154" s="155" t="s">
        <v>1300</v>
      </c>
      <c r="S154" s="155" t="s">
        <v>1301</v>
      </c>
      <c r="T154" s="156">
        <v>1</v>
      </c>
      <c r="U154" s="151" t="s">
        <v>1302</v>
      </c>
      <c r="V154" s="151" t="s">
        <v>70</v>
      </c>
      <c r="W154" s="151" t="s">
        <v>291</v>
      </c>
      <c r="X154" s="151">
        <v>37</v>
      </c>
      <c r="Y154" s="151" t="s">
        <v>291</v>
      </c>
      <c r="Z154" s="151">
        <v>33</v>
      </c>
      <c r="AA154" s="151" t="s">
        <v>130</v>
      </c>
      <c r="AB154" s="151" t="s">
        <v>249</v>
      </c>
      <c r="AC154" s="151">
        <v>0</v>
      </c>
      <c r="AD154" s="151">
        <v>4</v>
      </c>
      <c r="AE154" s="182" t="s">
        <v>130</v>
      </c>
    </row>
    <row r="155" spans="1:31" ht="51">
      <c r="A155" s="66">
        <v>154</v>
      </c>
      <c r="B155" s="173" t="s">
        <v>276</v>
      </c>
      <c r="C155" s="67" t="s">
        <v>277</v>
      </c>
      <c r="D155" s="207" t="s">
        <v>1303</v>
      </c>
      <c r="E155" s="149" t="s">
        <v>1269</v>
      </c>
      <c r="F155" s="149" t="s">
        <v>1304</v>
      </c>
      <c r="G155" s="149" t="s">
        <v>1305</v>
      </c>
      <c r="H155" s="66">
        <v>3</v>
      </c>
      <c r="I155" s="149" t="s">
        <v>1306</v>
      </c>
      <c r="J155" s="150">
        <v>43423</v>
      </c>
      <c r="K155" s="150">
        <v>43395</v>
      </c>
      <c r="L155" s="151" t="s">
        <v>283</v>
      </c>
      <c r="M155" s="151" t="s">
        <v>1307</v>
      </c>
      <c r="N155" s="152" t="s">
        <v>1308</v>
      </c>
      <c r="O155" s="151">
        <v>9</v>
      </c>
      <c r="P155" s="153" t="s">
        <v>330</v>
      </c>
      <c r="Q155" s="154" t="s">
        <v>1309</v>
      </c>
      <c r="R155" s="155" t="s">
        <v>288</v>
      </c>
      <c r="S155" s="155" t="s">
        <v>1310</v>
      </c>
      <c r="T155" s="156">
        <v>1</v>
      </c>
      <c r="U155" s="151" t="s">
        <v>290</v>
      </c>
      <c r="V155" s="151" t="s">
        <v>70</v>
      </c>
      <c r="W155" s="151" t="s">
        <v>291</v>
      </c>
      <c r="X155" s="151">
        <v>37</v>
      </c>
      <c r="Y155" s="151" t="s">
        <v>291</v>
      </c>
      <c r="Z155" s="151">
        <v>30</v>
      </c>
      <c r="AA155" s="151" t="s">
        <v>130</v>
      </c>
      <c r="AB155" s="151" t="s">
        <v>249</v>
      </c>
      <c r="AC155" s="151">
        <v>0</v>
      </c>
      <c r="AD155" s="151">
        <v>7</v>
      </c>
      <c r="AE155" s="182" t="s">
        <v>130</v>
      </c>
    </row>
    <row r="156" spans="1:31" ht="51">
      <c r="A156" s="66">
        <v>155</v>
      </c>
      <c r="B156" s="173" t="s">
        <v>276</v>
      </c>
      <c r="C156" s="67" t="s">
        <v>277</v>
      </c>
      <c r="D156" s="207" t="s">
        <v>1311</v>
      </c>
      <c r="E156" s="149" t="s">
        <v>1269</v>
      </c>
      <c r="F156" s="149" t="s">
        <v>1312</v>
      </c>
      <c r="G156" s="149" t="s">
        <v>1313</v>
      </c>
      <c r="H156" s="66">
        <v>3</v>
      </c>
      <c r="I156" s="149" t="s">
        <v>1314</v>
      </c>
      <c r="J156" s="150">
        <v>43423</v>
      </c>
      <c r="K156" s="150">
        <v>43395</v>
      </c>
      <c r="L156" s="151" t="s">
        <v>283</v>
      </c>
      <c r="M156" s="151" t="s">
        <v>1315</v>
      </c>
      <c r="N156" s="152" t="s">
        <v>1308</v>
      </c>
      <c r="O156" s="151">
        <v>9</v>
      </c>
      <c r="P156" s="153" t="s">
        <v>330</v>
      </c>
      <c r="Q156" s="154" t="s">
        <v>1309</v>
      </c>
      <c r="R156" s="155" t="s">
        <v>288</v>
      </c>
      <c r="S156" s="155" t="s">
        <v>1316</v>
      </c>
      <c r="T156" s="156">
        <v>1</v>
      </c>
      <c r="U156" s="151" t="s">
        <v>290</v>
      </c>
      <c r="V156" s="151" t="s">
        <v>70</v>
      </c>
      <c r="W156" s="151" t="s">
        <v>291</v>
      </c>
      <c r="X156" s="151">
        <v>37</v>
      </c>
      <c r="Y156" s="151" t="s">
        <v>291</v>
      </c>
      <c r="Z156" s="151">
        <v>30</v>
      </c>
      <c r="AA156" s="151" t="s">
        <v>130</v>
      </c>
      <c r="AB156" s="151" t="s">
        <v>249</v>
      </c>
      <c r="AC156" s="151">
        <v>0</v>
      </c>
      <c r="AD156" s="151">
        <v>7</v>
      </c>
      <c r="AE156" s="182" t="s">
        <v>130</v>
      </c>
    </row>
    <row r="157" spans="1:31" ht="38.25">
      <c r="A157" s="66">
        <v>156</v>
      </c>
      <c r="B157" s="173" t="s">
        <v>276</v>
      </c>
      <c r="C157" s="67" t="s">
        <v>277</v>
      </c>
      <c r="D157" s="207" t="s">
        <v>1317</v>
      </c>
      <c r="E157" s="149" t="s">
        <v>1269</v>
      </c>
      <c r="F157" s="149" t="s">
        <v>1318</v>
      </c>
      <c r="G157" s="149" t="s">
        <v>1319</v>
      </c>
      <c r="H157" s="66">
        <v>2</v>
      </c>
      <c r="I157" s="149" t="s">
        <v>1320</v>
      </c>
      <c r="J157" s="150">
        <v>43423</v>
      </c>
      <c r="K157" s="150">
        <v>43396</v>
      </c>
      <c r="L157" s="151" t="s">
        <v>752</v>
      </c>
      <c r="M157" s="151" t="s">
        <v>1321</v>
      </c>
      <c r="N157" s="152" t="s">
        <v>1274</v>
      </c>
      <c r="O157" s="151">
        <v>6</v>
      </c>
      <c r="P157" s="153" t="s">
        <v>755</v>
      </c>
      <c r="Q157" s="154" t="s">
        <v>1275</v>
      </c>
      <c r="R157" s="155" t="s">
        <v>757</v>
      </c>
      <c r="S157" s="155" t="s">
        <v>1322</v>
      </c>
      <c r="T157" s="156">
        <v>1</v>
      </c>
      <c r="U157" s="151" t="s">
        <v>1277</v>
      </c>
      <c r="V157" s="151" t="s">
        <v>70</v>
      </c>
      <c r="W157" s="151" t="s">
        <v>249</v>
      </c>
      <c r="X157" s="151" t="s">
        <v>130</v>
      </c>
      <c r="Y157" s="151" t="s">
        <v>291</v>
      </c>
      <c r="Z157" s="151">
        <v>15</v>
      </c>
      <c r="AA157" s="151" t="s">
        <v>130</v>
      </c>
      <c r="AB157" s="151" t="s">
        <v>249</v>
      </c>
      <c r="AC157" s="151">
        <v>0</v>
      </c>
      <c r="AD157" s="151">
        <v>11</v>
      </c>
      <c r="AE157" s="182" t="s">
        <v>130</v>
      </c>
    </row>
    <row r="158" spans="1:31" ht="51">
      <c r="A158" s="66">
        <v>157</v>
      </c>
      <c r="B158" s="173" t="s">
        <v>276</v>
      </c>
      <c r="C158" s="67" t="s">
        <v>277</v>
      </c>
      <c r="D158" s="207" t="s">
        <v>1323</v>
      </c>
      <c r="E158" s="149" t="s">
        <v>1269</v>
      </c>
      <c r="F158" s="149" t="s">
        <v>1324</v>
      </c>
      <c r="G158" s="149" t="s">
        <v>1325</v>
      </c>
      <c r="H158" s="66">
        <v>3</v>
      </c>
      <c r="I158" s="149" t="s">
        <v>1326</v>
      </c>
      <c r="J158" s="150">
        <v>43423</v>
      </c>
      <c r="K158" s="150">
        <v>43395</v>
      </c>
      <c r="L158" s="151" t="s">
        <v>283</v>
      </c>
      <c r="M158" s="151" t="s">
        <v>1327</v>
      </c>
      <c r="N158" s="152" t="s">
        <v>1308</v>
      </c>
      <c r="O158" s="151">
        <v>9</v>
      </c>
      <c r="P158" s="153" t="s">
        <v>438</v>
      </c>
      <c r="Q158" s="154" t="s">
        <v>1309</v>
      </c>
      <c r="R158" s="155" t="s">
        <v>288</v>
      </c>
      <c r="S158" s="155" t="s">
        <v>1328</v>
      </c>
      <c r="T158" s="156">
        <v>1</v>
      </c>
      <c r="U158" s="151" t="s">
        <v>290</v>
      </c>
      <c r="V158" s="151" t="s">
        <v>70</v>
      </c>
      <c r="W158" s="151" t="s">
        <v>249</v>
      </c>
      <c r="X158" s="151" t="s">
        <v>130</v>
      </c>
      <c r="Y158" s="151" t="s">
        <v>291</v>
      </c>
      <c r="Z158" s="151">
        <v>23</v>
      </c>
      <c r="AA158" s="151" t="s">
        <v>130</v>
      </c>
      <c r="AB158" s="151" t="s">
        <v>249</v>
      </c>
      <c r="AC158" s="151">
        <v>0</v>
      </c>
      <c r="AD158" s="151">
        <v>8</v>
      </c>
      <c r="AE158" s="182" t="s">
        <v>130</v>
      </c>
    </row>
    <row r="159" spans="1:31" ht="51">
      <c r="A159" s="66">
        <v>158</v>
      </c>
      <c r="B159" s="173" t="s">
        <v>276</v>
      </c>
      <c r="C159" s="67" t="s">
        <v>277</v>
      </c>
      <c r="D159" s="207" t="s">
        <v>1329</v>
      </c>
      <c r="E159" s="149" t="s">
        <v>1269</v>
      </c>
      <c r="F159" s="149" t="s">
        <v>1330</v>
      </c>
      <c r="G159" s="149" t="s">
        <v>1331</v>
      </c>
      <c r="H159" s="66">
        <v>4</v>
      </c>
      <c r="I159" s="149" t="s">
        <v>1332</v>
      </c>
      <c r="J159" s="150">
        <v>43423</v>
      </c>
      <c r="K159" s="150">
        <v>43396</v>
      </c>
      <c r="L159" s="151" t="s">
        <v>297</v>
      </c>
      <c r="M159" s="151" t="s">
        <v>1333</v>
      </c>
      <c r="N159" s="152" t="s">
        <v>1334</v>
      </c>
      <c r="O159" s="151">
        <v>10</v>
      </c>
      <c r="P159" s="153" t="s">
        <v>704</v>
      </c>
      <c r="Q159" s="154" t="s">
        <v>1335</v>
      </c>
      <c r="R159" s="155" t="s">
        <v>302</v>
      </c>
      <c r="S159" s="155" t="s">
        <v>1336</v>
      </c>
      <c r="T159" s="156">
        <v>1</v>
      </c>
      <c r="U159" s="151" t="s">
        <v>304</v>
      </c>
      <c r="V159" s="151" t="s">
        <v>70</v>
      </c>
      <c r="W159" s="151" t="s">
        <v>249</v>
      </c>
      <c r="X159" s="151" t="s">
        <v>130</v>
      </c>
      <c r="Y159" s="151" t="s">
        <v>291</v>
      </c>
      <c r="Z159" s="151">
        <v>23</v>
      </c>
      <c r="AA159" s="151" t="s">
        <v>130</v>
      </c>
      <c r="AB159" s="151" t="s">
        <v>249</v>
      </c>
      <c r="AC159" s="151">
        <v>0</v>
      </c>
      <c r="AD159" s="151">
        <v>8</v>
      </c>
      <c r="AE159" s="182" t="s">
        <v>1337</v>
      </c>
    </row>
    <row r="160" spans="1:31" ht="38.25">
      <c r="A160" s="66">
        <v>159</v>
      </c>
      <c r="B160" s="173" t="s">
        <v>276</v>
      </c>
      <c r="C160" s="67" t="s">
        <v>277</v>
      </c>
      <c r="D160" s="207" t="s">
        <v>1338</v>
      </c>
      <c r="E160" s="149" t="s">
        <v>1269</v>
      </c>
      <c r="F160" s="149" t="s">
        <v>1339</v>
      </c>
      <c r="G160" s="149" t="s">
        <v>1340</v>
      </c>
      <c r="H160" s="66">
        <v>2</v>
      </c>
      <c r="I160" s="149" t="s">
        <v>1341</v>
      </c>
      <c r="J160" s="150">
        <v>43423</v>
      </c>
      <c r="K160" s="150">
        <v>43396</v>
      </c>
      <c r="L160" s="151" t="s">
        <v>752</v>
      </c>
      <c r="M160" s="151" t="s">
        <v>1342</v>
      </c>
      <c r="N160" s="152" t="s">
        <v>1343</v>
      </c>
      <c r="O160" s="151">
        <v>6</v>
      </c>
      <c r="P160" s="153" t="s">
        <v>755</v>
      </c>
      <c r="Q160" s="154" t="s">
        <v>1344</v>
      </c>
      <c r="R160" s="155" t="s">
        <v>757</v>
      </c>
      <c r="S160" s="155" t="s">
        <v>1345</v>
      </c>
      <c r="T160" s="156">
        <v>1</v>
      </c>
      <c r="U160" s="151" t="s">
        <v>759</v>
      </c>
      <c r="V160" s="151" t="s">
        <v>70</v>
      </c>
      <c r="W160" s="151" t="s">
        <v>291</v>
      </c>
      <c r="X160" s="151">
        <v>40</v>
      </c>
      <c r="Y160" s="151" t="s">
        <v>291</v>
      </c>
      <c r="Z160" s="151">
        <v>28</v>
      </c>
      <c r="AA160" s="151" t="s">
        <v>130</v>
      </c>
      <c r="AB160" s="151" t="s">
        <v>249</v>
      </c>
      <c r="AC160" s="151">
        <v>0</v>
      </c>
      <c r="AD160" s="151">
        <v>12</v>
      </c>
      <c r="AE160" s="182" t="s">
        <v>130</v>
      </c>
    </row>
    <row r="161" spans="1:31" ht="38.25">
      <c r="A161" s="66">
        <v>160</v>
      </c>
      <c r="B161" s="173" t="s">
        <v>276</v>
      </c>
      <c r="C161" s="67" t="s">
        <v>277</v>
      </c>
      <c r="D161" s="207" t="s">
        <v>1346</v>
      </c>
      <c r="E161" s="149" t="s">
        <v>1269</v>
      </c>
      <c r="F161" s="149" t="s">
        <v>1347</v>
      </c>
      <c r="G161" s="149" t="s">
        <v>1348</v>
      </c>
      <c r="H161" s="66">
        <v>2</v>
      </c>
      <c r="I161" s="149" t="s">
        <v>1349</v>
      </c>
      <c r="J161" s="150">
        <v>43423</v>
      </c>
      <c r="K161" s="150">
        <v>43396</v>
      </c>
      <c r="L161" s="151" t="s">
        <v>752</v>
      </c>
      <c r="M161" s="151" t="s">
        <v>1350</v>
      </c>
      <c r="N161" s="152" t="s">
        <v>1343</v>
      </c>
      <c r="O161" s="151">
        <v>6</v>
      </c>
      <c r="P161" s="153" t="s">
        <v>755</v>
      </c>
      <c r="Q161" s="154" t="s">
        <v>1344</v>
      </c>
      <c r="R161" s="155" t="s">
        <v>757</v>
      </c>
      <c r="S161" s="155" t="s">
        <v>1345</v>
      </c>
      <c r="T161" s="156">
        <v>1</v>
      </c>
      <c r="U161" s="151" t="s">
        <v>759</v>
      </c>
      <c r="V161" s="151" t="s">
        <v>70</v>
      </c>
      <c r="W161" s="151" t="s">
        <v>291</v>
      </c>
      <c r="X161" s="151">
        <v>40</v>
      </c>
      <c r="Y161" s="151" t="s">
        <v>291</v>
      </c>
      <c r="Z161" s="151">
        <v>35</v>
      </c>
      <c r="AA161" s="151" t="s">
        <v>130</v>
      </c>
      <c r="AB161" s="151" t="s">
        <v>249</v>
      </c>
      <c r="AC161" s="151">
        <v>0</v>
      </c>
      <c r="AD161" s="151">
        <v>5</v>
      </c>
      <c r="AE161" s="182" t="s">
        <v>130</v>
      </c>
    </row>
    <row r="162" spans="1:31" ht="51">
      <c r="A162" s="66">
        <v>161</v>
      </c>
      <c r="B162" s="173" t="s">
        <v>276</v>
      </c>
      <c r="C162" s="67" t="s">
        <v>277</v>
      </c>
      <c r="D162" s="207" t="s">
        <v>1351</v>
      </c>
      <c r="E162" s="149" t="s">
        <v>1269</v>
      </c>
      <c r="F162" s="149" t="s">
        <v>1352</v>
      </c>
      <c r="G162" s="149" t="s">
        <v>1353</v>
      </c>
      <c r="H162" s="66">
        <v>3</v>
      </c>
      <c r="I162" s="149" t="s">
        <v>1354</v>
      </c>
      <c r="J162" s="150">
        <v>43423</v>
      </c>
      <c r="K162" s="150">
        <v>43395</v>
      </c>
      <c r="L162" s="151" t="s">
        <v>283</v>
      </c>
      <c r="M162" s="151" t="s">
        <v>1355</v>
      </c>
      <c r="N162" s="152" t="s">
        <v>1283</v>
      </c>
      <c r="O162" s="151">
        <v>9</v>
      </c>
      <c r="P162" s="153" t="s">
        <v>330</v>
      </c>
      <c r="Q162" s="154" t="s">
        <v>1284</v>
      </c>
      <c r="R162" s="155" t="s">
        <v>288</v>
      </c>
      <c r="S162" s="155" t="s">
        <v>1356</v>
      </c>
      <c r="T162" s="156">
        <v>1</v>
      </c>
      <c r="U162" s="151" t="s">
        <v>290</v>
      </c>
      <c r="V162" s="151" t="s">
        <v>70</v>
      </c>
      <c r="W162" s="151" t="s">
        <v>291</v>
      </c>
      <c r="X162" s="151">
        <v>34</v>
      </c>
      <c r="Y162" s="151" t="s">
        <v>291</v>
      </c>
      <c r="Z162" s="151">
        <v>26</v>
      </c>
      <c r="AA162" s="151" t="s">
        <v>130</v>
      </c>
      <c r="AB162" s="151" t="s">
        <v>249</v>
      </c>
      <c r="AC162" s="151">
        <v>0</v>
      </c>
      <c r="AD162" s="151">
        <v>8</v>
      </c>
      <c r="AE162" s="182" t="s">
        <v>130</v>
      </c>
    </row>
    <row r="163" spans="1:31" ht="51">
      <c r="A163" s="66">
        <v>162</v>
      </c>
      <c r="B163" s="173" t="s">
        <v>276</v>
      </c>
      <c r="C163" s="67" t="s">
        <v>277</v>
      </c>
      <c r="D163" s="207" t="s">
        <v>1357</v>
      </c>
      <c r="E163" s="149" t="s">
        <v>1269</v>
      </c>
      <c r="F163" s="149" t="s">
        <v>1358</v>
      </c>
      <c r="G163" s="149" t="s">
        <v>1359</v>
      </c>
      <c r="H163" s="66">
        <v>3</v>
      </c>
      <c r="I163" s="149" t="s">
        <v>1360</v>
      </c>
      <c r="J163" s="150">
        <v>43423</v>
      </c>
      <c r="K163" s="150">
        <v>43396</v>
      </c>
      <c r="L163" s="151" t="s">
        <v>283</v>
      </c>
      <c r="M163" s="151" t="s">
        <v>1361</v>
      </c>
      <c r="N163" s="152" t="s">
        <v>1283</v>
      </c>
      <c r="O163" s="151">
        <v>9</v>
      </c>
      <c r="P163" s="153" t="s">
        <v>286</v>
      </c>
      <c r="Q163" s="154" t="s">
        <v>1284</v>
      </c>
      <c r="R163" s="155" t="s">
        <v>288</v>
      </c>
      <c r="S163" s="155" t="s">
        <v>1362</v>
      </c>
      <c r="T163" s="156">
        <v>1</v>
      </c>
      <c r="U163" s="151" t="s">
        <v>290</v>
      </c>
      <c r="V163" s="151" t="s">
        <v>70</v>
      </c>
      <c r="W163" s="151" t="s">
        <v>291</v>
      </c>
      <c r="X163" s="151">
        <v>38</v>
      </c>
      <c r="Y163" s="151" t="s">
        <v>291</v>
      </c>
      <c r="Z163" s="151">
        <v>33</v>
      </c>
      <c r="AA163" s="151" t="s">
        <v>130</v>
      </c>
      <c r="AB163" s="151" t="s">
        <v>249</v>
      </c>
      <c r="AC163" s="151">
        <v>0</v>
      </c>
      <c r="AD163" s="151">
        <v>5</v>
      </c>
      <c r="AE163" s="182" t="s">
        <v>130</v>
      </c>
    </row>
    <row r="164" spans="1:31" ht="51">
      <c r="A164" s="66">
        <v>163</v>
      </c>
      <c r="B164" s="173" t="s">
        <v>276</v>
      </c>
      <c r="C164" s="67" t="s">
        <v>277</v>
      </c>
      <c r="D164" s="207" t="s">
        <v>1363</v>
      </c>
      <c r="E164" s="149" t="s">
        <v>1269</v>
      </c>
      <c r="F164" s="149" t="s">
        <v>1364</v>
      </c>
      <c r="G164" s="149" t="s">
        <v>1365</v>
      </c>
      <c r="H164" s="66">
        <v>3</v>
      </c>
      <c r="I164" s="149" t="s">
        <v>1366</v>
      </c>
      <c r="J164" s="150">
        <v>43423</v>
      </c>
      <c r="K164" s="150">
        <v>43397</v>
      </c>
      <c r="L164" s="151" t="s">
        <v>283</v>
      </c>
      <c r="M164" s="151" t="s">
        <v>1367</v>
      </c>
      <c r="N164" s="152" t="s">
        <v>311</v>
      </c>
      <c r="O164" s="151">
        <v>9</v>
      </c>
      <c r="P164" s="153" t="s">
        <v>286</v>
      </c>
      <c r="Q164" s="154" t="s">
        <v>287</v>
      </c>
      <c r="R164" s="155" t="s">
        <v>288</v>
      </c>
      <c r="S164" s="155" t="s">
        <v>1368</v>
      </c>
      <c r="T164" s="156">
        <v>1</v>
      </c>
      <c r="U164" s="151" t="s">
        <v>290</v>
      </c>
      <c r="V164" s="151" t="s">
        <v>70</v>
      </c>
      <c r="W164" s="151" t="s">
        <v>249</v>
      </c>
      <c r="X164" s="151" t="s">
        <v>130</v>
      </c>
      <c r="Y164" s="151" t="s">
        <v>291</v>
      </c>
      <c r="Z164" s="151">
        <v>5</v>
      </c>
      <c r="AA164" s="151" t="s">
        <v>130</v>
      </c>
      <c r="AB164" s="151" t="s">
        <v>249</v>
      </c>
      <c r="AC164" s="151">
        <v>4</v>
      </c>
      <c r="AD164" s="151">
        <v>14</v>
      </c>
      <c r="AE164" s="182" t="s">
        <v>130</v>
      </c>
    </row>
    <row r="165" spans="1:31" ht="51">
      <c r="A165" s="66">
        <v>164</v>
      </c>
      <c r="B165" s="173" t="s">
        <v>276</v>
      </c>
      <c r="C165" s="67" t="s">
        <v>277</v>
      </c>
      <c r="D165" s="207" t="s">
        <v>1369</v>
      </c>
      <c r="E165" s="149" t="s">
        <v>1269</v>
      </c>
      <c r="F165" s="149" t="s">
        <v>1370</v>
      </c>
      <c r="G165" s="149" t="s">
        <v>1371</v>
      </c>
      <c r="H165" s="66">
        <v>3</v>
      </c>
      <c r="I165" s="149" t="s">
        <v>1372</v>
      </c>
      <c r="J165" s="150">
        <v>43423</v>
      </c>
      <c r="K165" s="150">
        <v>43397</v>
      </c>
      <c r="L165" s="151" t="s">
        <v>283</v>
      </c>
      <c r="M165" s="151" t="s">
        <v>1373</v>
      </c>
      <c r="N165" s="152" t="s">
        <v>329</v>
      </c>
      <c r="O165" s="151">
        <v>9</v>
      </c>
      <c r="P165" s="153" t="s">
        <v>286</v>
      </c>
      <c r="Q165" s="154" t="s">
        <v>331</v>
      </c>
      <c r="R165" s="155" t="s">
        <v>288</v>
      </c>
      <c r="S165" s="155" t="s">
        <v>1374</v>
      </c>
      <c r="T165" s="156">
        <v>1</v>
      </c>
      <c r="U165" s="151" t="s">
        <v>290</v>
      </c>
      <c r="V165" s="151" t="s">
        <v>70</v>
      </c>
      <c r="W165" s="151" t="s">
        <v>249</v>
      </c>
      <c r="X165" s="151" t="s">
        <v>130</v>
      </c>
      <c r="Y165" s="151" t="s">
        <v>291</v>
      </c>
      <c r="Z165" s="151">
        <v>5</v>
      </c>
      <c r="AA165" s="151" t="s">
        <v>130</v>
      </c>
      <c r="AB165" s="151" t="s">
        <v>249</v>
      </c>
      <c r="AC165" s="151">
        <v>8</v>
      </c>
      <c r="AD165" s="151">
        <v>14</v>
      </c>
      <c r="AE165" s="182" t="s">
        <v>130</v>
      </c>
    </row>
    <row r="166" spans="1:31" ht="51">
      <c r="A166" s="66">
        <v>165</v>
      </c>
      <c r="B166" s="173" t="s">
        <v>276</v>
      </c>
      <c r="C166" s="67" t="s">
        <v>277</v>
      </c>
      <c r="D166" s="207" t="s">
        <v>1375</v>
      </c>
      <c r="E166" s="149" t="s">
        <v>1269</v>
      </c>
      <c r="F166" s="149" t="s">
        <v>1376</v>
      </c>
      <c r="G166" s="149" t="s">
        <v>1377</v>
      </c>
      <c r="H166" s="66">
        <v>3</v>
      </c>
      <c r="I166" s="149" t="s">
        <v>1378</v>
      </c>
      <c r="J166" s="150">
        <v>43423</v>
      </c>
      <c r="K166" s="150">
        <v>43399</v>
      </c>
      <c r="L166" s="151" t="s">
        <v>283</v>
      </c>
      <c r="M166" s="151" t="s">
        <v>1379</v>
      </c>
      <c r="N166" s="152" t="s">
        <v>329</v>
      </c>
      <c r="O166" s="151">
        <v>9</v>
      </c>
      <c r="P166" s="153" t="s">
        <v>286</v>
      </c>
      <c r="Q166" s="154" t="s">
        <v>331</v>
      </c>
      <c r="R166" s="155" t="s">
        <v>288</v>
      </c>
      <c r="S166" s="155" t="s">
        <v>1380</v>
      </c>
      <c r="T166" s="156">
        <v>1</v>
      </c>
      <c r="U166" s="151" t="s">
        <v>290</v>
      </c>
      <c r="V166" s="151" t="s">
        <v>70</v>
      </c>
      <c r="W166" s="151" t="s">
        <v>249</v>
      </c>
      <c r="X166" s="151" t="s">
        <v>130</v>
      </c>
      <c r="Y166" s="151" t="s">
        <v>291</v>
      </c>
      <c r="Z166" s="151">
        <v>-5</v>
      </c>
      <c r="AA166" s="151" t="s">
        <v>130</v>
      </c>
      <c r="AB166" s="151" t="s">
        <v>249</v>
      </c>
      <c r="AC166" s="151">
        <v>14</v>
      </c>
      <c r="AD166" s="151">
        <v>25</v>
      </c>
      <c r="AE166" s="182" t="s">
        <v>130</v>
      </c>
    </row>
    <row r="167" spans="1:31" ht="63.75">
      <c r="A167" s="66">
        <v>166</v>
      </c>
      <c r="B167" s="173" t="s">
        <v>276</v>
      </c>
      <c r="C167" s="67" t="s">
        <v>277</v>
      </c>
      <c r="D167" s="207" t="s">
        <v>1381</v>
      </c>
      <c r="E167" s="149" t="s">
        <v>1269</v>
      </c>
      <c r="F167" s="149" t="s">
        <v>1382</v>
      </c>
      <c r="G167" s="149" t="s">
        <v>1383</v>
      </c>
      <c r="H167" s="66">
        <v>4</v>
      </c>
      <c r="I167" s="149" t="s">
        <v>1384</v>
      </c>
      <c r="J167" s="150">
        <v>43423</v>
      </c>
      <c r="K167" s="150">
        <v>43397</v>
      </c>
      <c r="L167" s="151" t="s">
        <v>297</v>
      </c>
      <c r="M167" s="151" t="s">
        <v>1385</v>
      </c>
      <c r="N167" s="152" t="s">
        <v>299</v>
      </c>
      <c r="O167" s="151">
        <v>12</v>
      </c>
      <c r="P167" s="153" t="s">
        <v>1386</v>
      </c>
      <c r="Q167" s="154" t="s">
        <v>301</v>
      </c>
      <c r="R167" s="155" t="s">
        <v>302</v>
      </c>
      <c r="S167" s="155" t="s">
        <v>1387</v>
      </c>
      <c r="T167" s="156">
        <v>1</v>
      </c>
      <c r="U167" s="151" t="s">
        <v>304</v>
      </c>
      <c r="V167" s="151" t="s">
        <v>70</v>
      </c>
      <c r="W167" s="151" t="s">
        <v>291</v>
      </c>
      <c r="X167" s="151">
        <v>37</v>
      </c>
      <c r="Y167" s="151" t="s">
        <v>291</v>
      </c>
      <c r="Z167" s="151">
        <v>26</v>
      </c>
      <c r="AA167" s="151" t="s">
        <v>130</v>
      </c>
      <c r="AB167" s="151" t="s">
        <v>249</v>
      </c>
      <c r="AC167" s="151">
        <v>0</v>
      </c>
      <c r="AD167" s="151">
        <v>11</v>
      </c>
      <c r="AE167" s="182" t="s">
        <v>130</v>
      </c>
    </row>
    <row r="168" spans="1:31" ht="51">
      <c r="A168" s="66">
        <v>167</v>
      </c>
      <c r="B168" s="173" t="s">
        <v>276</v>
      </c>
      <c r="C168" s="67" t="s">
        <v>277</v>
      </c>
      <c r="D168" s="207" t="s">
        <v>1388</v>
      </c>
      <c r="E168" s="149" t="s">
        <v>1269</v>
      </c>
      <c r="F168" s="149" t="s">
        <v>1389</v>
      </c>
      <c r="G168" s="149" t="s">
        <v>1390</v>
      </c>
      <c r="H168" s="66">
        <v>3</v>
      </c>
      <c r="I168" s="149" t="s">
        <v>1391</v>
      </c>
      <c r="J168" s="150">
        <v>43423</v>
      </c>
      <c r="K168" s="150">
        <v>43397</v>
      </c>
      <c r="L168" s="151" t="s">
        <v>283</v>
      </c>
      <c r="M168" s="151" t="s">
        <v>1392</v>
      </c>
      <c r="N168" s="152" t="s">
        <v>311</v>
      </c>
      <c r="O168" s="151">
        <v>9</v>
      </c>
      <c r="P168" s="153" t="s">
        <v>286</v>
      </c>
      <c r="Q168" s="154" t="s">
        <v>287</v>
      </c>
      <c r="R168" s="155" t="s">
        <v>288</v>
      </c>
      <c r="S168" s="155" t="s">
        <v>1393</v>
      </c>
      <c r="T168" s="156">
        <v>1</v>
      </c>
      <c r="U168" s="151" t="s">
        <v>290</v>
      </c>
      <c r="V168" s="151" t="s">
        <v>70</v>
      </c>
      <c r="W168" s="151" t="s">
        <v>249</v>
      </c>
      <c r="X168" s="151" t="s">
        <v>130</v>
      </c>
      <c r="Y168" s="151" t="s">
        <v>291</v>
      </c>
      <c r="Z168" s="151">
        <v>3</v>
      </c>
      <c r="AA168" s="151" t="s">
        <v>130</v>
      </c>
      <c r="AB168" s="151" t="s">
        <v>249</v>
      </c>
      <c r="AC168" s="151">
        <v>11</v>
      </c>
      <c r="AD168" s="151">
        <v>14</v>
      </c>
      <c r="AE168" s="182" t="s">
        <v>130</v>
      </c>
    </row>
    <row r="169" spans="1:31" ht="51">
      <c r="A169" s="66">
        <v>168</v>
      </c>
      <c r="B169" s="173" t="s">
        <v>276</v>
      </c>
      <c r="C169" s="67" t="s">
        <v>277</v>
      </c>
      <c r="D169" s="207" t="s">
        <v>1394</v>
      </c>
      <c r="E169" s="149" t="s">
        <v>1269</v>
      </c>
      <c r="F169" s="149" t="s">
        <v>1395</v>
      </c>
      <c r="G169" s="149" t="s">
        <v>1396</v>
      </c>
      <c r="H169" s="66">
        <v>3</v>
      </c>
      <c r="I169" s="149" t="s">
        <v>1397</v>
      </c>
      <c r="J169" s="150">
        <v>43423</v>
      </c>
      <c r="K169" s="150">
        <v>43397</v>
      </c>
      <c r="L169" s="151" t="s">
        <v>283</v>
      </c>
      <c r="M169" s="151" t="s">
        <v>1398</v>
      </c>
      <c r="N169" s="152" t="s">
        <v>285</v>
      </c>
      <c r="O169" s="151">
        <v>9</v>
      </c>
      <c r="P169" s="153" t="s">
        <v>286</v>
      </c>
      <c r="Q169" s="154" t="s">
        <v>319</v>
      </c>
      <c r="R169" s="155" t="s">
        <v>320</v>
      </c>
      <c r="S169" s="155" t="s">
        <v>1399</v>
      </c>
      <c r="T169" s="156">
        <v>1</v>
      </c>
      <c r="U169" s="151" t="s">
        <v>322</v>
      </c>
      <c r="V169" s="151" t="s">
        <v>70</v>
      </c>
      <c r="W169" s="151" t="s">
        <v>249</v>
      </c>
      <c r="X169" s="151" t="s">
        <v>130</v>
      </c>
      <c r="Y169" s="151" t="s">
        <v>291</v>
      </c>
      <c r="Z169" s="151">
        <v>0</v>
      </c>
      <c r="AA169" s="151" t="s">
        <v>130</v>
      </c>
      <c r="AB169" s="151" t="s">
        <v>249</v>
      </c>
      <c r="AC169" s="151">
        <v>14</v>
      </c>
      <c r="AD169" s="151">
        <v>21</v>
      </c>
      <c r="AE169" s="182" t="s">
        <v>130</v>
      </c>
    </row>
    <row r="170" spans="1:31" ht="51">
      <c r="A170" s="66">
        <v>169</v>
      </c>
      <c r="B170" s="173" t="s">
        <v>276</v>
      </c>
      <c r="C170" s="67" t="s">
        <v>277</v>
      </c>
      <c r="D170" s="207" t="s">
        <v>1400</v>
      </c>
      <c r="E170" s="149" t="s">
        <v>1269</v>
      </c>
      <c r="F170" s="149" t="s">
        <v>1401</v>
      </c>
      <c r="G170" s="149" t="s">
        <v>1402</v>
      </c>
      <c r="H170" s="66">
        <v>3</v>
      </c>
      <c r="I170" s="149" t="s">
        <v>1403</v>
      </c>
      <c r="J170" s="150">
        <v>43423</v>
      </c>
      <c r="K170" s="150">
        <v>43397</v>
      </c>
      <c r="L170" s="151" t="s">
        <v>283</v>
      </c>
      <c r="M170" s="151" t="s">
        <v>1404</v>
      </c>
      <c r="N170" s="152" t="s">
        <v>285</v>
      </c>
      <c r="O170" s="151">
        <v>9</v>
      </c>
      <c r="P170" s="153" t="s">
        <v>286</v>
      </c>
      <c r="Q170" s="154" t="s">
        <v>319</v>
      </c>
      <c r="R170" s="155" t="s">
        <v>320</v>
      </c>
      <c r="S170" s="155" t="s">
        <v>1405</v>
      </c>
      <c r="T170" s="156">
        <v>1</v>
      </c>
      <c r="U170" s="151" t="s">
        <v>322</v>
      </c>
      <c r="V170" s="151" t="s">
        <v>70</v>
      </c>
      <c r="W170" s="151" t="s">
        <v>249</v>
      </c>
      <c r="X170" s="151" t="s">
        <v>130</v>
      </c>
      <c r="Y170" s="151" t="s">
        <v>291</v>
      </c>
      <c r="Z170" s="151">
        <v>5</v>
      </c>
      <c r="AA170" s="151" t="s">
        <v>130</v>
      </c>
      <c r="AB170" s="151" t="s">
        <v>249</v>
      </c>
      <c r="AC170" s="151">
        <v>7</v>
      </c>
      <c r="AD170" s="151">
        <v>14</v>
      </c>
      <c r="AE170" s="182" t="s">
        <v>130</v>
      </c>
    </row>
    <row r="171" spans="1:31" ht="51">
      <c r="A171" s="66">
        <v>170</v>
      </c>
      <c r="B171" s="173" t="s">
        <v>276</v>
      </c>
      <c r="C171" s="67" t="s">
        <v>277</v>
      </c>
      <c r="D171" s="207" t="s">
        <v>1406</v>
      </c>
      <c r="E171" s="149" t="s">
        <v>1269</v>
      </c>
      <c r="F171" s="149" t="s">
        <v>1407</v>
      </c>
      <c r="G171" s="149" t="s">
        <v>1408</v>
      </c>
      <c r="H171" s="66">
        <v>3</v>
      </c>
      <c r="I171" s="149" t="s">
        <v>1409</v>
      </c>
      <c r="J171" s="150">
        <v>43423</v>
      </c>
      <c r="K171" s="150">
        <v>43397</v>
      </c>
      <c r="L171" s="151" t="s">
        <v>283</v>
      </c>
      <c r="M171" s="151" t="s">
        <v>1410</v>
      </c>
      <c r="N171" s="152" t="s">
        <v>329</v>
      </c>
      <c r="O171" s="151">
        <v>9</v>
      </c>
      <c r="P171" s="153" t="s">
        <v>909</v>
      </c>
      <c r="Q171" s="154" t="s">
        <v>331</v>
      </c>
      <c r="R171" s="155" t="s">
        <v>288</v>
      </c>
      <c r="S171" s="155" t="s">
        <v>1411</v>
      </c>
      <c r="T171" s="156">
        <v>1</v>
      </c>
      <c r="U171" s="151" t="s">
        <v>290</v>
      </c>
      <c r="V171" s="151" t="s">
        <v>70</v>
      </c>
      <c r="W171" s="151" t="s">
        <v>249</v>
      </c>
      <c r="X171" s="151" t="s">
        <v>130</v>
      </c>
      <c r="Y171" s="151" t="s">
        <v>291</v>
      </c>
      <c r="Z171" s="151">
        <v>-64</v>
      </c>
      <c r="AA171" s="151" t="s">
        <v>130</v>
      </c>
      <c r="AB171" s="151" t="s">
        <v>249</v>
      </c>
      <c r="AC171" s="151">
        <v>18</v>
      </c>
      <c r="AD171" s="151">
        <v>92</v>
      </c>
      <c r="AE171" s="182" t="s">
        <v>130</v>
      </c>
    </row>
    <row r="172" spans="1:31" ht="51">
      <c r="A172" s="66">
        <v>171</v>
      </c>
      <c r="B172" s="173" t="s">
        <v>276</v>
      </c>
      <c r="C172" s="67" t="s">
        <v>277</v>
      </c>
      <c r="D172" s="207" t="s">
        <v>1412</v>
      </c>
      <c r="E172" s="149" t="s">
        <v>1269</v>
      </c>
      <c r="F172" s="149" t="s">
        <v>1413</v>
      </c>
      <c r="G172" s="149" t="s">
        <v>1414</v>
      </c>
      <c r="H172" s="66">
        <v>3</v>
      </c>
      <c r="I172" s="149" t="s">
        <v>1415</v>
      </c>
      <c r="J172" s="150">
        <v>43423</v>
      </c>
      <c r="K172" s="150">
        <v>43398</v>
      </c>
      <c r="L172" s="151" t="s">
        <v>283</v>
      </c>
      <c r="M172" s="151" t="s">
        <v>1416</v>
      </c>
      <c r="N172" s="152" t="s">
        <v>285</v>
      </c>
      <c r="O172" s="151">
        <v>9</v>
      </c>
      <c r="P172" s="153" t="s">
        <v>286</v>
      </c>
      <c r="Q172" s="154" t="s">
        <v>287</v>
      </c>
      <c r="R172" s="155" t="s">
        <v>288</v>
      </c>
      <c r="S172" s="155" t="s">
        <v>1417</v>
      </c>
      <c r="T172" s="156">
        <v>1</v>
      </c>
      <c r="U172" s="151" t="s">
        <v>290</v>
      </c>
      <c r="V172" s="151" t="s">
        <v>70</v>
      </c>
      <c r="W172" s="151" t="s">
        <v>249</v>
      </c>
      <c r="X172" s="151" t="s">
        <v>130</v>
      </c>
      <c r="Y172" s="151" t="s">
        <v>291</v>
      </c>
      <c r="Z172" s="151">
        <v>-15</v>
      </c>
      <c r="AA172" s="151" t="s">
        <v>130</v>
      </c>
      <c r="AB172" s="151" t="s">
        <v>249</v>
      </c>
      <c r="AC172" s="151">
        <v>25</v>
      </c>
      <c r="AD172" s="151">
        <v>43</v>
      </c>
      <c r="AE172" s="182" t="s">
        <v>130</v>
      </c>
    </row>
    <row r="173" spans="1:31" ht="51">
      <c r="A173" s="66">
        <v>172</v>
      </c>
      <c r="B173" s="173" t="s">
        <v>276</v>
      </c>
      <c r="C173" s="67" t="s">
        <v>277</v>
      </c>
      <c r="D173" s="207" t="s">
        <v>1418</v>
      </c>
      <c r="E173" s="149" t="s">
        <v>1269</v>
      </c>
      <c r="F173" s="149" t="s">
        <v>1419</v>
      </c>
      <c r="G173" s="149" t="s">
        <v>1420</v>
      </c>
      <c r="H173" s="66">
        <v>4</v>
      </c>
      <c r="I173" s="149" t="s">
        <v>1421</v>
      </c>
      <c r="J173" s="150">
        <v>43423</v>
      </c>
      <c r="K173" s="150">
        <v>43398</v>
      </c>
      <c r="L173" s="151" t="s">
        <v>297</v>
      </c>
      <c r="M173" s="151" t="s">
        <v>1422</v>
      </c>
      <c r="N173" s="152" t="s">
        <v>299</v>
      </c>
      <c r="O173" s="151">
        <v>10</v>
      </c>
      <c r="P173" s="153" t="s">
        <v>1423</v>
      </c>
      <c r="Q173" s="154" t="s">
        <v>1424</v>
      </c>
      <c r="R173" s="155" t="s">
        <v>302</v>
      </c>
      <c r="S173" s="155" t="s">
        <v>1425</v>
      </c>
      <c r="T173" s="156">
        <v>1</v>
      </c>
      <c r="U173" s="151" t="s">
        <v>304</v>
      </c>
      <c r="V173" s="151" t="s">
        <v>70</v>
      </c>
      <c r="W173" s="151" t="s">
        <v>249</v>
      </c>
      <c r="X173" s="151" t="s">
        <v>130</v>
      </c>
      <c r="Y173" s="151" t="s">
        <v>291</v>
      </c>
      <c r="Z173" s="151">
        <v>-4</v>
      </c>
      <c r="AA173" s="151" t="s">
        <v>130</v>
      </c>
      <c r="AB173" s="151" t="s">
        <v>249</v>
      </c>
      <c r="AC173" s="151">
        <v>11</v>
      </c>
      <c r="AD173" s="151">
        <v>25</v>
      </c>
      <c r="AE173" s="182" t="s">
        <v>1337</v>
      </c>
    </row>
    <row r="174" spans="1:31" ht="51">
      <c r="A174" s="66">
        <v>173</v>
      </c>
      <c r="B174" s="173" t="s">
        <v>276</v>
      </c>
      <c r="C174" s="67" t="s">
        <v>277</v>
      </c>
      <c r="D174" s="207" t="s">
        <v>1426</v>
      </c>
      <c r="E174" s="149" t="s">
        <v>1269</v>
      </c>
      <c r="F174" s="149" t="s">
        <v>1427</v>
      </c>
      <c r="G174" s="149" t="s">
        <v>1428</v>
      </c>
      <c r="H174" s="66">
        <v>3</v>
      </c>
      <c r="I174" s="149" t="s">
        <v>1429</v>
      </c>
      <c r="J174" s="150">
        <v>43423</v>
      </c>
      <c r="K174" s="150">
        <v>43398</v>
      </c>
      <c r="L174" s="151" t="s">
        <v>283</v>
      </c>
      <c r="M174" s="151" t="s">
        <v>1430</v>
      </c>
      <c r="N174" s="152" t="s">
        <v>285</v>
      </c>
      <c r="O174" s="151">
        <v>9</v>
      </c>
      <c r="P174" s="153" t="s">
        <v>286</v>
      </c>
      <c r="Q174" s="154" t="s">
        <v>287</v>
      </c>
      <c r="R174" s="155" t="s">
        <v>288</v>
      </c>
      <c r="S174" s="155" t="s">
        <v>1405</v>
      </c>
      <c r="T174" s="156">
        <v>1</v>
      </c>
      <c r="U174" s="151" t="s">
        <v>290</v>
      </c>
      <c r="V174" s="151" t="s">
        <v>70</v>
      </c>
      <c r="W174" s="151" t="s">
        <v>249</v>
      </c>
      <c r="X174" s="151" t="s">
        <v>130</v>
      </c>
      <c r="Y174" s="151" t="s">
        <v>291</v>
      </c>
      <c r="Z174" s="151">
        <v>-51</v>
      </c>
      <c r="AA174" s="151" t="s">
        <v>130</v>
      </c>
      <c r="AB174" s="151" t="s">
        <v>249</v>
      </c>
      <c r="AC174" s="151">
        <v>11</v>
      </c>
      <c r="AD174" s="151">
        <v>70</v>
      </c>
      <c r="AE174" s="182" t="s">
        <v>130</v>
      </c>
    </row>
    <row r="175" spans="1:31" ht="51">
      <c r="A175" s="66">
        <v>174</v>
      </c>
      <c r="B175" s="173" t="s">
        <v>276</v>
      </c>
      <c r="C175" s="67" t="s">
        <v>277</v>
      </c>
      <c r="D175" s="207" t="s">
        <v>1431</v>
      </c>
      <c r="E175" s="149" t="s">
        <v>1269</v>
      </c>
      <c r="F175" s="149" t="s">
        <v>1432</v>
      </c>
      <c r="G175" s="149" t="s">
        <v>1433</v>
      </c>
      <c r="H175" s="66">
        <v>3</v>
      </c>
      <c r="I175" s="149" t="s">
        <v>1434</v>
      </c>
      <c r="J175" s="150">
        <v>43423</v>
      </c>
      <c r="K175" s="150">
        <v>43398</v>
      </c>
      <c r="L175" s="151" t="s">
        <v>283</v>
      </c>
      <c r="M175" s="151" t="s">
        <v>1435</v>
      </c>
      <c r="N175" s="152" t="s">
        <v>311</v>
      </c>
      <c r="O175" s="151">
        <v>9</v>
      </c>
      <c r="P175" s="153" t="s">
        <v>286</v>
      </c>
      <c r="Q175" s="154" t="s">
        <v>287</v>
      </c>
      <c r="R175" s="155" t="s">
        <v>288</v>
      </c>
      <c r="S175" s="155" t="s">
        <v>1436</v>
      </c>
      <c r="T175" s="156">
        <v>1</v>
      </c>
      <c r="U175" s="151" t="s">
        <v>290</v>
      </c>
      <c r="V175" s="151" t="s">
        <v>70</v>
      </c>
      <c r="W175" s="151" t="s">
        <v>249</v>
      </c>
      <c r="X175" s="151" t="s">
        <v>130</v>
      </c>
      <c r="Y175" s="151" t="s">
        <v>291</v>
      </c>
      <c r="Z175" s="151">
        <v>-29</v>
      </c>
      <c r="AA175" s="151" t="s">
        <v>130</v>
      </c>
      <c r="AB175" s="151" t="s">
        <v>249</v>
      </c>
      <c r="AC175" s="151">
        <v>11</v>
      </c>
      <c r="AD175" s="151">
        <v>50</v>
      </c>
      <c r="AE175" s="182" t="s">
        <v>130</v>
      </c>
    </row>
    <row r="176" spans="1:31" ht="51">
      <c r="A176" s="66">
        <v>175</v>
      </c>
      <c r="B176" s="173" t="s">
        <v>276</v>
      </c>
      <c r="C176" s="67" t="s">
        <v>277</v>
      </c>
      <c r="D176" s="207" t="s">
        <v>1437</v>
      </c>
      <c r="E176" s="149" t="s">
        <v>1269</v>
      </c>
      <c r="F176" s="149" t="s">
        <v>1438</v>
      </c>
      <c r="G176" s="149" t="s">
        <v>1439</v>
      </c>
      <c r="H176" s="66">
        <v>3</v>
      </c>
      <c r="I176" s="149" t="s">
        <v>1440</v>
      </c>
      <c r="J176" s="150">
        <v>43423</v>
      </c>
      <c r="K176" s="150">
        <v>43398</v>
      </c>
      <c r="L176" s="151" t="s">
        <v>283</v>
      </c>
      <c r="M176" s="151" t="s">
        <v>1441</v>
      </c>
      <c r="N176" s="152" t="s">
        <v>311</v>
      </c>
      <c r="O176" s="151">
        <v>9</v>
      </c>
      <c r="P176" s="153" t="s">
        <v>286</v>
      </c>
      <c r="Q176" s="154" t="s">
        <v>287</v>
      </c>
      <c r="R176" s="155" t="s">
        <v>288</v>
      </c>
      <c r="S176" s="155" t="s">
        <v>1436</v>
      </c>
      <c r="T176" s="156">
        <v>1</v>
      </c>
      <c r="U176" s="151" t="s">
        <v>290</v>
      </c>
      <c r="V176" s="151" t="s">
        <v>70</v>
      </c>
      <c r="W176" s="151" t="s">
        <v>249</v>
      </c>
      <c r="X176" s="151" t="s">
        <v>130</v>
      </c>
      <c r="Y176" s="151" t="s">
        <v>291</v>
      </c>
      <c r="Z176" s="151">
        <v>-4</v>
      </c>
      <c r="AA176" s="151" t="s">
        <v>130</v>
      </c>
      <c r="AB176" s="151" t="s">
        <v>249</v>
      </c>
      <c r="AC176" s="151">
        <v>8</v>
      </c>
      <c r="AD176" s="151">
        <v>25</v>
      </c>
      <c r="AE176" s="182" t="s">
        <v>130</v>
      </c>
    </row>
    <row r="177" spans="1:31" ht="51">
      <c r="A177" s="66">
        <v>176</v>
      </c>
      <c r="B177" s="173" t="s">
        <v>276</v>
      </c>
      <c r="C177" s="67" t="s">
        <v>277</v>
      </c>
      <c r="D177" s="207" t="s">
        <v>1442</v>
      </c>
      <c r="E177" s="149" t="s">
        <v>1269</v>
      </c>
      <c r="F177" s="149" t="s">
        <v>1443</v>
      </c>
      <c r="G177" s="149" t="s">
        <v>1444</v>
      </c>
      <c r="H177" s="66">
        <v>3</v>
      </c>
      <c r="I177" s="149" t="s">
        <v>1445</v>
      </c>
      <c r="J177" s="150">
        <v>43423</v>
      </c>
      <c r="K177" s="150">
        <v>43398</v>
      </c>
      <c r="L177" s="151" t="s">
        <v>283</v>
      </c>
      <c r="M177" s="151" t="s">
        <v>1446</v>
      </c>
      <c r="N177" s="152" t="s">
        <v>311</v>
      </c>
      <c r="O177" s="151">
        <v>9</v>
      </c>
      <c r="P177" s="153" t="s">
        <v>364</v>
      </c>
      <c r="Q177" s="154" t="s">
        <v>319</v>
      </c>
      <c r="R177" s="155" t="s">
        <v>320</v>
      </c>
      <c r="S177" s="155" t="s">
        <v>1447</v>
      </c>
      <c r="T177" s="156">
        <v>1</v>
      </c>
      <c r="U177" s="151" t="s">
        <v>322</v>
      </c>
      <c r="V177" s="151" t="s">
        <v>70</v>
      </c>
      <c r="W177" s="151" t="s">
        <v>249</v>
      </c>
      <c r="X177" s="151" t="s">
        <v>130</v>
      </c>
      <c r="Y177" s="151" t="s">
        <v>291</v>
      </c>
      <c r="Z177" s="151">
        <v>2</v>
      </c>
      <c r="AA177" s="151" t="s">
        <v>130</v>
      </c>
      <c r="AB177" s="151" t="s">
        <v>249</v>
      </c>
      <c r="AC177" s="151">
        <v>11</v>
      </c>
      <c r="AD177" s="151">
        <v>18</v>
      </c>
      <c r="AE177" s="182" t="s">
        <v>130</v>
      </c>
    </row>
    <row r="178" spans="1:31" ht="63.75">
      <c r="A178" s="66">
        <v>177</v>
      </c>
      <c r="B178" s="173" t="s">
        <v>276</v>
      </c>
      <c r="C178" s="67" t="s">
        <v>277</v>
      </c>
      <c r="D178" s="207" t="s">
        <v>1448</v>
      </c>
      <c r="E178" s="149" t="s">
        <v>1269</v>
      </c>
      <c r="F178" s="149" t="s">
        <v>1449</v>
      </c>
      <c r="G178" s="149" t="s">
        <v>1450</v>
      </c>
      <c r="H178" s="66">
        <v>4</v>
      </c>
      <c r="I178" s="149" t="s">
        <v>1451</v>
      </c>
      <c r="J178" s="150">
        <v>43423</v>
      </c>
      <c r="K178" s="150">
        <v>43398</v>
      </c>
      <c r="L178" s="151" t="s">
        <v>297</v>
      </c>
      <c r="M178" s="151" t="s">
        <v>1452</v>
      </c>
      <c r="N178" s="152" t="s">
        <v>299</v>
      </c>
      <c r="O178" s="151">
        <v>12</v>
      </c>
      <c r="P178" s="153" t="s">
        <v>1386</v>
      </c>
      <c r="Q178" s="154" t="s">
        <v>301</v>
      </c>
      <c r="R178" s="155" t="s">
        <v>302</v>
      </c>
      <c r="S178" s="155" t="s">
        <v>897</v>
      </c>
      <c r="T178" s="156">
        <v>1</v>
      </c>
      <c r="U178" s="151" t="s">
        <v>304</v>
      </c>
      <c r="V178" s="151" t="s">
        <v>70</v>
      </c>
      <c r="W178" s="151" t="s">
        <v>249</v>
      </c>
      <c r="X178" s="151" t="s">
        <v>130</v>
      </c>
      <c r="Y178" s="151" t="s">
        <v>291</v>
      </c>
      <c r="Z178" s="151">
        <v>-1</v>
      </c>
      <c r="AA178" s="151" t="s">
        <v>130</v>
      </c>
      <c r="AB178" s="151" t="s">
        <v>249</v>
      </c>
      <c r="AC178" s="151">
        <v>14</v>
      </c>
      <c r="AD178" s="151">
        <v>25</v>
      </c>
      <c r="AE178" s="182" t="s">
        <v>130</v>
      </c>
    </row>
    <row r="179" spans="1:31" ht="51">
      <c r="A179" s="66">
        <v>178</v>
      </c>
      <c r="B179" s="173" t="s">
        <v>276</v>
      </c>
      <c r="C179" s="67" t="s">
        <v>277</v>
      </c>
      <c r="D179" s="207" t="s">
        <v>1453</v>
      </c>
      <c r="E179" s="149" t="s">
        <v>1269</v>
      </c>
      <c r="F179" s="149" t="s">
        <v>1454</v>
      </c>
      <c r="G179" s="149" t="s">
        <v>1455</v>
      </c>
      <c r="H179" s="66">
        <v>3</v>
      </c>
      <c r="I179" s="149" t="s">
        <v>1456</v>
      </c>
      <c r="J179" s="150">
        <v>43423</v>
      </c>
      <c r="K179" s="150">
        <v>43398</v>
      </c>
      <c r="L179" s="151" t="s">
        <v>283</v>
      </c>
      <c r="M179" s="151" t="s">
        <v>1457</v>
      </c>
      <c r="N179" s="152" t="s">
        <v>311</v>
      </c>
      <c r="O179" s="151">
        <v>9</v>
      </c>
      <c r="P179" s="153" t="s">
        <v>364</v>
      </c>
      <c r="Q179" s="154" t="s">
        <v>287</v>
      </c>
      <c r="R179" s="155" t="s">
        <v>288</v>
      </c>
      <c r="S179" s="155" t="s">
        <v>1458</v>
      </c>
      <c r="T179" s="156">
        <v>1</v>
      </c>
      <c r="U179" s="151" t="s">
        <v>290</v>
      </c>
      <c r="V179" s="151" t="s">
        <v>70</v>
      </c>
      <c r="W179" s="151" t="s">
        <v>249</v>
      </c>
      <c r="X179" s="151" t="s">
        <v>130</v>
      </c>
      <c r="Y179" s="151" t="s">
        <v>291</v>
      </c>
      <c r="Z179" s="151">
        <v>-2</v>
      </c>
      <c r="AA179" s="151" t="s">
        <v>130</v>
      </c>
      <c r="AB179" s="151" t="s">
        <v>249</v>
      </c>
      <c r="AC179" s="151">
        <v>16</v>
      </c>
      <c r="AD179" s="151">
        <v>18</v>
      </c>
      <c r="AE179" s="182" t="s">
        <v>130</v>
      </c>
    </row>
    <row r="180" spans="1:31" ht="51">
      <c r="A180" s="66">
        <v>179</v>
      </c>
      <c r="B180" s="173" t="s">
        <v>276</v>
      </c>
      <c r="C180" s="67" t="s">
        <v>277</v>
      </c>
      <c r="D180" s="207" t="s">
        <v>1459</v>
      </c>
      <c r="E180" s="149" t="s">
        <v>1269</v>
      </c>
      <c r="F180" s="149" t="s">
        <v>1460</v>
      </c>
      <c r="G180" s="149" t="s">
        <v>1461</v>
      </c>
      <c r="H180" s="66">
        <v>3</v>
      </c>
      <c r="I180" s="149" t="s">
        <v>1462</v>
      </c>
      <c r="J180" s="150">
        <v>43423</v>
      </c>
      <c r="K180" s="150">
        <v>43396</v>
      </c>
      <c r="L180" s="151" t="s">
        <v>283</v>
      </c>
      <c r="M180" s="151" t="s">
        <v>1463</v>
      </c>
      <c r="N180" s="152" t="s">
        <v>1283</v>
      </c>
      <c r="O180" s="151">
        <v>9</v>
      </c>
      <c r="P180" s="153" t="s">
        <v>909</v>
      </c>
      <c r="Q180" s="154" t="s">
        <v>1284</v>
      </c>
      <c r="R180" s="155" t="s">
        <v>288</v>
      </c>
      <c r="S180" s="155" t="s">
        <v>1464</v>
      </c>
      <c r="T180" s="156">
        <v>1</v>
      </c>
      <c r="U180" s="151" t="s">
        <v>290</v>
      </c>
      <c r="V180" s="151" t="s">
        <v>70</v>
      </c>
      <c r="W180" s="151" t="s">
        <v>291</v>
      </c>
      <c r="X180" s="151">
        <v>50</v>
      </c>
      <c r="Y180" s="151" t="s">
        <v>291</v>
      </c>
      <c r="Z180" s="151">
        <v>46</v>
      </c>
      <c r="AA180" s="151" t="s">
        <v>130</v>
      </c>
      <c r="AB180" s="151" t="s">
        <v>249</v>
      </c>
      <c r="AC180" s="151">
        <v>0</v>
      </c>
      <c r="AD180" s="151">
        <v>4</v>
      </c>
      <c r="AE180" s="182" t="s">
        <v>130</v>
      </c>
    </row>
    <row r="181" spans="1:31" ht="51">
      <c r="A181" s="66">
        <v>180</v>
      </c>
      <c r="B181" s="173" t="s">
        <v>276</v>
      </c>
      <c r="C181" s="67" t="s">
        <v>277</v>
      </c>
      <c r="D181" s="207" t="s">
        <v>1465</v>
      </c>
      <c r="E181" s="149" t="s">
        <v>1269</v>
      </c>
      <c r="F181" s="149" t="s">
        <v>1466</v>
      </c>
      <c r="G181" s="149" t="s">
        <v>1467</v>
      </c>
      <c r="H181" s="66">
        <v>3</v>
      </c>
      <c r="I181" s="149" t="s">
        <v>1468</v>
      </c>
      <c r="J181" s="150">
        <v>43423</v>
      </c>
      <c r="K181" s="150">
        <v>43396</v>
      </c>
      <c r="L181" s="151" t="s">
        <v>283</v>
      </c>
      <c r="M181" s="151" t="s">
        <v>1469</v>
      </c>
      <c r="N181" s="152" t="s">
        <v>1470</v>
      </c>
      <c r="O181" s="151">
        <v>9</v>
      </c>
      <c r="P181" s="153" t="s">
        <v>286</v>
      </c>
      <c r="Q181" s="154" t="s">
        <v>1471</v>
      </c>
      <c r="R181" s="155" t="s">
        <v>320</v>
      </c>
      <c r="S181" s="155" t="s">
        <v>390</v>
      </c>
      <c r="T181" s="156">
        <v>1</v>
      </c>
      <c r="U181" s="151" t="s">
        <v>322</v>
      </c>
      <c r="V181" s="151" t="s">
        <v>70</v>
      </c>
      <c r="W181" s="151" t="s">
        <v>249</v>
      </c>
      <c r="X181" s="151" t="s">
        <v>130</v>
      </c>
      <c r="Y181" s="151" t="s">
        <v>291</v>
      </c>
      <c r="Z181" s="151">
        <v>-41</v>
      </c>
      <c r="AA181" s="151" t="s">
        <v>130</v>
      </c>
      <c r="AB181" s="151" t="s">
        <v>249</v>
      </c>
      <c r="AC181" s="151">
        <v>18</v>
      </c>
      <c r="AD181" s="151">
        <v>63</v>
      </c>
      <c r="AE181" s="182" t="s">
        <v>130</v>
      </c>
    </row>
    <row r="182" spans="1:31" ht="51">
      <c r="A182" s="66">
        <v>181</v>
      </c>
      <c r="B182" s="173" t="s">
        <v>276</v>
      </c>
      <c r="C182" s="67" t="s">
        <v>277</v>
      </c>
      <c r="D182" s="207" t="s">
        <v>1472</v>
      </c>
      <c r="E182" s="149" t="s">
        <v>1269</v>
      </c>
      <c r="F182" s="149" t="s">
        <v>1473</v>
      </c>
      <c r="G182" s="149" t="s">
        <v>1474</v>
      </c>
      <c r="H182" s="66">
        <v>3</v>
      </c>
      <c r="I182" s="149" t="s">
        <v>1475</v>
      </c>
      <c r="J182" s="150">
        <v>43423</v>
      </c>
      <c r="K182" s="150">
        <v>43399</v>
      </c>
      <c r="L182" s="151" t="s">
        <v>283</v>
      </c>
      <c r="M182" s="151" t="s">
        <v>1476</v>
      </c>
      <c r="N182" s="152" t="s">
        <v>311</v>
      </c>
      <c r="O182" s="151">
        <v>9</v>
      </c>
      <c r="P182" s="153" t="s">
        <v>286</v>
      </c>
      <c r="Q182" s="154" t="s">
        <v>287</v>
      </c>
      <c r="R182" s="155" t="s">
        <v>288</v>
      </c>
      <c r="S182" s="155" t="s">
        <v>1477</v>
      </c>
      <c r="T182" s="156">
        <v>1</v>
      </c>
      <c r="U182" s="151" t="s">
        <v>290</v>
      </c>
      <c r="V182" s="151" t="s">
        <v>70</v>
      </c>
      <c r="W182" s="151" t="s">
        <v>249</v>
      </c>
      <c r="X182" s="151" t="s">
        <v>130</v>
      </c>
      <c r="Y182" s="151" t="s">
        <v>291</v>
      </c>
      <c r="Z182" s="151">
        <v>6</v>
      </c>
      <c r="AA182" s="151" t="s">
        <v>130</v>
      </c>
      <c r="AB182" s="151" t="s">
        <v>249</v>
      </c>
      <c r="AC182" s="151">
        <v>11</v>
      </c>
      <c r="AD182" s="151">
        <v>21</v>
      </c>
      <c r="AE182" s="182" t="s">
        <v>130</v>
      </c>
    </row>
    <row r="183" spans="1:31" ht="51">
      <c r="A183" s="66">
        <v>182</v>
      </c>
      <c r="B183" s="173" t="s">
        <v>276</v>
      </c>
      <c r="C183" s="67" t="s">
        <v>277</v>
      </c>
      <c r="D183" s="207" t="s">
        <v>1478</v>
      </c>
      <c r="E183" s="149" t="s">
        <v>1269</v>
      </c>
      <c r="F183" s="149" t="s">
        <v>1479</v>
      </c>
      <c r="G183" s="149" t="s">
        <v>1480</v>
      </c>
      <c r="H183" s="66">
        <v>3</v>
      </c>
      <c r="I183" s="149" t="s">
        <v>1481</v>
      </c>
      <c r="J183" s="150">
        <v>43423</v>
      </c>
      <c r="K183" s="150">
        <v>43399</v>
      </c>
      <c r="L183" s="151" t="s">
        <v>283</v>
      </c>
      <c r="M183" s="151" t="s">
        <v>1482</v>
      </c>
      <c r="N183" s="152" t="s">
        <v>311</v>
      </c>
      <c r="O183" s="151">
        <v>9</v>
      </c>
      <c r="P183" s="153" t="s">
        <v>286</v>
      </c>
      <c r="Q183" s="154" t="s">
        <v>287</v>
      </c>
      <c r="R183" s="155" t="s">
        <v>288</v>
      </c>
      <c r="S183" s="155" t="s">
        <v>1483</v>
      </c>
      <c r="T183" s="156">
        <v>1</v>
      </c>
      <c r="U183" s="151" t="s">
        <v>290</v>
      </c>
      <c r="V183" s="151" t="s">
        <v>70</v>
      </c>
      <c r="W183" s="151" t="s">
        <v>249</v>
      </c>
      <c r="X183" s="151" t="s">
        <v>130</v>
      </c>
      <c r="Y183" s="151" t="s">
        <v>291</v>
      </c>
      <c r="Z183" s="151">
        <v>-92</v>
      </c>
      <c r="AA183" s="151" t="s">
        <v>130</v>
      </c>
      <c r="AB183" s="151" t="s">
        <v>249</v>
      </c>
      <c r="AC183" s="151">
        <v>11</v>
      </c>
      <c r="AD183" s="151">
        <v>116</v>
      </c>
      <c r="AE183" s="182" t="s">
        <v>130</v>
      </c>
    </row>
    <row r="184" spans="1:31" ht="63.75">
      <c r="A184" s="66">
        <v>183</v>
      </c>
      <c r="B184" s="173" t="s">
        <v>276</v>
      </c>
      <c r="C184" s="67" t="s">
        <v>277</v>
      </c>
      <c r="D184" s="207" t="s">
        <v>1484</v>
      </c>
      <c r="E184" s="149" t="s">
        <v>1269</v>
      </c>
      <c r="F184" s="149" t="s">
        <v>1485</v>
      </c>
      <c r="G184" s="149" t="s">
        <v>1486</v>
      </c>
      <c r="H184" s="66">
        <v>4</v>
      </c>
      <c r="I184" s="149" t="s">
        <v>1487</v>
      </c>
      <c r="J184" s="150">
        <v>43423</v>
      </c>
      <c r="K184" s="150">
        <v>43399</v>
      </c>
      <c r="L184" s="151" t="s">
        <v>297</v>
      </c>
      <c r="M184" s="151" t="s">
        <v>1488</v>
      </c>
      <c r="N184" s="152" t="s">
        <v>299</v>
      </c>
      <c r="O184" s="151">
        <v>12</v>
      </c>
      <c r="P184" s="153" t="s">
        <v>1386</v>
      </c>
      <c r="Q184" s="154" t="s">
        <v>301</v>
      </c>
      <c r="R184" s="155" t="s">
        <v>302</v>
      </c>
      <c r="S184" s="155" t="s">
        <v>1489</v>
      </c>
      <c r="T184" s="156">
        <v>1</v>
      </c>
      <c r="U184" s="151" t="s">
        <v>304</v>
      </c>
      <c r="V184" s="151" t="s">
        <v>70</v>
      </c>
      <c r="W184" s="151" t="s">
        <v>249</v>
      </c>
      <c r="X184" s="151" t="s">
        <v>130</v>
      </c>
      <c r="Y184" s="151" t="s">
        <v>291</v>
      </c>
      <c r="Z184" s="151">
        <v>-37</v>
      </c>
      <c r="AA184" s="151" t="s">
        <v>130</v>
      </c>
      <c r="AB184" s="151" t="s">
        <v>249</v>
      </c>
      <c r="AC184" s="151">
        <v>0</v>
      </c>
      <c r="AD184" s="151">
        <v>70</v>
      </c>
      <c r="AE184" s="182" t="s">
        <v>130</v>
      </c>
    </row>
    <row r="185" spans="1:31" ht="51">
      <c r="A185" s="66">
        <v>184</v>
      </c>
      <c r="B185" s="173" t="s">
        <v>276</v>
      </c>
      <c r="C185" s="67" t="s">
        <v>277</v>
      </c>
      <c r="D185" s="207" t="s">
        <v>1490</v>
      </c>
      <c r="E185" s="149" t="s">
        <v>1269</v>
      </c>
      <c r="F185" s="149" t="s">
        <v>1491</v>
      </c>
      <c r="G185" s="149" t="s">
        <v>1492</v>
      </c>
      <c r="H185" s="66">
        <v>3</v>
      </c>
      <c r="I185" s="149" t="s">
        <v>1493</v>
      </c>
      <c r="J185" s="150">
        <v>43423</v>
      </c>
      <c r="K185" s="150">
        <v>43399</v>
      </c>
      <c r="L185" s="151" t="s">
        <v>283</v>
      </c>
      <c r="M185" s="151" t="s">
        <v>1494</v>
      </c>
      <c r="N185" s="152" t="s">
        <v>329</v>
      </c>
      <c r="O185" s="151">
        <v>9</v>
      </c>
      <c r="P185" s="153" t="s">
        <v>286</v>
      </c>
      <c r="Q185" s="154" t="s">
        <v>331</v>
      </c>
      <c r="R185" s="155" t="s">
        <v>288</v>
      </c>
      <c r="S185" s="155" t="s">
        <v>1495</v>
      </c>
      <c r="T185" s="156">
        <v>1</v>
      </c>
      <c r="U185" s="151" t="s">
        <v>290</v>
      </c>
      <c r="V185" s="151" t="s">
        <v>70</v>
      </c>
      <c r="W185" s="151" t="s">
        <v>249</v>
      </c>
      <c r="X185" s="151" t="s">
        <v>130</v>
      </c>
      <c r="Y185" s="151" t="s">
        <v>291</v>
      </c>
      <c r="Z185" s="151">
        <v>3</v>
      </c>
      <c r="AA185" s="151" t="s">
        <v>130</v>
      </c>
      <c r="AB185" s="151" t="s">
        <v>249</v>
      </c>
      <c r="AC185" s="151">
        <v>7</v>
      </c>
      <c r="AD185" s="151">
        <v>14</v>
      </c>
      <c r="AE185" s="182" t="s">
        <v>130</v>
      </c>
    </row>
    <row r="186" spans="1:31" ht="51">
      <c r="A186" s="66">
        <v>185</v>
      </c>
      <c r="B186" s="173" t="s">
        <v>276</v>
      </c>
      <c r="C186" s="67" t="s">
        <v>277</v>
      </c>
      <c r="D186" s="207" t="s">
        <v>1496</v>
      </c>
      <c r="E186" s="149" t="s">
        <v>1269</v>
      </c>
      <c r="F186" s="149" t="s">
        <v>1497</v>
      </c>
      <c r="G186" s="149" t="s">
        <v>1498</v>
      </c>
      <c r="H186" s="66">
        <v>3</v>
      </c>
      <c r="I186" s="149" t="s">
        <v>1499</v>
      </c>
      <c r="J186" s="150">
        <v>43423</v>
      </c>
      <c r="K186" s="150">
        <v>43397</v>
      </c>
      <c r="L186" s="151" t="s">
        <v>283</v>
      </c>
      <c r="M186" s="151" t="s">
        <v>1500</v>
      </c>
      <c r="N186" s="152" t="s">
        <v>1283</v>
      </c>
      <c r="O186" s="151">
        <v>9</v>
      </c>
      <c r="P186" s="153" t="s">
        <v>330</v>
      </c>
      <c r="Q186" s="154" t="s">
        <v>1284</v>
      </c>
      <c r="R186" s="155" t="s">
        <v>288</v>
      </c>
      <c r="S186" s="155" t="s">
        <v>1501</v>
      </c>
      <c r="T186" s="156">
        <v>1</v>
      </c>
      <c r="U186" s="151" t="s">
        <v>290</v>
      </c>
      <c r="V186" s="151" t="s">
        <v>70</v>
      </c>
      <c r="W186" s="151" t="s">
        <v>249</v>
      </c>
      <c r="X186" s="151" t="s">
        <v>130</v>
      </c>
      <c r="Y186" s="151" t="s">
        <v>291</v>
      </c>
      <c r="Z186" s="151">
        <v>23</v>
      </c>
      <c r="AA186" s="151" t="s">
        <v>130</v>
      </c>
      <c r="AB186" s="151" t="s">
        <v>249</v>
      </c>
      <c r="AC186" s="151">
        <v>0</v>
      </c>
      <c r="AD186" s="151">
        <v>4</v>
      </c>
      <c r="AE186" s="182" t="s">
        <v>1502</v>
      </c>
    </row>
    <row r="187" spans="1:31" ht="51">
      <c r="A187" s="66">
        <v>186</v>
      </c>
      <c r="B187" s="173" t="s">
        <v>276</v>
      </c>
      <c r="C187" s="67" t="s">
        <v>277</v>
      </c>
      <c r="D187" s="207" t="s">
        <v>1503</v>
      </c>
      <c r="E187" s="149" t="s">
        <v>1269</v>
      </c>
      <c r="F187" s="149" t="s">
        <v>1504</v>
      </c>
      <c r="G187" s="149" t="s">
        <v>1505</v>
      </c>
      <c r="H187" s="66">
        <v>3</v>
      </c>
      <c r="I187" s="149" t="s">
        <v>1506</v>
      </c>
      <c r="J187" s="150">
        <v>43423</v>
      </c>
      <c r="K187" s="150">
        <v>43396</v>
      </c>
      <c r="L187" s="151" t="s">
        <v>283</v>
      </c>
      <c r="M187" s="151" t="s">
        <v>1507</v>
      </c>
      <c r="N187" s="152" t="s">
        <v>1470</v>
      </c>
      <c r="O187" s="151">
        <v>9</v>
      </c>
      <c r="P187" s="153" t="s">
        <v>286</v>
      </c>
      <c r="Q187" s="154" t="s">
        <v>1309</v>
      </c>
      <c r="R187" s="155" t="s">
        <v>288</v>
      </c>
      <c r="S187" s="155" t="s">
        <v>1508</v>
      </c>
      <c r="T187" s="156">
        <v>1</v>
      </c>
      <c r="U187" s="151" t="s">
        <v>290</v>
      </c>
      <c r="V187" s="151" t="s">
        <v>70</v>
      </c>
      <c r="W187" s="151" t="s">
        <v>249</v>
      </c>
      <c r="X187" s="151" t="s">
        <v>130</v>
      </c>
      <c r="Y187" s="151" t="s">
        <v>291</v>
      </c>
      <c r="Z187" s="151">
        <v>6</v>
      </c>
      <c r="AA187" s="151" t="s">
        <v>130</v>
      </c>
      <c r="AB187" s="151" t="s">
        <v>249</v>
      </c>
      <c r="AC187" s="151">
        <v>11</v>
      </c>
      <c r="AD187" s="151">
        <v>14</v>
      </c>
      <c r="AE187" s="182" t="s">
        <v>130</v>
      </c>
    </row>
    <row r="188" spans="1:31" ht="38.25">
      <c r="A188" s="66">
        <v>187</v>
      </c>
      <c r="B188" s="173" t="s">
        <v>276</v>
      </c>
      <c r="C188" s="67" t="s">
        <v>277</v>
      </c>
      <c r="D188" s="207" t="s">
        <v>1509</v>
      </c>
      <c r="E188" s="149" t="s">
        <v>1269</v>
      </c>
      <c r="F188" s="149" t="s">
        <v>1510</v>
      </c>
      <c r="G188" s="149" t="s">
        <v>1511</v>
      </c>
      <c r="H188" s="66">
        <v>2</v>
      </c>
      <c r="I188" s="149" t="s">
        <v>1512</v>
      </c>
      <c r="J188" s="150">
        <v>43423</v>
      </c>
      <c r="K188" s="150">
        <v>43395</v>
      </c>
      <c r="L188" s="151" t="s">
        <v>752</v>
      </c>
      <c r="M188" s="151" t="s">
        <v>1513</v>
      </c>
      <c r="N188" s="152" t="s">
        <v>1274</v>
      </c>
      <c r="O188" s="151">
        <v>6</v>
      </c>
      <c r="P188" s="153" t="s">
        <v>755</v>
      </c>
      <c r="Q188" s="154" t="s">
        <v>1275</v>
      </c>
      <c r="R188" s="155" t="s">
        <v>757</v>
      </c>
      <c r="S188" s="155" t="s">
        <v>1514</v>
      </c>
      <c r="T188" s="156">
        <v>1</v>
      </c>
      <c r="U188" s="151" t="s">
        <v>1277</v>
      </c>
      <c r="V188" s="151" t="s">
        <v>70</v>
      </c>
      <c r="W188" s="151" t="s">
        <v>249</v>
      </c>
      <c r="X188" s="151" t="s">
        <v>130</v>
      </c>
      <c r="Y188" s="151" t="s">
        <v>291</v>
      </c>
      <c r="Z188" s="151">
        <v>-8</v>
      </c>
      <c r="AA188" s="151" t="s">
        <v>130</v>
      </c>
      <c r="AB188" s="151" t="s">
        <v>249</v>
      </c>
      <c r="AC188" s="151">
        <v>22.5</v>
      </c>
      <c r="AD188" s="151">
        <v>30</v>
      </c>
      <c r="AE188" s="182" t="s">
        <v>130</v>
      </c>
    </row>
  </sheetData>
  <autoFilter ref="A1:AE1"/>
  <conditionalFormatting sqref="V1:W1 V189:W1048576">
    <cfRule type="containsText" dxfId="14" priority="3" operator="containsText" text="no">
      <formula>NOT(ISERROR(SEARCH("no",V1)))</formula>
    </cfRule>
  </conditionalFormatting>
  <conditionalFormatting sqref="V2:W2 V3:V188">
    <cfRule type="containsText" dxfId="13" priority="2" operator="containsText" text="no">
      <formula>NOT(ISERROR(SEARCH("no",V2)))</formula>
    </cfRule>
  </conditionalFormatting>
  <conditionalFormatting sqref="W3:W188">
    <cfRule type="containsText" dxfId="12" priority="1" operator="containsText" text="no">
      <formula>NOT(ISERROR(SEARCH("no",W3)))</formula>
    </cfRule>
  </conditionalFormatting>
  <pageMargins left="0.27" right="0.28999999999999998" top="0.74803149606299213" bottom="0.74803149606299213" header="0.31496062992125984" footer="0.31496062992125984"/>
  <pageSetup paperSize="9" orientation="landscape"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7030A0"/>
  </sheetPr>
  <dimension ref="A1:EQ6"/>
  <sheetViews>
    <sheetView topLeftCell="EA1" zoomScale="85" zoomScaleNormal="85" workbookViewId="0">
      <selection activeCell="EN1" sqref="EN1:EQ1"/>
    </sheetView>
  </sheetViews>
  <sheetFormatPr defaultRowHeight="15"/>
  <cols>
    <col min="1" max="1" width="5" bestFit="1" customWidth="1"/>
    <col min="2" max="2" width="41.85546875" customWidth="1"/>
    <col min="3" max="3" width="11" customWidth="1"/>
    <col min="6" max="6" width="2.140625" customWidth="1"/>
    <col min="7" max="9" width="2.140625" hidden="1" customWidth="1"/>
    <col min="10" max="10" width="25.7109375" customWidth="1"/>
    <col min="11" max="11" width="10.85546875" customWidth="1"/>
    <col min="12" max="12" width="21.28515625" customWidth="1"/>
    <col min="13" max="13" width="7.42578125" customWidth="1"/>
    <col min="14" max="16" width="5.42578125" customWidth="1"/>
    <col min="18" max="18" width="7" customWidth="1"/>
    <col min="19" max="19" width="7.140625" customWidth="1"/>
    <col min="20" max="20" width="9" customWidth="1"/>
    <col min="21" max="21" width="22.28515625" customWidth="1"/>
    <col min="22" max="22" width="16.7109375" customWidth="1"/>
    <col min="23" max="23" width="16" customWidth="1"/>
    <col min="24" max="24" width="1.85546875" customWidth="1"/>
    <col min="29" max="31" width="5.28515625" customWidth="1"/>
    <col min="33" max="33" width="6.5703125" customWidth="1"/>
    <col min="34" max="34" width="6.85546875" customWidth="1"/>
    <col min="35" max="35" width="8.7109375" customWidth="1"/>
    <col min="37" max="37" width="12.42578125" customWidth="1"/>
    <col min="38" max="38" width="14.7109375" customWidth="1"/>
    <col min="39" max="39" width="2.140625" customWidth="1"/>
    <col min="40" max="46" width="8.85546875" hidden="1" customWidth="1"/>
    <col min="47" max="47" width="2.42578125" hidden="1" customWidth="1"/>
    <col min="48" max="49" width="2.140625" hidden="1" customWidth="1"/>
    <col min="54" max="56" width="5.28515625" customWidth="1"/>
    <col min="58" max="60" width="5.5703125" customWidth="1"/>
    <col min="61" max="61" width="22.85546875" customWidth="1"/>
    <col min="63" max="63" width="7.7109375" customWidth="1"/>
    <col min="64" max="64" width="1.85546875" customWidth="1"/>
    <col min="65" max="65" width="9.5703125" customWidth="1"/>
    <col min="66" max="66" width="21.5703125" customWidth="1"/>
    <col min="68" max="68" width="5.140625" bestFit="1" customWidth="1"/>
    <col min="69" max="71" width="6" customWidth="1"/>
    <col min="72" max="72" width="9.140625" style="65"/>
    <col min="73" max="75" width="6.5703125" customWidth="1"/>
    <col min="76" max="76" width="25.7109375" style="65" customWidth="1"/>
    <col min="77" max="77" width="15.7109375" customWidth="1"/>
    <col min="78" max="78" width="21.140625" customWidth="1"/>
    <col min="79" max="79" width="3.140625" customWidth="1"/>
    <col min="80" max="82" width="7.7109375" hidden="1" customWidth="1"/>
    <col min="83" max="83" width="10.5703125" hidden="1" customWidth="1"/>
    <col min="84" max="84" width="13" hidden="1" customWidth="1"/>
    <col min="85" max="85" width="16.28515625" hidden="1" customWidth="1"/>
    <col min="86" max="86" width="12.140625" hidden="1" customWidth="1"/>
    <col min="87" max="89" width="3.140625" hidden="1" customWidth="1"/>
    <col min="90" max="91" width="5.28515625" customWidth="1"/>
    <col min="94" max="96" width="6.5703125" customWidth="1"/>
    <col min="98" max="100" width="5.85546875" customWidth="1"/>
    <col min="101" max="101" width="19" customWidth="1"/>
    <col min="102" max="102" width="17.42578125" customWidth="1"/>
    <col min="103" max="103" width="22.7109375" customWidth="1"/>
    <col min="104" max="104" width="3" customWidth="1"/>
    <col min="105" max="105" width="18" customWidth="1"/>
    <col min="106" max="106" width="11.5703125" customWidth="1"/>
    <col min="107" max="107" width="25.85546875" customWidth="1"/>
    <col min="109" max="111" width="6.5703125" customWidth="1"/>
    <col min="113" max="115" width="5.85546875" customWidth="1"/>
    <col min="116" max="116" width="19" customWidth="1"/>
    <col min="117" max="117" width="22.42578125" customWidth="1"/>
    <col min="118" max="118" width="22.7109375" customWidth="1"/>
    <col min="119" max="134" width="5.42578125" customWidth="1"/>
    <col min="140" max="140" width="25.28515625" customWidth="1"/>
    <col min="141" max="141" width="12.28515625" bestFit="1" customWidth="1"/>
    <col min="142" max="142" width="15.5703125" bestFit="1" customWidth="1"/>
    <col min="143" max="143" width="26.5703125" bestFit="1" customWidth="1"/>
  </cols>
  <sheetData>
    <row r="1" spans="1:147" ht="63.75">
      <c r="A1" s="60" t="s">
        <v>248</v>
      </c>
      <c r="B1" s="60" t="s">
        <v>1516</v>
      </c>
      <c r="C1" s="60" t="s">
        <v>1518</v>
      </c>
      <c r="D1" s="55" t="s">
        <v>1522</v>
      </c>
      <c r="E1" s="55" t="s">
        <v>1521</v>
      </c>
      <c r="F1" s="61" t="s">
        <v>73</v>
      </c>
      <c r="G1" s="61"/>
      <c r="H1" s="61"/>
      <c r="I1" s="61"/>
      <c r="J1" s="55" t="s">
        <v>1626</v>
      </c>
      <c r="K1" s="55" t="s">
        <v>1627</v>
      </c>
      <c r="L1" s="55" t="s">
        <v>1628</v>
      </c>
      <c r="M1" s="55" t="s">
        <v>1629</v>
      </c>
      <c r="N1" s="56" t="s">
        <v>1630</v>
      </c>
      <c r="O1" s="56" t="s">
        <v>1631</v>
      </c>
      <c r="P1" s="56" t="s">
        <v>1632</v>
      </c>
      <c r="Q1" s="55" t="s">
        <v>1633</v>
      </c>
      <c r="R1" s="56" t="s">
        <v>1634</v>
      </c>
      <c r="S1" s="56" t="s">
        <v>1635</v>
      </c>
      <c r="T1" s="56" t="s">
        <v>1636</v>
      </c>
      <c r="U1" s="55" t="s">
        <v>1637</v>
      </c>
      <c r="V1" s="55" t="s">
        <v>1638</v>
      </c>
      <c r="W1" s="55" t="s">
        <v>1639</v>
      </c>
      <c r="X1" s="61" t="s">
        <v>74</v>
      </c>
      <c r="Y1" s="58" t="s">
        <v>1640</v>
      </c>
      <c r="Z1" s="58" t="s">
        <v>1641</v>
      </c>
      <c r="AA1" s="58" t="s">
        <v>1642</v>
      </c>
      <c r="AB1" s="58" t="s">
        <v>1643</v>
      </c>
      <c r="AC1" s="56" t="s">
        <v>1644</v>
      </c>
      <c r="AD1" s="56" t="s">
        <v>1645</v>
      </c>
      <c r="AE1" s="56" t="s">
        <v>1646</v>
      </c>
      <c r="AF1" s="58" t="s">
        <v>1647</v>
      </c>
      <c r="AG1" s="56" t="s">
        <v>1648</v>
      </c>
      <c r="AH1" s="56" t="s">
        <v>1649</v>
      </c>
      <c r="AI1" s="56" t="s">
        <v>1650</v>
      </c>
      <c r="AJ1" s="58" t="s">
        <v>1651</v>
      </c>
      <c r="AK1" s="58" t="s">
        <v>1652</v>
      </c>
      <c r="AL1" s="58" t="s">
        <v>1653</v>
      </c>
      <c r="AM1" s="61" t="s">
        <v>75</v>
      </c>
      <c r="AN1" s="64"/>
      <c r="AO1" s="64"/>
      <c r="AP1" s="64"/>
      <c r="AQ1" s="64"/>
      <c r="AR1" s="64"/>
      <c r="AS1" s="64"/>
      <c r="AT1" s="64"/>
      <c r="AU1" s="64"/>
      <c r="AV1" s="64"/>
      <c r="AW1" s="64"/>
      <c r="AX1" s="59" t="s">
        <v>1654</v>
      </c>
      <c r="AY1" s="59" t="s">
        <v>1655</v>
      </c>
      <c r="AZ1" s="59" t="s">
        <v>1656</v>
      </c>
      <c r="BA1" s="59" t="s">
        <v>1657</v>
      </c>
      <c r="BB1" s="56" t="s">
        <v>1658</v>
      </c>
      <c r="BC1" s="56" t="s">
        <v>1659</v>
      </c>
      <c r="BD1" s="56" t="s">
        <v>1660</v>
      </c>
      <c r="BE1" s="59" t="s">
        <v>1661</v>
      </c>
      <c r="BF1" s="56" t="s">
        <v>1662</v>
      </c>
      <c r="BG1" s="56" t="s">
        <v>1663</v>
      </c>
      <c r="BH1" s="56" t="s">
        <v>1664</v>
      </c>
      <c r="BI1" s="59" t="s">
        <v>1665</v>
      </c>
      <c r="BJ1" s="59" t="s">
        <v>1666</v>
      </c>
      <c r="BK1" s="59" t="s">
        <v>1667</v>
      </c>
      <c r="BL1" s="61" t="s">
        <v>76</v>
      </c>
      <c r="BM1" s="226" t="s">
        <v>1668</v>
      </c>
      <c r="BN1" s="226" t="s">
        <v>1669</v>
      </c>
      <c r="BO1" s="226" t="s">
        <v>1670</v>
      </c>
      <c r="BP1" s="226" t="s">
        <v>1671</v>
      </c>
      <c r="BQ1" s="56" t="s">
        <v>1672</v>
      </c>
      <c r="BR1" s="56" t="s">
        <v>1673</v>
      </c>
      <c r="BS1" s="56" t="s">
        <v>1674</v>
      </c>
      <c r="BT1" s="226" t="s">
        <v>1675</v>
      </c>
      <c r="BU1" s="56" t="s">
        <v>1676</v>
      </c>
      <c r="BV1" s="56" t="s">
        <v>1677</v>
      </c>
      <c r="BW1" s="56" t="s">
        <v>1678</v>
      </c>
      <c r="BX1" s="226" t="s">
        <v>1679</v>
      </c>
      <c r="BY1" s="226" t="s">
        <v>1680</v>
      </c>
      <c r="BZ1" s="226" t="s">
        <v>1681</v>
      </c>
      <c r="CA1" s="62" t="s">
        <v>77</v>
      </c>
      <c r="CB1" s="57"/>
      <c r="CC1" s="57"/>
      <c r="CD1" s="57"/>
      <c r="CE1" s="57"/>
      <c r="CF1" s="57"/>
      <c r="CG1" s="57"/>
      <c r="CH1" s="57"/>
      <c r="CI1" s="57"/>
      <c r="CJ1" s="57"/>
      <c r="CK1" s="57"/>
      <c r="CL1" s="227" t="s">
        <v>1682</v>
      </c>
      <c r="CM1" s="227" t="s">
        <v>1683</v>
      </c>
      <c r="CN1" s="227" t="s">
        <v>1684</v>
      </c>
      <c r="CO1" s="227" t="s">
        <v>1685</v>
      </c>
      <c r="CP1" s="56" t="s">
        <v>1686</v>
      </c>
      <c r="CQ1" s="56" t="s">
        <v>1687</v>
      </c>
      <c r="CR1" s="56" t="s">
        <v>1688</v>
      </c>
      <c r="CS1" s="227" t="s">
        <v>1689</v>
      </c>
      <c r="CT1" s="56" t="s">
        <v>1690</v>
      </c>
      <c r="CU1" s="56" t="s">
        <v>1691</v>
      </c>
      <c r="CV1" s="56" t="s">
        <v>1692</v>
      </c>
      <c r="CW1" s="227" t="s">
        <v>1693</v>
      </c>
      <c r="CX1" s="227" t="s">
        <v>1694</v>
      </c>
      <c r="CY1" s="227" t="s">
        <v>1695</v>
      </c>
      <c r="CZ1" s="62" t="s">
        <v>78</v>
      </c>
      <c r="DA1" s="228" t="s">
        <v>1696</v>
      </c>
      <c r="DB1" s="228" t="s">
        <v>1697</v>
      </c>
      <c r="DC1" s="228" t="s">
        <v>1698</v>
      </c>
      <c r="DD1" s="228" t="s">
        <v>1699</v>
      </c>
      <c r="DE1" s="56" t="s">
        <v>1700</v>
      </c>
      <c r="DF1" s="56" t="s">
        <v>1701</v>
      </c>
      <c r="DG1" s="56" t="s">
        <v>1702</v>
      </c>
      <c r="DH1" s="228" t="s">
        <v>1703</v>
      </c>
      <c r="DI1" s="56" t="s">
        <v>1704</v>
      </c>
      <c r="DJ1" s="56" t="s">
        <v>1705</v>
      </c>
      <c r="DK1" s="56" t="s">
        <v>1706</v>
      </c>
      <c r="DL1" s="228" t="s">
        <v>1707</v>
      </c>
      <c r="DM1" s="228" t="s">
        <v>1708</v>
      </c>
      <c r="DN1" s="228" t="s">
        <v>1709</v>
      </c>
      <c r="DO1" s="57"/>
      <c r="DP1" s="57"/>
      <c r="DQ1" s="57"/>
      <c r="DR1" s="57"/>
      <c r="DS1" s="57"/>
      <c r="DT1" s="57"/>
      <c r="DU1" s="57"/>
      <c r="DV1" s="57"/>
      <c r="DW1" s="57"/>
      <c r="DX1" s="57"/>
      <c r="DY1" s="57"/>
      <c r="DZ1" s="57"/>
      <c r="EA1" s="5" t="s">
        <v>1548</v>
      </c>
      <c r="EB1" s="5" t="s">
        <v>1549</v>
      </c>
      <c r="EC1" s="5" t="s">
        <v>1545</v>
      </c>
      <c r="ED1" s="5" t="s">
        <v>1550</v>
      </c>
      <c r="EE1" s="5" t="s">
        <v>1551</v>
      </c>
      <c r="EF1" s="5" t="s">
        <v>1552</v>
      </c>
      <c r="EG1" s="5" t="s">
        <v>1544</v>
      </c>
      <c r="EH1" s="206" t="s">
        <v>1542</v>
      </c>
      <c r="EI1" s="206" t="s">
        <v>1543</v>
      </c>
      <c r="EJ1" s="209" t="s">
        <v>1546</v>
      </c>
      <c r="EK1" s="210" t="s">
        <v>1532</v>
      </c>
      <c r="EL1" s="210" t="s">
        <v>1553</v>
      </c>
      <c r="EM1" s="210" t="s">
        <v>1554</v>
      </c>
      <c r="EN1" s="229" t="s">
        <v>1624</v>
      </c>
      <c r="EO1" s="230">
        <v>5</v>
      </c>
      <c r="EP1" s="229" t="s">
        <v>1625</v>
      </c>
      <c r="EQ1" s="230">
        <v>116</v>
      </c>
    </row>
    <row r="2" spans="1:147" s="99" customFormat="1">
      <c r="A2" s="215" t="e">
        <f>#REF!</f>
        <v>#REF!</v>
      </c>
      <c r="B2" s="216" t="e">
        <f>#REF!</f>
        <v>#REF!</v>
      </c>
      <c r="C2" s="217" t="e">
        <f>#REF!</f>
        <v>#REF!</v>
      </c>
      <c r="D2" s="217" t="e">
        <f>#REF!</f>
        <v>#REF!</v>
      </c>
      <c r="E2" s="215" t="e">
        <f>#REF!</f>
        <v>#REF!</v>
      </c>
      <c r="F2" s="218"/>
      <c r="G2" s="218"/>
      <c r="H2" s="218"/>
      <c r="I2" s="218"/>
      <c r="J2" s="219" t="e">
        <f>IF(E2&gt;1,LEFT(#REF!,FIND("/",#REF!,1)-1),#REF!)</f>
        <v>#REF!</v>
      </c>
      <c r="K2" s="219" t="e">
        <f>IF(E2&gt;1,LEFT(#REF!,FIND(";",#REF!,1)-1),#REF!)</f>
        <v>#REF!</v>
      </c>
      <c r="L2" s="219" t="e">
        <f>IF(E2&gt;1,LEFT(#REF!,FIND(";",#REF!,1)-1),#REF!)</f>
        <v>#REF!</v>
      </c>
      <c r="M2" s="219" t="e">
        <f>(LEN(Q2)+1)/2</f>
        <v>#REF!</v>
      </c>
      <c r="N2" s="219" t="e">
        <f>MID(Q2,1,1)</f>
        <v>#REF!</v>
      </c>
      <c r="O2" s="219" t="e">
        <f>MID(Q2,3,1)</f>
        <v>#REF!</v>
      </c>
      <c r="P2" s="219" t="e">
        <f>MID(Q2,5,1)</f>
        <v>#REF!</v>
      </c>
      <c r="Q2" s="219" t="e">
        <f>IF(E2&gt;1,LEFT(#REF!,FIND(";",#REF!,1)-1),#REF!)</f>
        <v>#REF!</v>
      </c>
      <c r="R2" s="219" t="e">
        <f>MID(U2,1,FIND("W",U2,1)-1)</f>
        <v>#REF!</v>
      </c>
      <c r="S2" s="219" t="e">
        <f>MID(U2,FIND("W",U2,1)+2,FIND("W",U2,FIND("W",U2,1)+1)-FIND("W",U2,1)-2)</f>
        <v>#REF!</v>
      </c>
      <c r="T2" s="219" t="e">
        <f>MID(U2,FIND("W",U2,FIND("W",U2,1)+1)+2,LEN(U2)-FIND("W",U2,FIND("W",U2,1)+1)-2)</f>
        <v>#REF!</v>
      </c>
      <c r="U2" s="219" t="e">
        <f>IF(E2&gt;1,LEFT(#REF!,FIND(";",#REF!,1)-1),#REF!)</f>
        <v>#REF!</v>
      </c>
      <c r="V2" s="219" t="e">
        <f>IF(E2&gt;1,LEFT(#REF!,FIND("/",#REF!,1)-1),#REF!)</f>
        <v>#REF!</v>
      </c>
      <c r="W2" s="219" t="e">
        <f>IF(E2&gt;1,LEFT(#REF!,FIND(";",#REF!,1)-1),#REF!)</f>
        <v>#REF!</v>
      </c>
      <c r="X2" s="220"/>
      <c r="Y2" s="221" t="e">
        <f>IF(E2&gt;2,MID(#REF!,LEN(Temp!J2)+2,FIND("/",#REF!,LEN(Temp!J2)+2)-LEN(Temp!J2)-2),IF(E2=2,RIGHT(#REF!,LEN(#REF!)-LEN(Temp!J2)-1),""))</f>
        <v>#REF!</v>
      </c>
      <c r="Z2" s="221" t="e">
        <f>IF(E2&gt;2,MID(#REF!,LEN(Temp!K2)+2,FIND(";",#REF!,LEN(Temp!K2)+2)-LEN(Temp!K2)-2),IF(E2=2,RIGHT(#REF!,LEN(#REF!)-LEN(Temp!K2)-1),""))</f>
        <v>#REF!</v>
      </c>
      <c r="AA2" s="221" t="e">
        <f>IF(E2&gt;2,MID(#REF!,LEN(Temp!L2)+2,FIND(";",#REF!,LEN(Temp!L2)+2)-LEN(Temp!L2)-2),IF(E2=2,RIGHT(#REF!,LEN(#REF!)-LEN(Temp!L2)-1),""))</f>
        <v>#REF!</v>
      </c>
      <c r="AB2" s="222" t="e">
        <f>IF(AF2="","",(LEN(AF2)+1)/2)</f>
        <v>#REF!</v>
      </c>
      <c r="AC2" s="222" t="e">
        <f>MID(AF2,1,1)</f>
        <v>#REF!</v>
      </c>
      <c r="AD2" s="222" t="e">
        <f>MID(AF2,3,1)</f>
        <v>#REF!</v>
      </c>
      <c r="AE2" s="222" t="e">
        <f>MID(AF2,5,1)</f>
        <v>#REF!</v>
      </c>
      <c r="AF2" s="221" t="e">
        <f>IF(E2&gt;2,MID(#REF!,LEN(Temp!Q2)+2,FIND(";",#REF!,LEN(Temp!Q2)+2)-LEN(Temp!Q2)-2),IF(E2=2,RIGHT(#REF!,LEN(#REF!)-LEN(Temp!Q2)-1),""))</f>
        <v>#REF!</v>
      </c>
      <c r="AG2" s="219" t="e">
        <f>IF(LEN(AJ2)&gt;0,MID(AJ2,1,FIND("W",AJ2,1)-1),"")</f>
        <v>#REF!</v>
      </c>
      <c r="AH2" s="219" t="e">
        <f>IF(LEN(AJ2)&gt;0,MID(AJ2,FIND("W",AJ2,1)+2,FIND("W",AJ2,FIND("W",AJ2,1)+1)-FIND("W",AJ2,1)-2),"")</f>
        <v>#REF!</v>
      </c>
      <c r="AI2" s="219" t="e">
        <f>IF(LEN(AJ2)&gt;0,MID(AJ2,FIND("W",AJ2,FIND("W",AJ2,1)+1)+2,LEN(AJ2)-FIND("W",AJ2,FIND("W",AJ2,1)+1)-2),"")</f>
        <v>#REF!</v>
      </c>
      <c r="AJ2" s="221" t="e">
        <f>IF(E2&gt;2,MID(#REF!,LEN(Temp!U2)+2,FIND(";",#REF!,LEN(Temp!U2)+2)-LEN(Temp!U2)-2),IF(E2=2,RIGHT(#REF!,LEN(#REF!)-LEN(Temp!U2)-1),""))</f>
        <v>#REF!</v>
      </c>
      <c r="AK2" s="221" t="e">
        <f>IF(E2&gt;2,MID(#REF!,LEN(Temp!V2)+2,FIND("/",#REF!,LEN(Temp!V2)+2)-LEN(Temp!V2)-2),IF(E2=2,RIGHT(#REF!,LEN(#REF!)-LEN(Temp!V2)-1),""))</f>
        <v>#REF!</v>
      </c>
      <c r="AL2" s="221" t="e">
        <f>IF(E2&gt;2,MID(#REF!,LEN(Temp!W2)+2,FIND(";",#REF!,LEN(Temp!W2)+2)-LEN(Temp!W2)-2),IF(E2=2,RIGHT(#REF!,LEN(#REF!)-LEN(Temp!W2)-1),""))</f>
        <v>#REF!</v>
      </c>
      <c r="AM2" s="220"/>
      <c r="AN2" s="222" t="e">
        <f>IF(E2&gt;2,RIGHT(#REF!,LEN(#REF!)-LEN(Temp!J2)-LEN(Temp!Y2)-2),"")</f>
        <v>#REF!</v>
      </c>
      <c r="AO2" s="222" t="e">
        <f>IF(E2&gt;2,RIGHT(#REF!,LEN(#REF!)-LEN(Temp!K2)-LEN(Temp!Z2)-2),"")</f>
        <v>#REF!</v>
      </c>
      <c r="AP2" s="222" t="e">
        <f>IF(E2&gt;2,RIGHT(#REF!,LEN(#REF!)-LEN(Temp!L2)-LEN(Temp!AA2)-2),"")</f>
        <v>#REF!</v>
      </c>
      <c r="AQ2" s="222" t="e">
        <f>IF(E2&gt;2,RIGHT(#REF!,LEN(#REF!)-LEN(Temp!Q2)-LEN(Temp!AF2)-2),"")</f>
        <v>#REF!</v>
      </c>
      <c r="AR2" s="222" t="e">
        <f>IF(E2&gt;2,RIGHT(#REF!,LEN(#REF!)-LEN(U2)-LEN(Temp!AJ2)-2),"")</f>
        <v>#REF!</v>
      </c>
      <c r="AS2" s="222" t="e">
        <f>IF(E2&gt;2,RIGHT(#REF!,LEN(#REF!)-LEN(V2)-LEN(Temp!AK2)-2),"")</f>
        <v>#REF!</v>
      </c>
      <c r="AT2" s="222" t="e">
        <f>IF(E2&gt;2,RIGHT(#REF!,LEN(#REF!)-LEN(W2)-LEN(Temp!AL2)-2),"")</f>
        <v>#REF!</v>
      </c>
      <c r="AU2" s="222"/>
      <c r="AV2" s="222"/>
      <c r="AW2" s="222"/>
      <c r="AX2" s="222" t="e">
        <f>IF(E2&gt;3,LEFT(AN2,FIND("/",AN2,1)-1),AN2)</f>
        <v>#REF!</v>
      </c>
      <c r="AY2" s="222" t="e">
        <f>IF(E2&gt;3,LEFT(AO2,FIND(";",AO2,1)-1),AO2)</f>
        <v>#REF!</v>
      </c>
      <c r="AZ2" s="222" t="e">
        <f>IF(E2&gt;3,LEFT(AP2,FIND(";",AP2,1)-1),AP2)</f>
        <v>#REF!</v>
      </c>
      <c r="BA2" s="222" t="e">
        <f>IF(BE2="","",(LEN(BE2)+1)/2)</f>
        <v>#REF!</v>
      </c>
      <c r="BB2" s="222" t="e">
        <f>MID(BE2,1,1)</f>
        <v>#REF!</v>
      </c>
      <c r="BC2" s="222" t="e">
        <f>MID(BE2,3,1)</f>
        <v>#REF!</v>
      </c>
      <c r="BD2" s="222" t="e">
        <f>MID(BE2,5,1)</f>
        <v>#REF!</v>
      </c>
      <c r="BE2" s="222" t="e">
        <f>IF(E2&gt;3,LEFT(AQ2,FIND(";",AQ2,1)-1),AQ2)</f>
        <v>#REF!</v>
      </c>
      <c r="BF2" s="219" t="e">
        <f>IF(LEN(BI2)&gt;0,MID(BI2,1,FIND("W",BI2,1)-1),"")</f>
        <v>#REF!</v>
      </c>
      <c r="BG2" s="219" t="e">
        <f>IF(LEN(BI2)&gt;0,MID(BI2,FIND("W",BI2,1)+2,FIND("W",BI2,FIND("W",BI2,1)+1)-FIND("W",BI2,1)-2),"")</f>
        <v>#REF!</v>
      </c>
      <c r="BH2" s="219" t="e">
        <f>IF(LEN(BI2)&gt;0,MID(BI2,FIND("W",BI2,FIND("W",BI2,1)+1)+2,LEN(BI2)-FIND("W",BI2,FIND("W",BI2,1)+1)-2),"")</f>
        <v>#REF!</v>
      </c>
      <c r="BI2" s="222" t="e">
        <f>IF(E2&gt;3,LEFT(AR2,FIND(";",AR2,1)-1),AR2)</f>
        <v>#REF!</v>
      </c>
      <c r="BJ2" s="222" t="e">
        <f>IF(E2&gt;3,LEFT(AS2,FIND("/",AS2,1)-1),AS2)</f>
        <v>#REF!</v>
      </c>
      <c r="BK2" s="222" t="e">
        <f>IF(E2&gt;3,LEFT(AT2,FIND(";",AT2,1)-1),AT2)</f>
        <v>#REF!</v>
      </c>
      <c r="BL2" s="218"/>
      <c r="BM2" s="216" t="e">
        <f>IF(E2&gt;4,MID(AN2,LEN(AX2)+2,FIND("/",AN2,LEN(AX2)+2)-LEN(AX2)-2),IF(E2=4,RIGHT(AN2,LEN(AN2)-LEN(AX2)-1),""))</f>
        <v>#REF!</v>
      </c>
      <c r="BN2" s="216" t="e">
        <f>IF(E2&gt;4,MID(AO2,LEN(AY2)+2,FIND(";",AO2,LEN(AY2)+2)-LEN(AY2)-2),IF(E2=4,RIGHT(AO2,LEN(AO2)-LEN(AY2)-1),""))</f>
        <v>#REF!</v>
      </c>
      <c r="BO2" s="216" t="e">
        <f>IF(E2&gt;4,MID(AP2,LEN(AZ2)+2,FIND(";",AP2,LEN(AZ2)+2)-LEN(AZ2)-2),IF(E2=4,RIGHT(AP2,LEN(AP2)-LEN(AZ2)-1),""))</f>
        <v>#REF!</v>
      </c>
      <c r="BP2" s="222" t="e">
        <f>IF(BT2="","",(LEN(BT2)+1)/2)</f>
        <v>#REF!</v>
      </c>
      <c r="BQ2" s="222" t="e">
        <f>MID(BT2,1,1)</f>
        <v>#REF!</v>
      </c>
      <c r="BR2" s="222" t="e">
        <f>MID(BT2,3,1)</f>
        <v>#REF!</v>
      </c>
      <c r="BS2" s="222" t="e">
        <f>MID(BT2,5,1)</f>
        <v>#REF!</v>
      </c>
      <c r="BT2" s="223" t="e">
        <f>IF(E2&gt;4,MID(AQ2,LEN(BE2)+2,FIND(";",AQ2,LEN(BE2)+2)-LEN(BE2)-2),IF(E2=4,RIGHT(AQ2,LEN(AQ2)-LEN(BE2)-1),""))</f>
        <v>#REF!</v>
      </c>
      <c r="BU2" s="219" t="e">
        <f>IF(LEN(BX2)&gt;0,MID(BX2,1,FIND("W",BX2,1)-1),"")</f>
        <v>#REF!</v>
      </c>
      <c r="BV2" s="219" t="e">
        <f>IF(LEN(BX2)&gt;0,MID(BX2,FIND("W",BX2,1)+2,FIND("W",BX2,FIND("W",BX2,1)+1)-FIND("W",BX2,1)-2),"")</f>
        <v>#REF!</v>
      </c>
      <c r="BW2" s="219" t="e">
        <f>IF(LEN(BX2)&gt;0,MID(BX2,FIND("W",BX2,FIND("W",BX2,1)+1)+2,LEN(BX2)-FIND("W",BX2,FIND("W",BX2,1)+1)-2),"")</f>
        <v>#REF!</v>
      </c>
      <c r="BX2" s="223" t="e">
        <f>IF(E2&gt;4,MID(AR2,LEN(BI2)+2,FIND(";",AR2,LEN(BI2)+2)-LEN(BI2)-2),IF(E2=4,RIGHT(AR2,LEN(AR2)-LEN(BI2)-1),""))</f>
        <v>#REF!</v>
      </c>
      <c r="BY2" s="223" t="e">
        <f>IF(E2&gt;4,MID(AS2,LEN(BJ2)+2,FIND("/",AS2,LEN(BJ2)+2)-LEN(BJ2)-2),IF(E2=4,RIGHT(AS2,LEN(AS2)-LEN(BJ2)-1),""))</f>
        <v>#REF!</v>
      </c>
      <c r="BZ2" s="223" t="e">
        <f>IF(E2&gt;4,MID(AT2,LEN(BK2)+2,FIND(";",AT2,LEN(BK2)+2)-LEN(BK2)-2),IF(E2=4,RIGHT(AT2,LEN(AT2)-LEN(BK2)-1),""))</f>
        <v>#REF!</v>
      </c>
      <c r="CA2" s="218"/>
      <c r="CB2" s="222" t="e">
        <f>IF(E2&gt;4,RIGHT(AN2,LEN(AN2)-LEN(AX2)-LEN(Temp!BM2)-2),"")</f>
        <v>#REF!</v>
      </c>
      <c r="CC2" s="222" t="e">
        <f>IF(E2&gt;4,RIGHT(AO2,LEN(AO2)-LEN(AY2)-LEN(Temp!BN2)-2),"")</f>
        <v>#REF!</v>
      </c>
      <c r="CD2" s="222" t="e">
        <f>IF(E2&gt;4,RIGHT(AP2,LEN(AP2)-LEN(AZ2)-LEN(Temp!BO2)-2),"")</f>
        <v>#REF!</v>
      </c>
      <c r="CE2" s="222" t="e">
        <f>IF(E2&gt;4,RIGHT(AQ2,LEN(AQ2)-LEN(BE2)-LEN(BT2)-2),"")</f>
        <v>#REF!</v>
      </c>
      <c r="CF2" s="222" t="e">
        <f>IF(E2&gt;4,RIGHT(AR2,LEN(AR2)-LEN(BI2)-LEN(BX2)-2),"")</f>
        <v>#REF!</v>
      </c>
      <c r="CG2" s="222" t="e">
        <f>IF(E2&gt;4,RIGHT(AS2,LEN(AS2)-LEN(BJ2)-LEN(BY2)-2),"")</f>
        <v>#REF!</v>
      </c>
      <c r="CH2" s="222" t="e">
        <f>IF(E2&gt;4,RIGHT(AT2,LEN(AT2)-LEN(BK2)-LEN(BZ2)-2),"")</f>
        <v>#REF!</v>
      </c>
      <c r="CI2" s="222"/>
      <c r="CJ2" s="224"/>
      <c r="CK2" s="224"/>
      <c r="CL2" s="222" t="e">
        <f>IF(E2&gt;5,LEFT(CB2,FIND("/",CB2,1)-1),CB2)</f>
        <v>#REF!</v>
      </c>
      <c r="CM2" s="222" t="e">
        <f>IF(E2&gt;5,LEFT(CC2,FIND(";",CC2,1)-1),CC2)</f>
        <v>#REF!</v>
      </c>
      <c r="CN2" s="222" t="e">
        <f>IF(E2&gt;5,LEFT(CD2,FIND(";",CD2,1)-1),CD2)</f>
        <v>#REF!</v>
      </c>
      <c r="CO2" s="222" t="e">
        <f>IF(CS2="","",(LEN(CS2)+1)/2)</f>
        <v>#REF!</v>
      </c>
      <c r="CP2" s="222" t="e">
        <f>MID(CS2,1,1)</f>
        <v>#REF!</v>
      </c>
      <c r="CQ2" s="222" t="e">
        <f>MID(CS2,3,1)</f>
        <v>#REF!</v>
      </c>
      <c r="CR2" s="222" t="e">
        <f>MID(CS2,5,1)</f>
        <v>#REF!</v>
      </c>
      <c r="CS2" s="222" t="e">
        <f>IF(E2&gt;5,LEFT(CE2,FIND(";",CE2,1)-1),CE2)</f>
        <v>#REF!</v>
      </c>
      <c r="CT2" s="219" t="e">
        <f>IF(LEN(CW2)&gt;0,MID(CW2,1,FIND("W",CW2,1)-1),"")</f>
        <v>#REF!</v>
      </c>
      <c r="CU2" s="219" t="e">
        <f>IF(LEN(CW2)&gt;0,MID(CW2,FIND("W",CW2,1)+2,FIND("W",CW2,FIND("W",CW2,1)+1)-FIND("W",CW2,1)-2),"")</f>
        <v>#REF!</v>
      </c>
      <c r="CV2" s="219" t="e">
        <f>IF(LEN(CW2)&gt;0,MID(CW2,FIND("W",CW2,FIND("W",CW2,1)+1)+2,LEN(CW2)-FIND("W",CW2,FIND("W",CW2,1)+1)-2),"")</f>
        <v>#REF!</v>
      </c>
      <c r="CW2" s="222" t="e">
        <f>IF(E2&gt;5,LEFT(CF2,FIND(";",CF2,1)-1),CF2)</f>
        <v>#REF!</v>
      </c>
      <c r="CX2" s="222" t="e">
        <f>IF(E2&gt;5,LEFT(CG2,FIND("/",CG2,1)-1),CG2)</f>
        <v>#REF!</v>
      </c>
      <c r="CY2" s="222" t="e">
        <f>IF(E2&gt;5,LEFT(CH2,FIND(";",CH2,1)-1),CH2)</f>
        <v>#REF!</v>
      </c>
      <c r="CZ2" s="218"/>
      <c r="DA2" s="216" t="e">
        <f>IF(E2=6,RIGHT(CB2,LEN(CB2)-LEN(CL2)-1),"")</f>
        <v>#REF!</v>
      </c>
      <c r="DB2" s="216" t="e">
        <f>IF(D2=6,RIGHT(CC2,LEN(CC2)-LEN(CM2)-1),"")</f>
        <v>#REF!</v>
      </c>
      <c r="DC2" s="216" t="e">
        <f>IF(E2=6,RIGHT(CD2,LEN(CD2)-LEN(CN2)-1),"")</f>
        <v>#REF!</v>
      </c>
      <c r="DD2" s="222" t="e">
        <f>IF(DH2="","",(LEN(DH2)+1)/2)</f>
        <v>#REF!</v>
      </c>
      <c r="DE2" s="222" t="e">
        <f>MID(DH2,1,1)</f>
        <v>#REF!</v>
      </c>
      <c r="DF2" s="222" t="e">
        <f>MID(DH2,3,1)</f>
        <v>#REF!</v>
      </c>
      <c r="DG2" s="222" t="e">
        <f>MID(DH2,5,1)</f>
        <v>#REF!</v>
      </c>
      <c r="DH2" s="223" t="e">
        <f>IF(E2=6,RIGHT(CE2,LEN(CE2)-LEN(CS2)-1),"")</f>
        <v>#REF!</v>
      </c>
      <c r="DI2" s="219" t="e">
        <f>IF(LEN(DL2)&gt;0,MID(DL2,1,FIND("W",DL2,1)-1),"")</f>
        <v>#REF!</v>
      </c>
      <c r="DJ2" s="219" t="e">
        <f>IF(LEN(DL2)&gt;0,MID(DL2,FIND("W",DL2,1)+2,FIND("W",DL2,FIND("W",DL2,1)+1)-FIND("W",DL2,1)-2),"")</f>
        <v>#REF!</v>
      </c>
      <c r="DK2" s="219" t="e">
        <f>IF(LEN(DL2)&gt;0,MID(DL2,FIND("W",DL2,FIND("W",DL2,1)+1)+2,LEN(DL2)-FIND("W",DL2,FIND("W",DL2,1)+1)-2),"")</f>
        <v>#REF!</v>
      </c>
      <c r="DL2" s="223" t="e">
        <f>IF(E2=6,RIGHT(CF2,LEN(CF2)-LEN(CW2)-1),"")</f>
        <v>#REF!</v>
      </c>
      <c r="DM2" s="223" t="e">
        <f>IF(E2=6,RIGHT(CG2,LEN(CG2)-LEN(CX2)-1),"")</f>
        <v>#REF!</v>
      </c>
      <c r="DN2" s="223" t="e">
        <f>IF(E2=6,RIGHT(CH2,LEN(CH2)-LEN(CY2)-1),"")</f>
        <v>#REF!</v>
      </c>
      <c r="DO2" s="216"/>
      <c r="DP2" s="216"/>
      <c r="DQ2" s="216"/>
      <c r="DR2" s="216"/>
      <c r="DS2" s="216"/>
      <c r="DT2" s="216"/>
      <c r="DU2" s="216"/>
      <c r="DV2" s="216"/>
      <c r="DW2" s="216"/>
      <c r="DX2" s="216"/>
      <c r="DY2" s="216"/>
      <c r="DZ2" s="216"/>
      <c r="EA2" s="216" t="e">
        <f>#REF!</f>
        <v>#REF!</v>
      </c>
      <c r="EB2" s="216" t="e">
        <f>#REF!</f>
        <v>#REF!</v>
      </c>
      <c r="EC2" s="216" t="e">
        <f>#REF!</f>
        <v>#REF!</v>
      </c>
      <c r="ED2" s="216" t="e">
        <f>#REF!</f>
        <v>#REF!</v>
      </c>
      <c r="EE2" s="216" t="e">
        <f>#REF!</f>
        <v>#REF!</v>
      </c>
      <c r="EF2" s="216" t="e">
        <f>#REF!</f>
        <v>#REF!</v>
      </c>
      <c r="EG2" s="216" t="e">
        <f>#REF!</f>
        <v>#REF!</v>
      </c>
      <c r="EH2" s="216" t="e">
        <f>#REF!</f>
        <v>#REF!</v>
      </c>
      <c r="EI2" s="216" t="e">
        <f>#REF!</f>
        <v>#REF!</v>
      </c>
      <c r="EJ2" s="225" t="e">
        <f>#REF!</f>
        <v>#REF!</v>
      </c>
      <c r="EK2" s="225"/>
      <c r="EL2" s="225"/>
      <c r="EM2" s="225"/>
    </row>
    <row r="3" spans="1:147" s="99" customFormat="1">
      <c r="A3" s="215" t="e">
        <f>#REF!</f>
        <v>#REF!</v>
      </c>
      <c r="B3" s="216" t="e">
        <f>#REF!</f>
        <v>#REF!</v>
      </c>
      <c r="C3" s="217" t="e">
        <f>#REF!</f>
        <v>#REF!</v>
      </c>
      <c r="D3" s="217" t="e">
        <f>#REF!</f>
        <v>#REF!</v>
      </c>
      <c r="E3" s="215" t="e">
        <f>#REF!</f>
        <v>#REF!</v>
      </c>
      <c r="F3" s="218"/>
      <c r="G3" s="218"/>
      <c r="H3" s="218"/>
      <c r="I3" s="218"/>
      <c r="J3" s="219" t="e">
        <f>IF(E3&gt;1,LEFT(#REF!,FIND("/",#REF!,1)-1),#REF!)</f>
        <v>#REF!</v>
      </c>
      <c r="K3" s="219" t="e">
        <f>IF(E3&gt;1,LEFT(#REF!,FIND(";",#REF!,1)-1),#REF!)</f>
        <v>#REF!</v>
      </c>
      <c r="L3" s="219" t="e">
        <f>IF(E3&gt;1,LEFT(#REF!,FIND(";",#REF!,1)-1),#REF!)</f>
        <v>#REF!</v>
      </c>
      <c r="M3" s="219" t="e">
        <f t="shared" ref="M3:M6" si="0">(LEN(Q3)+1)/2</f>
        <v>#REF!</v>
      </c>
      <c r="N3" s="219" t="e">
        <f t="shared" ref="N3:N6" si="1">MID(Q3,1,1)</f>
        <v>#REF!</v>
      </c>
      <c r="O3" s="219" t="e">
        <f t="shared" ref="O3:O6" si="2">MID(Q3,3,1)</f>
        <v>#REF!</v>
      </c>
      <c r="P3" s="219" t="e">
        <f t="shared" ref="P3:P6" si="3">MID(Q3,5,1)</f>
        <v>#REF!</v>
      </c>
      <c r="Q3" s="219" t="e">
        <f>IF(E3&gt;1,LEFT(#REF!,FIND(";",#REF!,1)-1),#REF!)</f>
        <v>#REF!</v>
      </c>
      <c r="R3" s="219" t="e">
        <f t="shared" ref="R3:R6" si="4">MID(U3,1,FIND("W",U3,1)-1)</f>
        <v>#REF!</v>
      </c>
      <c r="S3" s="219" t="e">
        <f t="shared" ref="S3:S6" si="5">MID(U3,FIND("W",U3,1)+2,FIND("W",U3,FIND("W",U3,1)+1)-FIND("W",U3,1)-2)</f>
        <v>#REF!</v>
      </c>
      <c r="T3" s="219" t="e">
        <f t="shared" ref="T3:T6" si="6">MID(U3,FIND("W",U3,FIND("W",U3,1)+1)+2,LEN(U3)-FIND("W",U3,FIND("W",U3,1)+1)-2)</f>
        <v>#REF!</v>
      </c>
      <c r="U3" s="219" t="e">
        <f>IF(E3&gt;1,LEFT(#REF!,FIND(";",#REF!,1)-1),#REF!)</f>
        <v>#REF!</v>
      </c>
      <c r="V3" s="219" t="e">
        <f>IF(E3&gt;1,LEFT(#REF!,FIND("/",#REF!,1)-1),#REF!)</f>
        <v>#REF!</v>
      </c>
      <c r="W3" s="219" t="e">
        <f>IF(E3&gt;1,LEFT(#REF!,FIND(";",#REF!,1)-1),#REF!)</f>
        <v>#REF!</v>
      </c>
      <c r="X3" s="220"/>
      <c r="Y3" s="221" t="e">
        <f>IF(E3&gt;2,MID(#REF!,LEN(Temp!J3)+2,FIND("/",#REF!,LEN(Temp!J3)+2)-LEN(Temp!J3)-2),IF(E3=2,RIGHT(#REF!,LEN(#REF!)-LEN(Temp!J3)-1),""))</f>
        <v>#REF!</v>
      </c>
      <c r="Z3" s="221" t="e">
        <f>IF(E3&gt;2,MID(#REF!,LEN(Temp!K3)+2,FIND(";",#REF!,LEN(Temp!K3)+2)-LEN(Temp!K3)-2),IF(E3=2,RIGHT(#REF!,LEN(#REF!)-LEN(Temp!K3)-1),""))</f>
        <v>#REF!</v>
      </c>
      <c r="AA3" s="221" t="e">
        <f>IF(E3&gt;2,MID(#REF!,LEN(Temp!L3)+2,FIND(";",#REF!,LEN(Temp!L3)+2)-LEN(Temp!L3)-2),IF(E3=2,RIGHT(#REF!,LEN(#REF!)-LEN(Temp!L3)-1),""))</f>
        <v>#REF!</v>
      </c>
      <c r="AB3" s="222" t="e">
        <f t="shared" ref="AB3:AB6" si="7">IF(AF3="","",(LEN(AF3)+1)/2)</f>
        <v>#REF!</v>
      </c>
      <c r="AC3" s="222" t="e">
        <f t="shared" ref="AC3:AC6" si="8">MID(AF3,1,1)</f>
        <v>#REF!</v>
      </c>
      <c r="AD3" s="222" t="e">
        <f t="shared" ref="AD3:AD6" si="9">MID(AF3,3,1)</f>
        <v>#REF!</v>
      </c>
      <c r="AE3" s="222" t="e">
        <f t="shared" ref="AE3:AE6" si="10">MID(AF3,5,1)</f>
        <v>#REF!</v>
      </c>
      <c r="AF3" s="221" t="e">
        <f>IF(E3&gt;2,MID(#REF!,LEN(Temp!Q3)+2,FIND(";",#REF!,LEN(Temp!Q3)+2)-LEN(Temp!Q3)-2),IF(E3=2,RIGHT(#REF!,LEN(#REF!)-LEN(Temp!Q3)-1),""))</f>
        <v>#REF!</v>
      </c>
      <c r="AG3" s="219" t="e">
        <f t="shared" ref="AG3:AG6" si="11">IF(LEN(AJ3)&gt;0,MID(AJ3,1,FIND("W",AJ3,1)-1),"")</f>
        <v>#REF!</v>
      </c>
      <c r="AH3" s="219" t="e">
        <f t="shared" ref="AH3:AH6" si="12">IF(LEN(AJ3)&gt;0,MID(AJ3,FIND("W",AJ3,1)+2,FIND("W",AJ3,FIND("W",AJ3,1)+1)-FIND("W",AJ3,1)-2),"")</f>
        <v>#REF!</v>
      </c>
      <c r="AI3" s="219" t="e">
        <f t="shared" ref="AI3:AI6" si="13">IF(LEN(AJ3)&gt;0,MID(AJ3,FIND("W",AJ3,FIND("W",AJ3,1)+1)+2,LEN(AJ3)-FIND("W",AJ3,FIND("W",AJ3,1)+1)-2),"")</f>
        <v>#REF!</v>
      </c>
      <c r="AJ3" s="221" t="e">
        <f>IF(E3&gt;2,MID(#REF!,LEN(Temp!U3)+2,FIND(";",#REF!,LEN(Temp!U3)+2)-LEN(Temp!U3)-2),IF(E3=2,RIGHT(#REF!,LEN(#REF!)-LEN(Temp!U3)-1),""))</f>
        <v>#REF!</v>
      </c>
      <c r="AK3" s="221" t="e">
        <f>IF(E3&gt;2,MID(#REF!,LEN(Temp!V3)+2,FIND("/",#REF!,LEN(Temp!V3)+2)-LEN(Temp!V3)-2),IF(E3=2,RIGHT(#REF!,LEN(#REF!)-LEN(Temp!V3)-1),""))</f>
        <v>#REF!</v>
      </c>
      <c r="AL3" s="221" t="e">
        <f>IF(E3&gt;2,MID(#REF!,LEN(Temp!W3)+2,FIND(";",#REF!,LEN(Temp!W3)+2)-LEN(Temp!W3)-2),IF(E3=2,RIGHT(#REF!,LEN(#REF!)-LEN(Temp!W3)-1),""))</f>
        <v>#REF!</v>
      </c>
      <c r="AM3" s="220"/>
      <c r="AN3" s="222" t="e">
        <f>IF(E3&gt;2,RIGHT(#REF!,LEN(#REF!)-LEN(Temp!J3)-LEN(Temp!Y3)-2),"")</f>
        <v>#REF!</v>
      </c>
      <c r="AO3" s="222" t="e">
        <f>IF(E3&gt;2,RIGHT(#REF!,LEN(#REF!)-LEN(Temp!K3)-LEN(Temp!Z3)-2),"")</f>
        <v>#REF!</v>
      </c>
      <c r="AP3" s="222" t="e">
        <f>IF(E3&gt;2,RIGHT(#REF!,LEN(#REF!)-LEN(Temp!L3)-LEN(Temp!AA3)-2),"")</f>
        <v>#REF!</v>
      </c>
      <c r="AQ3" s="222" t="e">
        <f>IF(E3&gt;2,RIGHT(#REF!,LEN(#REF!)-LEN(Temp!Q3)-LEN(Temp!AF3)-2),"")</f>
        <v>#REF!</v>
      </c>
      <c r="AR3" s="222" t="e">
        <f>IF(E3&gt;2,RIGHT(#REF!,LEN(#REF!)-LEN(U3)-LEN(Temp!AJ3)-2),"")</f>
        <v>#REF!</v>
      </c>
      <c r="AS3" s="222" t="e">
        <f>IF(E3&gt;2,RIGHT(#REF!,LEN(#REF!)-LEN(V3)-LEN(Temp!AK3)-2),"")</f>
        <v>#REF!</v>
      </c>
      <c r="AT3" s="222" t="e">
        <f>IF(E3&gt;2,RIGHT(#REF!,LEN(#REF!)-LEN(W3)-LEN(Temp!AL3)-2),"")</f>
        <v>#REF!</v>
      </c>
      <c r="AU3" s="222"/>
      <c r="AV3" s="222"/>
      <c r="AW3" s="222"/>
      <c r="AX3" s="222" t="e">
        <f t="shared" ref="AX3:AX6" si="14">IF(E3&gt;3,LEFT(AN3,FIND("/",AN3,1)-1),AN3)</f>
        <v>#REF!</v>
      </c>
      <c r="AY3" s="222" t="e">
        <f t="shared" ref="AY3:AY6" si="15">IF(E3&gt;3,LEFT(AO3,FIND(";",AO3,1)-1),AO3)</f>
        <v>#REF!</v>
      </c>
      <c r="AZ3" s="222" t="e">
        <f t="shared" ref="AZ3:AZ6" si="16">IF(E3&gt;3,LEFT(AP3,FIND(";",AP3,1)-1),AP3)</f>
        <v>#REF!</v>
      </c>
      <c r="BA3" s="222" t="e">
        <f t="shared" ref="BA3:BA6" si="17">IF(BE3="","",(LEN(BE3)+1)/2)</f>
        <v>#REF!</v>
      </c>
      <c r="BB3" s="222" t="e">
        <f t="shared" ref="BB3:BB6" si="18">MID(BE3,1,1)</f>
        <v>#REF!</v>
      </c>
      <c r="BC3" s="222" t="e">
        <f t="shared" ref="BC3:BC6" si="19">MID(BE3,3,1)</f>
        <v>#REF!</v>
      </c>
      <c r="BD3" s="222" t="e">
        <f t="shared" ref="BD3:BD6" si="20">MID(BE3,5,1)</f>
        <v>#REF!</v>
      </c>
      <c r="BE3" s="222" t="e">
        <f t="shared" ref="BE3:BE6" si="21">IF(E3&gt;3,LEFT(AQ3,FIND(";",AQ3,1)-1),AQ3)</f>
        <v>#REF!</v>
      </c>
      <c r="BF3" s="219" t="e">
        <f t="shared" ref="BF3:BF6" si="22">IF(LEN(BI3)&gt;0,MID(BI3,1,FIND("W",BI3,1)-1),"")</f>
        <v>#REF!</v>
      </c>
      <c r="BG3" s="219" t="e">
        <f t="shared" ref="BG3:BG6" si="23">IF(LEN(BI3)&gt;0,MID(BI3,FIND("W",BI3,1)+2,FIND("W",BI3,FIND("W",BI3,1)+1)-FIND("W",BI3,1)-2),"")</f>
        <v>#REF!</v>
      </c>
      <c r="BH3" s="219" t="e">
        <f t="shared" ref="BH3:BH6" si="24">IF(LEN(BI3)&gt;0,MID(BI3,FIND("W",BI3,FIND("W",BI3,1)+1)+2,LEN(BI3)-FIND("W",BI3,FIND("W",BI3,1)+1)-2),"")</f>
        <v>#REF!</v>
      </c>
      <c r="BI3" s="222" t="e">
        <f t="shared" ref="BI3:BI6" si="25">IF(E3&gt;3,LEFT(AR3,FIND(";",AR3,1)-1),AR3)</f>
        <v>#REF!</v>
      </c>
      <c r="BJ3" s="222" t="e">
        <f t="shared" ref="BJ3:BJ6" si="26">IF(E3&gt;3,LEFT(AS3,FIND("/",AS3,1)-1),AS3)</f>
        <v>#REF!</v>
      </c>
      <c r="BK3" s="222" t="e">
        <f t="shared" ref="BK3:BK6" si="27">IF(E3&gt;3,LEFT(AT3,FIND(";",AT3,1)-1),AT3)</f>
        <v>#REF!</v>
      </c>
      <c r="BL3" s="218"/>
      <c r="BM3" s="216" t="e">
        <f t="shared" ref="BM3:BM6" si="28">IF(E3&gt;4,MID(AN3,LEN(AX3)+2,FIND("/",AN3,LEN(AX3)+2)-LEN(AX3)-2),IF(E3=4,RIGHT(AN3,LEN(AN3)-LEN(AX3)-1),""))</f>
        <v>#REF!</v>
      </c>
      <c r="BN3" s="216" t="e">
        <f t="shared" ref="BN3:BN6" si="29">IF(E3&gt;4,MID(AO3,LEN(AY3)+2,FIND(";",AO3,LEN(AY3)+2)-LEN(AY3)-2),IF(E3=4,RIGHT(AO3,LEN(AO3)-LEN(AY3)-1),""))</f>
        <v>#REF!</v>
      </c>
      <c r="BO3" s="216" t="e">
        <f t="shared" ref="BO3:BO6" si="30">IF(E3&gt;4,MID(AP3,LEN(AZ3)+2,FIND(";",AP3,LEN(AZ3)+2)-LEN(AZ3)-2),IF(E3=4,RIGHT(AP3,LEN(AP3)-LEN(AZ3)-1),""))</f>
        <v>#REF!</v>
      </c>
      <c r="BP3" s="222" t="e">
        <f t="shared" ref="BP3:BP6" si="31">IF(BT3="","",(LEN(BT3)+1)/2)</f>
        <v>#REF!</v>
      </c>
      <c r="BQ3" s="222" t="e">
        <f t="shared" ref="BQ3:BQ6" si="32">MID(BT3,1,1)</f>
        <v>#REF!</v>
      </c>
      <c r="BR3" s="222" t="e">
        <f t="shared" ref="BR3:BR6" si="33">MID(BT3,3,1)</f>
        <v>#REF!</v>
      </c>
      <c r="BS3" s="222" t="e">
        <f t="shared" ref="BS3:BS6" si="34">MID(BT3,5,1)</f>
        <v>#REF!</v>
      </c>
      <c r="BT3" s="223" t="e">
        <f t="shared" ref="BT3:BT6" si="35">IF(E3&gt;4,MID(AQ3,LEN(BE3)+2,FIND(";",AQ3,LEN(BE3)+2)-LEN(BE3)-2),IF(E3=4,RIGHT(AQ3,LEN(AQ3)-LEN(BE3)-1),""))</f>
        <v>#REF!</v>
      </c>
      <c r="BU3" s="219" t="e">
        <f t="shared" ref="BU3:BU6" si="36">IF(LEN(BX3)&gt;0,MID(BX3,1,FIND("W",BX3,1)-1),"")</f>
        <v>#REF!</v>
      </c>
      <c r="BV3" s="219" t="e">
        <f t="shared" ref="BV3:BV6" si="37">IF(LEN(BX3)&gt;0,MID(BX3,FIND("W",BX3,1)+2,FIND("W",BX3,FIND("W",BX3,1)+1)-FIND("W",BX3,1)-2),"")</f>
        <v>#REF!</v>
      </c>
      <c r="BW3" s="219" t="e">
        <f t="shared" ref="BW3:BW6" si="38">IF(LEN(BX3)&gt;0,MID(BX3,FIND("W",BX3,FIND("W",BX3,1)+1)+2,LEN(BX3)-FIND("W",BX3,FIND("W",BX3,1)+1)-2),"")</f>
        <v>#REF!</v>
      </c>
      <c r="BX3" s="223" t="e">
        <f t="shared" ref="BX3:BX6" si="39">IF(E3&gt;4,MID(AR3,LEN(BI3)+2,FIND(";",AR3,LEN(BI3)+2)-LEN(BI3)-2),IF(E3=4,RIGHT(AR3,LEN(AR3)-LEN(BI3)-1),""))</f>
        <v>#REF!</v>
      </c>
      <c r="BY3" s="223" t="e">
        <f t="shared" ref="BY3:BY6" si="40">IF(E3&gt;4,MID(AS3,LEN(BJ3)+2,FIND("/",AS3,LEN(BJ3)+2)-LEN(BJ3)-2),IF(E3=4,RIGHT(AS3,LEN(AS3)-LEN(BJ3)-1),""))</f>
        <v>#REF!</v>
      </c>
      <c r="BZ3" s="223" t="e">
        <f t="shared" ref="BZ3:BZ6" si="41">IF(E3&gt;4,MID(AT3,LEN(BK3)+2,FIND(";",AT3,LEN(BK3)+2)-LEN(BK3)-2),IF(E3=4,RIGHT(AT3,LEN(AT3)-LEN(BK3)-1),""))</f>
        <v>#REF!</v>
      </c>
      <c r="CA3" s="218"/>
      <c r="CB3" s="222" t="e">
        <f>IF(E3&gt;4,RIGHT(AN3,LEN(AN3)-LEN(AX3)-LEN(Temp!BM3)-2),"")</f>
        <v>#REF!</v>
      </c>
      <c r="CC3" s="222" t="e">
        <f>IF(E3&gt;4,RIGHT(AO3,LEN(AO3)-LEN(AY3)-LEN(Temp!BN3)-2),"")</f>
        <v>#REF!</v>
      </c>
      <c r="CD3" s="222" t="e">
        <f>IF(E3&gt;4,RIGHT(AP3,LEN(AP3)-LEN(AZ3)-LEN(Temp!BO3)-2),"")</f>
        <v>#REF!</v>
      </c>
      <c r="CE3" s="222" t="e">
        <f t="shared" ref="CE3:CE6" si="42">IF(E3&gt;4,RIGHT(AQ3,LEN(AQ3)-LEN(BE3)-LEN(BT3)-2),"")</f>
        <v>#REF!</v>
      </c>
      <c r="CF3" s="222" t="e">
        <f t="shared" ref="CF3:CF6" si="43">IF(E3&gt;4,RIGHT(AR3,LEN(AR3)-LEN(BI3)-LEN(BX3)-2),"")</f>
        <v>#REF!</v>
      </c>
      <c r="CG3" s="222" t="e">
        <f t="shared" ref="CG3:CG6" si="44">IF(E3&gt;4,RIGHT(AS3,LEN(AS3)-LEN(BJ3)-LEN(BY3)-2),"")</f>
        <v>#REF!</v>
      </c>
      <c r="CH3" s="222" t="e">
        <f t="shared" ref="CH3:CH6" si="45">IF(E3&gt;4,RIGHT(AT3,LEN(AT3)-LEN(BK3)-LEN(BZ3)-2),"")</f>
        <v>#REF!</v>
      </c>
      <c r="CI3" s="222"/>
      <c r="CJ3" s="224"/>
      <c r="CK3" s="224"/>
      <c r="CL3" s="222" t="e">
        <f t="shared" ref="CL3:CL6" si="46">IF(E3&gt;5,LEFT(CB3,FIND("/",CB3,1)-1),CB3)</f>
        <v>#REF!</v>
      </c>
      <c r="CM3" s="222" t="e">
        <f t="shared" ref="CM3:CM6" si="47">IF(E3&gt;5,LEFT(CC3,FIND(";",CC3,1)-1),CC3)</f>
        <v>#REF!</v>
      </c>
      <c r="CN3" s="222" t="e">
        <f t="shared" ref="CN3:CN6" si="48">IF(E3&gt;5,LEFT(CD3,FIND(";",CD3,1)-1),CD3)</f>
        <v>#REF!</v>
      </c>
      <c r="CO3" s="222" t="e">
        <f t="shared" ref="CO3:CO6" si="49">IF(CS3="","",(LEN(CS3)+1)/2)</f>
        <v>#REF!</v>
      </c>
      <c r="CP3" s="222" t="e">
        <f t="shared" ref="CP3:CP6" si="50">MID(CS3,1,1)</f>
        <v>#REF!</v>
      </c>
      <c r="CQ3" s="222" t="e">
        <f t="shared" ref="CQ3:CQ6" si="51">MID(CS3,3,1)</f>
        <v>#REF!</v>
      </c>
      <c r="CR3" s="222" t="e">
        <f t="shared" ref="CR3:CR6" si="52">MID(CS3,5,1)</f>
        <v>#REF!</v>
      </c>
      <c r="CS3" s="222" t="e">
        <f t="shared" ref="CS3:CS6" si="53">IF(E3&gt;5,LEFT(CE3,FIND(";",CE3,1)-1),CE3)</f>
        <v>#REF!</v>
      </c>
      <c r="CT3" s="219" t="e">
        <f t="shared" ref="CT3:CT6" si="54">IF(LEN(CW3)&gt;0,MID(CW3,1,FIND("W",CW3,1)-1),"")</f>
        <v>#REF!</v>
      </c>
      <c r="CU3" s="219" t="e">
        <f t="shared" ref="CU3:CU6" si="55">IF(LEN(CW3)&gt;0,MID(CW3,FIND("W",CW3,1)+2,FIND("W",CW3,FIND("W",CW3,1)+1)-FIND("W",CW3,1)-2),"")</f>
        <v>#REF!</v>
      </c>
      <c r="CV3" s="219" t="e">
        <f t="shared" ref="CV3:CV6" si="56">IF(LEN(CW3)&gt;0,MID(CW3,FIND("W",CW3,FIND("W",CW3,1)+1)+2,LEN(CW3)-FIND("W",CW3,FIND("W",CW3,1)+1)-2),"")</f>
        <v>#REF!</v>
      </c>
      <c r="CW3" s="222" t="e">
        <f t="shared" ref="CW3:CW6" si="57">IF(E3&gt;5,LEFT(CF3,FIND(";",CF3,1)-1),CF3)</f>
        <v>#REF!</v>
      </c>
      <c r="CX3" s="222" t="e">
        <f t="shared" ref="CX3:CX6" si="58">IF(E3&gt;5,LEFT(CG3,FIND("/",CG3,1)-1),CG3)</f>
        <v>#REF!</v>
      </c>
      <c r="CY3" s="222" t="e">
        <f t="shared" ref="CY3:CY6" si="59">IF(E3&gt;5,LEFT(CH3,FIND(";",CH3,1)-1),CH3)</f>
        <v>#REF!</v>
      </c>
      <c r="CZ3" s="218"/>
      <c r="DA3" s="216" t="e">
        <f t="shared" ref="DA3:DA6" si="60">IF(E3=6,RIGHT(CB3,LEN(CB3)-LEN(CL3)-1),"")</f>
        <v>#REF!</v>
      </c>
      <c r="DB3" s="216" t="e">
        <f t="shared" ref="DB3:DB6" si="61">IF(D3=6,RIGHT(CC3,LEN(CC3)-LEN(CM3)-1),"")</f>
        <v>#REF!</v>
      </c>
      <c r="DC3" s="216" t="e">
        <f t="shared" ref="DC3:DC6" si="62">IF(E3=6,RIGHT(CD3,LEN(CD3)-LEN(CN3)-1),"")</f>
        <v>#REF!</v>
      </c>
      <c r="DD3" s="222" t="e">
        <f t="shared" ref="DD3:DD6" si="63">IF(DH3="","",(LEN(DH3)+1)/2)</f>
        <v>#REF!</v>
      </c>
      <c r="DE3" s="222" t="e">
        <f t="shared" ref="DE3:DE6" si="64">MID(DH3,1,1)</f>
        <v>#REF!</v>
      </c>
      <c r="DF3" s="222" t="e">
        <f t="shared" ref="DF3:DF6" si="65">MID(DH3,3,1)</f>
        <v>#REF!</v>
      </c>
      <c r="DG3" s="222" t="e">
        <f t="shared" ref="DG3:DG6" si="66">MID(DH3,5,1)</f>
        <v>#REF!</v>
      </c>
      <c r="DH3" s="223" t="e">
        <f t="shared" ref="DH3:DH6" si="67">IF(E3=6,RIGHT(CE3,LEN(CE3)-LEN(CS3)-1),"")</f>
        <v>#REF!</v>
      </c>
      <c r="DI3" s="219" t="e">
        <f t="shared" ref="DI3:DI6" si="68">IF(LEN(DL3)&gt;0,MID(DL3,1,FIND("W",DL3,1)-1),"")</f>
        <v>#REF!</v>
      </c>
      <c r="DJ3" s="219" t="e">
        <f t="shared" ref="DJ3:DJ6" si="69">IF(LEN(DL3)&gt;0,MID(DL3,FIND("W",DL3,1)+2,FIND("W",DL3,FIND("W",DL3,1)+1)-FIND("W",DL3,1)-2),"")</f>
        <v>#REF!</v>
      </c>
      <c r="DK3" s="219" t="e">
        <f t="shared" ref="DK3:DK6" si="70">IF(LEN(DL3)&gt;0,MID(DL3,FIND("W",DL3,FIND("W",DL3,1)+1)+2,LEN(DL3)-FIND("W",DL3,FIND("W",DL3,1)+1)-2),"")</f>
        <v>#REF!</v>
      </c>
      <c r="DL3" s="223" t="e">
        <f t="shared" ref="DL3:DL6" si="71">IF(E3=6,RIGHT(CF3,LEN(CF3)-LEN(CW3)-1),"")</f>
        <v>#REF!</v>
      </c>
      <c r="DM3" s="223" t="e">
        <f t="shared" ref="DM3:DM6" si="72">IF(E3=6,RIGHT(CG3,LEN(CG3)-LEN(CX3)-1),"")</f>
        <v>#REF!</v>
      </c>
      <c r="DN3" s="223" t="e">
        <f t="shared" ref="DN3:DN6" si="73">IF(E3=6,RIGHT(CH3,LEN(CH3)-LEN(CY3)-1),"")</f>
        <v>#REF!</v>
      </c>
      <c r="DO3" s="216"/>
      <c r="DP3" s="216"/>
      <c r="DQ3" s="216"/>
      <c r="DR3" s="216"/>
      <c r="DS3" s="216"/>
      <c r="DT3" s="216"/>
      <c r="DU3" s="216"/>
      <c r="DV3" s="216"/>
      <c r="DW3" s="216"/>
      <c r="DX3" s="216"/>
      <c r="DY3" s="216"/>
      <c r="DZ3" s="216"/>
      <c r="EA3" s="216" t="e">
        <f>#REF!</f>
        <v>#REF!</v>
      </c>
      <c r="EB3" s="216" t="e">
        <f>#REF!</f>
        <v>#REF!</v>
      </c>
      <c r="EC3" s="216" t="e">
        <f>#REF!</f>
        <v>#REF!</v>
      </c>
      <c r="ED3" s="216" t="e">
        <f>#REF!</f>
        <v>#REF!</v>
      </c>
      <c r="EE3" s="216" t="e">
        <f>#REF!</f>
        <v>#REF!</v>
      </c>
      <c r="EF3" s="216" t="e">
        <f>#REF!</f>
        <v>#REF!</v>
      </c>
      <c r="EG3" s="216" t="e">
        <f>#REF!</f>
        <v>#REF!</v>
      </c>
      <c r="EH3" s="216" t="e">
        <f>#REF!</f>
        <v>#REF!</v>
      </c>
      <c r="EI3" s="216" t="e">
        <f>#REF!</f>
        <v>#REF!</v>
      </c>
      <c r="EJ3" s="225" t="e">
        <f>#REF!</f>
        <v>#REF!</v>
      </c>
      <c r="EK3" s="225"/>
      <c r="EL3" s="225"/>
      <c r="EM3" s="225"/>
    </row>
    <row r="4" spans="1:147" s="99" customFormat="1">
      <c r="A4" s="215" t="e">
        <f>#REF!</f>
        <v>#REF!</v>
      </c>
      <c r="B4" s="216" t="e">
        <f>#REF!</f>
        <v>#REF!</v>
      </c>
      <c r="C4" s="217" t="e">
        <f>#REF!</f>
        <v>#REF!</v>
      </c>
      <c r="D4" s="217" t="e">
        <f>#REF!</f>
        <v>#REF!</v>
      </c>
      <c r="E4" s="215" t="e">
        <f>#REF!</f>
        <v>#REF!</v>
      </c>
      <c r="F4" s="218"/>
      <c r="G4" s="218"/>
      <c r="H4" s="218"/>
      <c r="I4" s="218"/>
      <c r="J4" s="219" t="e">
        <f>IF(E4&gt;1,LEFT(#REF!,FIND("/",#REF!,1)-1),#REF!)</f>
        <v>#REF!</v>
      </c>
      <c r="K4" s="219" t="e">
        <f>IF(E4&gt;1,LEFT(#REF!,FIND(";",#REF!,1)-1),#REF!)</f>
        <v>#REF!</v>
      </c>
      <c r="L4" s="219" t="e">
        <f>IF(E4&gt;1,LEFT(#REF!,FIND(";",#REF!,1)-1),#REF!)</f>
        <v>#REF!</v>
      </c>
      <c r="M4" s="219" t="e">
        <f t="shared" si="0"/>
        <v>#REF!</v>
      </c>
      <c r="N4" s="219" t="e">
        <f t="shared" si="1"/>
        <v>#REF!</v>
      </c>
      <c r="O4" s="219" t="e">
        <f t="shared" si="2"/>
        <v>#REF!</v>
      </c>
      <c r="P4" s="219" t="e">
        <f t="shared" si="3"/>
        <v>#REF!</v>
      </c>
      <c r="Q4" s="219" t="e">
        <f>IF(E4&gt;1,LEFT(#REF!,FIND(";",#REF!,1)-1),#REF!)</f>
        <v>#REF!</v>
      </c>
      <c r="R4" s="219" t="e">
        <f t="shared" si="4"/>
        <v>#REF!</v>
      </c>
      <c r="S4" s="219" t="e">
        <f t="shared" si="5"/>
        <v>#REF!</v>
      </c>
      <c r="T4" s="219" t="e">
        <f t="shared" si="6"/>
        <v>#REF!</v>
      </c>
      <c r="U4" s="219" t="e">
        <f>IF(E4&gt;1,LEFT(#REF!,FIND(";",#REF!,1)-1),#REF!)</f>
        <v>#REF!</v>
      </c>
      <c r="V4" s="219" t="e">
        <f>IF(E4&gt;1,LEFT(#REF!,FIND("/",#REF!,1)-1),#REF!)</f>
        <v>#REF!</v>
      </c>
      <c r="W4" s="219" t="e">
        <f>IF(E4&gt;1,LEFT(#REF!,FIND(";",#REF!,1)-1),#REF!)</f>
        <v>#REF!</v>
      </c>
      <c r="X4" s="220"/>
      <c r="Y4" s="221" t="e">
        <f>IF(E4&gt;2,MID(#REF!,LEN(Temp!J4)+2,FIND("/",#REF!,LEN(Temp!J4)+2)-LEN(Temp!J4)-2),IF(E4=2,RIGHT(#REF!,LEN(#REF!)-LEN(Temp!J4)-1),""))</f>
        <v>#REF!</v>
      </c>
      <c r="Z4" s="221" t="e">
        <f>IF(E4&gt;2,MID(#REF!,LEN(Temp!K4)+2,FIND(";",#REF!,LEN(Temp!K4)+2)-LEN(Temp!K4)-2),IF(E4=2,RIGHT(#REF!,LEN(#REF!)-LEN(Temp!K4)-1),""))</f>
        <v>#REF!</v>
      </c>
      <c r="AA4" s="221" t="e">
        <f>IF(E4&gt;2,MID(#REF!,LEN(Temp!L4)+2,FIND(";",#REF!,LEN(Temp!L4)+2)-LEN(Temp!L4)-2),IF(E4=2,RIGHT(#REF!,LEN(#REF!)-LEN(Temp!L4)-1),""))</f>
        <v>#REF!</v>
      </c>
      <c r="AB4" s="222" t="e">
        <f t="shared" si="7"/>
        <v>#REF!</v>
      </c>
      <c r="AC4" s="222" t="e">
        <f t="shared" si="8"/>
        <v>#REF!</v>
      </c>
      <c r="AD4" s="222" t="e">
        <f t="shared" si="9"/>
        <v>#REF!</v>
      </c>
      <c r="AE4" s="222" t="e">
        <f t="shared" si="10"/>
        <v>#REF!</v>
      </c>
      <c r="AF4" s="221" t="e">
        <f>IF(E4&gt;2,MID(#REF!,LEN(Temp!Q4)+2,FIND(";",#REF!,LEN(Temp!Q4)+2)-LEN(Temp!Q4)-2),IF(E4=2,RIGHT(#REF!,LEN(#REF!)-LEN(Temp!Q4)-1),""))</f>
        <v>#REF!</v>
      </c>
      <c r="AG4" s="219" t="e">
        <f t="shared" si="11"/>
        <v>#REF!</v>
      </c>
      <c r="AH4" s="219" t="e">
        <f t="shared" si="12"/>
        <v>#REF!</v>
      </c>
      <c r="AI4" s="219" t="e">
        <f t="shared" si="13"/>
        <v>#REF!</v>
      </c>
      <c r="AJ4" s="221" t="e">
        <f>IF(E4&gt;2,MID(#REF!,LEN(Temp!U4)+2,FIND(";",#REF!,LEN(Temp!U4)+2)-LEN(Temp!U4)-2),IF(E4=2,RIGHT(#REF!,LEN(#REF!)-LEN(Temp!U4)-1),""))</f>
        <v>#REF!</v>
      </c>
      <c r="AK4" s="221" t="e">
        <f>IF(E4&gt;2,MID(#REF!,LEN(Temp!V4)+2,FIND("/",#REF!,LEN(Temp!V4)+2)-LEN(Temp!V4)-2),IF(E4=2,RIGHT(#REF!,LEN(#REF!)-LEN(Temp!V4)-1),""))</f>
        <v>#REF!</v>
      </c>
      <c r="AL4" s="221" t="e">
        <f>IF(E4&gt;2,MID(#REF!,LEN(Temp!W4)+2,FIND(";",#REF!,LEN(Temp!W4)+2)-LEN(Temp!W4)-2),IF(E4=2,RIGHT(#REF!,LEN(#REF!)-LEN(Temp!W4)-1),""))</f>
        <v>#REF!</v>
      </c>
      <c r="AM4" s="220"/>
      <c r="AN4" s="222" t="e">
        <f>IF(E4&gt;2,RIGHT(#REF!,LEN(#REF!)-LEN(Temp!J4)-LEN(Temp!Y4)-2),"")</f>
        <v>#REF!</v>
      </c>
      <c r="AO4" s="222" t="e">
        <f>IF(E4&gt;2,RIGHT(#REF!,LEN(#REF!)-LEN(Temp!K4)-LEN(Temp!Z4)-2),"")</f>
        <v>#REF!</v>
      </c>
      <c r="AP4" s="222" t="e">
        <f>IF(E4&gt;2,RIGHT(#REF!,LEN(#REF!)-LEN(Temp!L4)-LEN(Temp!AA4)-2),"")</f>
        <v>#REF!</v>
      </c>
      <c r="AQ4" s="222" t="e">
        <f>IF(E4&gt;2,RIGHT(#REF!,LEN(#REF!)-LEN(Temp!Q4)-LEN(Temp!AF4)-2),"")</f>
        <v>#REF!</v>
      </c>
      <c r="AR4" s="222" t="e">
        <f>IF(E4&gt;2,RIGHT(#REF!,LEN(#REF!)-LEN(U4)-LEN(Temp!AJ4)-2),"")</f>
        <v>#REF!</v>
      </c>
      <c r="AS4" s="222" t="e">
        <f>IF(E4&gt;2,RIGHT(#REF!,LEN(#REF!)-LEN(V4)-LEN(Temp!AK4)-2),"")</f>
        <v>#REF!</v>
      </c>
      <c r="AT4" s="222" t="e">
        <f>IF(E4&gt;2,RIGHT(#REF!,LEN(#REF!)-LEN(W4)-LEN(Temp!AL4)-2),"")</f>
        <v>#REF!</v>
      </c>
      <c r="AU4" s="222"/>
      <c r="AV4" s="222"/>
      <c r="AW4" s="222"/>
      <c r="AX4" s="222" t="e">
        <f t="shared" si="14"/>
        <v>#REF!</v>
      </c>
      <c r="AY4" s="222" t="e">
        <f t="shared" si="15"/>
        <v>#REF!</v>
      </c>
      <c r="AZ4" s="222" t="e">
        <f t="shared" si="16"/>
        <v>#REF!</v>
      </c>
      <c r="BA4" s="222" t="e">
        <f t="shared" si="17"/>
        <v>#REF!</v>
      </c>
      <c r="BB4" s="222" t="e">
        <f t="shared" si="18"/>
        <v>#REF!</v>
      </c>
      <c r="BC4" s="222" t="e">
        <f t="shared" si="19"/>
        <v>#REF!</v>
      </c>
      <c r="BD4" s="222" t="e">
        <f t="shared" si="20"/>
        <v>#REF!</v>
      </c>
      <c r="BE4" s="222" t="e">
        <f t="shared" si="21"/>
        <v>#REF!</v>
      </c>
      <c r="BF4" s="219" t="e">
        <f t="shared" si="22"/>
        <v>#REF!</v>
      </c>
      <c r="BG4" s="219" t="e">
        <f t="shared" si="23"/>
        <v>#REF!</v>
      </c>
      <c r="BH4" s="219" t="e">
        <f t="shared" si="24"/>
        <v>#REF!</v>
      </c>
      <c r="BI4" s="222" t="e">
        <f t="shared" si="25"/>
        <v>#REF!</v>
      </c>
      <c r="BJ4" s="222" t="e">
        <f t="shared" si="26"/>
        <v>#REF!</v>
      </c>
      <c r="BK4" s="222" t="e">
        <f t="shared" si="27"/>
        <v>#REF!</v>
      </c>
      <c r="BL4" s="218"/>
      <c r="BM4" s="216" t="e">
        <f t="shared" si="28"/>
        <v>#REF!</v>
      </c>
      <c r="BN4" s="216" t="e">
        <f t="shared" si="29"/>
        <v>#REF!</v>
      </c>
      <c r="BO4" s="216" t="e">
        <f t="shared" si="30"/>
        <v>#REF!</v>
      </c>
      <c r="BP4" s="222" t="e">
        <f t="shared" si="31"/>
        <v>#REF!</v>
      </c>
      <c r="BQ4" s="222" t="e">
        <f t="shared" si="32"/>
        <v>#REF!</v>
      </c>
      <c r="BR4" s="222" t="e">
        <f t="shared" si="33"/>
        <v>#REF!</v>
      </c>
      <c r="BS4" s="222" t="e">
        <f t="shared" si="34"/>
        <v>#REF!</v>
      </c>
      <c r="BT4" s="223" t="e">
        <f t="shared" si="35"/>
        <v>#REF!</v>
      </c>
      <c r="BU4" s="219" t="e">
        <f t="shared" si="36"/>
        <v>#REF!</v>
      </c>
      <c r="BV4" s="219" t="e">
        <f t="shared" si="37"/>
        <v>#REF!</v>
      </c>
      <c r="BW4" s="219" t="e">
        <f t="shared" si="38"/>
        <v>#REF!</v>
      </c>
      <c r="BX4" s="223" t="e">
        <f t="shared" si="39"/>
        <v>#REF!</v>
      </c>
      <c r="BY4" s="223" t="e">
        <f t="shared" si="40"/>
        <v>#REF!</v>
      </c>
      <c r="BZ4" s="223" t="e">
        <f t="shared" si="41"/>
        <v>#REF!</v>
      </c>
      <c r="CA4" s="218"/>
      <c r="CB4" s="222" t="e">
        <f>IF(E4&gt;4,RIGHT(AN4,LEN(AN4)-LEN(AX4)-LEN(Temp!BM4)-2),"")</f>
        <v>#REF!</v>
      </c>
      <c r="CC4" s="222" t="e">
        <f>IF(E4&gt;4,RIGHT(AO4,LEN(AO4)-LEN(AY4)-LEN(Temp!BN4)-2),"")</f>
        <v>#REF!</v>
      </c>
      <c r="CD4" s="222" t="e">
        <f>IF(E4&gt;4,RIGHT(AP4,LEN(AP4)-LEN(AZ4)-LEN(Temp!BO4)-2),"")</f>
        <v>#REF!</v>
      </c>
      <c r="CE4" s="222" t="e">
        <f t="shared" si="42"/>
        <v>#REF!</v>
      </c>
      <c r="CF4" s="222" t="e">
        <f t="shared" si="43"/>
        <v>#REF!</v>
      </c>
      <c r="CG4" s="222" t="e">
        <f t="shared" si="44"/>
        <v>#REF!</v>
      </c>
      <c r="CH4" s="222" t="e">
        <f t="shared" si="45"/>
        <v>#REF!</v>
      </c>
      <c r="CI4" s="222"/>
      <c r="CJ4" s="224"/>
      <c r="CK4" s="224"/>
      <c r="CL4" s="222" t="e">
        <f t="shared" si="46"/>
        <v>#REF!</v>
      </c>
      <c r="CM4" s="222" t="e">
        <f t="shared" si="47"/>
        <v>#REF!</v>
      </c>
      <c r="CN4" s="222" t="e">
        <f t="shared" si="48"/>
        <v>#REF!</v>
      </c>
      <c r="CO4" s="222" t="e">
        <f t="shared" si="49"/>
        <v>#REF!</v>
      </c>
      <c r="CP4" s="222" t="e">
        <f t="shared" si="50"/>
        <v>#REF!</v>
      </c>
      <c r="CQ4" s="222" t="e">
        <f t="shared" si="51"/>
        <v>#REF!</v>
      </c>
      <c r="CR4" s="222" t="e">
        <f t="shared" si="52"/>
        <v>#REF!</v>
      </c>
      <c r="CS4" s="222" t="e">
        <f t="shared" si="53"/>
        <v>#REF!</v>
      </c>
      <c r="CT4" s="219" t="e">
        <f t="shared" si="54"/>
        <v>#REF!</v>
      </c>
      <c r="CU4" s="219" t="e">
        <f t="shared" si="55"/>
        <v>#REF!</v>
      </c>
      <c r="CV4" s="219" t="e">
        <f t="shared" si="56"/>
        <v>#REF!</v>
      </c>
      <c r="CW4" s="222" t="e">
        <f t="shared" si="57"/>
        <v>#REF!</v>
      </c>
      <c r="CX4" s="222" t="e">
        <f t="shared" si="58"/>
        <v>#REF!</v>
      </c>
      <c r="CY4" s="222" t="e">
        <f t="shared" si="59"/>
        <v>#REF!</v>
      </c>
      <c r="CZ4" s="218"/>
      <c r="DA4" s="216" t="e">
        <f t="shared" si="60"/>
        <v>#REF!</v>
      </c>
      <c r="DB4" s="216" t="e">
        <f t="shared" si="61"/>
        <v>#REF!</v>
      </c>
      <c r="DC4" s="216" t="e">
        <f t="shared" si="62"/>
        <v>#REF!</v>
      </c>
      <c r="DD4" s="222" t="e">
        <f t="shared" si="63"/>
        <v>#REF!</v>
      </c>
      <c r="DE4" s="222" t="e">
        <f t="shared" si="64"/>
        <v>#REF!</v>
      </c>
      <c r="DF4" s="222" t="e">
        <f t="shared" si="65"/>
        <v>#REF!</v>
      </c>
      <c r="DG4" s="222" t="e">
        <f t="shared" si="66"/>
        <v>#REF!</v>
      </c>
      <c r="DH4" s="223" t="e">
        <f t="shared" si="67"/>
        <v>#REF!</v>
      </c>
      <c r="DI4" s="219" t="e">
        <f t="shared" si="68"/>
        <v>#REF!</v>
      </c>
      <c r="DJ4" s="219" t="e">
        <f t="shared" si="69"/>
        <v>#REF!</v>
      </c>
      <c r="DK4" s="219" t="e">
        <f t="shared" si="70"/>
        <v>#REF!</v>
      </c>
      <c r="DL4" s="223" t="e">
        <f t="shared" si="71"/>
        <v>#REF!</v>
      </c>
      <c r="DM4" s="223" t="e">
        <f t="shared" si="72"/>
        <v>#REF!</v>
      </c>
      <c r="DN4" s="223" t="e">
        <f t="shared" si="73"/>
        <v>#REF!</v>
      </c>
      <c r="DO4" s="216"/>
      <c r="DP4" s="216"/>
      <c r="DQ4" s="216"/>
      <c r="DR4" s="216"/>
      <c r="DS4" s="216"/>
      <c r="DT4" s="216"/>
      <c r="DU4" s="216"/>
      <c r="DV4" s="216"/>
      <c r="DW4" s="216"/>
      <c r="DX4" s="216"/>
      <c r="DY4" s="216"/>
      <c r="DZ4" s="216"/>
      <c r="EA4" s="216" t="e">
        <f>#REF!</f>
        <v>#REF!</v>
      </c>
      <c r="EB4" s="216" t="e">
        <f>#REF!</f>
        <v>#REF!</v>
      </c>
      <c r="EC4" s="216" t="e">
        <f>#REF!</f>
        <v>#REF!</v>
      </c>
      <c r="ED4" s="216" t="e">
        <f>#REF!</f>
        <v>#REF!</v>
      </c>
      <c r="EE4" s="216" t="e">
        <f>#REF!</f>
        <v>#REF!</v>
      </c>
      <c r="EF4" s="216" t="e">
        <f>#REF!</f>
        <v>#REF!</v>
      </c>
      <c r="EG4" s="216" t="e">
        <f>#REF!</f>
        <v>#REF!</v>
      </c>
      <c r="EH4" s="216" t="e">
        <f>#REF!</f>
        <v>#REF!</v>
      </c>
      <c r="EI4" s="216" t="e">
        <f>#REF!</f>
        <v>#REF!</v>
      </c>
      <c r="EJ4" s="225" t="e">
        <f>#REF!</f>
        <v>#REF!</v>
      </c>
      <c r="EK4" s="225"/>
      <c r="EL4" s="225"/>
      <c r="EM4" s="225"/>
    </row>
    <row r="5" spans="1:147" s="99" customFormat="1">
      <c r="A5" s="215" t="e">
        <f>#REF!</f>
        <v>#REF!</v>
      </c>
      <c r="B5" s="216" t="e">
        <f>#REF!</f>
        <v>#REF!</v>
      </c>
      <c r="C5" s="217" t="e">
        <f>#REF!</f>
        <v>#REF!</v>
      </c>
      <c r="D5" s="217" t="e">
        <f>#REF!</f>
        <v>#REF!</v>
      </c>
      <c r="E5" s="215" t="e">
        <f>#REF!</f>
        <v>#REF!</v>
      </c>
      <c r="F5" s="218"/>
      <c r="G5" s="218"/>
      <c r="H5" s="218"/>
      <c r="I5" s="218"/>
      <c r="J5" s="219" t="e">
        <f>IF(E5&gt;1,LEFT(#REF!,FIND("/",#REF!,1)-1),#REF!)</f>
        <v>#REF!</v>
      </c>
      <c r="K5" s="219" t="e">
        <f>IF(E5&gt;1,LEFT(#REF!,FIND(";",#REF!,1)-1),#REF!)</f>
        <v>#REF!</v>
      </c>
      <c r="L5" s="219" t="e">
        <f>IF(E5&gt;1,LEFT(#REF!,FIND(";",#REF!,1)-1),#REF!)</f>
        <v>#REF!</v>
      </c>
      <c r="M5" s="219" t="e">
        <f t="shared" si="0"/>
        <v>#REF!</v>
      </c>
      <c r="N5" s="219" t="e">
        <f t="shared" si="1"/>
        <v>#REF!</v>
      </c>
      <c r="O5" s="219" t="e">
        <f t="shared" si="2"/>
        <v>#REF!</v>
      </c>
      <c r="P5" s="219" t="e">
        <f t="shared" si="3"/>
        <v>#REF!</v>
      </c>
      <c r="Q5" s="219" t="e">
        <f>IF(E5&gt;1,LEFT(#REF!,FIND(";",#REF!,1)-1),#REF!)</f>
        <v>#REF!</v>
      </c>
      <c r="R5" s="219" t="e">
        <f t="shared" si="4"/>
        <v>#REF!</v>
      </c>
      <c r="S5" s="219" t="e">
        <f t="shared" si="5"/>
        <v>#REF!</v>
      </c>
      <c r="T5" s="219" t="e">
        <f t="shared" si="6"/>
        <v>#REF!</v>
      </c>
      <c r="U5" s="219" t="e">
        <f>IF(E5&gt;1,LEFT(#REF!,FIND(";",#REF!,1)-1),#REF!)</f>
        <v>#REF!</v>
      </c>
      <c r="V5" s="219" t="e">
        <f>IF(E5&gt;1,LEFT(#REF!,FIND("/",#REF!,1)-1),#REF!)</f>
        <v>#REF!</v>
      </c>
      <c r="W5" s="219" t="e">
        <f>IF(E5&gt;1,LEFT(#REF!,FIND(";",#REF!,1)-1),#REF!)</f>
        <v>#REF!</v>
      </c>
      <c r="X5" s="220"/>
      <c r="Y5" s="221" t="e">
        <f>IF(E5&gt;2,MID(#REF!,LEN(Temp!J5)+2,FIND("/",#REF!,LEN(Temp!J5)+2)-LEN(Temp!J5)-2),IF(E5=2,RIGHT(#REF!,LEN(#REF!)-LEN(Temp!J5)-1),""))</f>
        <v>#REF!</v>
      </c>
      <c r="Z5" s="221" t="e">
        <f>IF(E5&gt;2,MID(#REF!,LEN(Temp!K5)+2,FIND(";",#REF!,LEN(Temp!K5)+2)-LEN(Temp!K5)-2),IF(E5=2,RIGHT(#REF!,LEN(#REF!)-LEN(Temp!K5)-1),""))</f>
        <v>#REF!</v>
      </c>
      <c r="AA5" s="221" t="e">
        <f>IF(E5&gt;2,MID(#REF!,LEN(Temp!L5)+2,FIND(";",#REF!,LEN(Temp!L5)+2)-LEN(Temp!L5)-2),IF(E5=2,RIGHT(#REF!,LEN(#REF!)-LEN(Temp!L5)-1),""))</f>
        <v>#REF!</v>
      </c>
      <c r="AB5" s="222" t="e">
        <f t="shared" si="7"/>
        <v>#REF!</v>
      </c>
      <c r="AC5" s="222" t="e">
        <f t="shared" si="8"/>
        <v>#REF!</v>
      </c>
      <c r="AD5" s="222" t="e">
        <f t="shared" si="9"/>
        <v>#REF!</v>
      </c>
      <c r="AE5" s="222" t="e">
        <f t="shared" si="10"/>
        <v>#REF!</v>
      </c>
      <c r="AF5" s="221" t="e">
        <f>IF(E5&gt;2,MID(#REF!,LEN(Temp!Q5)+2,FIND(";",#REF!,LEN(Temp!Q5)+2)-LEN(Temp!Q5)-2),IF(E5=2,RIGHT(#REF!,LEN(#REF!)-LEN(Temp!Q5)-1),""))</f>
        <v>#REF!</v>
      </c>
      <c r="AG5" s="219" t="e">
        <f t="shared" si="11"/>
        <v>#REF!</v>
      </c>
      <c r="AH5" s="219" t="e">
        <f t="shared" si="12"/>
        <v>#REF!</v>
      </c>
      <c r="AI5" s="219" t="e">
        <f t="shared" si="13"/>
        <v>#REF!</v>
      </c>
      <c r="AJ5" s="221" t="e">
        <f>IF(E5&gt;2,MID(#REF!,LEN(Temp!U5)+2,FIND(";",#REF!,LEN(Temp!U5)+2)-LEN(Temp!U5)-2),IF(E5=2,RIGHT(#REF!,LEN(#REF!)-LEN(Temp!U5)-1),""))</f>
        <v>#REF!</v>
      </c>
      <c r="AK5" s="221" t="e">
        <f>IF(E5&gt;2,MID(#REF!,LEN(Temp!V5)+2,FIND("/",#REF!,LEN(Temp!V5)+2)-LEN(Temp!V5)-2),IF(E5=2,RIGHT(#REF!,LEN(#REF!)-LEN(Temp!V5)-1),""))</f>
        <v>#REF!</v>
      </c>
      <c r="AL5" s="221" t="e">
        <f>IF(E5&gt;2,MID(#REF!,LEN(Temp!W5)+2,FIND(";",#REF!,LEN(Temp!W5)+2)-LEN(Temp!W5)-2),IF(E5=2,RIGHT(#REF!,LEN(#REF!)-LEN(Temp!W5)-1),""))</f>
        <v>#REF!</v>
      </c>
      <c r="AM5" s="220"/>
      <c r="AN5" s="222" t="e">
        <f>IF(E5&gt;2,RIGHT(#REF!,LEN(#REF!)-LEN(Temp!J5)-LEN(Temp!Y5)-2),"")</f>
        <v>#REF!</v>
      </c>
      <c r="AO5" s="222" t="e">
        <f>IF(E5&gt;2,RIGHT(#REF!,LEN(#REF!)-LEN(Temp!K5)-LEN(Temp!Z5)-2),"")</f>
        <v>#REF!</v>
      </c>
      <c r="AP5" s="222" t="e">
        <f>IF(E5&gt;2,RIGHT(#REF!,LEN(#REF!)-LEN(Temp!L5)-LEN(Temp!AA5)-2),"")</f>
        <v>#REF!</v>
      </c>
      <c r="AQ5" s="222" t="e">
        <f>IF(E5&gt;2,RIGHT(#REF!,LEN(#REF!)-LEN(Temp!Q5)-LEN(Temp!AF5)-2),"")</f>
        <v>#REF!</v>
      </c>
      <c r="AR5" s="222" t="e">
        <f>IF(E5&gt;2,RIGHT(#REF!,LEN(#REF!)-LEN(U5)-LEN(Temp!AJ5)-2),"")</f>
        <v>#REF!</v>
      </c>
      <c r="AS5" s="222" t="e">
        <f>IF(E5&gt;2,RIGHT(#REF!,LEN(#REF!)-LEN(V5)-LEN(Temp!AK5)-2),"")</f>
        <v>#REF!</v>
      </c>
      <c r="AT5" s="222" t="e">
        <f>IF(E5&gt;2,RIGHT(#REF!,LEN(#REF!)-LEN(W5)-LEN(Temp!AL5)-2),"")</f>
        <v>#REF!</v>
      </c>
      <c r="AU5" s="222"/>
      <c r="AV5" s="222"/>
      <c r="AW5" s="222"/>
      <c r="AX5" s="222" t="e">
        <f t="shared" si="14"/>
        <v>#REF!</v>
      </c>
      <c r="AY5" s="222" t="e">
        <f t="shared" si="15"/>
        <v>#REF!</v>
      </c>
      <c r="AZ5" s="222" t="e">
        <f t="shared" si="16"/>
        <v>#REF!</v>
      </c>
      <c r="BA5" s="222" t="e">
        <f t="shared" si="17"/>
        <v>#REF!</v>
      </c>
      <c r="BB5" s="222" t="e">
        <f t="shared" si="18"/>
        <v>#REF!</v>
      </c>
      <c r="BC5" s="222" t="e">
        <f t="shared" si="19"/>
        <v>#REF!</v>
      </c>
      <c r="BD5" s="222" t="e">
        <f t="shared" si="20"/>
        <v>#REF!</v>
      </c>
      <c r="BE5" s="222" t="e">
        <f t="shared" si="21"/>
        <v>#REF!</v>
      </c>
      <c r="BF5" s="219" t="e">
        <f t="shared" si="22"/>
        <v>#REF!</v>
      </c>
      <c r="BG5" s="219" t="e">
        <f t="shared" si="23"/>
        <v>#REF!</v>
      </c>
      <c r="BH5" s="219" t="e">
        <f t="shared" si="24"/>
        <v>#REF!</v>
      </c>
      <c r="BI5" s="222" t="e">
        <f t="shared" si="25"/>
        <v>#REF!</v>
      </c>
      <c r="BJ5" s="222" t="e">
        <f t="shared" si="26"/>
        <v>#REF!</v>
      </c>
      <c r="BK5" s="222" t="e">
        <f t="shared" si="27"/>
        <v>#REF!</v>
      </c>
      <c r="BL5" s="218"/>
      <c r="BM5" s="216" t="e">
        <f t="shared" si="28"/>
        <v>#REF!</v>
      </c>
      <c r="BN5" s="216" t="e">
        <f t="shared" si="29"/>
        <v>#REF!</v>
      </c>
      <c r="BO5" s="216" t="e">
        <f t="shared" si="30"/>
        <v>#REF!</v>
      </c>
      <c r="BP5" s="222" t="e">
        <f t="shared" si="31"/>
        <v>#REF!</v>
      </c>
      <c r="BQ5" s="222" t="e">
        <f t="shared" si="32"/>
        <v>#REF!</v>
      </c>
      <c r="BR5" s="222" t="e">
        <f t="shared" si="33"/>
        <v>#REF!</v>
      </c>
      <c r="BS5" s="222" t="e">
        <f t="shared" si="34"/>
        <v>#REF!</v>
      </c>
      <c r="BT5" s="223" t="e">
        <f t="shared" si="35"/>
        <v>#REF!</v>
      </c>
      <c r="BU5" s="219" t="e">
        <f t="shared" si="36"/>
        <v>#REF!</v>
      </c>
      <c r="BV5" s="219" t="e">
        <f t="shared" si="37"/>
        <v>#REF!</v>
      </c>
      <c r="BW5" s="219" t="e">
        <f t="shared" si="38"/>
        <v>#REF!</v>
      </c>
      <c r="BX5" s="223" t="e">
        <f t="shared" si="39"/>
        <v>#REF!</v>
      </c>
      <c r="BY5" s="223" t="e">
        <f t="shared" si="40"/>
        <v>#REF!</v>
      </c>
      <c r="BZ5" s="223" t="e">
        <f t="shared" si="41"/>
        <v>#REF!</v>
      </c>
      <c r="CA5" s="218"/>
      <c r="CB5" s="222" t="e">
        <f>IF(E5&gt;4,RIGHT(AN5,LEN(AN5)-LEN(AX5)-LEN(Temp!BM5)-2),"")</f>
        <v>#REF!</v>
      </c>
      <c r="CC5" s="222" t="e">
        <f>IF(E5&gt;4,RIGHT(AO5,LEN(AO5)-LEN(AY5)-LEN(Temp!BN5)-2),"")</f>
        <v>#REF!</v>
      </c>
      <c r="CD5" s="222" t="e">
        <f>IF(E5&gt;4,RIGHT(AP5,LEN(AP5)-LEN(AZ5)-LEN(Temp!BO5)-2),"")</f>
        <v>#REF!</v>
      </c>
      <c r="CE5" s="222" t="e">
        <f t="shared" si="42"/>
        <v>#REF!</v>
      </c>
      <c r="CF5" s="222" t="e">
        <f t="shared" si="43"/>
        <v>#REF!</v>
      </c>
      <c r="CG5" s="222" t="e">
        <f t="shared" si="44"/>
        <v>#REF!</v>
      </c>
      <c r="CH5" s="222" t="e">
        <f t="shared" si="45"/>
        <v>#REF!</v>
      </c>
      <c r="CI5" s="222"/>
      <c r="CJ5" s="224"/>
      <c r="CK5" s="224"/>
      <c r="CL5" s="222" t="e">
        <f t="shared" si="46"/>
        <v>#REF!</v>
      </c>
      <c r="CM5" s="222" t="e">
        <f t="shared" si="47"/>
        <v>#REF!</v>
      </c>
      <c r="CN5" s="222" t="e">
        <f t="shared" si="48"/>
        <v>#REF!</v>
      </c>
      <c r="CO5" s="222" t="e">
        <f t="shared" si="49"/>
        <v>#REF!</v>
      </c>
      <c r="CP5" s="222" t="e">
        <f t="shared" si="50"/>
        <v>#REF!</v>
      </c>
      <c r="CQ5" s="222" t="e">
        <f t="shared" si="51"/>
        <v>#REF!</v>
      </c>
      <c r="CR5" s="222" t="e">
        <f t="shared" si="52"/>
        <v>#REF!</v>
      </c>
      <c r="CS5" s="222" t="e">
        <f t="shared" si="53"/>
        <v>#REF!</v>
      </c>
      <c r="CT5" s="219" t="e">
        <f t="shared" si="54"/>
        <v>#REF!</v>
      </c>
      <c r="CU5" s="219" t="e">
        <f t="shared" si="55"/>
        <v>#REF!</v>
      </c>
      <c r="CV5" s="219" t="e">
        <f t="shared" si="56"/>
        <v>#REF!</v>
      </c>
      <c r="CW5" s="222" t="e">
        <f t="shared" si="57"/>
        <v>#REF!</v>
      </c>
      <c r="CX5" s="222" t="e">
        <f t="shared" si="58"/>
        <v>#REF!</v>
      </c>
      <c r="CY5" s="222" t="e">
        <f t="shared" si="59"/>
        <v>#REF!</v>
      </c>
      <c r="CZ5" s="218"/>
      <c r="DA5" s="216" t="e">
        <f t="shared" si="60"/>
        <v>#REF!</v>
      </c>
      <c r="DB5" s="216" t="e">
        <f t="shared" si="61"/>
        <v>#REF!</v>
      </c>
      <c r="DC5" s="216" t="e">
        <f t="shared" si="62"/>
        <v>#REF!</v>
      </c>
      <c r="DD5" s="222" t="e">
        <f t="shared" si="63"/>
        <v>#REF!</v>
      </c>
      <c r="DE5" s="222" t="e">
        <f t="shared" si="64"/>
        <v>#REF!</v>
      </c>
      <c r="DF5" s="222" t="e">
        <f t="shared" si="65"/>
        <v>#REF!</v>
      </c>
      <c r="DG5" s="222" t="e">
        <f t="shared" si="66"/>
        <v>#REF!</v>
      </c>
      <c r="DH5" s="223" t="e">
        <f t="shared" si="67"/>
        <v>#REF!</v>
      </c>
      <c r="DI5" s="219" t="e">
        <f t="shared" si="68"/>
        <v>#REF!</v>
      </c>
      <c r="DJ5" s="219" t="e">
        <f t="shared" si="69"/>
        <v>#REF!</v>
      </c>
      <c r="DK5" s="219" t="e">
        <f t="shared" si="70"/>
        <v>#REF!</v>
      </c>
      <c r="DL5" s="223" t="e">
        <f t="shared" si="71"/>
        <v>#REF!</v>
      </c>
      <c r="DM5" s="223" t="e">
        <f t="shared" si="72"/>
        <v>#REF!</v>
      </c>
      <c r="DN5" s="223" t="e">
        <f t="shared" si="73"/>
        <v>#REF!</v>
      </c>
      <c r="DO5" s="216"/>
      <c r="DP5" s="216"/>
      <c r="DQ5" s="216"/>
      <c r="DR5" s="216"/>
      <c r="DS5" s="216"/>
      <c r="DT5" s="216"/>
      <c r="DU5" s="216"/>
      <c r="DV5" s="216"/>
      <c r="DW5" s="216"/>
      <c r="DX5" s="216"/>
      <c r="DY5" s="216"/>
      <c r="DZ5" s="216"/>
      <c r="EA5" s="216" t="e">
        <f>#REF!</f>
        <v>#REF!</v>
      </c>
      <c r="EB5" s="216" t="e">
        <f>#REF!</f>
        <v>#REF!</v>
      </c>
      <c r="EC5" s="216" t="e">
        <f>#REF!</f>
        <v>#REF!</v>
      </c>
      <c r="ED5" s="216" t="e">
        <f>#REF!</f>
        <v>#REF!</v>
      </c>
      <c r="EE5" s="216" t="e">
        <f>#REF!</f>
        <v>#REF!</v>
      </c>
      <c r="EF5" s="216" t="e">
        <f>#REF!</f>
        <v>#REF!</v>
      </c>
      <c r="EG5" s="216" t="e">
        <f>#REF!</f>
        <v>#REF!</v>
      </c>
      <c r="EH5" s="216" t="e">
        <f>#REF!</f>
        <v>#REF!</v>
      </c>
      <c r="EI5" s="216" t="e">
        <f>#REF!</f>
        <v>#REF!</v>
      </c>
      <c r="EJ5" s="225" t="e">
        <f>#REF!</f>
        <v>#REF!</v>
      </c>
      <c r="EK5" s="225"/>
      <c r="EL5" s="225"/>
      <c r="EM5" s="225"/>
    </row>
    <row r="6" spans="1:147" s="99" customFormat="1">
      <c r="A6" s="215" t="e">
        <f>#REF!</f>
        <v>#REF!</v>
      </c>
      <c r="B6" s="216" t="e">
        <f>#REF!</f>
        <v>#REF!</v>
      </c>
      <c r="C6" s="217" t="e">
        <f>#REF!</f>
        <v>#REF!</v>
      </c>
      <c r="D6" s="217" t="e">
        <f>#REF!</f>
        <v>#REF!</v>
      </c>
      <c r="E6" s="215" t="e">
        <f>#REF!</f>
        <v>#REF!</v>
      </c>
      <c r="F6" s="218"/>
      <c r="G6" s="218"/>
      <c r="H6" s="218"/>
      <c r="I6" s="218"/>
      <c r="J6" s="219" t="e">
        <f>IF(E6&gt;1,LEFT(#REF!,FIND("/",#REF!,1)-1),#REF!)</f>
        <v>#REF!</v>
      </c>
      <c r="K6" s="219" t="e">
        <f>IF(E6&gt;1,LEFT(#REF!,FIND(";",#REF!,1)-1),#REF!)</f>
        <v>#REF!</v>
      </c>
      <c r="L6" s="219" t="e">
        <f>IF(E6&gt;1,LEFT(#REF!,FIND(";",#REF!,1)-1),#REF!)</f>
        <v>#REF!</v>
      </c>
      <c r="M6" s="219" t="e">
        <f t="shared" si="0"/>
        <v>#REF!</v>
      </c>
      <c r="N6" s="219" t="e">
        <f t="shared" si="1"/>
        <v>#REF!</v>
      </c>
      <c r="O6" s="219" t="e">
        <f t="shared" si="2"/>
        <v>#REF!</v>
      </c>
      <c r="P6" s="219" t="e">
        <f t="shared" si="3"/>
        <v>#REF!</v>
      </c>
      <c r="Q6" s="219" t="e">
        <f>IF(E6&gt;1,LEFT(#REF!,FIND(";",#REF!,1)-1),#REF!)</f>
        <v>#REF!</v>
      </c>
      <c r="R6" s="219" t="e">
        <f t="shared" si="4"/>
        <v>#REF!</v>
      </c>
      <c r="S6" s="219" t="e">
        <f t="shared" si="5"/>
        <v>#REF!</v>
      </c>
      <c r="T6" s="219" t="e">
        <f t="shared" si="6"/>
        <v>#REF!</v>
      </c>
      <c r="U6" s="219" t="e">
        <f>IF(E6&gt;1,LEFT(#REF!,FIND(";",#REF!,1)-1),#REF!)</f>
        <v>#REF!</v>
      </c>
      <c r="V6" s="219" t="e">
        <f>IF(E6&gt;1,LEFT(#REF!,FIND("/",#REF!,1)-1),#REF!)</f>
        <v>#REF!</v>
      </c>
      <c r="W6" s="219" t="e">
        <f>IF(E6&gt;1,LEFT(#REF!,FIND(";",#REF!,1)-1),#REF!)</f>
        <v>#REF!</v>
      </c>
      <c r="X6" s="220"/>
      <c r="Y6" s="221" t="e">
        <f>IF(E6&gt;2,MID(#REF!,LEN(Temp!J6)+2,FIND("/",#REF!,LEN(Temp!J6)+2)-LEN(Temp!J6)-2),IF(E6=2,RIGHT(#REF!,LEN(#REF!)-LEN(Temp!J6)-1),""))</f>
        <v>#REF!</v>
      </c>
      <c r="Z6" s="221" t="e">
        <f>IF(E6&gt;2,MID(#REF!,LEN(Temp!K6)+2,FIND(";",#REF!,LEN(Temp!K6)+2)-LEN(Temp!K6)-2),IF(E6=2,RIGHT(#REF!,LEN(#REF!)-LEN(Temp!K6)-1),""))</f>
        <v>#REF!</v>
      </c>
      <c r="AA6" s="221" t="e">
        <f>IF(E6&gt;2,MID(#REF!,LEN(Temp!L6)+2,FIND(";",#REF!,LEN(Temp!L6)+2)-LEN(Temp!L6)-2),IF(E6=2,RIGHT(#REF!,LEN(#REF!)-LEN(Temp!L6)-1),""))</f>
        <v>#REF!</v>
      </c>
      <c r="AB6" s="222" t="e">
        <f t="shared" si="7"/>
        <v>#REF!</v>
      </c>
      <c r="AC6" s="222" t="e">
        <f t="shared" si="8"/>
        <v>#REF!</v>
      </c>
      <c r="AD6" s="222" t="e">
        <f t="shared" si="9"/>
        <v>#REF!</v>
      </c>
      <c r="AE6" s="222" t="e">
        <f t="shared" si="10"/>
        <v>#REF!</v>
      </c>
      <c r="AF6" s="221" t="e">
        <f>IF(E6&gt;2,MID(#REF!,LEN(Temp!Q6)+2,FIND(";",#REF!,LEN(Temp!Q6)+2)-LEN(Temp!Q6)-2),IF(E6=2,RIGHT(#REF!,LEN(#REF!)-LEN(Temp!Q6)-1),""))</f>
        <v>#REF!</v>
      </c>
      <c r="AG6" s="219" t="e">
        <f t="shared" si="11"/>
        <v>#REF!</v>
      </c>
      <c r="AH6" s="219" t="e">
        <f t="shared" si="12"/>
        <v>#REF!</v>
      </c>
      <c r="AI6" s="219" t="e">
        <f t="shared" si="13"/>
        <v>#REF!</v>
      </c>
      <c r="AJ6" s="221" t="e">
        <f>IF(E6&gt;2,MID(#REF!,LEN(Temp!U6)+2,FIND(";",#REF!,LEN(Temp!U6)+2)-LEN(Temp!U6)-2),IF(E6=2,RIGHT(#REF!,LEN(#REF!)-LEN(Temp!U6)-1),""))</f>
        <v>#REF!</v>
      </c>
      <c r="AK6" s="221" t="e">
        <f>IF(E6&gt;2,MID(#REF!,LEN(Temp!V6)+2,FIND("/",#REF!,LEN(Temp!V6)+2)-LEN(Temp!V6)-2),IF(E6=2,RIGHT(#REF!,LEN(#REF!)-LEN(Temp!V6)-1),""))</f>
        <v>#REF!</v>
      </c>
      <c r="AL6" s="221" t="e">
        <f>IF(E6&gt;2,MID(#REF!,LEN(Temp!W6)+2,FIND(";",#REF!,LEN(Temp!W6)+2)-LEN(Temp!W6)-2),IF(E6=2,RIGHT(#REF!,LEN(#REF!)-LEN(Temp!W6)-1),""))</f>
        <v>#REF!</v>
      </c>
      <c r="AM6" s="220"/>
      <c r="AN6" s="222" t="e">
        <f>IF(E6&gt;2,RIGHT(#REF!,LEN(#REF!)-LEN(Temp!J6)-LEN(Temp!Y6)-2),"")</f>
        <v>#REF!</v>
      </c>
      <c r="AO6" s="222" t="e">
        <f>IF(E6&gt;2,RIGHT(#REF!,LEN(#REF!)-LEN(Temp!K6)-LEN(Temp!Z6)-2),"")</f>
        <v>#REF!</v>
      </c>
      <c r="AP6" s="222" t="e">
        <f>IF(E6&gt;2,RIGHT(#REF!,LEN(#REF!)-LEN(Temp!L6)-LEN(Temp!AA6)-2),"")</f>
        <v>#REF!</v>
      </c>
      <c r="AQ6" s="222" t="e">
        <f>IF(E6&gt;2,RIGHT(#REF!,LEN(#REF!)-LEN(Temp!Q6)-LEN(Temp!AF6)-2),"")</f>
        <v>#REF!</v>
      </c>
      <c r="AR6" s="222" t="e">
        <f>IF(E6&gt;2,RIGHT(#REF!,LEN(#REF!)-LEN(U6)-LEN(Temp!AJ6)-2),"")</f>
        <v>#REF!</v>
      </c>
      <c r="AS6" s="222" t="e">
        <f>IF(E6&gt;2,RIGHT(#REF!,LEN(#REF!)-LEN(V6)-LEN(Temp!AK6)-2),"")</f>
        <v>#REF!</v>
      </c>
      <c r="AT6" s="222" t="e">
        <f>IF(E6&gt;2,RIGHT(#REF!,LEN(#REF!)-LEN(W6)-LEN(Temp!AL6)-2),"")</f>
        <v>#REF!</v>
      </c>
      <c r="AU6" s="222"/>
      <c r="AV6" s="222"/>
      <c r="AW6" s="222"/>
      <c r="AX6" s="222" t="e">
        <f t="shared" si="14"/>
        <v>#REF!</v>
      </c>
      <c r="AY6" s="222" t="e">
        <f t="shared" si="15"/>
        <v>#REF!</v>
      </c>
      <c r="AZ6" s="222" t="e">
        <f t="shared" si="16"/>
        <v>#REF!</v>
      </c>
      <c r="BA6" s="222" t="e">
        <f t="shared" si="17"/>
        <v>#REF!</v>
      </c>
      <c r="BB6" s="222" t="e">
        <f t="shared" si="18"/>
        <v>#REF!</v>
      </c>
      <c r="BC6" s="222" t="e">
        <f t="shared" si="19"/>
        <v>#REF!</v>
      </c>
      <c r="BD6" s="222" t="e">
        <f t="shared" si="20"/>
        <v>#REF!</v>
      </c>
      <c r="BE6" s="222" t="e">
        <f t="shared" si="21"/>
        <v>#REF!</v>
      </c>
      <c r="BF6" s="219" t="e">
        <f t="shared" si="22"/>
        <v>#REF!</v>
      </c>
      <c r="BG6" s="219" t="e">
        <f t="shared" si="23"/>
        <v>#REF!</v>
      </c>
      <c r="BH6" s="219" t="e">
        <f t="shared" si="24"/>
        <v>#REF!</v>
      </c>
      <c r="BI6" s="222" t="e">
        <f t="shared" si="25"/>
        <v>#REF!</v>
      </c>
      <c r="BJ6" s="222" t="e">
        <f t="shared" si="26"/>
        <v>#REF!</v>
      </c>
      <c r="BK6" s="222" t="e">
        <f t="shared" si="27"/>
        <v>#REF!</v>
      </c>
      <c r="BL6" s="218"/>
      <c r="BM6" s="216" t="e">
        <f t="shared" si="28"/>
        <v>#REF!</v>
      </c>
      <c r="BN6" s="216" t="e">
        <f t="shared" si="29"/>
        <v>#REF!</v>
      </c>
      <c r="BO6" s="216" t="e">
        <f t="shared" si="30"/>
        <v>#REF!</v>
      </c>
      <c r="BP6" s="222" t="e">
        <f t="shared" si="31"/>
        <v>#REF!</v>
      </c>
      <c r="BQ6" s="222" t="e">
        <f t="shared" si="32"/>
        <v>#REF!</v>
      </c>
      <c r="BR6" s="222" t="e">
        <f t="shared" si="33"/>
        <v>#REF!</v>
      </c>
      <c r="BS6" s="222" t="e">
        <f t="shared" si="34"/>
        <v>#REF!</v>
      </c>
      <c r="BT6" s="223" t="e">
        <f t="shared" si="35"/>
        <v>#REF!</v>
      </c>
      <c r="BU6" s="219" t="e">
        <f t="shared" si="36"/>
        <v>#REF!</v>
      </c>
      <c r="BV6" s="219" t="e">
        <f t="shared" si="37"/>
        <v>#REF!</v>
      </c>
      <c r="BW6" s="219" t="e">
        <f t="shared" si="38"/>
        <v>#REF!</v>
      </c>
      <c r="BX6" s="223" t="e">
        <f t="shared" si="39"/>
        <v>#REF!</v>
      </c>
      <c r="BY6" s="223" t="e">
        <f t="shared" si="40"/>
        <v>#REF!</v>
      </c>
      <c r="BZ6" s="223" t="e">
        <f t="shared" si="41"/>
        <v>#REF!</v>
      </c>
      <c r="CA6" s="218"/>
      <c r="CB6" s="222" t="e">
        <f>IF(E6&gt;4,RIGHT(AN6,LEN(AN6)-LEN(AX6)-LEN(Temp!BM6)-2),"")</f>
        <v>#REF!</v>
      </c>
      <c r="CC6" s="222" t="e">
        <f>IF(E6&gt;4,RIGHT(AO6,LEN(AO6)-LEN(AY6)-LEN(Temp!BN6)-2),"")</f>
        <v>#REF!</v>
      </c>
      <c r="CD6" s="222" t="e">
        <f>IF(E6&gt;4,RIGHT(AP6,LEN(AP6)-LEN(AZ6)-LEN(Temp!BO6)-2),"")</f>
        <v>#REF!</v>
      </c>
      <c r="CE6" s="222" t="e">
        <f t="shared" si="42"/>
        <v>#REF!</v>
      </c>
      <c r="CF6" s="222" t="e">
        <f t="shared" si="43"/>
        <v>#REF!</v>
      </c>
      <c r="CG6" s="222" t="e">
        <f t="shared" si="44"/>
        <v>#REF!</v>
      </c>
      <c r="CH6" s="222" t="e">
        <f t="shared" si="45"/>
        <v>#REF!</v>
      </c>
      <c r="CI6" s="222"/>
      <c r="CJ6" s="224"/>
      <c r="CK6" s="224"/>
      <c r="CL6" s="222" t="e">
        <f t="shared" si="46"/>
        <v>#REF!</v>
      </c>
      <c r="CM6" s="222" t="e">
        <f t="shared" si="47"/>
        <v>#REF!</v>
      </c>
      <c r="CN6" s="222" t="e">
        <f t="shared" si="48"/>
        <v>#REF!</v>
      </c>
      <c r="CO6" s="222" t="e">
        <f t="shared" si="49"/>
        <v>#REF!</v>
      </c>
      <c r="CP6" s="222" t="e">
        <f t="shared" si="50"/>
        <v>#REF!</v>
      </c>
      <c r="CQ6" s="222" t="e">
        <f t="shared" si="51"/>
        <v>#REF!</v>
      </c>
      <c r="CR6" s="222" t="e">
        <f t="shared" si="52"/>
        <v>#REF!</v>
      </c>
      <c r="CS6" s="222" t="e">
        <f t="shared" si="53"/>
        <v>#REF!</v>
      </c>
      <c r="CT6" s="219" t="e">
        <f t="shared" si="54"/>
        <v>#REF!</v>
      </c>
      <c r="CU6" s="219" t="e">
        <f t="shared" si="55"/>
        <v>#REF!</v>
      </c>
      <c r="CV6" s="219" t="e">
        <f t="shared" si="56"/>
        <v>#REF!</v>
      </c>
      <c r="CW6" s="222" t="e">
        <f t="shared" si="57"/>
        <v>#REF!</v>
      </c>
      <c r="CX6" s="222" t="e">
        <f t="shared" si="58"/>
        <v>#REF!</v>
      </c>
      <c r="CY6" s="222" t="e">
        <f t="shared" si="59"/>
        <v>#REF!</v>
      </c>
      <c r="CZ6" s="218"/>
      <c r="DA6" s="216" t="e">
        <f t="shared" si="60"/>
        <v>#REF!</v>
      </c>
      <c r="DB6" s="216" t="e">
        <f t="shared" si="61"/>
        <v>#REF!</v>
      </c>
      <c r="DC6" s="216" t="e">
        <f t="shared" si="62"/>
        <v>#REF!</v>
      </c>
      <c r="DD6" s="222" t="e">
        <f t="shared" si="63"/>
        <v>#REF!</v>
      </c>
      <c r="DE6" s="222" t="e">
        <f t="shared" si="64"/>
        <v>#REF!</v>
      </c>
      <c r="DF6" s="222" t="e">
        <f t="shared" si="65"/>
        <v>#REF!</v>
      </c>
      <c r="DG6" s="222" t="e">
        <f t="shared" si="66"/>
        <v>#REF!</v>
      </c>
      <c r="DH6" s="223" t="e">
        <f t="shared" si="67"/>
        <v>#REF!</v>
      </c>
      <c r="DI6" s="219" t="e">
        <f t="shared" si="68"/>
        <v>#REF!</v>
      </c>
      <c r="DJ6" s="219" t="e">
        <f t="shared" si="69"/>
        <v>#REF!</v>
      </c>
      <c r="DK6" s="219" t="e">
        <f t="shared" si="70"/>
        <v>#REF!</v>
      </c>
      <c r="DL6" s="223" t="e">
        <f t="shared" si="71"/>
        <v>#REF!</v>
      </c>
      <c r="DM6" s="223" t="e">
        <f t="shared" si="72"/>
        <v>#REF!</v>
      </c>
      <c r="DN6" s="223" t="e">
        <f t="shared" si="73"/>
        <v>#REF!</v>
      </c>
      <c r="DO6" s="216"/>
      <c r="DP6" s="216"/>
      <c r="DQ6" s="216"/>
      <c r="DR6" s="216"/>
      <c r="DS6" s="216"/>
      <c r="DT6" s="216"/>
      <c r="DU6" s="216"/>
      <c r="DV6" s="216"/>
      <c r="DW6" s="216"/>
      <c r="DX6" s="216"/>
      <c r="DY6" s="216"/>
      <c r="DZ6" s="216"/>
      <c r="EA6" s="216" t="e">
        <f>#REF!</f>
        <v>#REF!</v>
      </c>
      <c r="EB6" s="216" t="e">
        <f>#REF!</f>
        <v>#REF!</v>
      </c>
      <c r="EC6" s="216" t="e">
        <f>#REF!</f>
        <v>#REF!</v>
      </c>
      <c r="ED6" s="216" t="e">
        <f>#REF!</f>
        <v>#REF!</v>
      </c>
      <c r="EE6" s="216" t="e">
        <f>#REF!</f>
        <v>#REF!</v>
      </c>
      <c r="EF6" s="216" t="e">
        <f>#REF!</f>
        <v>#REF!</v>
      </c>
      <c r="EG6" s="216" t="e">
        <f>#REF!</f>
        <v>#REF!</v>
      </c>
      <c r="EH6" s="216" t="e">
        <f>#REF!</f>
        <v>#REF!</v>
      </c>
      <c r="EI6" s="216" t="e">
        <f>#REF!</f>
        <v>#REF!</v>
      </c>
      <c r="EJ6" s="225" t="e">
        <f>#REF!</f>
        <v>#REF!</v>
      </c>
      <c r="EK6" s="225"/>
      <c r="EL6" s="225"/>
      <c r="EM6" s="225"/>
    </row>
  </sheetData>
  <autoFilter ref="A1:EQ2"/>
  <conditionalFormatting sqref="EA1:EB1">
    <cfRule type="containsText" dxfId="11" priority="1" operator="containsText" text="no">
      <formula>NOT(ISERROR(SEARCH("no",EA1)))</formula>
    </cfRule>
  </conditionalFormatting>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00B0F0"/>
  </sheetPr>
  <dimension ref="A1:AB404"/>
  <sheetViews>
    <sheetView topLeftCell="O1" zoomScale="130" zoomScaleNormal="130" workbookViewId="0">
      <selection activeCell="S1" sqref="S1"/>
    </sheetView>
  </sheetViews>
  <sheetFormatPr defaultColWidth="9" defaultRowHeight="12"/>
  <cols>
    <col min="1" max="1" width="3.42578125" style="238" bestFit="1" customWidth="1"/>
    <col min="2" max="2" width="9.85546875" style="243" customWidth="1"/>
    <col min="3" max="3" width="46.140625" style="240" customWidth="1"/>
    <col min="4" max="4" width="8.7109375" style="243" customWidth="1"/>
    <col min="5" max="5" width="13.7109375" style="243" customWidth="1"/>
    <col min="6" max="6" width="13.28515625" style="243" customWidth="1"/>
    <col min="7" max="7" width="12.85546875" style="243" customWidth="1"/>
    <col min="8" max="8" width="6.42578125" style="243" customWidth="1"/>
    <col min="9" max="9" width="18.7109375" style="243" bestFit="1" customWidth="1"/>
    <col min="10" max="10" width="12" style="239" bestFit="1" customWidth="1"/>
    <col min="11" max="11" width="17.7109375" style="243" bestFit="1" customWidth="1"/>
    <col min="12" max="12" width="13.140625" style="243" bestFit="1" customWidth="1"/>
    <col min="13" max="13" width="14" style="243" bestFit="1" customWidth="1"/>
    <col min="14" max="14" width="12.42578125" style="239" bestFit="1" customWidth="1"/>
    <col min="15" max="15" width="24.42578125" style="239" bestFit="1" customWidth="1"/>
    <col min="16" max="16" width="20.7109375" style="240" bestFit="1" customWidth="1"/>
    <col min="17" max="17" width="41.5703125" style="240" customWidth="1"/>
    <col min="18" max="18" width="14.85546875" style="242" bestFit="1" customWidth="1"/>
    <col min="19" max="19" width="14.85546875" style="242" customWidth="1"/>
    <col min="20" max="20" width="17.140625" style="242" bestFit="1" customWidth="1"/>
    <col min="21" max="21" width="18.5703125" style="242" bestFit="1" customWidth="1"/>
    <col min="22" max="22" width="14.42578125" style="242" bestFit="1" customWidth="1"/>
    <col min="23" max="23" width="24.7109375" style="242" customWidth="1"/>
    <col min="24" max="24" width="14.140625" style="242" customWidth="1"/>
    <col min="25" max="25" width="16.28515625" style="242" customWidth="1"/>
    <col min="26" max="26" width="14.28515625" style="242" customWidth="1"/>
    <col min="27" max="27" width="16.5703125" style="242" bestFit="1" customWidth="1"/>
    <col min="28" max="28" width="13.140625" style="242" customWidth="1"/>
    <col min="29" max="16384" width="9" style="238"/>
  </cols>
  <sheetData>
    <row r="1" spans="1:28" s="235" customFormat="1">
      <c r="A1" s="231" t="s">
        <v>248</v>
      </c>
      <c r="B1" s="232" t="s">
        <v>1710</v>
      </c>
      <c r="C1" s="233" t="s">
        <v>1516</v>
      </c>
      <c r="D1" s="232" t="s">
        <v>1525</v>
      </c>
      <c r="E1" s="232" t="s">
        <v>1519</v>
      </c>
      <c r="F1" s="232" t="s">
        <v>1520</v>
      </c>
      <c r="G1" s="232" t="s">
        <v>1526</v>
      </c>
      <c r="H1" s="232" t="s">
        <v>1532</v>
      </c>
      <c r="I1" s="232" t="s">
        <v>1522</v>
      </c>
      <c r="J1" s="232" t="s">
        <v>1523</v>
      </c>
      <c r="K1" s="232" t="s">
        <v>1711</v>
      </c>
      <c r="L1" s="232" t="s">
        <v>1712</v>
      </c>
      <c r="M1" s="232" t="s">
        <v>1713</v>
      </c>
      <c r="N1" s="232" t="s">
        <v>1521</v>
      </c>
      <c r="O1" s="232" t="s">
        <v>1534</v>
      </c>
      <c r="P1" s="233" t="s">
        <v>1714</v>
      </c>
      <c r="Q1" s="233" t="s">
        <v>1535</v>
      </c>
      <c r="R1" s="234" t="s">
        <v>1536</v>
      </c>
      <c r="S1" s="234" t="s">
        <v>1715</v>
      </c>
      <c r="T1" s="234" t="s">
        <v>1537</v>
      </c>
      <c r="U1" s="234" t="s">
        <v>1538</v>
      </c>
      <c r="V1" s="234" t="s">
        <v>1539</v>
      </c>
      <c r="W1" s="234" t="s">
        <v>1540</v>
      </c>
      <c r="X1" s="234" t="s">
        <v>1542</v>
      </c>
      <c r="Y1" s="234" t="s">
        <v>1543</v>
      </c>
      <c r="Z1" s="234" t="s">
        <v>1551</v>
      </c>
      <c r="AA1" s="234" t="s">
        <v>1544</v>
      </c>
      <c r="AB1" s="234" t="s">
        <v>1545</v>
      </c>
    </row>
    <row r="2" spans="1:28" ht="15">
      <c r="A2">
        <v>1</v>
      </c>
      <c r="B2">
        <v>359018</v>
      </c>
      <c r="C2" t="s">
        <v>1716</v>
      </c>
      <c r="D2" t="s">
        <v>1528</v>
      </c>
      <c r="E2" s="236" t="s">
        <v>1717</v>
      </c>
      <c r="F2" s="236" t="s">
        <v>1718</v>
      </c>
      <c r="G2">
        <v>1</v>
      </c>
      <c r="H2" s="211" t="s">
        <v>1563</v>
      </c>
      <c r="I2" t="s">
        <v>1719</v>
      </c>
      <c r="J2" s="212">
        <v>42976</v>
      </c>
      <c r="K2" t="s">
        <v>1720</v>
      </c>
      <c r="L2" s="212">
        <f>DATE(MID(K2,11,2)+2000,MID(K2,9,2),MID(K2,7,2))</f>
        <v>42977</v>
      </c>
      <c r="M2" s="212">
        <f>DATE(MID(K2,11,2)+2005,MID(K2,9,2),MID(K2,7,2))</f>
        <v>44803</v>
      </c>
      <c r="N2">
        <v>2</v>
      </c>
      <c r="O2" s="237" t="s">
        <v>1721</v>
      </c>
      <c r="P2" t="s">
        <v>1722</v>
      </c>
      <c r="Q2" t="s">
        <v>1723</v>
      </c>
      <c r="R2" t="s">
        <v>1724</v>
      </c>
      <c r="S2">
        <v>0</v>
      </c>
      <c r="T2" t="s">
        <v>1725</v>
      </c>
      <c r="U2" t="s">
        <v>1726</v>
      </c>
      <c r="V2" t="s">
        <v>1727</v>
      </c>
      <c r="W2" t="s">
        <v>1728</v>
      </c>
      <c r="X2">
        <v>29</v>
      </c>
      <c r="Y2">
        <f>X2-Z2</f>
        <v>25</v>
      </c>
      <c r="Z2">
        <v>4</v>
      </c>
      <c r="AA2" t="b">
        <v>0</v>
      </c>
      <c r="AB2"/>
    </row>
    <row r="3" spans="1:28" ht="15">
      <c r="A3">
        <v>2</v>
      </c>
      <c r="B3">
        <v>359184</v>
      </c>
      <c r="C3" t="s">
        <v>1529</v>
      </c>
      <c r="D3" t="s">
        <v>1528</v>
      </c>
      <c r="E3" s="236">
        <v>106.6932</v>
      </c>
      <c r="F3" s="236" t="s">
        <v>1729</v>
      </c>
      <c r="G3">
        <v>1</v>
      </c>
      <c r="H3" s="211" t="s">
        <v>1563</v>
      </c>
      <c r="I3" t="s">
        <v>1730</v>
      </c>
      <c r="J3" s="212">
        <v>42976</v>
      </c>
      <c r="K3" t="s">
        <v>1731</v>
      </c>
      <c r="L3" s="212">
        <f>DATE(MID(K3,11,2)+2000,MID(K3,9,2),MID(K3,7,2))</f>
        <v>42977</v>
      </c>
      <c r="M3" s="212">
        <f>DATE(MID(K3,11,2)+2005,MID(K3,9,2),MID(K3,7,2))</f>
        <v>44803</v>
      </c>
      <c r="N3">
        <v>2</v>
      </c>
      <c r="O3" s="237" t="s">
        <v>1732</v>
      </c>
      <c r="P3" t="s">
        <v>1722</v>
      </c>
      <c r="Q3" t="s">
        <v>1723</v>
      </c>
      <c r="R3" t="s">
        <v>1724</v>
      </c>
      <c r="S3">
        <v>0</v>
      </c>
      <c r="T3" t="s">
        <v>1733</v>
      </c>
      <c r="U3" t="s">
        <v>1734</v>
      </c>
      <c r="V3" t="s">
        <v>1727</v>
      </c>
      <c r="W3" t="s">
        <v>1735</v>
      </c>
      <c r="X3">
        <v>20</v>
      </c>
      <c r="Y3">
        <f>X3-Z3</f>
        <v>30</v>
      </c>
      <c r="Z3">
        <v>-10</v>
      </c>
      <c r="AA3" t="b">
        <v>0</v>
      </c>
      <c r="AB3"/>
    </row>
    <row r="4" spans="1:28" ht="15">
      <c r="A4">
        <v>3</v>
      </c>
      <c r="B4">
        <v>359356</v>
      </c>
      <c r="C4" t="s">
        <v>1530</v>
      </c>
      <c r="D4" t="s">
        <v>1528</v>
      </c>
      <c r="E4" s="236" t="s">
        <v>1736</v>
      </c>
      <c r="F4" s="236" t="s">
        <v>1737</v>
      </c>
      <c r="G4">
        <v>1</v>
      </c>
      <c r="H4" s="211" t="s">
        <v>1563</v>
      </c>
      <c r="I4" t="s">
        <v>1738</v>
      </c>
      <c r="J4" s="212">
        <v>42976</v>
      </c>
      <c r="K4" t="s">
        <v>1739</v>
      </c>
      <c r="L4" s="212">
        <f>DATE(MID(K4,11,2)+2000,MID(K4,9,2),MID(K4,7,2))</f>
        <v>42977</v>
      </c>
      <c r="M4" s="212">
        <f>DATE(MID(K4,11,2)+2005,MID(K4,9,2),MID(K4,7,2))</f>
        <v>44803</v>
      </c>
      <c r="N4">
        <v>2</v>
      </c>
      <c r="O4" s="237" t="s">
        <v>1740</v>
      </c>
      <c r="P4" t="s">
        <v>1722</v>
      </c>
      <c r="Q4" t="s">
        <v>1723</v>
      </c>
      <c r="R4" t="s">
        <v>1724</v>
      </c>
      <c r="S4">
        <v>0</v>
      </c>
      <c r="T4" t="s">
        <v>1741</v>
      </c>
      <c r="U4" t="s">
        <v>1742</v>
      </c>
      <c r="V4" t="s">
        <v>1727</v>
      </c>
      <c r="W4" t="s">
        <v>1743</v>
      </c>
      <c r="X4">
        <v>20</v>
      </c>
      <c r="Y4">
        <f>X4-Z4</f>
        <v>15.5</v>
      </c>
      <c r="Z4">
        <v>4.5</v>
      </c>
      <c r="AA4" t="b">
        <v>0</v>
      </c>
      <c r="AB4"/>
    </row>
    <row r="5" spans="1:28">
      <c r="A5" s="239"/>
      <c r="B5" s="239"/>
      <c r="D5" s="239"/>
      <c r="E5" s="239"/>
      <c r="F5" s="239"/>
      <c r="G5" s="239"/>
      <c r="H5" s="239"/>
      <c r="I5" s="239"/>
      <c r="J5" s="241"/>
      <c r="K5" s="239"/>
      <c r="L5" s="239"/>
      <c r="M5" s="239"/>
    </row>
    <row r="6" spans="1:28">
      <c r="A6" s="239"/>
      <c r="B6" s="239"/>
      <c r="D6" s="239"/>
      <c r="E6" s="239"/>
      <c r="F6" s="239"/>
      <c r="G6" s="239"/>
      <c r="H6" s="239"/>
      <c r="I6" s="239"/>
      <c r="J6" s="241"/>
      <c r="K6" s="239"/>
      <c r="L6" s="239"/>
      <c r="M6" s="239"/>
    </row>
    <row r="7" spans="1:28">
      <c r="A7" s="239"/>
      <c r="B7" s="239"/>
      <c r="D7" s="239"/>
      <c r="E7" s="239"/>
      <c r="F7" s="239"/>
      <c r="G7" s="239"/>
      <c r="H7" s="239"/>
      <c r="I7" s="239"/>
      <c r="J7" s="241"/>
      <c r="K7" s="239"/>
      <c r="L7" s="239"/>
      <c r="M7" s="239"/>
    </row>
    <row r="8" spans="1:28">
      <c r="A8" s="239"/>
      <c r="B8" s="239"/>
      <c r="D8" s="239"/>
      <c r="E8" s="239"/>
      <c r="F8" s="239"/>
      <c r="G8" s="239"/>
      <c r="H8" s="239"/>
      <c r="I8" s="239"/>
      <c r="J8" s="241"/>
      <c r="K8" s="239"/>
      <c r="L8" s="239"/>
      <c r="M8" s="239"/>
    </row>
    <row r="9" spans="1:28">
      <c r="A9" s="239"/>
      <c r="B9" s="239"/>
      <c r="D9" s="239"/>
      <c r="E9" s="239"/>
      <c r="F9" s="239"/>
      <c r="G9" s="239"/>
      <c r="H9" s="239"/>
      <c r="I9" s="239"/>
      <c r="J9" s="241"/>
      <c r="K9" s="239"/>
      <c r="L9" s="239"/>
      <c r="M9" s="239"/>
    </row>
    <row r="10" spans="1:28">
      <c r="A10" s="239"/>
      <c r="B10" s="239"/>
      <c r="D10" s="239"/>
      <c r="E10" s="239"/>
      <c r="F10" s="239"/>
      <c r="G10" s="239"/>
      <c r="H10" s="239"/>
      <c r="I10" s="239"/>
      <c r="J10" s="241"/>
      <c r="K10" s="239"/>
      <c r="L10" s="239"/>
      <c r="M10" s="239"/>
    </row>
    <row r="11" spans="1:28">
      <c r="A11" s="239"/>
      <c r="B11" s="239"/>
      <c r="D11" s="239"/>
      <c r="E11" s="239"/>
      <c r="F11" s="239"/>
      <c r="G11" s="239"/>
      <c r="H11" s="239"/>
      <c r="I11" s="239"/>
      <c r="J11" s="241"/>
      <c r="K11" s="239"/>
      <c r="L11" s="239"/>
      <c r="M11" s="239"/>
    </row>
    <row r="12" spans="1:28">
      <c r="A12" s="239"/>
      <c r="B12" s="239"/>
      <c r="D12" s="239"/>
      <c r="E12" s="239"/>
      <c r="F12" s="239"/>
      <c r="G12" s="239"/>
      <c r="H12" s="239"/>
      <c r="I12" s="239"/>
      <c r="J12" s="241"/>
      <c r="K12" s="239"/>
      <c r="L12" s="239"/>
      <c r="M12" s="239"/>
    </row>
    <row r="13" spans="1:28">
      <c r="A13" s="239"/>
      <c r="B13" s="239"/>
      <c r="D13" s="239"/>
      <c r="E13" s="239"/>
      <c r="F13" s="239"/>
      <c r="G13" s="239"/>
      <c r="H13" s="239"/>
      <c r="I13" s="239"/>
      <c r="J13" s="241"/>
      <c r="K13" s="239"/>
      <c r="L13" s="239"/>
      <c r="M13" s="239"/>
    </row>
    <row r="14" spans="1:28">
      <c r="A14" s="239"/>
      <c r="B14" s="239"/>
      <c r="D14" s="239"/>
      <c r="E14" s="239"/>
      <c r="F14" s="239"/>
      <c r="G14" s="239"/>
      <c r="H14" s="239"/>
      <c r="I14" s="239"/>
      <c r="J14" s="241"/>
      <c r="K14" s="239"/>
      <c r="L14" s="239"/>
      <c r="M14" s="239"/>
    </row>
    <row r="15" spans="1:28">
      <c r="A15" s="239"/>
      <c r="B15" s="239"/>
      <c r="D15" s="239"/>
      <c r="E15" s="239"/>
      <c r="F15" s="239"/>
      <c r="G15" s="239"/>
      <c r="H15" s="239"/>
      <c r="I15" s="239"/>
      <c r="J15" s="241"/>
      <c r="K15" s="239"/>
      <c r="L15" s="239"/>
      <c r="M15" s="239"/>
    </row>
    <row r="16" spans="1:28">
      <c r="A16" s="239"/>
      <c r="B16" s="239"/>
      <c r="D16" s="239"/>
      <c r="E16" s="239"/>
      <c r="F16" s="239"/>
      <c r="G16" s="239"/>
      <c r="H16" s="239"/>
      <c r="I16" s="239"/>
      <c r="J16" s="241"/>
      <c r="K16" s="239"/>
      <c r="L16" s="239"/>
      <c r="M16" s="239"/>
    </row>
    <row r="17" spans="1:13">
      <c r="A17" s="239"/>
      <c r="B17" s="239"/>
      <c r="D17" s="239"/>
      <c r="E17" s="239"/>
      <c r="F17" s="239"/>
      <c r="G17" s="239"/>
      <c r="H17" s="239"/>
      <c r="I17" s="239"/>
      <c r="J17" s="241"/>
      <c r="K17" s="239"/>
      <c r="L17" s="239"/>
      <c r="M17" s="239"/>
    </row>
    <row r="18" spans="1:13">
      <c r="A18" s="239"/>
      <c r="B18" s="239"/>
      <c r="D18" s="239"/>
      <c r="E18" s="239"/>
      <c r="F18" s="239"/>
      <c r="G18" s="239"/>
      <c r="H18" s="239"/>
      <c r="I18" s="239"/>
      <c r="J18" s="241"/>
      <c r="K18" s="239"/>
      <c r="L18" s="239"/>
      <c r="M18" s="239"/>
    </row>
    <row r="19" spans="1:13">
      <c r="A19" s="239"/>
      <c r="B19" s="239"/>
      <c r="D19" s="239"/>
      <c r="E19" s="239"/>
      <c r="F19" s="239"/>
      <c r="G19" s="239"/>
      <c r="H19" s="239"/>
      <c r="I19" s="239"/>
      <c r="J19" s="241"/>
      <c r="K19" s="239"/>
      <c r="L19" s="239"/>
      <c r="M19" s="239"/>
    </row>
    <row r="20" spans="1:13">
      <c r="A20" s="239"/>
      <c r="B20" s="239"/>
      <c r="D20" s="239"/>
      <c r="E20" s="239"/>
      <c r="F20" s="239"/>
      <c r="G20" s="239"/>
      <c r="H20" s="239"/>
      <c r="I20" s="239"/>
      <c r="J20" s="241"/>
      <c r="K20" s="239"/>
      <c r="L20" s="239"/>
      <c r="M20" s="239"/>
    </row>
    <row r="21" spans="1:13">
      <c r="A21" s="239"/>
      <c r="B21" s="239"/>
      <c r="D21" s="239"/>
      <c r="E21" s="239"/>
      <c r="F21" s="239"/>
      <c r="G21" s="239"/>
      <c r="H21" s="239"/>
      <c r="I21" s="239"/>
      <c r="J21" s="241"/>
      <c r="K21" s="239"/>
      <c r="L21" s="239"/>
      <c r="M21" s="239"/>
    </row>
    <row r="22" spans="1:13">
      <c r="A22" s="239"/>
      <c r="B22" s="239"/>
      <c r="D22" s="239"/>
      <c r="E22" s="239"/>
      <c r="F22" s="239"/>
      <c r="G22" s="239"/>
      <c r="H22" s="239"/>
      <c r="I22" s="239"/>
      <c r="J22" s="241"/>
      <c r="K22" s="239"/>
      <c r="L22" s="239"/>
      <c r="M22" s="239"/>
    </row>
    <row r="23" spans="1:13">
      <c r="A23" s="239"/>
      <c r="B23" s="239"/>
      <c r="D23" s="239"/>
      <c r="E23" s="239"/>
      <c r="F23" s="239"/>
      <c r="G23" s="239"/>
      <c r="H23" s="239"/>
      <c r="I23" s="239"/>
      <c r="J23" s="241"/>
      <c r="K23" s="239"/>
      <c r="L23" s="239"/>
      <c r="M23" s="239"/>
    </row>
    <row r="24" spans="1:13">
      <c r="A24" s="239"/>
      <c r="B24" s="239"/>
      <c r="D24" s="239"/>
      <c r="E24" s="239"/>
      <c r="F24" s="239"/>
      <c r="G24" s="239"/>
      <c r="H24" s="239"/>
      <c r="I24" s="239"/>
      <c r="J24" s="241"/>
      <c r="K24" s="239"/>
      <c r="L24" s="239"/>
      <c r="M24" s="239"/>
    </row>
    <row r="25" spans="1:13">
      <c r="A25" s="239"/>
      <c r="B25" s="239"/>
      <c r="D25" s="239"/>
      <c r="E25" s="239"/>
      <c r="F25" s="239"/>
      <c r="G25" s="239"/>
      <c r="H25" s="239"/>
      <c r="I25" s="239"/>
      <c r="J25" s="241"/>
      <c r="K25" s="239"/>
      <c r="L25" s="239"/>
      <c r="M25" s="239"/>
    </row>
    <row r="26" spans="1:13">
      <c r="A26" s="239"/>
      <c r="B26" s="239"/>
      <c r="D26" s="239"/>
      <c r="E26" s="239"/>
      <c r="F26" s="239"/>
      <c r="G26" s="239"/>
      <c r="H26" s="239"/>
      <c r="I26" s="239"/>
      <c r="J26" s="241"/>
      <c r="K26" s="239"/>
      <c r="L26" s="239"/>
      <c r="M26" s="239"/>
    </row>
    <row r="27" spans="1:13">
      <c r="A27" s="239"/>
      <c r="B27" s="239"/>
      <c r="D27" s="239"/>
      <c r="E27" s="239"/>
      <c r="F27" s="239"/>
      <c r="G27" s="239"/>
      <c r="H27" s="239"/>
      <c r="I27" s="239"/>
      <c r="J27" s="241"/>
      <c r="K27" s="239"/>
      <c r="L27" s="239"/>
      <c r="M27" s="239"/>
    </row>
    <row r="28" spans="1:13">
      <c r="A28" s="239"/>
      <c r="B28" s="239"/>
      <c r="D28" s="239"/>
      <c r="E28" s="239"/>
      <c r="F28" s="239"/>
      <c r="G28" s="239"/>
      <c r="H28" s="239"/>
      <c r="I28" s="239"/>
      <c r="J28" s="241"/>
      <c r="K28" s="239"/>
      <c r="L28" s="239"/>
      <c r="M28" s="239"/>
    </row>
    <row r="29" spans="1:13">
      <c r="A29" s="239"/>
      <c r="B29" s="239"/>
      <c r="D29" s="239"/>
      <c r="E29" s="239"/>
      <c r="F29" s="239"/>
      <c r="G29" s="239"/>
      <c r="H29" s="239"/>
      <c r="I29" s="239"/>
      <c r="J29" s="241"/>
      <c r="K29" s="239"/>
      <c r="L29" s="239"/>
      <c r="M29" s="239"/>
    </row>
    <row r="30" spans="1:13">
      <c r="A30" s="239"/>
      <c r="B30" s="239"/>
      <c r="D30" s="239"/>
      <c r="E30" s="239"/>
      <c r="F30" s="239"/>
      <c r="G30" s="239"/>
      <c r="H30" s="239"/>
      <c r="I30" s="239"/>
      <c r="J30" s="241"/>
      <c r="K30" s="239"/>
      <c r="L30" s="239"/>
      <c r="M30" s="239"/>
    </row>
    <row r="31" spans="1:13">
      <c r="A31" s="239"/>
      <c r="B31" s="239"/>
      <c r="D31" s="239"/>
      <c r="E31" s="239"/>
      <c r="F31" s="239"/>
      <c r="G31" s="239"/>
      <c r="H31" s="239"/>
      <c r="I31" s="239"/>
      <c r="J31" s="241"/>
      <c r="K31" s="239"/>
      <c r="L31" s="239"/>
      <c r="M31" s="239"/>
    </row>
    <row r="32" spans="1:13">
      <c r="A32" s="239"/>
      <c r="B32" s="239"/>
      <c r="D32" s="239"/>
      <c r="E32" s="239"/>
      <c r="F32" s="239"/>
      <c r="G32" s="239"/>
      <c r="H32" s="239"/>
      <c r="I32" s="239"/>
      <c r="J32" s="241"/>
      <c r="K32" s="239"/>
      <c r="L32" s="239"/>
      <c r="M32" s="239"/>
    </row>
    <row r="33" spans="1:13">
      <c r="A33" s="239"/>
      <c r="B33" s="239"/>
      <c r="D33" s="239"/>
      <c r="E33" s="239"/>
      <c r="F33" s="239"/>
      <c r="G33" s="239"/>
      <c r="H33" s="239"/>
      <c r="I33" s="239"/>
      <c r="J33" s="241"/>
      <c r="K33" s="239"/>
      <c r="L33" s="239"/>
      <c r="M33" s="239"/>
    </row>
    <row r="34" spans="1:13">
      <c r="A34" s="239"/>
      <c r="B34" s="239"/>
      <c r="D34" s="239"/>
      <c r="E34" s="239"/>
      <c r="F34" s="239"/>
      <c r="G34" s="239"/>
      <c r="H34" s="239"/>
      <c r="I34" s="239"/>
      <c r="J34" s="241"/>
      <c r="K34" s="239"/>
      <c r="L34" s="239"/>
      <c r="M34" s="239"/>
    </row>
    <row r="35" spans="1:13">
      <c r="A35" s="239"/>
      <c r="B35" s="239"/>
      <c r="D35" s="239"/>
      <c r="E35" s="239"/>
      <c r="F35" s="239"/>
      <c r="G35" s="239"/>
      <c r="H35" s="239"/>
      <c r="I35" s="239"/>
      <c r="J35" s="241"/>
      <c r="K35" s="239"/>
      <c r="L35" s="239"/>
      <c r="M35" s="239"/>
    </row>
    <row r="36" spans="1:13">
      <c r="A36" s="239"/>
      <c r="B36" s="239"/>
      <c r="D36" s="239"/>
      <c r="E36" s="239"/>
      <c r="F36" s="239"/>
      <c r="G36" s="239"/>
      <c r="H36" s="239"/>
      <c r="I36" s="239"/>
      <c r="J36" s="241"/>
      <c r="K36" s="239"/>
      <c r="L36" s="239"/>
      <c r="M36" s="239"/>
    </row>
    <row r="37" spans="1:13">
      <c r="A37" s="239"/>
      <c r="B37" s="239"/>
      <c r="D37" s="239"/>
      <c r="E37" s="239"/>
      <c r="F37" s="239"/>
      <c r="G37" s="239"/>
      <c r="H37" s="239"/>
      <c r="I37" s="239"/>
      <c r="J37" s="241"/>
      <c r="K37" s="239"/>
      <c r="L37" s="239"/>
      <c r="M37" s="239"/>
    </row>
    <row r="38" spans="1:13">
      <c r="A38" s="239"/>
      <c r="B38" s="239"/>
      <c r="D38" s="239"/>
      <c r="E38" s="239"/>
      <c r="F38" s="239"/>
      <c r="G38" s="239"/>
      <c r="H38" s="239"/>
      <c r="I38" s="239"/>
      <c r="J38" s="241"/>
      <c r="K38" s="239"/>
      <c r="L38" s="239"/>
      <c r="M38" s="239"/>
    </row>
    <row r="39" spans="1:13">
      <c r="A39" s="239"/>
      <c r="B39" s="239"/>
      <c r="D39" s="239"/>
      <c r="E39" s="239"/>
      <c r="F39" s="239"/>
      <c r="G39" s="239"/>
      <c r="H39" s="239"/>
      <c r="I39" s="239"/>
      <c r="J39" s="241"/>
      <c r="K39" s="239"/>
      <c r="L39" s="239"/>
      <c r="M39" s="239"/>
    </row>
    <row r="40" spans="1:13">
      <c r="A40" s="239"/>
      <c r="B40" s="239"/>
      <c r="D40" s="239"/>
      <c r="E40" s="239"/>
      <c r="F40" s="239"/>
      <c r="G40" s="239"/>
      <c r="H40" s="239"/>
      <c r="I40" s="239"/>
      <c r="J40" s="241"/>
      <c r="K40" s="239"/>
      <c r="L40" s="239"/>
      <c r="M40" s="239"/>
    </row>
    <row r="41" spans="1:13">
      <c r="A41" s="239"/>
      <c r="B41" s="239"/>
      <c r="D41" s="239"/>
      <c r="E41" s="239"/>
      <c r="F41" s="239"/>
      <c r="G41" s="239"/>
      <c r="H41" s="239"/>
      <c r="I41" s="239"/>
      <c r="J41" s="241"/>
      <c r="K41" s="239"/>
      <c r="L41" s="239"/>
      <c r="M41" s="239"/>
    </row>
    <row r="42" spans="1:13">
      <c r="A42" s="239"/>
      <c r="B42" s="239"/>
      <c r="D42" s="239"/>
      <c r="E42" s="239"/>
      <c r="F42" s="239"/>
      <c r="G42" s="239"/>
      <c r="H42" s="239"/>
      <c r="I42" s="239"/>
      <c r="J42" s="241"/>
      <c r="K42" s="239"/>
      <c r="L42" s="239"/>
      <c r="M42" s="239"/>
    </row>
    <row r="43" spans="1:13">
      <c r="A43" s="239"/>
      <c r="B43" s="239"/>
      <c r="D43" s="239"/>
      <c r="E43" s="239"/>
      <c r="F43" s="239"/>
      <c r="G43" s="239"/>
      <c r="H43" s="239"/>
      <c r="I43" s="239"/>
      <c r="J43" s="241"/>
      <c r="K43" s="239"/>
      <c r="L43" s="239"/>
      <c r="M43" s="239"/>
    </row>
    <row r="44" spans="1:13">
      <c r="A44" s="239"/>
      <c r="B44" s="239"/>
      <c r="D44" s="239"/>
      <c r="E44" s="239"/>
      <c r="F44" s="239"/>
      <c r="G44" s="239"/>
      <c r="H44" s="239"/>
      <c r="I44" s="239"/>
      <c r="J44" s="241"/>
      <c r="K44" s="239"/>
      <c r="L44" s="239"/>
      <c r="M44" s="239"/>
    </row>
    <row r="45" spans="1:13">
      <c r="A45" s="239"/>
      <c r="B45" s="239"/>
      <c r="D45" s="239"/>
      <c r="E45" s="239"/>
      <c r="F45" s="239"/>
      <c r="G45" s="239"/>
      <c r="H45" s="239"/>
      <c r="I45" s="239"/>
      <c r="J45" s="241"/>
      <c r="K45" s="239"/>
      <c r="L45" s="239"/>
      <c r="M45" s="239"/>
    </row>
    <row r="46" spans="1:13">
      <c r="A46" s="239"/>
      <c r="B46" s="239"/>
      <c r="D46" s="239"/>
      <c r="E46" s="239"/>
      <c r="F46" s="239"/>
      <c r="G46" s="239"/>
      <c r="H46" s="239"/>
      <c r="I46" s="239"/>
      <c r="J46" s="241"/>
      <c r="K46" s="239"/>
      <c r="L46" s="239"/>
      <c r="M46" s="239"/>
    </row>
    <row r="47" spans="1:13">
      <c r="A47" s="239"/>
      <c r="B47" s="239"/>
      <c r="D47" s="239"/>
      <c r="E47" s="239"/>
      <c r="F47" s="239"/>
      <c r="G47" s="239"/>
      <c r="H47" s="239"/>
      <c r="I47" s="239"/>
      <c r="J47" s="241"/>
      <c r="K47" s="239"/>
      <c r="L47" s="239"/>
      <c r="M47" s="239"/>
    </row>
    <row r="48" spans="1:13">
      <c r="A48" s="239"/>
      <c r="B48" s="239"/>
      <c r="D48" s="239"/>
      <c r="E48" s="239"/>
      <c r="F48" s="239"/>
      <c r="G48" s="239"/>
      <c r="H48" s="239"/>
      <c r="I48" s="239"/>
      <c r="J48" s="241"/>
      <c r="K48" s="239"/>
      <c r="L48" s="239"/>
      <c r="M48" s="239"/>
    </row>
    <row r="49" spans="1:13">
      <c r="A49" s="239"/>
      <c r="B49" s="239"/>
      <c r="D49" s="239"/>
      <c r="E49" s="239"/>
      <c r="F49" s="239"/>
      <c r="G49" s="239"/>
      <c r="H49" s="239"/>
      <c r="I49" s="239"/>
      <c r="J49" s="241"/>
      <c r="K49" s="239"/>
      <c r="L49" s="239"/>
      <c r="M49" s="239"/>
    </row>
    <row r="50" spans="1:13">
      <c r="A50" s="239"/>
      <c r="B50" s="239"/>
      <c r="D50" s="239"/>
      <c r="E50" s="239"/>
      <c r="F50" s="239"/>
      <c r="G50" s="239"/>
      <c r="H50" s="239"/>
      <c r="I50" s="239"/>
      <c r="J50" s="241"/>
      <c r="K50" s="239"/>
      <c r="L50" s="239"/>
      <c r="M50" s="239"/>
    </row>
    <row r="51" spans="1:13">
      <c r="A51" s="239"/>
      <c r="B51" s="239"/>
      <c r="D51" s="239"/>
      <c r="E51" s="239"/>
      <c r="F51" s="239"/>
      <c r="G51" s="239"/>
      <c r="H51" s="239"/>
      <c r="I51" s="239"/>
      <c r="J51" s="241"/>
      <c r="K51" s="239"/>
      <c r="L51" s="239"/>
      <c r="M51" s="239"/>
    </row>
    <row r="52" spans="1:13">
      <c r="A52" s="239"/>
      <c r="B52" s="239"/>
      <c r="D52" s="239"/>
      <c r="E52" s="239"/>
      <c r="F52" s="239"/>
      <c r="G52" s="239"/>
      <c r="H52" s="239"/>
      <c r="I52" s="239"/>
      <c r="J52" s="241"/>
      <c r="K52" s="239"/>
      <c r="L52" s="239"/>
      <c r="M52" s="239"/>
    </row>
    <row r="53" spans="1:13">
      <c r="A53" s="239"/>
      <c r="B53" s="239"/>
      <c r="D53" s="239"/>
      <c r="E53" s="239"/>
      <c r="F53" s="239"/>
      <c r="G53" s="239"/>
      <c r="H53" s="239"/>
      <c r="I53" s="239"/>
      <c r="J53" s="241"/>
      <c r="K53" s="239"/>
      <c r="L53" s="239"/>
      <c r="M53" s="239"/>
    </row>
    <row r="54" spans="1:13">
      <c r="A54" s="239"/>
      <c r="B54" s="239"/>
      <c r="D54" s="239"/>
      <c r="E54" s="239"/>
      <c r="F54" s="239"/>
      <c r="G54" s="239"/>
      <c r="H54" s="239"/>
      <c r="I54" s="239"/>
      <c r="J54" s="241"/>
      <c r="K54" s="239"/>
      <c r="L54" s="239"/>
      <c r="M54" s="239"/>
    </row>
    <row r="55" spans="1:13">
      <c r="A55" s="239"/>
      <c r="B55" s="239"/>
      <c r="D55" s="239"/>
      <c r="E55" s="239"/>
      <c r="F55" s="239"/>
      <c r="G55" s="239"/>
      <c r="H55" s="239"/>
      <c r="I55" s="239"/>
      <c r="J55" s="241"/>
      <c r="K55" s="239"/>
      <c r="L55" s="239"/>
      <c r="M55" s="239"/>
    </row>
    <row r="56" spans="1:13">
      <c r="A56" s="239"/>
      <c r="B56" s="239"/>
      <c r="D56" s="239"/>
      <c r="E56" s="239"/>
      <c r="F56" s="239"/>
      <c r="G56" s="239"/>
      <c r="H56" s="239"/>
      <c r="I56" s="239"/>
      <c r="J56" s="241"/>
      <c r="K56" s="239"/>
      <c r="L56" s="239"/>
      <c r="M56" s="239"/>
    </row>
    <row r="57" spans="1:13">
      <c r="A57" s="239"/>
      <c r="B57" s="239"/>
      <c r="D57" s="239"/>
      <c r="E57" s="239"/>
      <c r="F57" s="239"/>
      <c r="G57" s="239"/>
      <c r="H57" s="239"/>
      <c r="I57" s="239"/>
      <c r="J57" s="241"/>
      <c r="K57" s="239"/>
      <c r="L57" s="239"/>
      <c r="M57" s="239"/>
    </row>
    <row r="58" spans="1:13">
      <c r="A58" s="239"/>
      <c r="B58" s="239"/>
      <c r="D58" s="239"/>
      <c r="E58" s="239"/>
      <c r="F58" s="239"/>
      <c r="G58" s="239"/>
      <c r="H58" s="239"/>
      <c r="I58" s="239"/>
      <c r="J58" s="241"/>
      <c r="K58" s="239"/>
      <c r="L58" s="239"/>
      <c r="M58" s="239"/>
    </row>
    <row r="59" spans="1:13">
      <c r="A59" s="239"/>
      <c r="B59" s="239"/>
      <c r="D59" s="239"/>
      <c r="E59" s="239"/>
      <c r="F59" s="239"/>
      <c r="G59" s="239"/>
      <c r="H59" s="239"/>
      <c r="I59" s="239"/>
      <c r="J59" s="241"/>
      <c r="K59" s="239"/>
      <c r="L59" s="239"/>
      <c r="M59" s="239"/>
    </row>
    <row r="60" spans="1:13">
      <c r="A60" s="239"/>
      <c r="B60" s="239"/>
      <c r="D60" s="239"/>
      <c r="E60" s="239"/>
      <c r="F60" s="239"/>
      <c r="G60" s="239"/>
      <c r="H60" s="239"/>
      <c r="I60" s="239"/>
      <c r="J60" s="241"/>
      <c r="K60" s="239"/>
      <c r="L60" s="239"/>
      <c r="M60" s="239"/>
    </row>
    <row r="61" spans="1:13">
      <c r="A61" s="239"/>
      <c r="B61" s="239"/>
      <c r="D61" s="239"/>
      <c r="E61" s="239"/>
      <c r="F61" s="239"/>
      <c r="G61" s="239"/>
      <c r="H61" s="239"/>
      <c r="I61" s="239"/>
      <c r="J61" s="241"/>
      <c r="K61" s="239"/>
      <c r="L61" s="239"/>
      <c r="M61" s="239"/>
    </row>
    <row r="62" spans="1:13">
      <c r="A62" s="239"/>
      <c r="B62" s="239"/>
      <c r="D62" s="239"/>
      <c r="E62" s="239"/>
      <c r="F62" s="239"/>
      <c r="G62" s="239"/>
      <c r="H62" s="239"/>
      <c r="I62" s="239"/>
      <c r="J62" s="241"/>
      <c r="K62" s="239"/>
      <c r="L62" s="239"/>
      <c r="M62" s="239"/>
    </row>
    <row r="63" spans="1:13">
      <c r="A63" s="239"/>
      <c r="B63" s="239"/>
      <c r="D63" s="239"/>
      <c r="E63" s="239"/>
      <c r="F63" s="239"/>
      <c r="G63" s="239"/>
      <c r="H63" s="239"/>
      <c r="I63" s="239"/>
      <c r="J63" s="241"/>
      <c r="K63" s="239"/>
      <c r="L63" s="239"/>
      <c r="M63" s="239"/>
    </row>
    <row r="64" spans="1:13">
      <c r="A64" s="239"/>
      <c r="B64" s="239"/>
      <c r="D64" s="239"/>
      <c r="E64" s="239"/>
      <c r="F64" s="239"/>
      <c r="G64" s="239"/>
      <c r="H64" s="239"/>
      <c r="I64" s="239"/>
      <c r="J64" s="241"/>
      <c r="K64" s="239"/>
      <c r="L64" s="239"/>
      <c r="M64" s="239"/>
    </row>
    <row r="65" spans="1:13">
      <c r="A65" s="239"/>
      <c r="B65" s="239"/>
      <c r="D65" s="239"/>
      <c r="E65" s="239"/>
      <c r="F65" s="239"/>
      <c r="G65" s="239"/>
      <c r="H65" s="239"/>
      <c r="I65" s="239"/>
      <c r="J65" s="241"/>
      <c r="K65" s="239"/>
      <c r="L65" s="239"/>
      <c r="M65" s="239"/>
    </row>
    <row r="66" spans="1:13">
      <c r="A66" s="239"/>
      <c r="B66" s="239"/>
      <c r="D66" s="239"/>
      <c r="E66" s="239"/>
      <c r="F66" s="239"/>
      <c r="G66" s="239"/>
      <c r="H66" s="239"/>
      <c r="I66" s="239"/>
      <c r="J66" s="241"/>
      <c r="K66" s="239"/>
      <c r="L66" s="239"/>
      <c r="M66" s="239"/>
    </row>
    <row r="67" spans="1:13">
      <c r="A67" s="239"/>
      <c r="B67" s="239"/>
      <c r="D67" s="239"/>
      <c r="E67" s="239"/>
      <c r="F67" s="239"/>
      <c r="G67" s="239"/>
      <c r="H67" s="239"/>
      <c r="I67" s="239"/>
      <c r="J67" s="241"/>
      <c r="K67" s="239"/>
      <c r="L67" s="239"/>
      <c r="M67" s="239"/>
    </row>
    <row r="68" spans="1:13">
      <c r="A68" s="239"/>
      <c r="B68" s="239"/>
      <c r="D68" s="239"/>
      <c r="E68" s="239"/>
      <c r="F68" s="239"/>
      <c r="G68" s="239"/>
      <c r="H68" s="239"/>
      <c r="I68" s="239"/>
      <c r="J68" s="241"/>
      <c r="K68" s="239"/>
      <c r="L68" s="239"/>
      <c r="M68" s="239"/>
    </row>
    <row r="69" spans="1:13">
      <c r="A69" s="239"/>
      <c r="B69" s="239"/>
      <c r="D69" s="239"/>
      <c r="E69" s="239"/>
      <c r="F69" s="239"/>
      <c r="G69" s="239"/>
      <c r="H69" s="239"/>
      <c r="I69" s="239"/>
      <c r="J69" s="241"/>
      <c r="K69" s="239"/>
      <c r="L69" s="239"/>
      <c r="M69" s="239"/>
    </row>
    <row r="70" spans="1:13">
      <c r="A70" s="239"/>
      <c r="B70" s="239"/>
      <c r="D70" s="239"/>
      <c r="E70" s="239"/>
      <c r="F70" s="239"/>
      <c r="G70" s="239"/>
      <c r="H70" s="239"/>
      <c r="I70" s="239"/>
      <c r="J70" s="241"/>
      <c r="K70" s="239"/>
      <c r="L70" s="239"/>
      <c r="M70" s="239"/>
    </row>
    <row r="71" spans="1:13">
      <c r="A71" s="239"/>
      <c r="B71" s="239"/>
      <c r="D71" s="239"/>
      <c r="E71" s="239"/>
      <c r="F71" s="239"/>
      <c r="G71" s="239"/>
      <c r="H71" s="239"/>
      <c r="I71" s="239"/>
      <c r="J71" s="241"/>
      <c r="K71" s="239"/>
      <c r="L71" s="239"/>
      <c r="M71" s="239"/>
    </row>
    <row r="72" spans="1:13">
      <c r="A72" s="239"/>
      <c r="B72" s="239"/>
      <c r="D72" s="239"/>
      <c r="E72" s="239"/>
      <c r="F72" s="239"/>
      <c r="G72" s="239"/>
      <c r="H72" s="239"/>
      <c r="I72" s="239"/>
      <c r="J72" s="241"/>
      <c r="K72" s="239"/>
      <c r="L72" s="239"/>
      <c r="M72" s="239"/>
    </row>
    <row r="73" spans="1:13">
      <c r="A73" s="239"/>
      <c r="B73" s="239"/>
      <c r="D73" s="239"/>
      <c r="E73" s="239"/>
      <c r="F73" s="239"/>
      <c r="G73" s="239"/>
      <c r="H73" s="239"/>
      <c r="I73" s="239"/>
      <c r="J73" s="241"/>
      <c r="K73" s="239"/>
      <c r="L73" s="239"/>
      <c r="M73" s="239"/>
    </row>
    <row r="74" spans="1:13">
      <c r="A74" s="239"/>
      <c r="B74" s="239"/>
      <c r="D74" s="239"/>
      <c r="E74" s="239"/>
      <c r="F74" s="239"/>
      <c r="G74" s="239"/>
      <c r="H74" s="239"/>
      <c r="I74" s="239"/>
      <c r="J74" s="241"/>
      <c r="K74" s="239"/>
      <c r="L74" s="239"/>
      <c r="M74" s="239"/>
    </row>
    <row r="75" spans="1:13">
      <c r="A75" s="239"/>
      <c r="B75" s="239"/>
      <c r="D75" s="239"/>
      <c r="E75" s="239"/>
      <c r="F75" s="239"/>
      <c r="G75" s="239"/>
      <c r="H75" s="239"/>
      <c r="I75" s="239"/>
      <c r="J75" s="241"/>
      <c r="K75" s="239"/>
      <c r="L75" s="239"/>
      <c r="M75" s="239"/>
    </row>
    <row r="76" spans="1:13">
      <c r="A76" s="239"/>
      <c r="B76" s="239"/>
      <c r="D76" s="239"/>
      <c r="E76" s="239"/>
      <c r="F76" s="239"/>
      <c r="G76" s="239"/>
      <c r="H76" s="239"/>
      <c r="I76" s="239"/>
      <c r="J76" s="241"/>
      <c r="K76" s="239"/>
      <c r="L76" s="239"/>
      <c r="M76" s="239"/>
    </row>
    <row r="77" spans="1:13">
      <c r="A77" s="239"/>
      <c r="B77" s="239"/>
      <c r="D77" s="239"/>
      <c r="E77" s="239"/>
      <c r="F77" s="239"/>
      <c r="G77" s="239"/>
      <c r="H77" s="239"/>
      <c r="I77" s="239"/>
      <c r="J77" s="241"/>
      <c r="K77" s="239"/>
      <c r="L77" s="239"/>
      <c r="M77" s="239"/>
    </row>
    <row r="78" spans="1:13">
      <c r="A78" s="239"/>
      <c r="B78" s="239"/>
      <c r="D78" s="239"/>
      <c r="E78" s="239"/>
      <c r="F78" s="239"/>
      <c r="G78" s="239"/>
      <c r="H78" s="239"/>
      <c r="I78" s="239"/>
      <c r="J78" s="241"/>
      <c r="K78" s="239"/>
      <c r="L78" s="239"/>
      <c r="M78" s="239"/>
    </row>
    <row r="79" spans="1:13">
      <c r="A79" s="239"/>
      <c r="B79" s="239"/>
      <c r="D79" s="239"/>
      <c r="E79" s="239"/>
      <c r="F79" s="239"/>
      <c r="G79" s="239"/>
      <c r="H79" s="239"/>
      <c r="I79" s="239"/>
      <c r="J79" s="241"/>
      <c r="K79" s="239"/>
      <c r="L79" s="239"/>
      <c r="M79" s="239"/>
    </row>
    <row r="80" spans="1:13">
      <c r="A80" s="239"/>
      <c r="B80" s="239"/>
      <c r="D80" s="239"/>
      <c r="E80" s="239"/>
      <c r="F80" s="239"/>
      <c r="G80" s="239"/>
      <c r="H80" s="239"/>
      <c r="I80" s="239"/>
      <c r="J80" s="241"/>
      <c r="K80" s="239"/>
      <c r="L80" s="239"/>
      <c r="M80" s="239"/>
    </row>
    <row r="81" spans="1:13">
      <c r="A81" s="239"/>
      <c r="B81" s="239"/>
      <c r="D81" s="239"/>
      <c r="E81" s="239"/>
      <c r="F81" s="239"/>
      <c r="G81" s="239"/>
      <c r="H81" s="239"/>
      <c r="I81" s="239"/>
      <c r="J81" s="241"/>
      <c r="K81" s="239"/>
      <c r="L81" s="239"/>
      <c r="M81" s="239"/>
    </row>
    <row r="82" spans="1:13">
      <c r="A82" s="239"/>
      <c r="B82" s="239"/>
      <c r="D82" s="239"/>
      <c r="E82" s="239"/>
      <c r="F82" s="239"/>
      <c r="G82" s="239"/>
      <c r="H82" s="239"/>
      <c r="I82" s="239"/>
      <c r="J82" s="241"/>
      <c r="K82" s="239"/>
      <c r="L82" s="239"/>
      <c r="M82" s="239"/>
    </row>
    <row r="83" spans="1:13">
      <c r="A83" s="239"/>
      <c r="B83" s="239"/>
      <c r="D83" s="239"/>
      <c r="E83" s="239"/>
      <c r="F83" s="239"/>
      <c r="G83" s="239"/>
      <c r="H83" s="239"/>
      <c r="I83" s="239"/>
      <c r="J83" s="241"/>
      <c r="K83" s="239"/>
      <c r="L83" s="239"/>
      <c r="M83" s="239"/>
    </row>
    <row r="84" spans="1:13">
      <c r="A84" s="239"/>
      <c r="B84" s="239"/>
      <c r="D84" s="239"/>
      <c r="E84" s="239"/>
      <c r="F84" s="239"/>
      <c r="G84" s="239"/>
      <c r="H84" s="239"/>
      <c r="I84" s="239"/>
      <c r="J84" s="241"/>
      <c r="K84" s="239"/>
      <c r="L84" s="239"/>
      <c r="M84" s="239"/>
    </row>
    <row r="85" spans="1:13">
      <c r="A85" s="239"/>
      <c r="B85" s="239"/>
      <c r="D85" s="239"/>
      <c r="E85" s="239"/>
      <c r="F85" s="239"/>
      <c r="G85" s="239"/>
      <c r="H85" s="239"/>
      <c r="I85" s="239"/>
      <c r="J85" s="241"/>
      <c r="K85" s="239"/>
      <c r="L85" s="239"/>
      <c r="M85" s="239"/>
    </row>
    <row r="86" spans="1:13">
      <c r="A86" s="239"/>
      <c r="B86" s="239"/>
      <c r="D86" s="239"/>
      <c r="E86" s="239"/>
      <c r="F86" s="239"/>
      <c r="G86" s="239"/>
      <c r="H86" s="239"/>
      <c r="I86" s="239"/>
      <c r="J86" s="241"/>
      <c r="K86" s="239"/>
      <c r="L86" s="239"/>
      <c r="M86" s="239"/>
    </row>
    <row r="87" spans="1:13">
      <c r="A87" s="239"/>
      <c r="B87" s="239"/>
      <c r="D87" s="239"/>
      <c r="E87" s="239"/>
      <c r="F87" s="239"/>
      <c r="G87" s="239"/>
      <c r="H87" s="239"/>
      <c r="I87" s="239"/>
      <c r="J87" s="241"/>
      <c r="K87" s="239"/>
      <c r="L87" s="239"/>
      <c r="M87" s="239"/>
    </row>
    <row r="88" spans="1:13">
      <c r="A88" s="239"/>
      <c r="B88" s="239"/>
      <c r="D88" s="239"/>
      <c r="E88" s="239"/>
      <c r="F88" s="239"/>
      <c r="G88" s="239"/>
      <c r="H88" s="239"/>
      <c r="I88" s="239"/>
      <c r="J88" s="241"/>
      <c r="K88" s="239"/>
      <c r="L88" s="239"/>
      <c r="M88" s="239"/>
    </row>
    <row r="89" spans="1:13">
      <c r="A89" s="239"/>
      <c r="B89" s="239"/>
      <c r="D89" s="239"/>
      <c r="E89" s="239"/>
      <c r="F89" s="239"/>
      <c r="G89" s="239"/>
      <c r="H89" s="239"/>
      <c r="I89" s="239"/>
      <c r="J89" s="241"/>
      <c r="K89" s="239"/>
      <c r="L89" s="239"/>
      <c r="M89" s="239"/>
    </row>
    <row r="90" spans="1:13">
      <c r="A90" s="239"/>
      <c r="B90" s="239"/>
      <c r="D90" s="239"/>
      <c r="E90" s="239"/>
      <c r="F90" s="239"/>
      <c r="G90" s="239"/>
      <c r="H90" s="239"/>
      <c r="I90" s="239"/>
      <c r="J90" s="241"/>
      <c r="K90" s="239"/>
      <c r="L90" s="239"/>
      <c r="M90" s="239"/>
    </row>
    <row r="91" spans="1:13">
      <c r="A91" s="239"/>
      <c r="B91" s="239"/>
      <c r="D91" s="239"/>
      <c r="E91" s="239"/>
      <c r="F91" s="239"/>
      <c r="G91" s="239"/>
      <c r="H91" s="239"/>
      <c r="I91" s="239"/>
      <c r="J91" s="241"/>
      <c r="K91" s="239"/>
      <c r="L91" s="239"/>
      <c r="M91" s="239"/>
    </row>
    <row r="92" spans="1:13">
      <c r="A92" s="239"/>
      <c r="B92" s="239"/>
      <c r="D92" s="239"/>
      <c r="E92" s="239"/>
      <c r="F92" s="239"/>
      <c r="G92" s="239"/>
      <c r="H92" s="239"/>
      <c r="I92" s="239"/>
      <c r="J92" s="241"/>
      <c r="K92" s="239"/>
      <c r="L92" s="239"/>
      <c r="M92" s="239"/>
    </row>
    <row r="93" spans="1:13">
      <c r="A93" s="239"/>
      <c r="B93" s="239"/>
      <c r="D93" s="239"/>
      <c r="E93" s="239"/>
      <c r="F93" s="239"/>
      <c r="G93" s="239"/>
      <c r="H93" s="239"/>
      <c r="I93" s="239"/>
      <c r="J93" s="241"/>
      <c r="K93" s="239"/>
      <c r="L93" s="239"/>
      <c r="M93" s="239"/>
    </row>
    <row r="94" spans="1:13">
      <c r="A94" s="239"/>
      <c r="B94" s="239"/>
      <c r="D94" s="239"/>
      <c r="E94" s="239"/>
      <c r="F94" s="239"/>
      <c r="G94" s="239"/>
      <c r="H94" s="239"/>
      <c r="I94" s="239"/>
      <c r="J94" s="241"/>
      <c r="K94" s="239"/>
      <c r="L94" s="239"/>
      <c r="M94" s="239"/>
    </row>
    <row r="95" spans="1:13">
      <c r="A95" s="239"/>
      <c r="B95" s="239"/>
      <c r="D95" s="239"/>
      <c r="E95" s="239"/>
      <c r="F95" s="239"/>
      <c r="G95" s="239"/>
      <c r="H95" s="239"/>
      <c r="I95" s="239"/>
      <c r="J95" s="241"/>
      <c r="K95" s="239"/>
      <c r="L95" s="239"/>
      <c r="M95" s="239"/>
    </row>
    <row r="96" spans="1:13">
      <c r="A96" s="239"/>
      <c r="B96" s="239"/>
      <c r="D96" s="239"/>
      <c r="E96" s="239"/>
      <c r="F96" s="239"/>
      <c r="G96" s="239"/>
      <c r="H96" s="239"/>
      <c r="I96" s="239"/>
      <c r="J96" s="241"/>
      <c r="K96" s="239"/>
      <c r="L96" s="239"/>
      <c r="M96" s="239"/>
    </row>
    <row r="97" spans="1:13">
      <c r="A97" s="239"/>
      <c r="B97" s="239"/>
      <c r="D97" s="239"/>
      <c r="E97" s="239"/>
      <c r="F97" s="239"/>
      <c r="G97" s="239"/>
      <c r="H97" s="239"/>
      <c r="I97" s="239"/>
      <c r="J97" s="241"/>
      <c r="K97" s="239"/>
      <c r="L97" s="239"/>
      <c r="M97" s="239"/>
    </row>
    <row r="98" spans="1:13">
      <c r="A98" s="239"/>
      <c r="B98" s="239"/>
      <c r="D98" s="239"/>
      <c r="E98" s="239"/>
      <c r="F98" s="239"/>
      <c r="G98" s="239"/>
      <c r="H98" s="239"/>
      <c r="I98" s="239"/>
      <c r="J98" s="241"/>
      <c r="K98" s="239"/>
      <c r="L98" s="239"/>
      <c r="M98" s="239"/>
    </row>
    <row r="99" spans="1:13">
      <c r="A99" s="239"/>
      <c r="B99" s="239"/>
      <c r="D99" s="239"/>
      <c r="E99" s="239"/>
      <c r="F99" s="239"/>
      <c r="G99" s="239"/>
      <c r="H99" s="239"/>
      <c r="I99" s="239"/>
      <c r="J99" s="241"/>
      <c r="K99" s="239"/>
      <c r="L99" s="239"/>
      <c r="M99" s="239"/>
    </row>
    <row r="100" spans="1:13">
      <c r="A100" s="239"/>
      <c r="B100" s="239"/>
      <c r="D100" s="239"/>
      <c r="E100" s="239"/>
      <c r="F100" s="239"/>
      <c r="G100" s="239"/>
      <c r="H100" s="239"/>
      <c r="I100" s="239"/>
      <c r="J100" s="241"/>
      <c r="K100" s="239"/>
      <c r="L100" s="239"/>
      <c r="M100" s="239"/>
    </row>
    <row r="101" spans="1:13">
      <c r="A101" s="239"/>
      <c r="B101" s="239"/>
      <c r="D101" s="239"/>
      <c r="E101" s="239"/>
      <c r="F101" s="239"/>
      <c r="G101" s="239"/>
      <c r="H101" s="239"/>
      <c r="I101" s="239"/>
      <c r="J101" s="241"/>
      <c r="K101" s="239"/>
      <c r="L101" s="239"/>
      <c r="M101" s="239"/>
    </row>
    <row r="102" spans="1:13">
      <c r="A102" s="239"/>
      <c r="B102" s="239"/>
      <c r="D102" s="239"/>
      <c r="E102" s="239"/>
      <c r="F102" s="239"/>
      <c r="G102" s="239"/>
      <c r="H102" s="239"/>
      <c r="I102" s="239"/>
      <c r="J102" s="241"/>
      <c r="K102" s="239"/>
      <c r="L102" s="239"/>
      <c r="M102" s="239"/>
    </row>
    <row r="103" spans="1:13">
      <c r="A103" s="239"/>
      <c r="B103" s="239"/>
      <c r="D103" s="239"/>
      <c r="E103" s="239"/>
      <c r="F103" s="239"/>
      <c r="G103" s="239"/>
      <c r="H103" s="239"/>
      <c r="I103" s="239"/>
      <c r="J103" s="241"/>
      <c r="K103" s="239"/>
      <c r="L103" s="239"/>
      <c r="M103" s="239"/>
    </row>
    <row r="104" spans="1:13">
      <c r="A104" s="239"/>
      <c r="B104" s="239"/>
      <c r="D104" s="239"/>
      <c r="E104" s="239"/>
      <c r="F104" s="239"/>
      <c r="G104" s="239"/>
      <c r="H104" s="239"/>
      <c r="I104" s="239"/>
      <c r="J104" s="241"/>
      <c r="K104" s="239"/>
      <c r="L104" s="239"/>
      <c r="M104" s="239"/>
    </row>
    <row r="105" spans="1:13">
      <c r="A105" s="239"/>
      <c r="B105" s="239"/>
      <c r="D105" s="239"/>
      <c r="E105" s="239"/>
      <c r="F105" s="239"/>
      <c r="G105" s="239"/>
      <c r="H105" s="239"/>
      <c r="I105" s="239"/>
      <c r="J105" s="241"/>
      <c r="K105" s="239"/>
      <c r="L105" s="239"/>
      <c r="M105" s="239"/>
    </row>
    <row r="106" spans="1:13">
      <c r="A106" s="239"/>
      <c r="B106" s="239"/>
      <c r="D106" s="239"/>
      <c r="E106" s="239"/>
      <c r="F106" s="239"/>
      <c r="G106" s="239"/>
      <c r="H106" s="239"/>
      <c r="I106" s="239"/>
      <c r="J106" s="241"/>
      <c r="K106" s="239"/>
      <c r="L106" s="239"/>
      <c r="M106" s="239"/>
    </row>
    <row r="107" spans="1:13">
      <c r="A107" s="239"/>
      <c r="B107" s="239"/>
      <c r="D107" s="239"/>
      <c r="E107" s="239"/>
      <c r="F107" s="239"/>
      <c r="G107" s="239"/>
      <c r="H107" s="239"/>
      <c r="I107" s="239"/>
      <c r="J107" s="241"/>
      <c r="K107" s="239"/>
      <c r="L107" s="239"/>
      <c r="M107" s="239"/>
    </row>
    <row r="108" spans="1:13">
      <c r="A108" s="239"/>
      <c r="B108" s="239"/>
      <c r="D108" s="239"/>
      <c r="E108" s="239"/>
      <c r="F108" s="239"/>
      <c r="G108" s="239"/>
      <c r="H108" s="239"/>
      <c r="I108" s="239"/>
      <c r="J108" s="241"/>
      <c r="K108" s="239"/>
      <c r="L108" s="239"/>
      <c r="M108" s="239"/>
    </row>
    <row r="109" spans="1:13">
      <c r="A109" s="239"/>
      <c r="B109" s="239"/>
      <c r="D109" s="239"/>
      <c r="E109" s="239"/>
      <c r="F109" s="239"/>
      <c r="G109" s="239"/>
      <c r="H109" s="239"/>
      <c r="I109" s="239"/>
      <c r="J109" s="241"/>
      <c r="K109" s="239"/>
      <c r="L109" s="239"/>
      <c r="M109" s="239"/>
    </row>
    <row r="110" spans="1:13">
      <c r="A110" s="239"/>
      <c r="B110" s="239"/>
      <c r="D110" s="239"/>
      <c r="E110" s="239"/>
      <c r="F110" s="239"/>
      <c r="G110" s="239"/>
      <c r="H110" s="239"/>
      <c r="I110" s="239"/>
      <c r="J110" s="241"/>
      <c r="K110" s="239"/>
      <c r="L110" s="239"/>
      <c r="M110" s="239"/>
    </row>
    <row r="111" spans="1:13">
      <c r="A111" s="239"/>
      <c r="B111" s="239"/>
      <c r="D111" s="239"/>
      <c r="E111" s="239"/>
      <c r="F111" s="239"/>
      <c r="G111" s="239"/>
      <c r="H111" s="239"/>
      <c r="I111" s="239"/>
      <c r="J111" s="241"/>
      <c r="K111" s="239"/>
      <c r="L111" s="239"/>
      <c r="M111" s="239"/>
    </row>
    <row r="112" spans="1:13">
      <c r="A112" s="239"/>
      <c r="B112" s="239"/>
      <c r="D112" s="239"/>
      <c r="E112" s="239"/>
      <c r="F112" s="239"/>
      <c r="G112" s="239"/>
      <c r="H112" s="239"/>
      <c r="I112" s="239"/>
      <c r="J112" s="241"/>
      <c r="K112" s="239"/>
      <c r="L112" s="239"/>
      <c r="M112" s="239"/>
    </row>
    <row r="113" spans="1:13">
      <c r="A113" s="239"/>
      <c r="B113" s="239"/>
      <c r="D113" s="239"/>
      <c r="E113" s="239"/>
      <c r="F113" s="239"/>
      <c r="G113" s="239"/>
      <c r="H113" s="239"/>
      <c r="I113" s="239"/>
      <c r="J113" s="241"/>
      <c r="K113" s="239"/>
      <c r="L113" s="239"/>
      <c r="M113" s="239"/>
    </row>
    <row r="114" spans="1:13">
      <c r="A114" s="239"/>
      <c r="B114" s="239"/>
      <c r="D114" s="239"/>
      <c r="E114" s="239"/>
      <c r="F114" s="239"/>
      <c r="G114" s="239"/>
      <c r="H114" s="239"/>
      <c r="I114" s="239"/>
      <c r="J114" s="241"/>
      <c r="K114" s="239"/>
      <c r="L114" s="239"/>
      <c r="M114" s="239"/>
    </row>
    <row r="115" spans="1:13">
      <c r="A115" s="239"/>
      <c r="B115" s="239"/>
      <c r="D115" s="239"/>
      <c r="E115" s="239"/>
      <c r="F115" s="239"/>
      <c r="G115" s="239"/>
      <c r="H115" s="239"/>
      <c r="I115" s="239"/>
      <c r="J115" s="241"/>
      <c r="K115" s="239"/>
      <c r="L115" s="239"/>
      <c r="M115" s="239"/>
    </row>
    <row r="116" spans="1:13">
      <c r="A116" s="239"/>
      <c r="B116" s="239"/>
      <c r="D116" s="239"/>
      <c r="E116" s="239"/>
      <c r="F116" s="239"/>
      <c r="G116" s="239"/>
      <c r="H116" s="239"/>
      <c r="I116" s="239"/>
      <c r="J116" s="241"/>
      <c r="K116" s="239"/>
      <c r="L116" s="239"/>
      <c r="M116" s="239"/>
    </row>
    <row r="117" spans="1:13">
      <c r="A117" s="239"/>
      <c r="B117" s="239"/>
      <c r="D117" s="239"/>
      <c r="E117" s="239"/>
      <c r="F117" s="239"/>
      <c r="G117" s="239"/>
      <c r="H117" s="239"/>
      <c r="I117" s="239"/>
      <c r="J117" s="241"/>
      <c r="K117" s="239"/>
      <c r="L117" s="239"/>
      <c r="M117" s="239"/>
    </row>
    <row r="118" spans="1:13">
      <c r="A118" s="239"/>
      <c r="B118" s="239"/>
      <c r="D118" s="239"/>
      <c r="E118" s="239"/>
      <c r="F118" s="239"/>
      <c r="G118" s="239"/>
      <c r="H118" s="239"/>
      <c r="I118" s="239"/>
      <c r="J118" s="241"/>
      <c r="K118" s="239"/>
      <c r="L118" s="239"/>
      <c r="M118" s="239"/>
    </row>
    <row r="119" spans="1:13">
      <c r="A119" s="239"/>
      <c r="B119" s="239"/>
      <c r="D119" s="239"/>
      <c r="E119" s="239"/>
      <c r="F119" s="239"/>
      <c r="G119" s="239"/>
      <c r="H119" s="239"/>
      <c r="I119" s="239"/>
      <c r="J119" s="241"/>
      <c r="K119" s="239"/>
      <c r="L119" s="239"/>
      <c r="M119" s="239"/>
    </row>
    <row r="120" spans="1:13">
      <c r="A120" s="239"/>
      <c r="B120" s="239"/>
      <c r="D120" s="239"/>
      <c r="E120" s="239"/>
      <c r="F120" s="239"/>
      <c r="G120" s="239"/>
      <c r="H120" s="239"/>
      <c r="I120" s="239"/>
      <c r="J120" s="241"/>
      <c r="K120" s="239"/>
      <c r="L120" s="239"/>
      <c r="M120" s="239"/>
    </row>
    <row r="121" spans="1:13">
      <c r="A121" s="239"/>
      <c r="B121" s="239"/>
      <c r="D121" s="239"/>
      <c r="E121" s="239"/>
      <c r="F121" s="239"/>
      <c r="G121" s="239"/>
      <c r="H121" s="239"/>
      <c r="I121" s="239"/>
      <c r="J121" s="241"/>
      <c r="K121" s="239"/>
      <c r="L121" s="239"/>
      <c r="M121" s="239"/>
    </row>
    <row r="122" spans="1:13">
      <c r="A122" s="239"/>
      <c r="B122" s="239"/>
      <c r="D122" s="239"/>
      <c r="E122" s="239"/>
      <c r="F122" s="239"/>
      <c r="G122" s="239"/>
      <c r="H122" s="239"/>
      <c r="I122" s="239"/>
      <c r="J122" s="241"/>
      <c r="K122" s="239"/>
      <c r="L122" s="239"/>
      <c r="M122" s="239"/>
    </row>
    <row r="123" spans="1:13">
      <c r="A123" s="239"/>
      <c r="B123" s="239"/>
      <c r="D123" s="239"/>
      <c r="E123" s="239"/>
      <c r="F123" s="239"/>
      <c r="G123" s="239"/>
      <c r="H123" s="239"/>
      <c r="I123" s="239"/>
      <c r="J123" s="241"/>
      <c r="K123" s="239"/>
      <c r="L123" s="239"/>
      <c r="M123" s="239"/>
    </row>
    <row r="124" spans="1:13">
      <c r="A124" s="239"/>
      <c r="B124" s="239"/>
      <c r="D124" s="239"/>
      <c r="E124" s="239"/>
      <c r="F124" s="239"/>
      <c r="G124" s="239"/>
      <c r="H124" s="239"/>
      <c r="I124" s="239"/>
      <c r="J124" s="241"/>
      <c r="K124" s="239"/>
      <c r="L124" s="239"/>
      <c r="M124" s="239"/>
    </row>
    <row r="125" spans="1:13">
      <c r="A125" s="239"/>
      <c r="B125" s="239"/>
      <c r="D125" s="239"/>
      <c r="E125" s="239"/>
      <c r="F125" s="239"/>
      <c r="G125" s="239"/>
      <c r="H125" s="239"/>
      <c r="I125" s="239"/>
      <c r="J125" s="241"/>
      <c r="K125" s="239"/>
      <c r="L125" s="239"/>
      <c r="M125" s="239"/>
    </row>
    <row r="126" spans="1:13">
      <c r="A126" s="239"/>
      <c r="B126" s="239"/>
      <c r="D126" s="239"/>
      <c r="E126" s="239"/>
      <c r="F126" s="239"/>
      <c r="G126" s="239"/>
      <c r="H126" s="239"/>
      <c r="I126" s="239"/>
      <c r="J126" s="241"/>
      <c r="K126" s="239"/>
      <c r="L126" s="239"/>
      <c r="M126" s="239"/>
    </row>
    <row r="127" spans="1:13">
      <c r="A127" s="239"/>
      <c r="G127" s="239"/>
      <c r="J127" s="241"/>
    </row>
    <row r="128" spans="1:13">
      <c r="A128" s="239"/>
      <c r="G128" s="239"/>
      <c r="J128" s="241"/>
    </row>
    <row r="129" spans="1:10">
      <c r="A129" s="239"/>
      <c r="G129" s="239"/>
      <c r="J129" s="241"/>
    </row>
    <row r="130" spans="1:10">
      <c r="A130" s="239"/>
      <c r="G130" s="239"/>
      <c r="J130" s="241"/>
    </row>
    <row r="131" spans="1:10">
      <c r="A131" s="239"/>
      <c r="G131" s="239"/>
      <c r="J131" s="241"/>
    </row>
    <row r="132" spans="1:10">
      <c r="A132" s="239"/>
      <c r="G132" s="239"/>
      <c r="J132" s="241"/>
    </row>
    <row r="133" spans="1:10">
      <c r="A133" s="239"/>
      <c r="G133" s="239"/>
      <c r="J133" s="241"/>
    </row>
    <row r="134" spans="1:10">
      <c r="A134" s="239"/>
      <c r="G134" s="239"/>
      <c r="J134" s="241"/>
    </row>
    <row r="135" spans="1:10">
      <c r="A135" s="239"/>
      <c r="G135" s="239"/>
      <c r="J135" s="241"/>
    </row>
    <row r="136" spans="1:10">
      <c r="A136" s="239"/>
      <c r="G136" s="239"/>
      <c r="J136" s="241"/>
    </row>
    <row r="137" spans="1:10">
      <c r="A137" s="239"/>
      <c r="G137" s="239"/>
      <c r="J137" s="241"/>
    </row>
    <row r="138" spans="1:10">
      <c r="A138" s="239"/>
      <c r="G138" s="239"/>
      <c r="J138" s="241"/>
    </row>
    <row r="139" spans="1:10">
      <c r="A139" s="239"/>
      <c r="G139" s="239"/>
      <c r="J139" s="241"/>
    </row>
    <row r="140" spans="1:10">
      <c r="A140" s="239"/>
      <c r="G140" s="239"/>
      <c r="J140" s="241"/>
    </row>
    <row r="141" spans="1:10">
      <c r="A141" s="239"/>
      <c r="G141" s="239"/>
      <c r="J141" s="241"/>
    </row>
    <row r="142" spans="1:10">
      <c r="A142" s="239"/>
      <c r="G142" s="239"/>
      <c r="J142" s="241"/>
    </row>
    <row r="143" spans="1:10">
      <c r="A143" s="239"/>
      <c r="G143" s="239"/>
      <c r="J143" s="241"/>
    </row>
    <row r="144" spans="1:10">
      <c r="A144" s="239"/>
      <c r="G144" s="239"/>
      <c r="J144" s="241"/>
    </row>
    <row r="145" spans="1:10">
      <c r="A145" s="239"/>
      <c r="G145" s="239"/>
      <c r="J145" s="241"/>
    </row>
    <row r="146" spans="1:10">
      <c r="A146" s="239"/>
      <c r="G146" s="239"/>
      <c r="J146" s="241"/>
    </row>
    <row r="147" spans="1:10">
      <c r="A147" s="239"/>
      <c r="G147" s="239"/>
      <c r="J147" s="241"/>
    </row>
    <row r="148" spans="1:10">
      <c r="A148" s="239"/>
      <c r="G148" s="239"/>
      <c r="J148" s="241"/>
    </row>
    <row r="149" spans="1:10">
      <c r="A149" s="239"/>
      <c r="G149" s="239"/>
      <c r="J149" s="241"/>
    </row>
    <row r="150" spans="1:10">
      <c r="A150" s="239"/>
      <c r="G150" s="239"/>
      <c r="J150" s="241"/>
    </row>
    <row r="151" spans="1:10">
      <c r="A151" s="239"/>
      <c r="G151" s="239"/>
      <c r="J151" s="241"/>
    </row>
    <row r="152" spans="1:10">
      <c r="A152" s="239"/>
      <c r="G152" s="239"/>
      <c r="J152" s="241"/>
    </row>
    <row r="153" spans="1:10">
      <c r="A153" s="239"/>
      <c r="G153" s="239"/>
      <c r="J153" s="241"/>
    </row>
    <row r="154" spans="1:10">
      <c r="A154" s="239"/>
      <c r="G154" s="239"/>
      <c r="J154" s="241"/>
    </row>
    <row r="155" spans="1:10">
      <c r="A155" s="239"/>
      <c r="G155" s="239"/>
      <c r="J155" s="241"/>
    </row>
    <row r="156" spans="1:10">
      <c r="A156" s="239"/>
      <c r="G156" s="239"/>
      <c r="J156" s="241"/>
    </row>
    <row r="157" spans="1:10">
      <c r="A157" s="239"/>
      <c r="G157" s="239"/>
      <c r="J157" s="241"/>
    </row>
    <row r="158" spans="1:10">
      <c r="A158" s="239"/>
      <c r="G158" s="239"/>
      <c r="J158" s="241"/>
    </row>
    <row r="159" spans="1:10">
      <c r="A159" s="239"/>
      <c r="G159" s="239"/>
      <c r="J159" s="241"/>
    </row>
    <row r="160" spans="1:10">
      <c r="A160" s="239"/>
      <c r="G160" s="239"/>
      <c r="J160" s="241"/>
    </row>
    <row r="161" spans="1:10">
      <c r="A161" s="239"/>
      <c r="G161" s="239"/>
      <c r="J161" s="241"/>
    </row>
    <row r="162" spans="1:10">
      <c r="A162" s="239"/>
      <c r="G162" s="239"/>
      <c r="J162" s="241"/>
    </row>
    <row r="163" spans="1:10">
      <c r="A163" s="239"/>
      <c r="G163" s="239"/>
      <c r="J163" s="241"/>
    </row>
    <row r="164" spans="1:10">
      <c r="A164" s="239"/>
      <c r="G164" s="239"/>
      <c r="J164" s="241"/>
    </row>
    <row r="165" spans="1:10">
      <c r="A165" s="239"/>
      <c r="G165" s="239"/>
      <c r="J165" s="241"/>
    </row>
    <row r="166" spans="1:10">
      <c r="A166" s="239"/>
      <c r="G166" s="239"/>
      <c r="J166" s="241"/>
    </row>
    <row r="167" spans="1:10">
      <c r="A167" s="239"/>
      <c r="G167" s="239"/>
      <c r="J167" s="241"/>
    </row>
    <row r="168" spans="1:10">
      <c r="A168" s="239"/>
      <c r="G168" s="239"/>
      <c r="J168" s="241"/>
    </row>
    <row r="169" spans="1:10">
      <c r="A169" s="239"/>
      <c r="G169" s="239"/>
      <c r="J169" s="241"/>
    </row>
    <row r="170" spans="1:10">
      <c r="A170" s="239"/>
      <c r="G170" s="239"/>
      <c r="J170" s="241"/>
    </row>
    <row r="171" spans="1:10">
      <c r="A171" s="239"/>
      <c r="G171" s="239"/>
      <c r="J171" s="241"/>
    </row>
    <row r="172" spans="1:10">
      <c r="A172" s="239"/>
      <c r="G172" s="239"/>
      <c r="J172" s="241"/>
    </row>
    <row r="173" spans="1:10">
      <c r="A173" s="239"/>
      <c r="G173" s="239"/>
      <c r="J173" s="241"/>
    </row>
    <row r="174" spans="1:10">
      <c r="A174" s="239"/>
      <c r="G174" s="239"/>
      <c r="J174" s="241"/>
    </row>
    <row r="175" spans="1:10">
      <c r="A175" s="239"/>
      <c r="G175" s="239"/>
      <c r="J175" s="241"/>
    </row>
    <row r="176" spans="1:10">
      <c r="A176" s="239"/>
      <c r="G176" s="239"/>
      <c r="J176" s="241"/>
    </row>
    <row r="177" spans="1:10">
      <c r="A177" s="239"/>
      <c r="G177" s="239"/>
      <c r="J177" s="241"/>
    </row>
    <row r="178" spans="1:10">
      <c r="A178" s="239"/>
      <c r="G178" s="239"/>
      <c r="J178" s="241"/>
    </row>
    <row r="179" spans="1:10">
      <c r="A179" s="239"/>
      <c r="G179" s="239"/>
      <c r="J179" s="241"/>
    </row>
    <row r="180" spans="1:10">
      <c r="A180" s="239"/>
      <c r="G180" s="239"/>
      <c r="J180" s="241"/>
    </row>
    <row r="181" spans="1:10">
      <c r="A181" s="239"/>
      <c r="G181" s="239"/>
      <c r="J181" s="241"/>
    </row>
    <row r="182" spans="1:10">
      <c r="A182" s="239"/>
      <c r="G182" s="239"/>
      <c r="J182" s="241"/>
    </row>
    <row r="183" spans="1:10">
      <c r="A183" s="239"/>
      <c r="G183" s="239"/>
      <c r="J183" s="241"/>
    </row>
    <row r="184" spans="1:10">
      <c r="A184" s="239"/>
      <c r="G184" s="239"/>
      <c r="J184" s="241"/>
    </row>
    <row r="185" spans="1:10">
      <c r="A185" s="239"/>
      <c r="G185" s="239"/>
      <c r="J185" s="241"/>
    </row>
    <row r="186" spans="1:10">
      <c r="A186" s="239"/>
      <c r="G186" s="239"/>
      <c r="J186" s="241"/>
    </row>
    <row r="187" spans="1:10">
      <c r="A187" s="239"/>
      <c r="G187" s="239"/>
      <c r="J187" s="241"/>
    </row>
    <row r="188" spans="1:10">
      <c r="A188" s="239"/>
      <c r="G188" s="239"/>
      <c r="J188" s="241"/>
    </row>
    <row r="189" spans="1:10">
      <c r="A189" s="239"/>
      <c r="G189" s="239"/>
      <c r="J189" s="241"/>
    </row>
    <row r="190" spans="1:10">
      <c r="A190" s="239"/>
      <c r="G190" s="239"/>
      <c r="J190" s="241"/>
    </row>
    <row r="191" spans="1:10">
      <c r="A191" s="239"/>
      <c r="G191" s="239"/>
      <c r="J191" s="241"/>
    </row>
    <row r="192" spans="1:10">
      <c r="A192" s="239"/>
      <c r="G192" s="239"/>
      <c r="J192" s="241"/>
    </row>
    <row r="193" spans="1:10">
      <c r="A193" s="239"/>
      <c r="G193" s="239"/>
      <c r="J193" s="241"/>
    </row>
    <row r="194" spans="1:10">
      <c r="A194" s="239"/>
      <c r="G194" s="239"/>
      <c r="J194" s="241"/>
    </row>
    <row r="195" spans="1:10">
      <c r="A195" s="239"/>
      <c r="G195" s="239"/>
      <c r="J195" s="241"/>
    </row>
    <row r="196" spans="1:10">
      <c r="A196" s="239"/>
      <c r="G196" s="239"/>
      <c r="J196" s="241"/>
    </row>
    <row r="197" spans="1:10">
      <c r="A197" s="239"/>
      <c r="G197" s="239"/>
      <c r="J197" s="241"/>
    </row>
    <row r="198" spans="1:10">
      <c r="A198" s="239"/>
      <c r="G198" s="239"/>
      <c r="J198" s="241"/>
    </row>
    <row r="199" spans="1:10">
      <c r="A199" s="239"/>
      <c r="G199" s="239"/>
      <c r="J199" s="241"/>
    </row>
    <row r="200" spans="1:10">
      <c r="A200" s="239"/>
      <c r="G200" s="239"/>
      <c r="J200" s="241"/>
    </row>
    <row r="201" spans="1:10">
      <c r="A201" s="239"/>
      <c r="G201" s="239"/>
      <c r="J201" s="241"/>
    </row>
    <row r="202" spans="1:10">
      <c r="A202" s="239"/>
      <c r="G202" s="239"/>
      <c r="J202" s="241"/>
    </row>
    <row r="203" spans="1:10">
      <c r="A203" s="239"/>
      <c r="G203" s="239"/>
      <c r="J203" s="241"/>
    </row>
    <row r="204" spans="1:10">
      <c r="A204" s="239"/>
      <c r="G204" s="239"/>
      <c r="J204" s="241"/>
    </row>
    <row r="205" spans="1:10">
      <c r="A205" s="239"/>
      <c r="G205" s="239"/>
      <c r="J205" s="241"/>
    </row>
    <row r="206" spans="1:10">
      <c r="A206" s="239"/>
      <c r="G206" s="239"/>
      <c r="J206" s="241"/>
    </row>
    <row r="207" spans="1:10">
      <c r="A207" s="239"/>
      <c r="G207" s="239"/>
      <c r="J207" s="241"/>
    </row>
    <row r="208" spans="1:10">
      <c r="A208" s="239"/>
      <c r="G208" s="239"/>
      <c r="J208" s="241"/>
    </row>
    <row r="209" spans="1:10">
      <c r="A209" s="239"/>
      <c r="G209" s="239"/>
      <c r="J209" s="241"/>
    </row>
    <row r="210" spans="1:10">
      <c r="A210" s="239"/>
      <c r="G210" s="239"/>
      <c r="J210" s="241"/>
    </row>
    <row r="211" spans="1:10">
      <c r="A211" s="239"/>
      <c r="G211" s="239"/>
      <c r="J211" s="241"/>
    </row>
    <row r="212" spans="1:10">
      <c r="A212" s="239"/>
      <c r="G212" s="239"/>
      <c r="J212" s="241"/>
    </row>
    <row r="213" spans="1:10">
      <c r="A213" s="239"/>
      <c r="G213" s="239"/>
      <c r="J213" s="241"/>
    </row>
    <row r="214" spans="1:10">
      <c r="A214" s="239"/>
      <c r="G214" s="239"/>
      <c r="J214" s="241"/>
    </row>
    <row r="215" spans="1:10">
      <c r="A215" s="239"/>
      <c r="G215" s="239"/>
      <c r="J215" s="241"/>
    </row>
    <row r="216" spans="1:10">
      <c r="A216" s="239"/>
      <c r="G216" s="239"/>
      <c r="J216" s="241"/>
    </row>
    <row r="217" spans="1:10">
      <c r="A217" s="239"/>
      <c r="G217" s="239"/>
      <c r="J217" s="241"/>
    </row>
    <row r="218" spans="1:10">
      <c r="A218" s="239"/>
      <c r="G218" s="239"/>
      <c r="J218" s="241"/>
    </row>
    <row r="219" spans="1:10">
      <c r="A219" s="239"/>
      <c r="G219" s="239"/>
      <c r="J219" s="241"/>
    </row>
    <row r="220" spans="1:10">
      <c r="A220" s="239"/>
      <c r="G220" s="239"/>
      <c r="J220" s="241"/>
    </row>
    <row r="221" spans="1:10">
      <c r="A221" s="239"/>
      <c r="G221" s="239"/>
      <c r="J221" s="241"/>
    </row>
    <row r="222" spans="1:10">
      <c r="A222" s="239"/>
      <c r="G222" s="239"/>
      <c r="J222" s="241"/>
    </row>
    <row r="223" spans="1:10">
      <c r="A223" s="239"/>
      <c r="G223" s="239"/>
      <c r="J223" s="241"/>
    </row>
    <row r="224" spans="1:10">
      <c r="A224" s="239"/>
      <c r="G224" s="239"/>
      <c r="J224" s="241"/>
    </row>
    <row r="225" spans="1:10">
      <c r="A225" s="239"/>
      <c r="G225" s="239"/>
      <c r="J225" s="241"/>
    </row>
    <row r="226" spans="1:10">
      <c r="A226" s="239"/>
      <c r="G226" s="239"/>
      <c r="J226" s="241"/>
    </row>
    <row r="227" spans="1:10">
      <c r="A227" s="239"/>
      <c r="G227" s="239"/>
      <c r="J227" s="241"/>
    </row>
    <row r="228" spans="1:10">
      <c r="A228" s="239"/>
      <c r="G228" s="239"/>
      <c r="J228" s="241"/>
    </row>
    <row r="229" spans="1:10">
      <c r="A229" s="239"/>
      <c r="G229" s="239"/>
      <c r="J229" s="241"/>
    </row>
    <row r="230" spans="1:10">
      <c r="A230" s="239"/>
      <c r="G230" s="239"/>
      <c r="J230" s="241"/>
    </row>
    <row r="231" spans="1:10">
      <c r="A231" s="239"/>
      <c r="G231" s="239"/>
      <c r="J231" s="241"/>
    </row>
    <row r="232" spans="1:10">
      <c r="A232" s="239"/>
      <c r="G232" s="239"/>
      <c r="J232" s="241"/>
    </row>
    <row r="233" spans="1:10">
      <c r="A233" s="239"/>
      <c r="G233" s="239"/>
      <c r="J233" s="241"/>
    </row>
    <row r="234" spans="1:10">
      <c r="A234" s="239"/>
      <c r="G234" s="239"/>
      <c r="J234" s="241"/>
    </row>
    <row r="235" spans="1:10">
      <c r="A235" s="239"/>
      <c r="G235" s="239"/>
      <c r="J235" s="241"/>
    </row>
    <row r="236" spans="1:10">
      <c r="A236" s="239"/>
      <c r="G236" s="239"/>
      <c r="J236" s="241"/>
    </row>
    <row r="237" spans="1:10">
      <c r="A237" s="239"/>
      <c r="G237" s="239"/>
      <c r="J237" s="241"/>
    </row>
    <row r="238" spans="1:10">
      <c r="A238" s="239"/>
      <c r="G238" s="239"/>
      <c r="J238" s="241"/>
    </row>
    <row r="239" spans="1:10">
      <c r="A239" s="239"/>
      <c r="G239" s="239"/>
      <c r="J239" s="241"/>
    </row>
    <row r="240" spans="1:10">
      <c r="A240" s="239"/>
      <c r="G240" s="239"/>
      <c r="J240" s="241"/>
    </row>
    <row r="241" spans="1:10">
      <c r="A241" s="239"/>
      <c r="G241" s="239"/>
      <c r="J241" s="241"/>
    </row>
    <row r="242" spans="1:10">
      <c r="A242" s="239"/>
      <c r="G242" s="239"/>
      <c r="J242" s="241"/>
    </row>
    <row r="243" spans="1:10">
      <c r="A243" s="239"/>
      <c r="G243" s="239"/>
      <c r="J243" s="241"/>
    </row>
    <row r="244" spans="1:10">
      <c r="A244" s="239"/>
      <c r="G244" s="239"/>
      <c r="J244" s="241"/>
    </row>
    <row r="245" spans="1:10">
      <c r="A245" s="239"/>
      <c r="G245" s="239"/>
      <c r="J245" s="241"/>
    </row>
    <row r="246" spans="1:10">
      <c r="A246" s="239"/>
      <c r="G246" s="239"/>
      <c r="J246" s="241"/>
    </row>
    <row r="247" spans="1:10">
      <c r="A247" s="239"/>
      <c r="G247" s="239"/>
      <c r="J247" s="241"/>
    </row>
    <row r="248" spans="1:10">
      <c r="A248" s="239"/>
      <c r="G248" s="239"/>
      <c r="J248" s="241"/>
    </row>
    <row r="249" spans="1:10">
      <c r="A249" s="239"/>
      <c r="G249" s="239"/>
      <c r="J249" s="241"/>
    </row>
    <row r="250" spans="1:10">
      <c r="A250" s="239"/>
      <c r="G250" s="239"/>
      <c r="J250" s="241"/>
    </row>
    <row r="251" spans="1:10">
      <c r="A251" s="239"/>
      <c r="G251" s="239"/>
      <c r="J251" s="241"/>
    </row>
    <row r="252" spans="1:10">
      <c r="A252" s="239"/>
      <c r="G252" s="239"/>
      <c r="J252" s="241"/>
    </row>
    <row r="253" spans="1:10">
      <c r="A253" s="239"/>
      <c r="G253" s="239"/>
      <c r="J253" s="241"/>
    </row>
    <row r="254" spans="1:10">
      <c r="A254" s="239"/>
      <c r="G254" s="239"/>
      <c r="J254" s="241"/>
    </row>
    <row r="255" spans="1:10">
      <c r="A255" s="239"/>
      <c r="G255" s="239"/>
      <c r="J255" s="241"/>
    </row>
    <row r="256" spans="1:10">
      <c r="A256" s="239"/>
      <c r="G256" s="239"/>
      <c r="J256" s="241"/>
    </row>
    <row r="257" spans="1:10">
      <c r="A257" s="239"/>
      <c r="G257" s="239"/>
      <c r="J257" s="241"/>
    </row>
    <row r="258" spans="1:10">
      <c r="A258" s="239"/>
      <c r="G258" s="239"/>
      <c r="J258" s="241"/>
    </row>
    <row r="259" spans="1:10">
      <c r="A259" s="239"/>
      <c r="G259" s="239"/>
      <c r="J259" s="241"/>
    </row>
    <row r="260" spans="1:10">
      <c r="A260" s="239"/>
      <c r="G260" s="239"/>
      <c r="J260" s="241"/>
    </row>
    <row r="261" spans="1:10">
      <c r="A261" s="239"/>
      <c r="G261" s="239"/>
      <c r="J261" s="241"/>
    </row>
    <row r="262" spans="1:10">
      <c r="A262" s="239"/>
      <c r="G262" s="239"/>
      <c r="J262" s="241"/>
    </row>
    <row r="263" spans="1:10">
      <c r="A263" s="239"/>
      <c r="G263" s="239"/>
      <c r="J263" s="241"/>
    </row>
    <row r="264" spans="1:10">
      <c r="A264" s="239"/>
      <c r="G264" s="239"/>
      <c r="J264" s="241"/>
    </row>
    <row r="265" spans="1:10">
      <c r="A265" s="239"/>
      <c r="G265" s="239"/>
      <c r="J265" s="241"/>
    </row>
    <row r="266" spans="1:10">
      <c r="A266" s="239"/>
      <c r="G266" s="239"/>
      <c r="J266" s="241"/>
    </row>
    <row r="267" spans="1:10">
      <c r="A267" s="239"/>
      <c r="G267" s="239"/>
      <c r="J267" s="241"/>
    </row>
    <row r="268" spans="1:10">
      <c r="A268" s="239"/>
      <c r="G268" s="239"/>
      <c r="J268" s="241"/>
    </row>
    <row r="269" spans="1:10">
      <c r="A269" s="239"/>
      <c r="G269" s="239"/>
      <c r="J269" s="241"/>
    </row>
    <row r="270" spans="1:10">
      <c r="A270" s="239"/>
      <c r="G270" s="239"/>
      <c r="J270" s="241"/>
    </row>
    <row r="271" spans="1:10">
      <c r="A271" s="239"/>
      <c r="G271" s="239"/>
      <c r="J271" s="241"/>
    </row>
    <row r="272" spans="1:10">
      <c r="A272" s="239"/>
      <c r="G272" s="239"/>
      <c r="J272" s="241"/>
    </row>
    <row r="273" spans="1:10">
      <c r="A273" s="239"/>
      <c r="G273" s="239"/>
      <c r="J273" s="241"/>
    </row>
    <row r="274" spans="1:10">
      <c r="A274" s="239"/>
      <c r="G274" s="239"/>
      <c r="J274" s="241"/>
    </row>
    <row r="275" spans="1:10">
      <c r="A275" s="239"/>
      <c r="G275" s="239"/>
      <c r="J275" s="241"/>
    </row>
    <row r="276" spans="1:10">
      <c r="A276" s="239"/>
      <c r="G276" s="239"/>
      <c r="J276" s="241"/>
    </row>
    <row r="277" spans="1:10">
      <c r="A277" s="239"/>
      <c r="G277" s="239"/>
      <c r="J277" s="241"/>
    </row>
    <row r="278" spans="1:10">
      <c r="A278" s="239"/>
      <c r="G278" s="239"/>
      <c r="J278" s="241"/>
    </row>
    <row r="279" spans="1:10">
      <c r="A279" s="239"/>
      <c r="G279" s="239"/>
      <c r="J279" s="241"/>
    </row>
    <row r="280" spans="1:10">
      <c r="A280" s="239"/>
      <c r="G280" s="239"/>
      <c r="J280" s="241"/>
    </row>
    <row r="281" spans="1:10">
      <c r="A281" s="239"/>
      <c r="G281" s="239"/>
      <c r="J281" s="241"/>
    </row>
    <row r="282" spans="1:10">
      <c r="A282" s="239"/>
      <c r="G282" s="239"/>
      <c r="J282" s="241"/>
    </row>
    <row r="283" spans="1:10">
      <c r="A283" s="239"/>
      <c r="G283" s="239"/>
      <c r="J283" s="241"/>
    </row>
    <row r="284" spans="1:10">
      <c r="A284" s="239"/>
      <c r="G284" s="239"/>
      <c r="J284" s="241"/>
    </row>
    <row r="285" spans="1:10">
      <c r="A285" s="239"/>
      <c r="G285" s="239"/>
      <c r="J285" s="241"/>
    </row>
    <row r="286" spans="1:10">
      <c r="A286" s="239"/>
      <c r="G286" s="239"/>
      <c r="J286" s="241"/>
    </row>
    <row r="287" spans="1:10">
      <c r="A287" s="239"/>
      <c r="G287" s="239"/>
      <c r="J287" s="241"/>
    </row>
    <row r="288" spans="1:10">
      <c r="A288" s="239"/>
      <c r="G288" s="239"/>
      <c r="J288" s="241"/>
    </row>
    <row r="289" spans="1:10">
      <c r="A289" s="239"/>
      <c r="G289" s="239"/>
      <c r="J289" s="241"/>
    </row>
    <row r="290" spans="1:10">
      <c r="A290" s="239"/>
      <c r="G290" s="239"/>
      <c r="J290" s="241"/>
    </row>
    <row r="291" spans="1:10">
      <c r="A291" s="239"/>
      <c r="G291" s="239"/>
      <c r="J291" s="241"/>
    </row>
    <row r="292" spans="1:10">
      <c r="A292" s="239"/>
      <c r="G292" s="239"/>
      <c r="J292" s="241"/>
    </row>
    <row r="293" spans="1:10">
      <c r="A293" s="239"/>
      <c r="G293" s="239"/>
      <c r="J293" s="241"/>
    </row>
    <row r="294" spans="1:10">
      <c r="A294" s="239"/>
      <c r="G294" s="239"/>
      <c r="J294" s="241"/>
    </row>
    <row r="295" spans="1:10">
      <c r="A295" s="239"/>
      <c r="G295" s="239"/>
      <c r="J295" s="241"/>
    </row>
    <row r="296" spans="1:10">
      <c r="A296" s="239"/>
      <c r="G296" s="239"/>
      <c r="J296" s="241"/>
    </row>
    <row r="297" spans="1:10">
      <c r="A297" s="239"/>
      <c r="G297" s="239"/>
      <c r="J297" s="241"/>
    </row>
    <row r="298" spans="1:10">
      <c r="A298" s="239"/>
      <c r="G298" s="239"/>
      <c r="J298" s="241"/>
    </row>
    <row r="299" spans="1:10">
      <c r="A299" s="239"/>
      <c r="G299" s="239"/>
      <c r="J299" s="241"/>
    </row>
    <row r="300" spans="1:10">
      <c r="A300" s="239"/>
      <c r="G300" s="239"/>
      <c r="J300" s="241"/>
    </row>
    <row r="301" spans="1:10">
      <c r="A301" s="239"/>
      <c r="G301" s="239"/>
      <c r="J301" s="241"/>
    </row>
    <row r="302" spans="1:10">
      <c r="A302" s="239"/>
      <c r="G302" s="239"/>
      <c r="J302" s="241"/>
    </row>
    <row r="303" spans="1:10">
      <c r="A303" s="239"/>
      <c r="G303" s="239"/>
      <c r="J303" s="241"/>
    </row>
    <row r="304" spans="1:10">
      <c r="A304" s="239"/>
      <c r="G304" s="239"/>
      <c r="J304" s="241"/>
    </row>
    <row r="305" spans="1:10">
      <c r="A305" s="239"/>
      <c r="G305" s="239"/>
      <c r="J305" s="241"/>
    </row>
    <row r="306" spans="1:10">
      <c r="A306" s="239"/>
      <c r="G306" s="239"/>
      <c r="J306" s="241"/>
    </row>
    <row r="307" spans="1:10">
      <c r="A307" s="239"/>
      <c r="G307" s="239"/>
      <c r="J307" s="241"/>
    </row>
    <row r="308" spans="1:10">
      <c r="A308" s="239"/>
      <c r="G308" s="239"/>
      <c r="J308" s="241"/>
    </row>
    <row r="309" spans="1:10">
      <c r="A309" s="239"/>
      <c r="G309" s="239"/>
      <c r="J309" s="241"/>
    </row>
    <row r="310" spans="1:10">
      <c r="A310" s="239"/>
      <c r="G310" s="239"/>
      <c r="J310" s="241"/>
    </row>
    <row r="311" spans="1:10">
      <c r="A311" s="239"/>
      <c r="G311" s="239"/>
      <c r="J311" s="241"/>
    </row>
    <row r="312" spans="1:10">
      <c r="A312" s="239"/>
      <c r="G312" s="239"/>
      <c r="J312" s="241"/>
    </row>
    <row r="313" spans="1:10">
      <c r="A313" s="239"/>
      <c r="G313" s="239"/>
      <c r="J313" s="241"/>
    </row>
    <row r="314" spans="1:10">
      <c r="A314" s="239"/>
      <c r="G314" s="239"/>
      <c r="J314" s="241"/>
    </row>
    <row r="315" spans="1:10">
      <c r="A315" s="239"/>
      <c r="G315" s="239"/>
      <c r="J315" s="241"/>
    </row>
    <row r="316" spans="1:10">
      <c r="A316" s="239"/>
      <c r="G316" s="239"/>
      <c r="J316" s="241"/>
    </row>
    <row r="317" spans="1:10">
      <c r="A317" s="239"/>
      <c r="G317" s="239"/>
      <c r="J317" s="241"/>
    </row>
    <row r="318" spans="1:10">
      <c r="A318" s="239"/>
      <c r="G318" s="239"/>
      <c r="J318" s="241"/>
    </row>
    <row r="319" spans="1:10">
      <c r="A319" s="239"/>
      <c r="G319" s="239"/>
      <c r="J319" s="241"/>
    </row>
    <row r="320" spans="1:10">
      <c r="A320" s="239"/>
      <c r="G320" s="239"/>
      <c r="J320" s="241"/>
    </row>
    <row r="321" spans="1:10">
      <c r="A321" s="239"/>
      <c r="G321" s="239"/>
      <c r="J321" s="241"/>
    </row>
    <row r="322" spans="1:10">
      <c r="A322" s="239"/>
      <c r="G322" s="239"/>
      <c r="J322" s="241"/>
    </row>
    <row r="323" spans="1:10">
      <c r="A323" s="239"/>
      <c r="G323" s="239"/>
      <c r="J323" s="241"/>
    </row>
    <row r="324" spans="1:10">
      <c r="A324" s="239"/>
      <c r="G324" s="239"/>
      <c r="J324" s="241"/>
    </row>
    <row r="325" spans="1:10">
      <c r="A325" s="239"/>
      <c r="G325" s="239"/>
      <c r="J325" s="241"/>
    </row>
    <row r="326" spans="1:10">
      <c r="A326" s="239"/>
      <c r="G326" s="239"/>
      <c r="J326" s="241"/>
    </row>
    <row r="327" spans="1:10">
      <c r="A327" s="239"/>
      <c r="G327" s="239"/>
      <c r="J327" s="241"/>
    </row>
    <row r="328" spans="1:10">
      <c r="A328" s="239"/>
      <c r="G328" s="239"/>
      <c r="J328" s="241"/>
    </row>
    <row r="329" spans="1:10">
      <c r="A329" s="239"/>
      <c r="G329" s="239"/>
      <c r="J329" s="241"/>
    </row>
    <row r="330" spans="1:10">
      <c r="A330" s="239"/>
      <c r="G330" s="239"/>
      <c r="J330" s="241"/>
    </row>
    <row r="331" spans="1:10">
      <c r="A331" s="239"/>
      <c r="G331" s="239"/>
      <c r="J331" s="241"/>
    </row>
    <row r="332" spans="1:10">
      <c r="A332" s="239"/>
      <c r="G332" s="239"/>
      <c r="J332" s="241"/>
    </row>
    <row r="333" spans="1:10">
      <c r="A333" s="239"/>
      <c r="G333" s="239"/>
      <c r="J333" s="241"/>
    </row>
    <row r="334" spans="1:10">
      <c r="A334" s="239"/>
      <c r="G334" s="239"/>
      <c r="J334" s="241"/>
    </row>
    <row r="335" spans="1:10">
      <c r="A335" s="239"/>
      <c r="G335" s="239"/>
      <c r="J335" s="241"/>
    </row>
    <row r="336" spans="1:10">
      <c r="A336" s="239"/>
      <c r="G336" s="239"/>
      <c r="J336" s="241"/>
    </row>
    <row r="337" spans="1:10">
      <c r="A337" s="239"/>
      <c r="G337" s="239"/>
      <c r="J337" s="241"/>
    </row>
    <row r="338" spans="1:10">
      <c r="A338" s="239"/>
      <c r="G338" s="239"/>
      <c r="J338" s="241"/>
    </row>
    <row r="339" spans="1:10">
      <c r="A339" s="239"/>
      <c r="G339" s="239"/>
      <c r="J339" s="241"/>
    </row>
    <row r="340" spans="1:10">
      <c r="A340" s="239"/>
      <c r="G340" s="239"/>
      <c r="J340" s="241"/>
    </row>
    <row r="341" spans="1:10">
      <c r="A341" s="239"/>
      <c r="G341" s="239"/>
      <c r="J341" s="241"/>
    </row>
    <row r="342" spans="1:10">
      <c r="A342" s="239"/>
      <c r="G342" s="239"/>
      <c r="J342" s="241"/>
    </row>
    <row r="343" spans="1:10">
      <c r="A343" s="239"/>
      <c r="G343" s="239"/>
      <c r="J343" s="241"/>
    </row>
    <row r="344" spans="1:10">
      <c r="A344" s="239"/>
      <c r="G344" s="239"/>
      <c r="J344" s="241"/>
    </row>
    <row r="345" spans="1:10">
      <c r="A345" s="239"/>
      <c r="G345" s="239"/>
      <c r="J345" s="241"/>
    </row>
    <row r="346" spans="1:10">
      <c r="A346" s="239"/>
      <c r="G346" s="239"/>
      <c r="J346" s="241"/>
    </row>
    <row r="347" spans="1:10">
      <c r="A347" s="239"/>
      <c r="G347" s="239"/>
      <c r="J347" s="241"/>
    </row>
    <row r="348" spans="1:10">
      <c r="A348" s="239"/>
      <c r="G348" s="239"/>
      <c r="J348" s="241"/>
    </row>
    <row r="349" spans="1:10">
      <c r="A349" s="239"/>
      <c r="G349" s="239"/>
      <c r="J349" s="241"/>
    </row>
    <row r="350" spans="1:10">
      <c r="A350" s="239"/>
      <c r="G350" s="239"/>
      <c r="J350" s="241"/>
    </row>
    <row r="351" spans="1:10">
      <c r="A351" s="239"/>
      <c r="G351" s="239"/>
      <c r="J351" s="241"/>
    </row>
    <row r="352" spans="1:10">
      <c r="A352" s="239"/>
      <c r="G352" s="239"/>
      <c r="J352" s="241"/>
    </row>
    <row r="353" spans="1:10">
      <c r="A353" s="239"/>
      <c r="G353" s="239"/>
      <c r="J353" s="241"/>
    </row>
    <row r="354" spans="1:10">
      <c r="A354" s="239"/>
      <c r="G354" s="239"/>
      <c r="J354" s="241"/>
    </row>
    <row r="355" spans="1:10">
      <c r="A355" s="239"/>
      <c r="G355" s="239"/>
      <c r="J355" s="241"/>
    </row>
    <row r="356" spans="1:10">
      <c r="A356" s="239"/>
      <c r="G356" s="239"/>
      <c r="J356" s="241"/>
    </row>
    <row r="357" spans="1:10">
      <c r="A357" s="239"/>
      <c r="G357" s="239"/>
      <c r="J357" s="241"/>
    </row>
    <row r="358" spans="1:10">
      <c r="A358" s="239"/>
      <c r="G358" s="239"/>
      <c r="J358" s="241"/>
    </row>
    <row r="359" spans="1:10">
      <c r="A359" s="239"/>
      <c r="G359" s="239"/>
      <c r="J359" s="241"/>
    </row>
    <row r="360" spans="1:10">
      <c r="A360" s="239"/>
      <c r="G360" s="239"/>
      <c r="J360" s="241"/>
    </row>
    <row r="361" spans="1:10">
      <c r="A361" s="239"/>
      <c r="G361" s="239"/>
      <c r="J361" s="241"/>
    </row>
    <row r="362" spans="1:10">
      <c r="A362" s="239"/>
      <c r="G362" s="239"/>
      <c r="J362" s="241"/>
    </row>
    <row r="363" spans="1:10">
      <c r="A363" s="239"/>
      <c r="G363" s="239"/>
      <c r="J363" s="241"/>
    </row>
    <row r="364" spans="1:10">
      <c r="A364" s="239"/>
      <c r="G364" s="239"/>
      <c r="J364" s="241"/>
    </row>
    <row r="365" spans="1:10">
      <c r="A365" s="239"/>
      <c r="G365" s="239"/>
      <c r="J365" s="241"/>
    </row>
    <row r="366" spans="1:10">
      <c r="A366" s="239"/>
      <c r="G366" s="239"/>
      <c r="J366" s="241"/>
    </row>
    <row r="367" spans="1:10">
      <c r="A367" s="239"/>
      <c r="G367" s="239"/>
      <c r="J367" s="241"/>
    </row>
    <row r="368" spans="1:10">
      <c r="A368" s="239"/>
      <c r="G368" s="239"/>
      <c r="J368" s="241"/>
    </row>
    <row r="369" spans="1:10">
      <c r="A369" s="239"/>
      <c r="G369" s="239"/>
      <c r="J369" s="241"/>
    </row>
    <row r="370" spans="1:10">
      <c r="A370" s="239"/>
      <c r="G370" s="239"/>
      <c r="J370" s="241"/>
    </row>
    <row r="371" spans="1:10">
      <c r="A371" s="239"/>
      <c r="G371" s="239"/>
      <c r="J371" s="241"/>
    </row>
    <row r="372" spans="1:10">
      <c r="A372" s="239"/>
      <c r="G372" s="239"/>
      <c r="J372" s="241"/>
    </row>
    <row r="373" spans="1:10">
      <c r="A373" s="239"/>
      <c r="G373" s="239"/>
      <c r="J373" s="241"/>
    </row>
    <row r="374" spans="1:10">
      <c r="A374" s="239"/>
      <c r="G374" s="239"/>
      <c r="J374" s="241"/>
    </row>
    <row r="375" spans="1:10">
      <c r="A375" s="239"/>
      <c r="G375" s="239"/>
      <c r="J375" s="241"/>
    </row>
    <row r="376" spans="1:10">
      <c r="A376" s="239"/>
      <c r="G376" s="239"/>
      <c r="J376" s="241"/>
    </row>
    <row r="377" spans="1:10">
      <c r="A377" s="239"/>
      <c r="G377" s="239"/>
      <c r="J377" s="241"/>
    </row>
    <row r="378" spans="1:10">
      <c r="A378" s="239"/>
      <c r="G378" s="239"/>
      <c r="J378" s="241"/>
    </row>
    <row r="379" spans="1:10">
      <c r="A379" s="239"/>
      <c r="G379" s="239"/>
      <c r="J379" s="241"/>
    </row>
    <row r="380" spans="1:10">
      <c r="A380" s="239"/>
      <c r="G380" s="239"/>
      <c r="J380" s="241"/>
    </row>
    <row r="381" spans="1:10">
      <c r="A381" s="239"/>
      <c r="G381" s="239"/>
      <c r="J381" s="241"/>
    </row>
    <row r="382" spans="1:10">
      <c r="A382" s="239"/>
      <c r="G382" s="239"/>
      <c r="J382" s="241"/>
    </row>
    <row r="383" spans="1:10">
      <c r="A383" s="239"/>
      <c r="G383" s="239"/>
      <c r="J383" s="241"/>
    </row>
    <row r="384" spans="1:10">
      <c r="A384" s="239"/>
      <c r="G384" s="239"/>
      <c r="J384" s="241"/>
    </row>
    <row r="385" spans="1:10">
      <c r="A385" s="239"/>
      <c r="G385" s="239"/>
      <c r="J385" s="241"/>
    </row>
    <row r="386" spans="1:10">
      <c r="A386" s="239"/>
      <c r="G386" s="239"/>
      <c r="J386" s="241"/>
    </row>
    <row r="387" spans="1:10">
      <c r="A387" s="239"/>
      <c r="G387" s="239"/>
      <c r="J387" s="241"/>
    </row>
    <row r="388" spans="1:10">
      <c r="A388" s="239"/>
      <c r="G388" s="239"/>
      <c r="J388" s="241"/>
    </row>
    <row r="389" spans="1:10">
      <c r="A389" s="239"/>
      <c r="G389" s="239"/>
      <c r="J389" s="241"/>
    </row>
    <row r="390" spans="1:10">
      <c r="A390" s="239"/>
      <c r="G390" s="239"/>
      <c r="J390" s="241"/>
    </row>
    <row r="391" spans="1:10">
      <c r="A391" s="239"/>
      <c r="G391" s="239"/>
      <c r="J391" s="241"/>
    </row>
    <row r="392" spans="1:10">
      <c r="A392" s="239"/>
      <c r="G392" s="239"/>
      <c r="J392" s="241"/>
    </row>
    <row r="393" spans="1:10">
      <c r="A393" s="239"/>
      <c r="G393" s="239"/>
      <c r="J393" s="241"/>
    </row>
    <row r="394" spans="1:10">
      <c r="A394" s="239"/>
      <c r="G394" s="239"/>
      <c r="J394" s="241"/>
    </row>
    <row r="395" spans="1:10">
      <c r="A395" s="239"/>
      <c r="G395" s="239"/>
      <c r="J395" s="241"/>
    </row>
    <row r="396" spans="1:10">
      <c r="A396" s="239"/>
      <c r="G396" s="239"/>
      <c r="J396" s="241"/>
    </row>
    <row r="397" spans="1:10">
      <c r="A397" s="239"/>
      <c r="G397" s="239"/>
      <c r="J397" s="241"/>
    </row>
    <row r="398" spans="1:10">
      <c r="A398" s="239"/>
      <c r="G398" s="239"/>
      <c r="J398" s="241"/>
    </row>
    <row r="399" spans="1:10">
      <c r="A399" s="239"/>
      <c r="G399" s="239"/>
      <c r="J399" s="241"/>
    </row>
    <row r="400" spans="1:10">
      <c r="A400" s="239"/>
      <c r="G400" s="239"/>
      <c r="J400" s="241"/>
    </row>
    <row r="401" spans="1:10">
      <c r="A401" s="239"/>
      <c r="G401" s="239"/>
      <c r="J401" s="241"/>
    </row>
    <row r="402" spans="1:10">
      <c r="A402" s="239"/>
      <c r="G402" s="239"/>
      <c r="J402" s="241"/>
    </row>
    <row r="403" spans="1:10">
      <c r="A403" s="239"/>
      <c r="G403" s="239"/>
      <c r="J403" s="241"/>
    </row>
    <row r="404" spans="1:10">
      <c r="A404" s="239"/>
      <c r="G404" s="239"/>
      <c r="J404" s="241"/>
    </row>
  </sheetData>
  <autoFilter ref="A1:AB404"/>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EJ2"/>
  <sheetViews>
    <sheetView zoomScale="70" zoomScaleNormal="70" workbookViewId="0">
      <selection activeCell="A2" sqref="A2"/>
    </sheetView>
  </sheetViews>
  <sheetFormatPr defaultColWidth="9.140625" defaultRowHeight="15.75"/>
  <cols>
    <col min="1" max="1" width="10.7109375" style="39" bestFit="1" customWidth="1"/>
    <col min="2" max="2" width="7.7109375" style="39" customWidth="1"/>
    <col min="3" max="3" width="7.85546875" style="39" customWidth="1"/>
    <col min="4" max="4" width="14.5703125" bestFit="1" customWidth="1"/>
    <col min="5" max="5" width="23.28515625" style="177" customWidth="1"/>
    <col min="6" max="6" width="21.28515625" style="39" customWidth="1"/>
    <col min="7" max="7" width="52.5703125" style="40" customWidth="1"/>
    <col min="8" max="8" width="15.42578125" style="38" customWidth="1"/>
    <col min="9" max="9" width="11.42578125" style="38" customWidth="1"/>
    <col min="10" max="10" width="11.5703125" style="38" customWidth="1"/>
    <col min="11" max="11" width="10.85546875" style="38" customWidth="1"/>
    <col min="12" max="13" width="13.5703125" style="38" customWidth="1"/>
    <col min="14" max="14" width="22" style="38" customWidth="1"/>
    <col min="15" max="15" width="13.5703125" style="38" customWidth="1"/>
    <col min="16" max="16" width="16.42578125" style="38" customWidth="1"/>
    <col min="17" max="17" width="11" style="38" customWidth="1"/>
    <col min="18" max="21" width="13.5703125" style="38" customWidth="1"/>
    <col min="22" max="22" width="7.5703125" style="38" customWidth="1"/>
    <col min="23" max="23" width="8.140625" style="38" customWidth="1"/>
    <col min="24" max="24" width="21.85546875" style="41" customWidth="1"/>
    <col min="25" max="25" width="11.42578125" style="41" customWidth="1"/>
    <col min="26" max="26" width="18.28515625" style="41" customWidth="1"/>
    <col min="27" max="31" width="6.5703125" style="41" customWidth="1"/>
    <col min="32" max="36" width="7.5703125" style="41" customWidth="1"/>
    <col min="37" max="37" width="24" style="41" customWidth="1"/>
    <col min="38" max="38" width="13.42578125" style="41" customWidth="1"/>
    <col min="39" max="39" width="15.42578125" style="42" customWidth="1"/>
    <col min="40" max="40" width="23.140625" style="43" customWidth="1"/>
    <col min="41" max="41" width="17.140625" style="43" bestFit="1" customWidth="1"/>
    <col min="42" max="42" width="15.28515625" style="43" customWidth="1"/>
    <col min="43" max="47" width="6.42578125" style="43" customWidth="1"/>
    <col min="48" max="48" width="5.5703125" style="43" customWidth="1"/>
    <col min="49" max="50" width="6.85546875" style="43" customWidth="1"/>
    <col min="51" max="51" width="8.28515625" style="43" customWidth="1"/>
    <col min="52" max="52" width="6.85546875" style="43" customWidth="1"/>
    <col min="53" max="53" width="22.140625" style="43" customWidth="1"/>
    <col min="54" max="54" width="11.85546875" style="43" customWidth="1"/>
    <col min="55" max="55" width="16.140625" style="43" customWidth="1"/>
    <col min="56" max="56" width="22.42578125" style="44" customWidth="1"/>
    <col min="57" max="57" width="17.140625" style="44" bestFit="1" customWidth="1"/>
    <col min="58" max="58" width="19.5703125" style="45" customWidth="1"/>
    <col min="59" max="63" width="6.7109375" style="44" customWidth="1"/>
    <col min="64" max="64" width="5.5703125" style="44" customWidth="1"/>
    <col min="65" max="68" width="7.140625" style="44" customWidth="1"/>
    <col min="69" max="69" width="15.85546875" style="44" customWidth="1"/>
    <col min="70" max="70" width="17" style="45" customWidth="1"/>
    <col min="71" max="71" width="15.7109375" style="45" customWidth="1"/>
    <col min="72" max="73" width="19.85546875" style="46" customWidth="1"/>
    <col min="74" max="74" width="15.7109375" style="46" customWidth="1"/>
    <col min="75" max="78" width="6.7109375" style="46" customWidth="1"/>
    <col min="79" max="79" width="6.85546875" style="46" customWidth="1"/>
    <col min="80" max="82" width="6.7109375" style="47" customWidth="1"/>
    <col min="83" max="83" width="16" style="46" customWidth="1"/>
    <col min="84" max="84" width="14" style="46" customWidth="1"/>
    <col min="85" max="85" width="16.5703125" style="46" customWidth="1"/>
    <col min="86" max="87" width="20.28515625" style="48" customWidth="1"/>
    <col min="88" max="88" width="13.5703125" style="49" customWidth="1"/>
    <col min="89" max="92" width="6.85546875" style="48" customWidth="1"/>
    <col min="93" max="93" width="7" style="48" customWidth="1"/>
    <col min="94" max="96" width="7.85546875" style="48" customWidth="1"/>
    <col min="97" max="97" width="15.5703125" style="48" customWidth="1"/>
    <col min="98" max="98" width="13.140625" style="49" customWidth="1"/>
    <col min="99" max="99" width="15.7109375" style="48" customWidth="1"/>
    <col min="100" max="101" width="21.140625" style="50" customWidth="1"/>
    <col min="102" max="102" width="13.85546875" style="50" customWidth="1"/>
    <col min="103" max="106" width="6.42578125" style="50" customWidth="1"/>
    <col min="107" max="107" width="6.140625" style="50" customWidth="1"/>
    <col min="108" max="110" width="7.28515625" style="50" customWidth="1"/>
    <col min="111" max="113" width="17.42578125" style="50" customWidth="1"/>
    <col min="114" max="114" width="11.42578125" style="39" customWidth="1"/>
    <col min="115" max="121" width="8.5703125" style="39" customWidth="1"/>
    <col min="122" max="122" width="17.28515625" style="51" customWidth="1"/>
    <col min="123" max="125" width="9.85546875" style="39" customWidth="1"/>
    <col min="126" max="126" width="9.85546875" style="38" customWidth="1"/>
    <col min="127" max="127" width="9.140625" style="52"/>
    <col min="128" max="130" width="9.140625" style="25"/>
    <col min="131" max="131" width="9.140625" style="179" customWidth="1"/>
    <col min="132" max="133" width="9.140625" style="148" customWidth="1"/>
    <col min="134" max="135" width="9.140625" style="25" customWidth="1"/>
    <col min="136" max="136" width="9.140625" style="25"/>
    <col min="137" max="137" width="9.140625" style="148"/>
    <col min="138" max="138" width="9.140625" style="148" hidden="1" customWidth="1"/>
    <col min="139" max="139" width="9.85546875" style="148" bestFit="1" customWidth="1"/>
    <col min="140" max="16384" width="9.140625" style="25"/>
  </cols>
  <sheetData>
    <row r="1" spans="1:140" ht="79.5" customHeight="1">
      <c r="A1" s="6" t="s">
        <v>248</v>
      </c>
      <c r="B1" s="6" t="s">
        <v>22</v>
      </c>
      <c r="C1" s="6" t="s">
        <v>67</v>
      </c>
      <c r="D1" s="6" t="s">
        <v>23</v>
      </c>
      <c r="E1" s="1" t="s">
        <v>1517</v>
      </c>
      <c r="F1" s="1" t="s">
        <v>1515</v>
      </c>
      <c r="G1" s="1" t="s">
        <v>1516</v>
      </c>
      <c r="H1" s="1" t="s">
        <v>1518</v>
      </c>
      <c r="I1" s="1" t="s">
        <v>1519</v>
      </c>
      <c r="J1" s="2" t="s">
        <v>1520</v>
      </c>
      <c r="K1" s="2" t="s">
        <v>1522</v>
      </c>
      <c r="L1" s="2" t="s">
        <v>1523</v>
      </c>
      <c r="M1" s="2" t="s">
        <v>1547</v>
      </c>
      <c r="N1" s="6" t="s">
        <v>28</v>
      </c>
      <c r="O1" s="6" t="s">
        <v>29</v>
      </c>
      <c r="P1" s="8" t="s">
        <v>30</v>
      </c>
      <c r="Q1" s="6" t="s">
        <v>31</v>
      </c>
      <c r="R1" s="7" t="s">
        <v>32</v>
      </c>
      <c r="S1" s="7" t="s">
        <v>33</v>
      </c>
      <c r="T1" s="9" t="s">
        <v>34</v>
      </c>
      <c r="U1" s="9" t="s">
        <v>35</v>
      </c>
      <c r="V1" s="2" t="s">
        <v>1521</v>
      </c>
      <c r="W1" s="2" t="s">
        <v>1549</v>
      </c>
      <c r="X1" s="10" t="s">
        <v>37</v>
      </c>
      <c r="Y1" s="10" t="s">
        <v>17</v>
      </c>
      <c r="Z1" s="10" t="s">
        <v>38</v>
      </c>
      <c r="AA1" s="10" t="s">
        <v>39</v>
      </c>
      <c r="AB1" s="11" t="s">
        <v>40</v>
      </c>
      <c r="AC1" s="11" t="s">
        <v>41</v>
      </c>
      <c r="AD1" s="11" t="s">
        <v>42</v>
      </c>
      <c r="AE1" s="11" t="s">
        <v>161</v>
      </c>
      <c r="AF1" s="11" t="s">
        <v>43</v>
      </c>
      <c r="AG1" s="10" t="s">
        <v>44</v>
      </c>
      <c r="AH1" s="10" t="s">
        <v>45</v>
      </c>
      <c r="AI1" s="10" t="s">
        <v>46</v>
      </c>
      <c r="AJ1" s="10" t="s">
        <v>162</v>
      </c>
      <c r="AK1" s="10" t="s">
        <v>47</v>
      </c>
      <c r="AL1" s="10" t="s">
        <v>7</v>
      </c>
      <c r="AM1" s="10" t="s">
        <v>48</v>
      </c>
      <c r="AN1" s="12" t="s">
        <v>49</v>
      </c>
      <c r="AO1" s="12" t="s">
        <v>211</v>
      </c>
      <c r="AP1" s="12" t="s">
        <v>38</v>
      </c>
      <c r="AQ1" s="12" t="s">
        <v>39</v>
      </c>
      <c r="AR1" s="13" t="s">
        <v>40</v>
      </c>
      <c r="AS1" s="13" t="s">
        <v>41</v>
      </c>
      <c r="AT1" s="13" t="s">
        <v>42</v>
      </c>
      <c r="AU1" s="13" t="s">
        <v>161</v>
      </c>
      <c r="AV1" s="13" t="s">
        <v>43</v>
      </c>
      <c r="AW1" s="12" t="s">
        <v>44</v>
      </c>
      <c r="AX1" s="12" t="s">
        <v>45</v>
      </c>
      <c r="AY1" s="12" t="s">
        <v>46</v>
      </c>
      <c r="AZ1" s="12" t="s">
        <v>162</v>
      </c>
      <c r="BA1" s="12" t="s">
        <v>47</v>
      </c>
      <c r="BB1" s="12" t="s">
        <v>7</v>
      </c>
      <c r="BC1" s="12" t="s">
        <v>48</v>
      </c>
      <c r="BD1" s="14" t="s">
        <v>50</v>
      </c>
      <c r="BE1" s="14" t="s">
        <v>207</v>
      </c>
      <c r="BF1" s="14" t="s">
        <v>38</v>
      </c>
      <c r="BG1" s="14" t="s">
        <v>39</v>
      </c>
      <c r="BH1" s="15" t="s">
        <v>40</v>
      </c>
      <c r="BI1" s="15" t="s">
        <v>41</v>
      </c>
      <c r="BJ1" s="15" t="s">
        <v>42</v>
      </c>
      <c r="BK1" s="15" t="s">
        <v>161</v>
      </c>
      <c r="BL1" s="15" t="s">
        <v>43</v>
      </c>
      <c r="BM1" s="14" t="s">
        <v>44</v>
      </c>
      <c r="BN1" s="14" t="s">
        <v>45</v>
      </c>
      <c r="BO1" s="14" t="s">
        <v>46</v>
      </c>
      <c r="BP1" s="14" t="s">
        <v>162</v>
      </c>
      <c r="BQ1" s="14" t="s">
        <v>47</v>
      </c>
      <c r="BR1" s="14" t="s">
        <v>7</v>
      </c>
      <c r="BS1" s="14" t="s">
        <v>48</v>
      </c>
      <c r="BT1" s="16" t="s">
        <v>51</v>
      </c>
      <c r="BU1" s="16" t="s">
        <v>208</v>
      </c>
      <c r="BV1" s="16" t="s">
        <v>38</v>
      </c>
      <c r="BW1" s="16" t="s">
        <v>39</v>
      </c>
      <c r="BX1" s="16" t="s">
        <v>40</v>
      </c>
      <c r="BY1" s="16" t="s">
        <v>41</v>
      </c>
      <c r="BZ1" s="16" t="s">
        <v>42</v>
      </c>
      <c r="CA1" s="16" t="s">
        <v>43</v>
      </c>
      <c r="CB1" s="16" t="s">
        <v>44</v>
      </c>
      <c r="CC1" s="16" t="s">
        <v>45</v>
      </c>
      <c r="CD1" s="16" t="s">
        <v>46</v>
      </c>
      <c r="CE1" s="16" t="s">
        <v>47</v>
      </c>
      <c r="CF1" s="16" t="s">
        <v>7</v>
      </c>
      <c r="CG1" s="16" t="s">
        <v>48</v>
      </c>
      <c r="CH1" s="17" t="s">
        <v>52</v>
      </c>
      <c r="CI1" s="17" t="s">
        <v>209</v>
      </c>
      <c r="CJ1" s="17" t="s">
        <v>38</v>
      </c>
      <c r="CK1" s="17" t="s">
        <v>39</v>
      </c>
      <c r="CL1" s="18" t="s">
        <v>40</v>
      </c>
      <c r="CM1" s="18" t="s">
        <v>41</v>
      </c>
      <c r="CN1" s="18" t="s">
        <v>42</v>
      </c>
      <c r="CO1" s="18" t="s">
        <v>43</v>
      </c>
      <c r="CP1" s="17" t="s">
        <v>44</v>
      </c>
      <c r="CQ1" s="17" t="s">
        <v>45</v>
      </c>
      <c r="CR1" s="17" t="s">
        <v>46</v>
      </c>
      <c r="CS1" s="17" t="s">
        <v>47</v>
      </c>
      <c r="CT1" s="17" t="s">
        <v>7</v>
      </c>
      <c r="CU1" s="17" t="s">
        <v>48</v>
      </c>
      <c r="CV1" s="19" t="s">
        <v>53</v>
      </c>
      <c r="CW1" s="19" t="s">
        <v>210</v>
      </c>
      <c r="CX1" s="19" t="s">
        <v>38</v>
      </c>
      <c r="CY1" s="19" t="s">
        <v>39</v>
      </c>
      <c r="CZ1" s="20" t="s">
        <v>40</v>
      </c>
      <c r="DA1" s="20" t="s">
        <v>41</v>
      </c>
      <c r="DB1" s="20" t="s">
        <v>42</v>
      </c>
      <c r="DC1" s="20" t="s">
        <v>43</v>
      </c>
      <c r="DD1" s="19" t="s">
        <v>44</v>
      </c>
      <c r="DE1" s="19" t="s">
        <v>45</v>
      </c>
      <c r="DF1" s="19" t="s">
        <v>46</v>
      </c>
      <c r="DG1" s="19" t="s">
        <v>47</v>
      </c>
      <c r="DH1" s="19" t="s">
        <v>7</v>
      </c>
      <c r="DI1" s="19" t="s">
        <v>48</v>
      </c>
      <c r="DJ1" s="21" t="s">
        <v>54</v>
      </c>
      <c r="DK1" s="22" t="s">
        <v>55</v>
      </c>
      <c r="DL1" s="21" t="s">
        <v>56</v>
      </c>
      <c r="DM1" s="21" t="s">
        <v>57</v>
      </c>
      <c r="DN1" s="21" t="s">
        <v>58</v>
      </c>
      <c r="DO1" s="21" t="s">
        <v>59</v>
      </c>
      <c r="DP1" s="21" t="s">
        <v>60</v>
      </c>
      <c r="DQ1" s="21" t="s">
        <v>61</v>
      </c>
      <c r="DR1" s="23" t="s">
        <v>62</v>
      </c>
      <c r="DS1" s="24" t="s">
        <v>63</v>
      </c>
      <c r="DT1" s="24" t="s">
        <v>179</v>
      </c>
      <c r="DU1" s="24" t="s">
        <v>64</v>
      </c>
      <c r="DV1" s="24" t="s">
        <v>65</v>
      </c>
      <c r="DW1" s="21" t="s">
        <v>66</v>
      </c>
      <c r="DX1" s="145" t="s">
        <v>20</v>
      </c>
      <c r="DY1" s="145" t="s">
        <v>21</v>
      </c>
      <c r="DZ1" s="145" t="s">
        <v>71</v>
      </c>
      <c r="EA1" s="171" t="s">
        <v>235</v>
      </c>
      <c r="EB1" s="171" t="s">
        <v>233</v>
      </c>
      <c r="EC1" s="203" t="s">
        <v>241</v>
      </c>
      <c r="ED1" s="204" t="s">
        <v>272</v>
      </c>
      <c r="EE1" s="205" t="s">
        <v>273</v>
      </c>
      <c r="EF1" s="144" t="s">
        <v>175</v>
      </c>
      <c r="EG1" s="144" t="s">
        <v>176</v>
      </c>
      <c r="EH1" s="144" t="s">
        <v>177</v>
      </c>
      <c r="EI1" s="144" t="s">
        <v>190</v>
      </c>
      <c r="EJ1" s="23"/>
    </row>
    <row r="2" spans="1:140" ht="56.25">
      <c r="A2" s="53" t="e">
        <f>#REF!</f>
        <v>#REF!</v>
      </c>
      <c r="B2" s="26">
        <v>5</v>
      </c>
      <c r="C2" s="37">
        <v>0</v>
      </c>
      <c r="D2" s="37">
        <v>1700738</v>
      </c>
      <c r="E2" s="176" t="s">
        <v>262</v>
      </c>
      <c r="F2" s="54" t="s">
        <v>238</v>
      </c>
      <c r="G2" s="28" t="s">
        <v>243</v>
      </c>
      <c r="H2" s="27" t="s">
        <v>244</v>
      </c>
      <c r="I2" s="27" t="s">
        <v>245</v>
      </c>
      <c r="J2" s="27" t="s">
        <v>246</v>
      </c>
      <c r="K2" s="113" t="s">
        <v>247</v>
      </c>
      <c r="L2" s="115">
        <v>43066</v>
      </c>
      <c r="M2" s="115">
        <v>43039</v>
      </c>
      <c r="N2" s="29" t="str">
        <f t="shared" ref="N2" si="0">IF(LEN(O2)=4,"B0"&amp;O2&amp;P2&amp;Q2,IF(LEN(O2)=3,"B00"&amp;O2&amp;P2&amp;Q2,IF(LEN(O2)=2,"B000"&amp;O2&amp;P2&amp;Q2,IF(LEN(O2)=1,"B0000"&amp;O2&amp;P2&amp;Q2,"B"&amp;O2&amp;P2&amp;Q2))))</f>
        <v>B00410011217TG05</v>
      </c>
      <c r="O2" s="68">
        <v>410</v>
      </c>
      <c r="P2" s="30" t="str">
        <f t="shared" ref="P2" si="1">TEXT($T$2,"ddmmyy")</f>
        <v>011217</v>
      </c>
      <c r="Q2" s="29" t="s">
        <v>204</v>
      </c>
      <c r="R2" s="30" t="str">
        <f t="shared" ref="R2" si="2">TEXT(T2,"dd/mm/yyyy")</f>
        <v>01/12/2017</v>
      </c>
      <c r="S2" s="30" t="str">
        <f t="shared" ref="S2" si="3">TEXT(U2,"dd/mm/yyyy")</f>
        <v>01/12/2022</v>
      </c>
      <c r="T2" s="124" t="s">
        <v>258</v>
      </c>
      <c r="U2" s="124" t="s">
        <v>259</v>
      </c>
      <c r="V2" s="27">
        <v>1</v>
      </c>
      <c r="W2" s="27" t="s">
        <v>248</v>
      </c>
      <c r="X2" s="31" t="s">
        <v>238</v>
      </c>
      <c r="Y2" s="31" t="s">
        <v>253</v>
      </c>
      <c r="Z2" s="31" t="s">
        <v>254</v>
      </c>
      <c r="AA2" s="31">
        <v>3</v>
      </c>
      <c r="AB2" s="116" t="s">
        <v>239</v>
      </c>
      <c r="AC2" s="116" t="s">
        <v>239</v>
      </c>
      <c r="AD2" s="116" t="s">
        <v>239</v>
      </c>
      <c r="AE2" s="116"/>
      <c r="AF2" s="117" t="str">
        <f t="shared" ref="AF2" si="4">IF(AA2=1,AB2,IF(AA2=2,AB2&amp;"/"&amp;AC2,IF(AA2=3,AB2&amp;"/"&amp;AC2&amp;"/"&amp;AD2,IF(AA2=4,AB2&amp;"/"&amp;AC2&amp;"/"&amp;AD2&amp;"/"&amp;AE2,""))))</f>
        <v>4/4/4</v>
      </c>
      <c r="AG2" s="116" t="s">
        <v>256</v>
      </c>
      <c r="AH2" s="116" t="s">
        <v>256</v>
      </c>
      <c r="AI2" s="116" t="s">
        <v>256</v>
      </c>
      <c r="AJ2" s="116"/>
      <c r="AK2" s="27" t="str">
        <f>IF(AA2=1,AG2&amp;"W",IF(AA2=2,AG2&amp;"W/"&amp;AH2&amp;"W",IF(AA2=3,AG2&amp;"W/"&amp;AH2&amp;"W/"&amp;AI2&amp;"W",IF(AA2=4,AG2&amp;"W/"&amp;AH2&amp;"W/"&amp;AI2&amp;"W/"&amp;AJ2&amp;"W",""))))</f>
        <v>60W/60W/60W</v>
      </c>
      <c r="AL2" s="31" t="s">
        <v>240</v>
      </c>
      <c r="AM2" s="31" t="s">
        <v>255</v>
      </c>
      <c r="AN2" s="32"/>
      <c r="AO2" s="32"/>
      <c r="AP2" s="32"/>
      <c r="AQ2" s="32"/>
      <c r="AR2" s="118"/>
      <c r="AS2" s="118"/>
      <c r="AT2" s="118"/>
      <c r="AU2" s="118"/>
      <c r="AV2" s="117" t="str">
        <f t="shared" ref="AV2" si="5">IF(AQ2=1,AR2,IF(AQ2=2,AR2&amp;"/"&amp;AS2,IF(AQ2=3,AR2&amp;"/"&amp;AS2&amp;"/"&amp;AT2,IF(AQ2=4,AR2&amp;"/"&amp;AS2&amp;"/"&amp;AT2&amp;"/"&amp;AU2,""))))</f>
        <v/>
      </c>
      <c r="AW2" s="118"/>
      <c r="AX2" s="118"/>
      <c r="AY2" s="118"/>
      <c r="AZ2" s="118"/>
      <c r="BA2" s="27" t="str">
        <f>IF(AQ2=1,AW2&amp;"W",IF(AQ2=2,AW2&amp;"W/"&amp;AX2&amp;"W",IF(AQ2=3,AW2&amp;"W/"&amp;AX2&amp;"W/"&amp;AY2&amp;"W",IF(AQ2=4,AW2&amp;"W/"&amp;AX2&amp;"W/"&amp;AY2&amp;"W/"&amp;AZ2&amp;"W",""))))</f>
        <v/>
      </c>
      <c r="BB2" s="32"/>
      <c r="BC2" s="32"/>
      <c r="BD2" s="114"/>
      <c r="BE2" s="114"/>
      <c r="BF2" s="114"/>
      <c r="BG2" s="114"/>
      <c r="BH2" s="114"/>
      <c r="BI2" s="114"/>
      <c r="BJ2" s="114"/>
      <c r="BK2" s="114"/>
      <c r="BL2" s="117" t="str">
        <f t="shared" ref="BL2" si="6">IF(BG2=1,BH2,IF(BG2=2,BH2&amp;"/"&amp;BI2,IF(BG2=3,BH2&amp;"/"&amp;BI2&amp;"/"&amp;BJ2,IF(BG2=4,BH2&amp;"/"&amp;BI2&amp;"/"&amp;BJ2&amp;"/"&amp;BK2,""))))</f>
        <v/>
      </c>
      <c r="BM2" s="114"/>
      <c r="BN2" s="114"/>
      <c r="BO2" s="114"/>
      <c r="BP2" s="114"/>
      <c r="BQ2" s="27" t="str">
        <f>IF(BG2=1,BM2&amp;"W",IF(BG2=2,BM2&amp;"W/"&amp;BN2&amp;"W",IF(BG2=3,BM2&amp;"W/"&amp;BN2&amp;"W/"&amp;BO2&amp;"W",IF(BG2=4,BM2&amp;"W/"&amp;BN2&amp;"W/"&amp;BO2&amp;"W/"&amp;BP2&amp;"W",""))))</f>
        <v/>
      </c>
      <c r="BR2" s="114"/>
      <c r="BS2" s="114"/>
      <c r="BT2" s="33" t="s">
        <v>130</v>
      </c>
      <c r="BU2" s="33" t="s">
        <v>130</v>
      </c>
      <c r="BV2" s="33" t="s">
        <v>130</v>
      </c>
      <c r="BW2" s="33" t="s">
        <v>130</v>
      </c>
      <c r="BX2" s="34" t="s">
        <v>130</v>
      </c>
      <c r="BY2" s="34" t="s">
        <v>130</v>
      </c>
      <c r="BZ2" s="34" t="s">
        <v>130</v>
      </c>
      <c r="CA2" s="117" t="str">
        <f t="shared" ref="CA2" si="7">IF(BW2=1,BX2,IF(BW2=2,BX2&amp;"/"&amp;BY2,IF(BW2=3,BX2&amp;"/"&amp;BY2&amp;"/"&amp;BZ2,"")))</f>
        <v/>
      </c>
      <c r="CB2" s="34" t="s">
        <v>130</v>
      </c>
      <c r="CC2" s="34" t="s">
        <v>130</v>
      </c>
      <c r="CD2" s="34" t="s">
        <v>130</v>
      </c>
      <c r="CE2" s="27" t="str">
        <f>IF(BW2=1,CB2&amp;"W",IF(BW2=2,CB2&amp;"W/"&amp;CC2&amp;"W",IF(BW2=3,CB2&amp;"W/"&amp;CC2&amp;"W/"&amp;CD2&amp;"W","")))</f>
        <v/>
      </c>
      <c r="CF2" s="33" t="s">
        <v>130</v>
      </c>
      <c r="CG2" s="33" t="s">
        <v>130</v>
      </c>
      <c r="CH2" s="35" t="s">
        <v>130</v>
      </c>
      <c r="CI2" s="35" t="s">
        <v>130</v>
      </c>
      <c r="CJ2" s="35" t="s">
        <v>130</v>
      </c>
      <c r="CK2" s="35" t="s">
        <v>130</v>
      </c>
      <c r="CL2" s="119" t="s">
        <v>130</v>
      </c>
      <c r="CM2" s="119" t="s">
        <v>130</v>
      </c>
      <c r="CN2" s="119" t="s">
        <v>130</v>
      </c>
      <c r="CO2" s="117" t="str">
        <f t="shared" ref="CO2" si="8">IF(CK2=1,CL2,IF(CK2=2,CL2&amp;"/"&amp;CM2,IF(CK2=3,CL2&amp;"/"&amp;CM2&amp;"/"&amp;CN2,"")))</f>
        <v/>
      </c>
      <c r="CP2" s="119" t="s">
        <v>130</v>
      </c>
      <c r="CQ2" s="119" t="s">
        <v>130</v>
      </c>
      <c r="CR2" s="119" t="s">
        <v>130</v>
      </c>
      <c r="CS2" s="27" t="str">
        <f>IF(CK2=1,CP2&amp;"W",IF(CK2=2,CP2&amp;"W/"&amp;CQ2&amp;"W",IF(CK2=3,CP2&amp;"W/"&amp;CQ2&amp;"W/"&amp;CR2&amp;"W","")))</f>
        <v/>
      </c>
      <c r="CT2" s="35" t="s">
        <v>130</v>
      </c>
      <c r="CU2" s="35" t="s">
        <v>130</v>
      </c>
      <c r="CV2" s="36" t="s">
        <v>130</v>
      </c>
      <c r="CW2" s="36" t="s">
        <v>130</v>
      </c>
      <c r="CX2" s="36" t="s">
        <v>130</v>
      </c>
      <c r="CY2" s="36" t="s">
        <v>130</v>
      </c>
      <c r="CZ2" s="120" t="s">
        <v>130</v>
      </c>
      <c r="DA2" s="120" t="s">
        <v>130</v>
      </c>
      <c r="DB2" s="120" t="s">
        <v>130</v>
      </c>
      <c r="DC2" s="117" t="str">
        <f t="shared" ref="DC2" si="9">IF(CY2=1,CZ2,IF(CY2=2,CZ2&amp;"/"&amp;DA2,IF(CY2=3,CZ2&amp;"/"&amp;DA2&amp;"/"&amp;DB2,"")))</f>
        <v/>
      </c>
      <c r="DD2" s="120" t="s">
        <v>130</v>
      </c>
      <c r="DE2" s="120" t="s">
        <v>130</v>
      </c>
      <c r="DF2" s="120" t="s">
        <v>130</v>
      </c>
      <c r="DG2" s="27" t="str">
        <f>IF(CY2=1,DD2&amp;"W",IF(CY2=2,DD2&amp;"W/"&amp;DE2&amp;"W",IF(CY2=3,DD2&amp;"W/"&amp;DE2&amp;"W/"&amp;DF2&amp;"W","")))</f>
        <v/>
      </c>
      <c r="DH2" s="36" t="s">
        <v>130</v>
      </c>
      <c r="DI2" s="36" t="s">
        <v>130</v>
      </c>
      <c r="DJ2" s="113">
        <f t="shared" ref="DJ2" si="10">IF(LEN(CV2)&lt;&gt;0,6,IF(LEN(CH2)&lt;&gt;0,5,IF(LEN(BT2)&lt;&gt;0,4,IF(LEN(BD2)&lt;&gt;0,3,IF(LEN(AN2)&lt;&gt;0,2,IF(LEN(X2)&lt;&gt;0,1,FALSE))))))</f>
        <v>1</v>
      </c>
      <c r="DK2" s="113" t="str">
        <f t="shared" ref="DK2" si="11">DJ2&amp;"-"&amp;DQ2</f>
        <v>1-1</v>
      </c>
      <c r="DL2" s="113" t="str">
        <f t="shared" ref="DL2" si="12">IF(AN2=0,"",IF(AND(AN2&lt;&gt;0,AN2=X2),"CHUNG","KHÁC"))</f>
        <v/>
      </c>
      <c r="DM2" s="113" t="str">
        <f t="shared" ref="DM2" si="13">IF(BD2=0,"",IF(AND(BD2&lt;&gt;0,BD2=X2),"CHUNG","KHÁC"))</f>
        <v/>
      </c>
      <c r="DN2" s="113" t="str">
        <f t="shared" ref="DN2" si="14">IF(BT2=0,"",IF(AND(BT2&lt;&gt;0,BT2=X2),"CHUNG","KHÁC"))</f>
        <v>KHÁC</v>
      </c>
      <c r="DO2" s="113" t="str">
        <f t="shared" ref="DO2" si="15">IF(CH2=0,"",IF(AND(CH2&lt;&gt;0,CH2=X2),"CHUNG","KHÁC"))</f>
        <v>KHÁC</v>
      </c>
      <c r="DP2" s="113" t="str">
        <f t="shared" ref="DP2" si="16">IF(CV2=0,"",IF(AND(CV2&lt;&gt;0,CV2=X2),"CHUNG","KHÁC"))</f>
        <v>KHÁC</v>
      </c>
      <c r="DQ2" s="113">
        <f t="shared" ref="DQ2" si="17">IF(COUNTIF(DL2:DP2,"CHUNG")=0,1,COUNTIF(DL2:DP2,"CHUNG")+1)</f>
        <v>1</v>
      </c>
      <c r="DR2" s="121" t="s">
        <v>257</v>
      </c>
      <c r="DS2" s="122" t="b">
        <f t="shared" ref="DS2" si="18">RIGHT(G2,LEN(H2)+1)=(H2&amp;".")</f>
        <v>1</v>
      </c>
      <c r="DT2" s="122" t="b">
        <f t="shared" ref="DT2" si="19" xml:space="preserve"> IF((L2-M2)&gt;120,FALSE,TRUE)</f>
        <v>1</v>
      </c>
      <c r="DU2" s="122" t="b">
        <f>IF((S2-R2)&lt;&gt;1826,FALSE,TRUE)</f>
        <v>1</v>
      </c>
      <c r="DV2" s="113" t="b">
        <f>IF(IF(LEN(CV2)&lt;&gt;0,6,IF(LEN(CH2)&lt;&gt;0,5,IF(LEN(BT2)&lt;&gt;0,4,IF(LEN(BD2)&lt;&gt;0,3,IF(LEN(AN2)&lt;&gt;0,2,IF(LEN(X2)&lt;&gt;0,1,FALSE))))))&lt;&gt;V2,FALSE,TRUE)</f>
        <v>1</v>
      </c>
      <c r="DW2" s="113" t="b">
        <f t="shared" ref="DW2" si="20">NOT(OR(AND(X2&lt;&gt;AN2,OR(X2=BD2,X2=BT2,X2=CH2,X2=CV2)),AND(AN2&lt;&gt;BD2,OR(AN2=BT2,AN2=CH2,AN2=CV2)),AND(BD2&lt;&gt;BT2,OR(BD2=CH2,BD2=CV2)),AND(BT2&lt;&gt;CH2,BT2=CV2)))</f>
        <v>1</v>
      </c>
      <c r="DX2" s="113"/>
      <c r="DY2" s="113"/>
      <c r="DZ2" s="113" t="s">
        <v>130</v>
      </c>
      <c r="EA2" s="178"/>
      <c r="EB2" s="178"/>
      <c r="EC2" s="37"/>
      <c r="ED2" s="146"/>
      <c r="EE2" s="146"/>
      <c r="EF2" s="37" t="str">
        <f t="shared" ref="EF2" si="21">IF(EH2=0,"No","Yes")</f>
        <v>No</v>
      </c>
      <c r="EG2" s="37">
        <f t="shared" ref="EG2" si="22">DQ2</f>
        <v>1</v>
      </c>
      <c r="EH2" s="37">
        <f t="shared" ref="EH2" si="23">V2-DQ2</f>
        <v>0</v>
      </c>
      <c r="EI2" s="37" t="str">
        <f t="shared" ref="EI2" si="24">IF(EH2=0,"No","Yes")</f>
        <v>No</v>
      </c>
      <c r="EJ2" s="146"/>
    </row>
  </sheetData>
  <autoFilter ref="A1:EJ2"/>
  <conditionalFormatting sqref="DS1:DW63536">
    <cfRule type="cellIs" dxfId="10" priority="53" stopIfTrue="1" operator="notEqual">
      <formula>TRUE</formula>
    </cfRule>
  </conditionalFormatting>
  <conditionalFormatting sqref="BW1 CK1 CY1">
    <cfRule type="cellIs" dxfId="9" priority="52" stopIfTrue="1" operator="notEqual">
      <formula>3</formula>
    </cfRule>
  </conditionalFormatting>
  <conditionalFormatting sqref="BG1:BG63536 AQ1:AQ63536 AA1:AA63536 BW1:BW63536 CK1:CK63536 CY1:CY63536">
    <cfRule type="cellIs" dxfId="8" priority="51" stopIfTrue="1" operator="notEqual">
      <formula>3</formula>
    </cfRule>
  </conditionalFormatting>
  <conditionalFormatting sqref="BW2">
    <cfRule type="cellIs" dxfId="7" priority="49" operator="notEqual">
      <formula>3</formula>
    </cfRule>
    <cfRule type="cellIs" priority="50" operator="equal">
      <formula>3</formula>
    </cfRule>
  </conditionalFormatting>
  <conditionalFormatting sqref="DX1:DY1048576">
    <cfRule type="containsText" dxfId="6" priority="28" operator="containsText" text="no">
      <formula>NOT(ISERROR(SEARCH("no",DX1)))</formula>
    </cfRule>
  </conditionalFormatting>
  <printOptions horizontalCentered="1"/>
  <pageMargins left="0.25" right="0.7" top="0.25" bottom="0.25" header="0.3" footer="0.3"/>
  <pageSetup paperSize="9" scale="75" orientation="landscape"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EJ2"/>
  <sheetViews>
    <sheetView topLeftCell="J1" zoomScale="70" zoomScaleNormal="70" workbookViewId="0">
      <selection activeCell="AD2" sqref="AD2"/>
    </sheetView>
  </sheetViews>
  <sheetFormatPr defaultColWidth="9.140625" defaultRowHeight="15.75"/>
  <cols>
    <col min="1" max="1" width="5.7109375" style="39" customWidth="1"/>
    <col min="2" max="3" width="7.85546875" style="39" customWidth="1"/>
    <col min="4" max="4" width="14.5703125" bestFit="1" customWidth="1"/>
    <col min="5" max="5" width="23.28515625" style="177" customWidth="1"/>
    <col min="6" max="6" width="21.28515625" style="39" customWidth="1"/>
    <col min="7" max="7" width="52.5703125" style="40" customWidth="1"/>
    <col min="8" max="8" width="15.42578125" style="208" customWidth="1"/>
    <col min="9" max="9" width="11.42578125" style="208" customWidth="1"/>
    <col min="10" max="10" width="11.5703125" style="208" customWidth="1"/>
    <col min="11" max="11" width="10.85546875" style="208" customWidth="1"/>
    <col min="12" max="13" width="13.5703125" style="208" customWidth="1"/>
    <col min="14" max="14" width="22" style="208" customWidth="1"/>
    <col min="15" max="15" width="13.5703125" style="208" customWidth="1"/>
    <col min="16" max="16" width="16.42578125" style="208" customWidth="1"/>
    <col min="17" max="17" width="11" style="208" customWidth="1"/>
    <col min="18" max="21" width="13.5703125" style="208" customWidth="1"/>
    <col min="22" max="22" width="7.5703125" style="208" customWidth="1"/>
    <col min="23" max="23" width="8.140625" style="208" customWidth="1"/>
    <col min="24" max="24" width="21.85546875" style="41" customWidth="1"/>
    <col min="25" max="25" width="11.42578125" style="41" customWidth="1"/>
    <col min="26" max="26" width="18.28515625" style="41" customWidth="1"/>
    <col min="27" max="31" width="6.5703125" style="41" customWidth="1"/>
    <col min="32" max="36" width="7.5703125" style="41" customWidth="1"/>
    <col min="37" max="37" width="24" style="41" customWidth="1"/>
    <col min="38" max="38" width="13.42578125" style="41" customWidth="1"/>
    <col min="39" max="39" width="15.42578125" style="42" customWidth="1"/>
    <col min="40" max="40" width="23.140625" style="43" customWidth="1"/>
    <col min="41" max="41" width="17.140625" style="43" bestFit="1" customWidth="1"/>
    <col min="42" max="42" width="15.28515625" style="43" customWidth="1"/>
    <col min="43" max="47" width="6.42578125" style="43" customWidth="1"/>
    <col min="48" max="48" width="5.5703125" style="43" customWidth="1"/>
    <col min="49" max="50" width="6.85546875" style="43" customWidth="1"/>
    <col min="51" max="51" width="8.28515625" style="43" customWidth="1"/>
    <col min="52" max="52" width="6.85546875" style="43" customWidth="1"/>
    <col min="53" max="53" width="22.140625" style="43" customWidth="1"/>
    <col min="54" max="54" width="11.85546875" style="43" customWidth="1"/>
    <col min="55" max="55" width="16.140625" style="43" customWidth="1"/>
    <col min="56" max="56" width="22.42578125" style="44" customWidth="1"/>
    <col min="57" max="57" width="17.140625" style="44" bestFit="1" customWidth="1"/>
    <col min="58" max="58" width="19.5703125" style="45" customWidth="1"/>
    <col min="59" max="63" width="6.7109375" style="44" customWidth="1"/>
    <col min="64" max="64" width="5.5703125" style="44" customWidth="1"/>
    <col min="65" max="68" width="7.140625" style="44" customWidth="1"/>
    <col min="69" max="69" width="15.85546875" style="44" customWidth="1"/>
    <col min="70" max="70" width="17" style="45" customWidth="1"/>
    <col min="71" max="71" width="15.7109375" style="45" customWidth="1"/>
    <col min="72" max="73" width="19.85546875" style="46" customWidth="1"/>
    <col min="74" max="74" width="15.7109375" style="46" customWidth="1"/>
    <col min="75" max="78" width="6.7109375" style="46" customWidth="1"/>
    <col min="79" max="79" width="6.85546875" style="46" customWidth="1"/>
    <col min="80" max="82" width="6.7109375" style="47" customWidth="1"/>
    <col min="83" max="83" width="16" style="46" customWidth="1"/>
    <col min="84" max="84" width="14" style="46" customWidth="1"/>
    <col min="85" max="85" width="16.5703125" style="46" customWidth="1"/>
    <col min="86" max="87" width="20.28515625" style="48" customWidth="1"/>
    <col min="88" max="88" width="13.5703125" style="49" customWidth="1"/>
    <col min="89" max="92" width="6.85546875" style="48" customWidth="1"/>
    <col min="93" max="93" width="7" style="48" customWidth="1"/>
    <col min="94" max="96" width="7.85546875" style="48" customWidth="1"/>
    <col min="97" max="97" width="15.5703125" style="48" customWidth="1"/>
    <col min="98" max="98" width="13.140625" style="49" customWidth="1"/>
    <col min="99" max="99" width="15.7109375" style="48" customWidth="1"/>
    <col min="100" max="101" width="21.140625" style="50" customWidth="1"/>
    <col min="102" max="102" width="13.85546875" style="50" customWidth="1"/>
    <col min="103" max="106" width="6.42578125" style="50" customWidth="1"/>
    <col min="107" max="107" width="6.140625" style="50" customWidth="1"/>
    <col min="108" max="110" width="7.28515625" style="50" customWidth="1"/>
    <col min="111" max="113" width="17.42578125" style="50" customWidth="1"/>
    <col min="114" max="121" width="8.5703125" style="39" customWidth="1"/>
    <col min="122" max="122" width="17.28515625" style="51" customWidth="1"/>
    <col min="123" max="125" width="9.85546875" style="39" customWidth="1"/>
    <col min="126" max="126" width="9.85546875" style="208" customWidth="1"/>
    <col min="127" max="127" width="9.140625" style="52"/>
    <col min="128" max="130" width="9.140625" style="25"/>
    <col min="131" max="131" width="9.140625" style="179" customWidth="1"/>
    <col min="132" max="133" width="9.140625" style="148" customWidth="1"/>
    <col min="134" max="135" width="9.140625" style="25" customWidth="1"/>
    <col min="136" max="136" width="9.140625" style="25"/>
    <col min="137" max="137" width="9.140625" style="148"/>
    <col min="138" max="138" width="9.140625" style="148" hidden="1" customWidth="1"/>
    <col min="139" max="139" width="9.85546875" style="148" bestFit="1" customWidth="1"/>
    <col min="140" max="16384" width="9.140625" style="25"/>
  </cols>
  <sheetData>
    <row r="1" spans="1:140" ht="79.5" customHeight="1">
      <c r="A1" s="6" t="s">
        <v>0</v>
      </c>
      <c r="B1" s="6" t="s">
        <v>22</v>
      </c>
      <c r="C1" s="6" t="s">
        <v>67</v>
      </c>
      <c r="D1" s="6" t="s">
        <v>23</v>
      </c>
      <c r="E1" s="175" t="s">
        <v>68</v>
      </c>
      <c r="F1" s="6" t="s">
        <v>69</v>
      </c>
      <c r="G1" s="6" t="s">
        <v>24</v>
      </c>
      <c r="H1" s="6" t="s">
        <v>206</v>
      </c>
      <c r="I1" s="6" t="s">
        <v>11</v>
      </c>
      <c r="J1" s="6" t="s">
        <v>12</v>
      </c>
      <c r="K1" s="6" t="s">
        <v>25</v>
      </c>
      <c r="L1" s="7" t="s">
        <v>26</v>
      </c>
      <c r="M1" s="7" t="s">
        <v>27</v>
      </c>
      <c r="N1" s="6" t="s">
        <v>28</v>
      </c>
      <c r="O1" s="6" t="s">
        <v>29</v>
      </c>
      <c r="P1" s="8" t="s">
        <v>30</v>
      </c>
      <c r="Q1" s="6" t="s">
        <v>31</v>
      </c>
      <c r="R1" s="7" t="s">
        <v>32</v>
      </c>
      <c r="S1" s="7" t="s">
        <v>33</v>
      </c>
      <c r="T1" s="9" t="s">
        <v>34</v>
      </c>
      <c r="U1" s="9" t="s">
        <v>35</v>
      </c>
      <c r="V1" s="6" t="s">
        <v>13</v>
      </c>
      <c r="W1" s="6" t="s">
        <v>36</v>
      </c>
      <c r="X1" s="10" t="s">
        <v>37</v>
      </c>
      <c r="Y1" s="10" t="s">
        <v>17</v>
      </c>
      <c r="Z1" s="10" t="s">
        <v>38</v>
      </c>
      <c r="AA1" s="10" t="s">
        <v>39</v>
      </c>
      <c r="AB1" s="11" t="s">
        <v>40</v>
      </c>
      <c r="AC1" s="11" t="s">
        <v>41</v>
      </c>
      <c r="AD1" s="11" t="s">
        <v>42</v>
      </c>
      <c r="AE1" s="11" t="s">
        <v>161</v>
      </c>
      <c r="AF1" s="11" t="s">
        <v>43</v>
      </c>
      <c r="AG1" s="10" t="s">
        <v>44</v>
      </c>
      <c r="AH1" s="10" t="s">
        <v>45</v>
      </c>
      <c r="AI1" s="10" t="s">
        <v>46</v>
      </c>
      <c r="AJ1" s="10" t="s">
        <v>162</v>
      </c>
      <c r="AK1" s="10" t="s">
        <v>47</v>
      </c>
      <c r="AL1" s="10" t="s">
        <v>7</v>
      </c>
      <c r="AM1" s="10" t="s">
        <v>48</v>
      </c>
      <c r="AN1" s="12" t="s">
        <v>49</v>
      </c>
      <c r="AO1" s="12" t="s">
        <v>211</v>
      </c>
      <c r="AP1" s="12" t="s">
        <v>38</v>
      </c>
      <c r="AQ1" s="12" t="s">
        <v>39</v>
      </c>
      <c r="AR1" s="13" t="s">
        <v>40</v>
      </c>
      <c r="AS1" s="13" t="s">
        <v>41</v>
      </c>
      <c r="AT1" s="13" t="s">
        <v>42</v>
      </c>
      <c r="AU1" s="13" t="s">
        <v>161</v>
      </c>
      <c r="AV1" s="13" t="s">
        <v>43</v>
      </c>
      <c r="AW1" s="12" t="s">
        <v>44</v>
      </c>
      <c r="AX1" s="12" t="s">
        <v>45</v>
      </c>
      <c r="AY1" s="12" t="s">
        <v>46</v>
      </c>
      <c r="AZ1" s="12" t="s">
        <v>162</v>
      </c>
      <c r="BA1" s="12" t="s">
        <v>47</v>
      </c>
      <c r="BB1" s="12" t="s">
        <v>7</v>
      </c>
      <c r="BC1" s="12" t="s">
        <v>48</v>
      </c>
      <c r="BD1" s="14" t="s">
        <v>50</v>
      </c>
      <c r="BE1" s="14" t="s">
        <v>207</v>
      </c>
      <c r="BF1" s="14" t="s">
        <v>38</v>
      </c>
      <c r="BG1" s="14" t="s">
        <v>39</v>
      </c>
      <c r="BH1" s="15" t="s">
        <v>40</v>
      </c>
      <c r="BI1" s="15" t="s">
        <v>41</v>
      </c>
      <c r="BJ1" s="15" t="s">
        <v>42</v>
      </c>
      <c r="BK1" s="15" t="s">
        <v>161</v>
      </c>
      <c r="BL1" s="15" t="s">
        <v>43</v>
      </c>
      <c r="BM1" s="14" t="s">
        <v>44</v>
      </c>
      <c r="BN1" s="14" t="s">
        <v>45</v>
      </c>
      <c r="BO1" s="14" t="s">
        <v>46</v>
      </c>
      <c r="BP1" s="14" t="s">
        <v>162</v>
      </c>
      <c r="BQ1" s="14" t="s">
        <v>47</v>
      </c>
      <c r="BR1" s="14" t="s">
        <v>7</v>
      </c>
      <c r="BS1" s="14" t="s">
        <v>48</v>
      </c>
      <c r="BT1" s="16" t="s">
        <v>51</v>
      </c>
      <c r="BU1" s="16" t="s">
        <v>208</v>
      </c>
      <c r="BV1" s="16" t="s">
        <v>38</v>
      </c>
      <c r="BW1" s="16" t="s">
        <v>39</v>
      </c>
      <c r="BX1" s="16" t="s">
        <v>40</v>
      </c>
      <c r="BY1" s="16" t="s">
        <v>41</v>
      </c>
      <c r="BZ1" s="16" t="s">
        <v>42</v>
      </c>
      <c r="CA1" s="16" t="s">
        <v>43</v>
      </c>
      <c r="CB1" s="16" t="s">
        <v>44</v>
      </c>
      <c r="CC1" s="16" t="s">
        <v>45</v>
      </c>
      <c r="CD1" s="16" t="s">
        <v>46</v>
      </c>
      <c r="CE1" s="16" t="s">
        <v>47</v>
      </c>
      <c r="CF1" s="16" t="s">
        <v>7</v>
      </c>
      <c r="CG1" s="16" t="s">
        <v>48</v>
      </c>
      <c r="CH1" s="17" t="s">
        <v>52</v>
      </c>
      <c r="CI1" s="17" t="s">
        <v>209</v>
      </c>
      <c r="CJ1" s="17" t="s">
        <v>38</v>
      </c>
      <c r="CK1" s="17" t="s">
        <v>39</v>
      </c>
      <c r="CL1" s="18" t="s">
        <v>40</v>
      </c>
      <c r="CM1" s="18" t="s">
        <v>41</v>
      </c>
      <c r="CN1" s="18" t="s">
        <v>42</v>
      </c>
      <c r="CO1" s="18" t="s">
        <v>43</v>
      </c>
      <c r="CP1" s="17" t="s">
        <v>44</v>
      </c>
      <c r="CQ1" s="17" t="s">
        <v>45</v>
      </c>
      <c r="CR1" s="17" t="s">
        <v>46</v>
      </c>
      <c r="CS1" s="17" t="s">
        <v>47</v>
      </c>
      <c r="CT1" s="17" t="s">
        <v>7</v>
      </c>
      <c r="CU1" s="17" t="s">
        <v>48</v>
      </c>
      <c r="CV1" s="19" t="s">
        <v>53</v>
      </c>
      <c r="CW1" s="19" t="s">
        <v>210</v>
      </c>
      <c r="CX1" s="19" t="s">
        <v>38</v>
      </c>
      <c r="CY1" s="19" t="s">
        <v>39</v>
      </c>
      <c r="CZ1" s="20" t="s">
        <v>40</v>
      </c>
      <c r="DA1" s="20" t="s">
        <v>41</v>
      </c>
      <c r="DB1" s="20" t="s">
        <v>42</v>
      </c>
      <c r="DC1" s="20" t="s">
        <v>43</v>
      </c>
      <c r="DD1" s="19" t="s">
        <v>44</v>
      </c>
      <c r="DE1" s="19" t="s">
        <v>45</v>
      </c>
      <c r="DF1" s="19" t="s">
        <v>46</v>
      </c>
      <c r="DG1" s="19" t="s">
        <v>47</v>
      </c>
      <c r="DH1" s="19" t="s">
        <v>7</v>
      </c>
      <c r="DI1" s="19" t="s">
        <v>48</v>
      </c>
      <c r="DJ1" s="21" t="s">
        <v>54</v>
      </c>
      <c r="DK1" s="22" t="s">
        <v>55</v>
      </c>
      <c r="DL1" s="21" t="s">
        <v>56</v>
      </c>
      <c r="DM1" s="21" t="s">
        <v>57</v>
      </c>
      <c r="DN1" s="21" t="s">
        <v>58</v>
      </c>
      <c r="DO1" s="21" t="s">
        <v>59</v>
      </c>
      <c r="DP1" s="21" t="s">
        <v>60</v>
      </c>
      <c r="DQ1" s="21" t="s">
        <v>61</v>
      </c>
      <c r="DR1" s="23" t="s">
        <v>62</v>
      </c>
      <c r="DS1" s="24" t="s">
        <v>63</v>
      </c>
      <c r="DT1" s="24" t="s">
        <v>179</v>
      </c>
      <c r="DU1" s="24" t="s">
        <v>64</v>
      </c>
      <c r="DV1" s="24" t="s">
        <v>65</v>
      </c>
      <c r="DW1" s="21" t="s">
        <v>66</v>
      </c>
      <c r="DX1" s="145" t="s">
        <v>20</v>
      </c>
      <c r="DY1" s="145" t="s">
        <v>21</v>
      </c>
      <c r="DZ1" s="145" t="s">
        <v>71</v>
      </c>
      <c r="EA1" s="171" t="s">
        <v>235</v>
      </c>
      <c r="EB1" s="171" t="s">
        <v>233</v>
      </c>
      <c r="EC1" s="203" t="s">
        <v>241</v>
      </c>
      <c r="ED1" s="204" t="s">
        <v>272</v>
      </c>
      <c r="EE1" s="205" t="s">
        <v>273</v>
      </c>
      <c r="EF1" s="144" t="s">
        <v>175</v>
      </c>
      <c r="EG1" s="144" t="s">
        <v>176</v>
      </c>
      <c r="EH1" s="144" t="s">
        <v>177</v>
      </c>
      <c r="EI1" s="144" t="s">
        <v>190</v>
      </c>
      <c r="EJ1" s="23"/>
    </row>
    <row r="2" spans="1:140" ht="56.25">
      <c r="A2" s="53" t="e">
        <f>Tonghop!#REF!</f>
        <v>#REF!</v>
      </c>
      <c r="B2" s="26">
        <v>5</v>
      </c>
      <c r="C2" s="37">
        <v>0</v>
      </c>
      <c r="D2" s="37">
        <v>1700738</v>
      </c>
      <c r="E2" s="176" t="s">
        <v>262</v>
      </c>
      <c r="F2" s="54" t="s">
        <v>238</v>
      </c>
      <c r="G2" s="28" t="s">
        <v>243</v>
      </c>
      <c r="H2" s="27" t="s">
        <v>244</v>
      </c>
      <c r="I2" s="27" t="s">
        <v>245</v>
      </c>
      <c r="J2" s="27" t="s">
        <v>246</v>
      </c>
      <c r="K2" s="113" t="s">
        <v>247</v>
      </c>
      <c r="L2" s="115">
        <v>43066</v>
      </c>
      <c r="M2" s="115">
        <v>43039</v>
      </c>
      <c r="N2" s="29" t="str">
        <f t="shared" ref="N2" si="0">IF(LEN(O2)=4,"B0"&amp;O2&amp;P2&amp;Q2,IF(LEN(O2)=3,"B00"&amp;O2&amp;P2&amp;Q2,IF(LEN(O2)=2,"B000"&amp;O2&amp;P2&amp;Q2,IF(LEN(O2)=1,"B0000"&amp;O2&amp;P2&amp;Q2,"B"&amp;O2&amp;P2&amp;Q2))))</f>
        <v>B00410011217TG05</v>
      </c>
      <c r="O2" s="68">
        <v>410</v>
      </c>
      <c r="P2" s="30" t="str">
        <f t="shared" ref="P2" si="1">TEXT($T$2,"ddmmyy")</f>
        <v>011217</v>
      </c>
      <c r="Q2" s="29" t="s">
        <v>204</v>
      </c>
      <c r="R2" s="30" t="str">
        <f t="shared" ref="R2:S2" si="2">TEXT(T2,"dd/mm/yyyy")</f>
        <v>01/12/2017</v>
      </c>
      <c r="S2" s="30" t="str">
        <f t="shared" si="2"/>
        <v>01/12/2022</v>
      </c>
      <c r="T2" s="124" t="s">
        <v>258</v>
      </c>
      <c r="U2" s="124" t="s">
        <v>259</v>
      </c>
      <c r="V2" s="27">
        <v>1</v>
      </c>
      <c r="W2" s="27" t="s">
        <v>248</v>
      </c>
      <c r="X2" s="31" t="s">
        <v>238</v>
      </c>
      <c r="Y2" s="31" t="s">
        <v>253</v>
      </c>
      <c r="Z2" s="31" t="s">
        <v>254</v>
      </c>
      <c r="AA2" s="31">
        <v>3</v>
      </c>
      <c r="AB2" s="116" t="s">
        <v>239</v>
      </c>
      <c r="AC2" s="116" t="s">
        <v>239</v>
      </c>
      <c r="AD2" s="116" t="s">
        <v>239</v>
      </c>
      <c r="AE2" s="116"/>
      <c r="AF2" s="117" t="str">
        <f t="shared" ref="AF2" si="3">IF(AA2=1,AB2,IF(AA2=2,AB2&amp;"/"&amp;AC2,IF(AA2=3,AB2&amp;"/"&amp;AC2&amp;"/"&amp;AD2,IF(AA2=4,AB2&amp;"/"&amp;AC2&amp;"/"&amp;AD2&amp;"/"&amp;AE2,""))))</f>
        <v>4/4/4</v>
      </c>
      <c r="AG2" s="116" t="s">
        <v>256</v>
      </c>
      <c r="AH2" s="116" t="s">
        <v>256</v>
      </c>
      <c r="AI2" s="116" t="s">
        <v>256</v>
      </c>
      <c r="AJ2" s="116"/>
      <c r="AK2" s="27" t="str">
        <f>IF(AA2=1,AG2&amp;"W",IF(AA2=2,AG2&amp;"W/"&amp;AH2&amp;"W",IF(AA2=3,AG2&amp;"W/"&amp;AH2&amp;"W/"&amp;AI2&amp;"W",IF(AA2=4,AG2&amp;"W/"&amp;AH2&amp;"W/"&amp;AI2&amp;"W/"&amp;AJ2&amp;"W",""))))</f>
        <v>60W/60W/60W</v>
      </c>
      <c r="AL2" s="31" t="s">
        <v>240</v>
      </c>
      <c r="AM2" s="31" t="s">
        <v>255</v>
      </c>
      <c r="AN2" s="32"/>
      <c r="AO2" s="32"/>
      <c r="AP2" s="32"/>
      <c r="AQ2" s="32"/>
      <c r="AR2" s="118"/>
      <c r="AS2" s="118"/>
      <c r="AT2" s="118"/>
      <c r="AU2" s="118"/>
      <c r="AV2" s="117" t="str">
        <f t="shared" ref="AV2" si="4">IF(AQ2=1,AR2,IF(AQ2=2,AR2&amp;"/"&amp;AS2,IF(AQ2=3,AR2&amp;"/"&amp;AS2&amp;"/"&amp;AT2,IF(AQ2=4,AR2&amp;"/"&amp;AS2&amp;"/"&amp;AT2&amp;"/"&amp;AU2,""))))</f>
        <v/>
      </c>
      <c r="AW2" s="118"/>
      <c r="AX2" s="118"/>
      <c r="AY2" s="118"/>
      <c r="AZ2" s="118"/>
      <c r="BA2" s="27" t="str">
        <f>IF(AQ2=1,AW2&amp;"W",IF(AQ2=2,AW2&amp;"W/"&amp;AX2&amp;"W",IF(AQ2=3,AW2&amp;"W/"&amp;AX2&amp;"W/"&amp;AY2&amp;"W",IF(AQ2=4,AW2&amp;"W/"&amp;AX2&amp;"W/"&amp;AY2&amp;"W/"&amp;AZ2&amp;"W",""))))</f>
        <v/>
      </c>
      <c r="BB2" s="32"/>
      <c r="BC2" s="32"/>
      <c r="BD2" s="114"/>
      <c r="BE2" s="114"/>
      <c r="BF2" s="114"/>
      <c r="BG2" s="114"/>
      <c r="BH2" s="114"/>
      <c r="BI2" s="114"/>
      <c r="BJ2" s="114"/>
      <c r="BK2" s="114"/>
      <c r="BL2" s="117" t="str">
        <f t="shared" ref="BL2" si="5">IF(BG2=1,BH2,IF(BG2=2,BH2&amp;"/"&amp;BI2,IF(BG2=3,BH2&amp;"/"&amp;BI2&amp;"/"&amp;BJ2,IF(BG2=4,BH2&amp;"/"&amp;BI2&amp;"/"&amp;BJ2&amp;"/"&amp;BK2,""))))</f>
        <v/>
      </c>
      <c r="BM2" s="114"/>
      <c r="BN2" s="114"/>
      <c r="BO2" s="114"/>
      <c r="BP2" s="114"/>
      <c r="BQ2" s="27" t="str">
        <f>IF(BG2=1,BM2&amp;"W",IF(BG2=2,BM2&amp;"W/"&amp;BN2&amp;"W",IF(BG2=3,BM2&amp;"W/"&amp;BN2&amp;"W/"&amp;BO2&amp;"W",IF(BG2=4,BM2&amp;"W/"&amp;BN2&amp;"W/"&amp;BO2&amp;"W/"&amp;BP2&amp;"W",""))))</f>
        <v/>
      </c>
      <c r="BR2" s="114"/>
      <c r="BS2" s="114"/>
      <c r="BT2" s="33" t="s">
        <v>130</v>
      </c>
      <c r="BU2" s="33" t="s">
        <v>130</v>
      </c>
      <c r="BV2" s="33" t="s">
        <v>130</v>
      </c>
      <c r="BW2" s="33" t="s">
        <v>130</v>
      </c>
      <c r="BX2" s="34" t="s">
        <v>130</v>
      </c>
      <c r="BY2" s="34" t="s">
        <v>130</v>
      </c>
      <c r="BZ2" s="34" t="s">
        <v>130</v>
      </c>
      <c r="CA2" s="117" t="str">
        <f t="shared" ref="CA2" si="6">IF(BW2=1,BX2,IF(BW2=2,BX2&amp;"/"&amp;BY2,IF(BW2=3,BX2&amp;"/"&amp;BY2&amp;"/"&amp;BZ2,"")))</f>
        <v/>
      </c>
      <c r="CB2" s="34" t="s">
        <v>130</v>
      </c>
      <c r="CC2" s="34" t="s">
        <v>130</v>
      </c>
      <c r="CD2" s="34" t="s">
        <v>130</v>
      </c>
      <c r="CE2" s="27" t="str">
        <f>IF(BW2=1,CB2&amp;"W",IF(BW2=2,CB2&amp;"W/"&amp;CC2&amp;"W",IF(BW2=3,CB2&amp;"W/"&amp;CC2&amp;"W/"&amp;CD2&amp;"W","")))</f>
        <v/>
      </c>
      <c r="CF2" s="33" t="s">
        <v>130</v>
      </c>
      <c r="CG2" s="33" t="s">
        <v>130</v>
      </c>
      <c r="CH2" s="35" t="s">
        <v>130</v>
      </c>
      <c r="CI2" s="35" t="s">
        <v>130</v>
      </c>
      <c r="CJ2" s="35" t="s">
        <v>130</v>
      </c>
      <c r="CK2" s="35" t="s">
        <v>130</v>
      </c>
      <c r="CL2" s="119" t="s">
        <v>130</v>
      </c>
      <c r="CM2" s="119" t="s">
        <v>130</v>
      </c>
      <c r="CN2" s="119" t="s">
        <v>130</v>
      </c>
      <c r="CO2" s="117" t="str">
        <f t="shared" ref="CO2" si="7">IF(CK2=1,CL2,IF(CK2=2,CL2&amp;"/"&amp;CM2,IF(CK2=3,CL2&amp;"/"&amp;CM2&amp;"/"&amp;CN2,"")))</f>
        <v/>
      </c>
      <c r="CP2" s="119" t="s">
        <v>130</v>
      </c>
      <c r="CQ2" s="119" t="s">
        <v>130</v>
      </c>
      <c r="CR2" s="119" t="s">
        <v>130</v>
      </c>
      <c r="CS2" s="27" t="str">
        <f>IF(CK2=1,CP2&amp;"W",IF(CK2=2,CP2&amp;"W/"&amp;CQ2&amp;"W",IF(CK2=3,CP2&amp;"W/"&amp;CQ2&amp;"W/"&amp;CR2&amp;"W","")))</f>
        <v/>
      </c>
      <c r="CT2" s="35" t="s">
        <v>130</v>
      </c>
      <c r="CU2" s="35" t="s">
        <v>130</v>
      </c>
      <c r="CV2" s="36" t="s">
        <v>130</v>
      </c>
      <c r="CW2" s="36" t="s">
        <v>130</v>
      </c>
      <c r="CX2" s="36" t="s">
        <v>130</v>
      </c>
      <c r="CY2" s="36" t="s">
        <v>130</v>
      </c>
      <c r="CZ2" s="120" t="s">
        <v>130</v>
      </c>
      <c r="DA2" s="120" t="s">
        <v>130</v>
      </c>
      <c r="DB2" s="120" t="s">
        <v>130</v>
      </c>
      <c r="DC2" s="117" t="str">
        <f t="shared" ref="DC2" si="8">IF(CY2=1,CZ2,IF(CY2=2,CZ2&amp;"/"&amp;DA2,IF(CY2=3,CZ2&amp;"/"&amp;DA2&amp;"/"&amp;DB2,"")))</f>
        <v/>
      </c>
      <c r="DD2" s="120" t="s">
        <v>130</v>
      </c>
      <c r="DE2" s="120" t="s">
        <v>130</v>
      </c>
      <c r="DF2" s="120" t="s">
        <v>130</v>
      </c>
      <c r="DG2" s="27" t="str">
        <f>IF(CY2=1,DD2&amp;"W",IF(CY2=2,DD2&amp;"W/"&amp;DE2&amp;"W",IF(CY2=3,DD2&amp;"W/"&amp;DE2&amp;"W/"&amp;DF2&amp;"W","")))</f>
        <v/>
      </c>
      <c r="DH2" s="36" t="s">
        <v>130</v>
      </c>
      <c r="DI2" s="36" t="s">
        <v>130</v>
      </c>
      <c r="DJ2" s="113">
        <f t="shared" ref="DJ2" si="9">IF(LEN(CV2)&lt;&gt;0,6,IF(LEN(CH2)&lt;&gt;0,5,IF(LEN(BT2)&lt;&gt;0,4,IF(LEN(BD2)&lt;&gt;0,3,IF(LEN(AN2)&lt;&gt;0,2,IF(LEN(X2)&lt;&gt;0,1,FALSE))))))</f>
        <v>1</v>
      </c>
      <c r="DK2" s="113" t="str">
        <f t="shared" ref="DK2" si="10">DJ2&amp;"-"&amp;DQ2</f>
        <v>1-1</v>
      </c>
      <c r="DL2" s="113" t="str">
        <f t="shared" ref="DL2" si="11">IF(AN2=0,"",IF(AND(AN2&lt;&gt;0,AN2=X2),"CHUNG","KHÁC"))</f>
        <v/>
      </c>
      <c r="DM2" s="113" t="str">
        <f t="shared" ref="DM2" si="12">IF(BD2=0,"",IF(AND(BD2&lt;&gt;0,BD2=X2),"CHUNG","KHÁC"))</f>
        <v/>
      </c>
      <c r="DN2" s="113" t="str">
        <f t="shared" ref="DN2" si="13">IF(BT2=0,"",IF(AND(BT2&lt;&gt;0,BT2=X2),"CHUNG","KHÁC"))</f>
        <v>KHÁC</v>
      </c>
      <c r="DO2" s="113" t="str">
        <f t="shared" ref="DO2" si="14">IF(CH2=0,"",IF(AND(CH2&lt;&gt;0,CH2=X2),"CHUNG","KHÁC"))</f>
        <v>KHÁC</v>
      </c>
      <c r="DP2" s="113" t="str">
        <f t="shared" ref="DP2" si="15">IF(CV2=0,"",IF(AND(CV2&lt;&gt;0,CV2=X2),"CHUNG","KHÁC"))</f>
        <v>KHÁC</v>
      </c>
      <c r="DQ2" s="113">
        <f t="shared" ref="DQ2" si="16">IF(COUNTIF(DL2:DP2,"CHUNG")=0,1,COUNTIF(DL2:DP2,"CHUNG")+1)</f>
        <v>1</v>
      </c>
      <c r="DR2" s="121" t="s">
        <v>257</v>
      </c>
      <c r="DS2" s="122" t="b">
        <f t="shared" ref="DS2" si="17">RIGHT(G2,LEN(H2)+1)=(H2&amp;".")</f>
        <v>1</v>
      </c>
      <c r="DT2" s="122" t="b">
        <f t="shared" ref="DT2" si="18" xml:space="preserve"> IF((L2-M2)&gt;120,FALSE,TRUE)</f>
        <v>1</v>
      </c>
      <c r="DU2" s="122" t="b">
        <f>IF((S2-R2)&lt;&gt;1826,FALSE,TRUE)</f>
        <v>1</v>
      </c>
      <c r="DV2" s="113" t="b">
        <f>IF(IF(LEN(CV2)&lt;&gt;0,6,IF(LEN(CH2)&lt;&gt;0,5,IF(LEN(BT2)&lt;&gt;0,4,IF(LEN(BD2)&lt;&gt;0,3,IF(LEN(AN2)&lt;&gt;0,2,IF(LEN(X2)&lt;&gt;0,1,FALSE))))))&lt;&gt;V2,FALSE,TRUE)</f>
        <v>1</v>
      </c>
      <c r="DW2" s="113" t="b">
        <f t="shared" ref="DW2" si="19">NOT(OR(AND(X2&lt;&gt;AN2,OR(X2=BD2,X2=BT2,X2=CH2,X2=CV2)),AND(AN2&lt;&gt;BD2,OR(AN2=BT2,AN2=CH2,AN2=CV2)),AND(BD2&lt;&gt;BT2,OR(BD2=CH2,BD2=CV2)),AND(BT2&lt;&gt;CH2,BT2=CV2)))</f>
        <v>1</v>
      </c>
      <c r="DX2" s="113"/>
      <c r="DY2" s="113"/>
      <c r="DZ2" s="113" t="s">
        <v>130</v>
      </c>
      <c r="EA2" s="178"/>
      <c r="EB2" s="178"/>
      <c r="EC2" s="37"/>
      <c r="ED2" s="146"/>
      <c r="EE2" s="146"/>
      <c r="EF2" s="37" t="str">
        <f t="shared" ref="EF2" si="20">IF(EH2=0,"No","Yes")</f>
        <v>No</v>
      </c>
      <c r="EG2" s="37">
        <f t="shared" ref="EG2" si="21">DQ2</f>
        <v>1</v>
      </c>
      <c r="EH2" s="37">
        <f t="shared" ref="EH2" si="22">V2-DQ2</f>
        <v>0</v>
      </c>
      <c r="EI2" s="37" t="str">
        <f t="shared" ref="EI2" si="23">IF(EH2=0,"No","Yes")</f>
        <v>No</v>
      </c>
      <c r="EJ2" s="146"/>
    </row>
  </sheetData>
  <autoFilter ref="A1:EJ2"/>
  <conditionalFormatting sqref="DS1:DW63536">
    <cfRule type="cellIs" dxfId="5" priority="6" stopIfTrue="1" operator="notEqual">
      <formula>TRUE</formula>
    </cfRule>
  </conditionalFormatting>
  <conditionalFormatting sqref="BW1 CK1 CY1">
    <cfRule type="cellIs" dxfId="4" priority="5" stopIfTrue="1" operator="notEqual">
      <formula>3</formula>
    </cfRule>
  </conditionalFormatting>
  <conditionalFormatting sqref="BG1:BG63536 AQ1:AQ63536 AA1:AA63536 BW1:BW63536 CK1:CK63536 CY1:CY63536">
    <cfRule type="cellIs" dxfId="3" priority="4" stopIfTrue="1" operator="notEqual">
      <formula>3</formula>
    </cfRule>
  </conditionalFormatting>
  <conditionalFormatting sqref="BW2">
    <cfRule type="cellIs" dxfId="2" priority="2" operator="notEqual">
      <formula>3</formula>
    </cfRule>
    <cfRule type="cellIs" priority="3" operator="equal">
      <formula>3</formula>
    </cfRule>
  </conditionalFormatting>
  <conditionalFormatting sqref="DX1:DY1048576">
    <cfRule type="containsText" dxfId="1" priority="1" operator="containsText" text="no">
      <formula>NOT(ISERROR(SEARCH("no",DX1)))</formula>
    </cfRule>
  </conditionalFormatting>
  <printOptions horizontalCentered="1"/>
  <pageMargins left="0.25" right="0.7" top="0.25" bottom="0.25" header="0.3" footer="0.3"/>
  <pageSetup paperSize="9" scale="75" orientation="landscape" r:id="rId1"/>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0000"/>
  </sheetPr>
  <dimension ref="A1:AR34"/>
  <sheetViews>
    <sheetView view="pageLayout" topLeftCell="A13" workbookViewId="0">
      <selection activeCell="AD17" sqref="AD17"/>
    </sheetView>
  </sheetViews>
  <sheetFormatPr defaultColWidth="9.140625" defaultRowHeight="15.75"/>
  <cols>
    <col min="1" max="13" width="3.140625" style="125" customWidth="1"/>
    <col min="14" max="14" width="8.42578125" style="125" customWidth="1"/>
    <col min="15" max="25" width="3.140625" style="125" customWidth="1"/>
    <col min="26" max="26" width="3.5703125" style="125" customWidth="1"/>
    <col min="27" max="29" width="3.140625" style="125" customWidth="1"/>
    <col min="30" max="30" width="10.5703125" style="125" bestFit="1" customWidth="1"/>
    <col min="31" max="31" width="11.85546875" style="125" bestFit="1" customWidth="1"/>
    <col min="32" max="32" width="10.5703125" style="125" bestFit="1" customWidth="1"/>
    <col min="33" max="33" width="9.85546875" style="125" bestFit="1" customWidth="1"/>
    <col min="34" max="34" width="11.85546875" style="125" bestFit="1" customWidth="1"/>
    <col min="35" max="16384" width="9.140625" style="125"/>
  </cols>
  <sheetData>
    <row r="1" spans="1:34" ht="16.5">
      <c r="A1" s="338" t="s">
        <v>117</v>
      </c>
      <c r="B1" s="338"/>
      <c r="C1" s="338"/>
      <c r="D1" s="338"/>
      <c r="E1" s="338"/>
      <c r="F1" s="338"/>
      <c r="G1" s="338"/>
      <c r="H1" s="338"/>
      <c r="I1" s="338"/>
      <c r="J1" s="338"/>
      <c r="N1" s="314" t="s">
        <v>81</v>
      </c>
      <c r="O1" s="314"/>
      <c r="P1" s="314"/>
      <c r="Q1" s="314"/>
      <c r="R1" s="314"/>
      <c r="S1" s="314"/>
      <c r="T1" s="314"/>
      <c r="U1" s="314"/>
      <c r="V1" s="314"/>
      <c r="W1" s="314"/>
      <c r="X1" s="314"/>
      <c r="Y1" s="314"/>
      <c r="Z1" s="314"/>
      <c r="AA1" s="98"/>
    </row>
    <row r="2" spans="1:34" ht="16.5" customHeight="1">
      <c r="A2" s="314" t="s">
        <v>80</v>
      </c>
      <c r="B2" s="314"/>
      <c r="C2" s="314"/>
      <c r="D2" s="314"/>
      <c r="E2" s="314"/>
      <c r="F2" s="314"/>
      <c r="G2" s="314"/>
      <c r="H2" s="314"/>
      <c r="I2" s="314"/>
      <c r="J2" s="314"/>
      <c r="N2" s="317" t="s">
        <v>153</v>
      </c>
      <c r="O2" s="317"/>
      <c r="P2" s="317"/>
      <c r="Q2" s="317"/>
      <c r="R2" s="317"/>
      <c r="S2" s="317"/>
      <c r="T2" s="317"/>
      <c r="U2" s="317"/>
      <c r="V2" s="317"/>
      <c r="W2" s="317"/>
      <c r="X2" s="317"/>
      <c r="Y2" s="317"/>
      <c r="Z2" s="317"/>
    </row>
    <row r="3" spans="1:34" ht="16.5">
      <c r="A3" s="314" t="s">
        <v>82</v>
      </c>
      <c r="B3" s="314"/>
      <c r="C3" s="314"/>
      <c r="D3" s="314"/>
      <c r="E3" s="314"/>
      <c r="F3" s="314"/>
      <c r="G3" s="314"/>
      <c r="H3" s="314"/>
      <c r="I3" s="314"/>
      <c r="J3" s="314"/>
      <c r="O3" s="130"/>
      <c r="P3" s="130"/>
      <c r="Q3" s="130"/>
      <c r="R3" s="130"/>
      <c r="S3" s="130"/>
      <c r="T3" s="130"/>
      <c r="U3" s="130"/>
      <c r="V3" s="130"/>
      <c r="W3" s="130"/>
    </row>
    <row r="4" spans="1:34" ht="21.75" customHeight="1">
      <c r="C4" s="340" t="str">
        <f>IF(LEN(AD4)=1,"Số: 0"&amp;AD4&amp;"/LPKĐ-TT2","Số: "&amp;AD4&amp;"/LPKĐ-TT2")</f>
        <v>Số: 38/LPKĐ-TT2</v>
      </c>
      <c r="D4" s="340"/>
      <c r="E4" s="340"/>
      <c r="F4" s="340"/>
      <c r="G4" s="340"/>
      <c r="H4" s="340"/>
      <c r="N4" s="343" t="str">
        <f>"TP. Hồ Chí Minh, ngày "&amp;AF4&amp;" tháng "&amp;AG4&amp;" năm "&amp;AH4</f>
        <v>TP. Hồ Chí Minh, ngày 11 tháng 7 năm 2014</v>
      </c>
      <c r="O4" s="343"/>
      <c r="P4" s="343"/>
      <c r="Q4" s="343"/>
      <c r="R4" s="343"/>
      <c r="S4" s="343"/>
      <c r="T4" s="343"/>
      <c r="U4" s="343"/>
      <c r="V4" s="343"/>
      <c r="W4" s="343"/>
      <c r="X4" s="343"/>
      <c r="Y4" s="343"/>
      <c r="Z4" s="343"/>
      <c r="AD4" s="126" t="s">
        <v>222</v>
      </c>
      <c r="AE4" s="127" t="s">
        <v>230</v>
      </c>
      <c r="AF4" s="125">
        <f>DAY(AE4)</f>
        <v>11</v>
      </c>
      <c r="AG4" s="125">
        <f>MONTH(AE4)</f>
        <v>7</v>
      </c>
      <c r="AH4" s="125">
        <f>YEAR(AE4)</f>
        <v>2014</v>
      </c>
    </row>
    <row r="6" spans="1:34" ht="8.25" customHeight="1">
      <c r="O6" s="98"/>
    </row>
    <row r="7" spans="1:34" ht="18.75">
      <c r="C7" s="342" t="s">
        <v>151</v>
      </c>
      <c r="D7" s="342"/>
      <c r="E7" s="342"/>
      <c r="F7" s="342"/>
      <c r="G7" s="342"/>
      <c r="H7" s="342"/>
      <c r="I7" s="342"/>
      <c r="J7" s="342"/>
      <c r="K7" s="342"/>
      <c r="L7" s="342"/>
      <c r="M7" s="342"/>
      <c r="N7" s="342"/>
      <c r="O7" s="342"/>
      <c r="P7" s="342"/>
      <c r="Q7" s="342"/>
      <c r="R7" s="342"/>
      <c r="S7" s="342"/>
      <c r="T7" s="342"/>
      <c r="U7" s="342"/>
      <c r="V7" s="342"/>
      <c r="W7" s="342"/>
      <c r="X7" s="342"/>
    </row>
    <row r="8" spans="1:34" ht="18.75">
      <c r="C8" s="342" t="s">
        <v>84</v>
      </c>
      <c r="D8" s="342"/>
      <c r="E8" s="342"/>
      <c r="F8" s="342"/>
      <c r="G8" s="342"/>
      <c r="H8" s="342"/>
      <c r="I8" s="342"/>
      <c r="J8" s="342"/>
      <c r="K8" s="342"/>
      <c r="L8" s="342"/>
      <c r="M8" s="342"/>
      <c r="N8" s="342"/>
      <c r="O8" s="342"/>
      <c r="P8" s="342"/>
      <c r="Q8" s="342"/>
      <c r="R8" s="342"/>
      <c r="S8" s="342"/>
      <c r="T8" s="342"/>
      <c r="U8" s="342"/>
      <c r="V8" s="342"/>
      <c r="W8" s="342"/>
      <c r="X8" s="342"/>
    </row>
    <row r="10" spans="1:34" ht="16.5">
      <c r="D10" s="338" t="str">
        <f>"Kính gửi: "&amp;AD10</f>
        <v>Kính gửi: Trung tâm Thông tin di động khu vực II</v>
      </c>
      <c r="E10" s="338"/>
      <c r="F10" s="338"/>
      <c r="G10" s="338"/>
      <c r="H10" s="338"/>
      <c r="I10" s="338"/>
      <c r="J10" s="338"/>
      <c r="K10" s="338"/>
      <c r="L10" s="338"/>
      <c r="M10" s="338"/>
      <c r="N10" s="338"/>
      <c r="O10" s="338"/>
      <c r="P10" s="338"/>
      <c r="Q10" s="338"/>
      <c r="R10" s="338"/>
      <c r="S10" s="338"/>
      <c r="T10" s="338"/>
      <c r="U10" s="338"/>
      <c r="V10" s="338"/>
      <c r="W10" s="338"/>
      <c r="AD10" s="125" t="s">
        <v>229</v>
      </c>
    </row>
    <row r="11" spans="1:34" ht="15.75" customHeight="1">
      <c r="A11" s="100"/>
      <c r="B11" s="100"/>
      <c r="D11" s="341" t="s">
        <v>154</v>
      </c>
      <c r="E11" s="341"/>
      <c r="F11" s="341"/>
      <c r="G11" s="318" t="str">
        <f>AD11</f>
        <v>Số MM18, đường Trường Sơn, phường 14, quận 10, thành phố Hồ Chí Minh.</v>
      </c>
      <c r="H11" s="318"/>
      <c r="I11" s="318"/>
      <c r="J11" s="318"/>
      <c r="K11" s="318"/>
      <c r="L11" s="318"/>
      <c r="M11" s="318"/>
      <c r="N11" s="318"/>
      <c r="O11" s="318"/>
      <c r="P11" s="318"/>
      <c r="Q11" s="318"/>
      <c r="R11" s="318"/>
      <c r="S11" s="318"/>
      <c r="T11" s="318"/>
      <c r="U11" s="318"/>
      <c r="V11" s="318"/>
      <c r="W11" s="318"/>
      <c r="X11" s="99"/>
      <c r="Y11" s="99"/>
      <c r="Z11" s="99"/>
      <c r="AD11" s="125" t="s">
        <v>228</v>
      </c>
    </row>
    <row r="12" spans="1:34">
      <c r="A12" s="100"/>
      <c r="B12" s="100"/>
      <c r="C12" s="100"/>
      <c r="D12" s="100"/>
      <c r="E12" s="100"/>
      <c r="F12" s="99"/>
      <c r="G12" s="318"/>
      <c r="H12" s="318"/>
      <c r="I12" s="318"/>
      <c r="J12" s="318"/>
      <c r="K12" s="318"/>
      <c r="L12" s="318"/>
      <c r="M12" s="318"/>
      <c r="N12" s="318"/>
      <c r="O12" s="318"/>
      <c r="P12" s="318"/>
      <c r="Q12" s="318"/>
      <c r="R12" s="318"/>
      <c r="S12" s="318"/>
      <c r="T12" s="318"/>
      <c r="U12" s="318"/>
      <c r="V12" s="318"/>
      <c r="W12" s="318"/>
      <c r="X12" s="99"/>
      <c r="Y12" s="99"/>
      <c r="Z12" s="99"/>
    </row>
    <row r="13" spans="1:34" ht="20.25" customHeight="1">
      <c r="A13" s="100"/>
      <c r="B13" s="100"/>
      <c r="D13" s="100" t="s">
        <v>155</v>
      </c>
      <c r="E13" s="100"/>
      <c r="F13" s="100"/>
      <c r="G13" s="341" t="str">
        <f>AD13</f>
        <v>08 38662387</v>
      </c>
      <c r="H13" s="341"/>
      <c r="I13" s="341"/>
      <c r="J13" s="341"/>
      <c r="K13" s="341"/>
      <c r="L13" s="341"/>
      <c r="M13" s="341"/>
      <c r="N13" s="100"/>
      <c r="O13" s="100" t="s">
        <v>118</v>
      </c>
      <c r="P13" s="100"/>
      <c r="Q13" s="341" t="str">
        <f>AH13</f>
        <v>08 38662388</v>
      </c>
      <c r="R13" s="341"/>
      <c r="S13" s="341"/>
      <c r="T13" s="341"/>
      <c r="U13" s="341"/>
      <c r="V13" s="341"/>
      <c r="W13" s="341"/>
      <c r="X13" s="100"/>
      <c r="Y13" s="100"/>
      <c r="Z13" s="100"/>
      <c r="AD13" s="125" t="s">
        <v>227</v>
      </c>
      <c r="AH13" s="125" t="s">
        <v>226</v>
      </c>
    </row>
    <row r="14" spans="1:34" ht="55.15" customHeight="1">
      <c r="A14" s="316" t="str">
        <f>"            1. Đề nghị Quý đơn vị nộp lệ phí cấp giấy chứng nhận kiểm định theo Đơn đề nghị kiểm định trạm gốc điện thoại di động mặt đất công cộng số "&amp;AD14&amp;" ngày "&amp;AF14&amp;"/"&amp;AG14&amp;"/"&amp;AH14 &amp;" (danh sách đính kèm)."</f>
        <v xml:space="preserve">            1. Đề nghị Quý đơn vị nộp lệ phí cấp giấy chứng nhận kiểm định theo Đơn đề nghị kiểm định trạm gốc điện thoại di động mặt đất công cộng số 4490/VMS2/KTKT ngày 25/12/2013 (danh sách đính kèm).</v>
      </c>
      <c r="B14" s="316"/>
      <c r="C14" s="316"/>
      <c r="D14" s="316"/>
      <c r="E14" s="316"/>
      <c r="F14" s="316"/>
      <c r="G14" s="316"/>
      <c r="H14" s="316"/>
      <c r="I14" s="316"/>
      <c r="J14" s="316"/>
      <c r="K14" s="316"/>
      <c r="L14" s="316"/>
      <c r="M14" s="316"/>
      <c r="N14" s="316"/>
      <c r="O14" s="316"/>
      <c r="P14" s="316"/>
      <c r="Q14" s="316"/>
      <c r="R14" s="316"/>
      <c r="S14" s="316"/>
      <c r="T14" s="316"/>
      <c r="U14" s="316"/>
      <c r="V14" s="316"/>
      <c r="W14" s="316"/>
      <c r="X14" s="316"/>
      <c r="Y14" s="316"/>
      <c r="Z14" s="316"/>
      <c r="AD14" s="125" t="s">
        <v>225</v>
      </c>
      <c r="AE14" s="127" t="s">
        <v>224</v>
      </c>
      <c r="AF14" s="125">
        <f>DAY(AE14)</f>
        <v>25</v>
      </c>
      <c r="AG14" s="125">
        <f>MONTH(AE14)</f>
        <v>12</v>
      </c>
      <c r="AH14" s="125">
        <f>YEAR(AE14)</f>
        <v>2013</v>
      </c>
    </row>
    <row r="15" spans="1:34" ht="87.75" customHeight="1">
      <c r="A15" s="339" t="s">
        <v>213</v>
      </c>
      <c r="B15" s="339"/>
      <c r="C15" s="339"/>
      <c r="D15" s="339"/>
      <c r="E15" s="339"/>
      <c r="F15" s="339"/>
      <c r="G15" s="339"/>
      <c r="H15" s="339"/>
      <c r="I15" s="339"/>
      <c r="J15" s="339"/>
      <c r="K15" s="339"/>
      <c r="L15" s="339"/>
      <c r="M15" s="339"/>
      <c r="N15" s="339"/>
      <c r="O15" s="339"/>
      <c r="P15" s="339"/>
      <c r="Q15" s="339"/>
      <c r="R15" s="339"/>
      <c r="S15" s="339"/>
      <c r="T15" s="339"/>
      <c r="U15" s="339"/>
      <c r="V15" s="339"/>
      <c r="W15" s="339"/>
      <c r="X15" s="339"/>
      <c r="Y15" s="339"/>
      <c r="Z15" s="339"/>
    </row>
    <row r="16" spans="1:34" ht="33" customHeight="1">
      <c r="B16" s="325" t="s">
        <v>0</v>
      </c>
      <c r="C16" s="327"/>
      <c r="D16" s="325" t="s">
        <v>116</v>
      </c>
      <c r="E16" s="326"/>
      <c r="F16" s="326"/>
      <c r="G16" s="326"/>
      <c r="H16" s="326"/>
      <c r="I16" s="326"/>
      <c r="J16" s="326"/>
      <c r="K16" s="326"/>
      <c r="L16" s="326"/>
      <c r="M16" s="326"/>
      <c r="N16" s="327"/>
      <c r="O16" s="324" t="s">
        <v>178</v>
      </c>
      <c r="P16" s="324"/>
      <c r="Q16" s="324"/>
      <c r="R16" s="324" t="s">
        <v>232</v>
      </c>
      <c r="S16" s="324"/>
      <c r="T16" s="324"/>
      <c r="U16" s="324" t="s">
        <v>119</v>
      </c>
      <c r="V16" s="324"/>
      <c r="W16" s="324"/>
      <c r="X16" s="324"/>
      <c r="Y16" s="324"/>
    </row>
    <row r="17" spans="1:44" ht="18.75" customHeight="1">
      <c r="B17" s="336">
        <v>1</v>
      </c>
      <c r="C17" s="337"/>
      <c r="D17" s="328" t="s">
        <v>120</v>
      </c>
      <c r="E17" s="329"/>
      <c r="F17" s="329"/>
      <c r="G17" s="329"/>
      <c r="H17" s="329"/>
      <c r="I17" s="329"/>
      <c r="J17" s="329"/>
      <c r="K17" s="329"/>
      <c r="L17" s="329"/>
      <c r="M17" s="329"/>
      <c r="N17" s="329"/>
      <c r="O17" s="330">
        <v>50000</v>
      </c>
      <c r="P17" s="331"/>
      <c r="Q17" s="332"/>
      <c r="R17" s="321">
        <f>AD17</f>
        <v>116</v>
      </c>
      <c r="S17" s="322"/>
      <c r="T17" s="323"/>
      <c r="U17" s="330">
        <f>O17*R17</f>
        <v>5800000</v>
      </c>
      <c r="V17" s="331"/>
      <c r="W17" s="331"/>
      <c r="X17" s="331"/>
      <c r="Y17" s="332"/>
      <c r="AD17" s="125">
        <v>116</v>
      </c>
    </row>
    <row r="18" spans="1:44" ht="18.75" customHeight="1">
      <c r="B18" s="325" t="s">
        <v>121</v>
      </c>
      <c r="C18" s="326"/>
      <c r="D18" s="326"/>
      <c r="E18" s="326"/>
      <c r="F18" s="326"/>
      <c r="G18" s="326"/>
      <c r="H18" s="326"/>
      <c r="I18" s="326"/>
      <c r="J18" s="326"/>
      <c r="K18" s="326"/>
      <c r="L18" s="326"/>
      <c r="M18" s="326"/>
      <c r="N18" s="326"/>
      <c r="O18" s="326"/>
      <c r="P18" s="326"/>
      <c r="Q18" s="326"/>
      <c r="R18" s="326"/>
      <c r="S18" s="326"/>
      <c r="T18" s="327"/>
      <c r="U18" s="333">
        <f>U17</f>
        <v>5800000</v>
      </c>
      <c r="V18" s="334"/>
      <c r="W18" s="334"/>
      <c r="X18" s="334"/>
      <c r="Y18" s="335"/>
      <c r="AD18" s="147">
        <f>U18</f>
        <v>5800000</v>
      </c>
    </row>
    <row r="19" spans="1:44">
      <c r="B19" s="321" t="str">
        <f>"Bằng chữ: "&amp;AD19</f>
        <v>Bằng chữ: Ba triệu năm trăm ngàn đồng chẵn.</v>
      </c>
      <c r="C19" s="322"/>
      <c r="D19" s="322"/>
      <c r="E19" s="322"/>
      <c r="F19" s="322"/>
      <c r="G19" s="322"/>
      <c r="H19" s="322"/>
      <c r="I19" s="322"/>
      <c r="J19" s="322"/>
      <c r="K19" s="322"/>
      <c r="L19" s="322"/>
      <c r="M19" s="322"/>
      <c r="N19" s="322"/>
      <c r="O19" s="322"/>
      <c r="P19" s="322"/>
      <c r="Q19" s="322"/>
      <c r="R19" s="322"/>
      <c r="S19" s="322"/>
      <c r="T19" s="322"/>
      <c r="U19" s="322"/>
      <c r="V19" s="322"/>
      <c r="W19" s="322"/>
      <c r="X19" s="322"/>
      <c r="Y19" s="323"/>
      <c r="AD19" s="125" t="s">
        <v>223</v>
      </c>
    </row>
    <row r="20" spans="1:44" ht="7.5" customHeight="1"/>
    <row r="21" spans="1:44" ht="18" customHeight="1">
      <c r="B21" s="315" t="s">
        <v>122</v>
      </c>
      <c r="C21" s="315"/>
      <c r="D21" s="315"/>
      <c r="E21" s="315"/>
      <c r="F21" s="315"/>
      <c r="G21" s="315"/>
      <c r="H21" s="315"/>
      <c r="I21" s="315"/>
      <c r="J21" s="315" t="s">
        <v>125</v>
      </c>
      <c r="K21" s="315"/>
      <c r="L21" s="315"/>
      <c r="M21" s="315"/>
      <c r="N21" s="315"/>
      <c r="O21" s="315"/>
      <c r="P21" s="315"/>
      <c r="Q21" s="315"/>
      <c r="R21" s="315"/>
      <c r="S21" s="315"/>
      <c r="T21" s="315"/>
      <c r="U21" s="315"/>
      <c r="V21" s="315"/>
      <c r="W21" s="315"/>
      <c r="X21" s="315"/>
      <c r="Y21" s="315"/>
    </row>
    <row r="22" spans="1:44" ht="18.75" customHeight="1">
      <c r="B22" s="315" t="s">
        <v>123</v>
      </c>
      <c r="C22" s="315"/>
      <c r="D22" s="315"/>
      <c r="E22" s="315"/>
      <c r="F22" s="315"/>
      <c r="G22" s="315"/>
      <c r="H22" s="315"/>
      <c r="I22" s="315"/>
      <c r="J22" s="315" t="s">
        <v>126</v>
      </c>
      <c r="K22" s="315"/>
      <c r="L22" s="315"/>
      <c r="M22" s="315"/>
      <c r="N22" s="315"/>
      <c r="O22" s="315"/>
      <c r="P22" s="315"/>
      <c r="Q22" s="315"/>
      <c r="R22" s="315"/>
      <c r="S22" s="315"/>
      <c r="T22" s="315"/>
      <c r="U22" s="315"/>
      <c r="V22" s="315"/>
      <c r="W22" s="315"/>
      <c r="X22" s="315"/>
      <c r="Y22" s="315"/>
    </row>
    <row r="23" spans="1:44" ht="18" customHeight="1">
      <c r="B23" s="320"/>
      <c r="C23" s="320"/>
      <c r="D23" s="320"/>
      <c r="E23" s="320"/>
      <c r="F23" s="320"/>
      <c r="G23" s="320"/>
      <c r="H23" s="320"/>
      <c r="I23" s="320"/>
      <c r="J23" s="315" t="s">
        <v>212</v>
      </c>
      <c r="K23" s="315"/>
      <c r="L23" s="315"/>
      <c r="M23" s="315"/>
      <c r="N23" s="315"/>
      <c r="O23" s="315"/>
      <c r="P23" s="315"/>
      <c r="Q23" s="315"/>
      <c r="R23" s="315"/>
      <c r="S23" s="315"/>
      <c r="T23" s="315"/>
      <c r="U23" s="315"/>
      <c r="V23" s="315"/>
      <c r="W23" s="315"/>
      <c r="X23" s="315"/>
      <c r="Y23" s="315"/>
    </row>
    <row r="24" spans="1:44" ht="16.5" customHeight="1">
      <c r="B24" s="315" t="s">
        <v>124</v>
      </c>
      <c r="C24" s="315"/>
      <c r="D24" s="315"/>
      <c r="E24" s="315"/>
      <c r="F24" s="315"/>
      <c r="G24" s="315"/>
      <c r="H24" s="315"/>
      <c r="I24" s="315"/>
      <c r="J24" s="315" t="s">
        <v>231</v>
      </c>
      <c r="K24" s="315"/>
      <c r="L24" s="315"/>
      <c r="M24" s="315"/>
      <c r="N24" s="315"/>
      <c r="O24" s="315"/>
      <c r="P24" s="315"/>
      <c r="Q24" s="315"/>
      <c r="R24" s="315"/>
      <c r="S24" s="315"/>
      <c r="T24" s="315"/>
      <c r="U24" s="315"/>
      <c r="V24" s="315"/>
      <c r="W24" s="315"/>
      <c r="X24" s="315"/>
      <c r="Y24" s="315"/>
    </row>
    <row r="25" spans="1:44" ht="17.25" customHeight="1">
      <c r="J25" s="315" t="s">
        <v>127</v>
      </c>
      <c r="K25" s="315"/>
      <c r="L25" s="315"/>
      <c r="M25" s="315"/>
      <c r="N25" s="315"/>
      <c r="O25" s="315"/>
      <c r="P25" s="315"/>
      <c r="Q25" s="315"/>
      <c r="R25" s="315"/>
      <c r="S25" s="315"/>
      <c r="T25" s="315"/>
      <c r="U25" s="315"/>
      <c r="V25" s="315"/>
      <c r="W25" s="315"/>
      <c r="X25" s="315"/>
      <c r="Y25" s="315"/>
    </row>
    <row r="26" spans="1:44" ht="47.25" customHeight="1">
      <c r="A26" s="316" t="s">
        <v>214</v>
      </c>
      <c r="B26" s="316"/>
      <c r="C26" s="316"/>
      <c r="D26" s="316"/>
      <c r="E26" s="316"/>
      <c r="F26" s="316"/>
      <c r="G26" s="316"/>
      <c r="H26" s="316"/>
      <c r="I26" s="316"/>
      <c r="J26" s="316"/>
      <c r="K26" s="316"/>
      <c r="L26" s="316"/>
      <c r="M26" s="316"/>
      <c r="N26" s="316"/>
      <c r="O26" s="316"/>
      <c r="P26" s="316"/>
      <c r="Q26" s="316"/>
      <c r="R26" s="316"/>
      <c r="S26" s="316"/>
      <c r="T26" s="316"/>
      <c r="U26" s="316"/>
      <c r="V26" s="316"/>
      <c r="W26" s="316"/>
      <c r="X26" s="316"/>
      <c r="Y26" s="316"/>
      <c r="Z26" s="316"/>
    </row>
    <row r="27" spans="1:44" ht="14.25" customHeight="1">
      <c r="AD27" s="69"/>
      <c r="AE27" s="69" t="s">
        <v>103</v>
      </c>
      <c r="AF27" s="69"/>
      <c r="AG27" s="125" t="s">
        <v>187</v>
      </c>
      <c r="AI27" s="69" t="s">
        <v>186</v>
      </c>
      <c r="AK27" s="69"/>
      <c r="AL27" s="69"/>
      <c r="AN27" s="69"/>
      <c r="AO27" s="69"/>
      <c r="AP27" s="69"/>
      <c r="AQ27" s="69"/>
      <c r="AR27" s="69"/>
    </row>
    <row r="28" spans="1:44" ht="16.5">
      <c r="A28" s="319" t="s">
        <v>128</v>
      </c>
      <c r="B28" s="319"/>
      <c r="C28" s="319"/>
      <c r="D28" s="319"/>
      <c r="E28" s="319"/>
      <c r="F28" s="319"/>
      <c r="G28" s="319"/>
      <c r="H28" s="319"/>
      <c r="I28" s="319"/>
      <c r="J28" s="319"/>
      <c r="K28" s="319"/>
      <c r="L28" s="319"/>
      <c r="M28" s="319"/>
      <c r="O28" s="314" t="str">
        <f>IF(AD34=0,AG27,IF(AD34=1,AE27,AI27))</f>
        <v>KT. GIÁM ĐỐC</v>
      </c>
      <c r="P28" s="314"/>
      <c r="Q28" s="314"/>
      <c r="R28" s="314"/>
      <c r="S28" s="314"/>
      <c r="T28" s="314"/>
      <c r="U28" s="314"/>
      <c r="V28" s="314"/>
      <c r="W28" s="314"/>
      <c r="X28" s="314"/>
      <c r="Y28" s="314"/>
      <c r="Z28" s="314"/>
      <c r="AD28" s="69"/>
      <c r="AF28" s="69"/>
      <c r="AG28" s="69" t="s">
        <v>184</v>
      </c>
      <c r="AH28" s="69"/>
      <c r="AI28" s="69" t="s">
        <v>135</v>
      </c>
      <c r="AK28" s="69"/>
      <c r="AL28" s="69"/>
      <c r="AN28" s="69"/>
      <c r="AO28" s="69"/>
      <c r="AP28" s="69"/>
      <c r="AQ28" s="69"/>
      <c r="AR28" s="69"/>
    </row>
    <row r="29" spans="1:44">
      <c r="A29" s="128" t="s">
        <v>129</v>
      </c>
      <c r="B29" s="100"/>
      <c r="C29" s="100"/>
      <c r="D29" s="100"/>
      <c r="E29" s="100"/>
      <c r="F29" s="100"/>
      <c r="O29" s="313" t="str">
        <f>IF(AD34=0,AG28,IF(AD34=1,"",AI28))</f>
        <v>PHÓ GIÁM ĐỐC</v>
      </c>
      <c r="P29" s="313"/>
      <c r="Q29" s="313"/>
      <c r="R29" s="313"/>
      <c r="S29" s="313"/>
      <c r="T29" s="313"/>
      <c r="U29" s="313"/>
      <c r="V29" s="313"/>
      <c r="W29" s="313"/>
      <c r="X29" s="313"/>
      <c r="Y29" s="313"/>
      <c r="Z29" s="313"/>
      <c r="AD29" s="69"/>
      <c r="AE29" s="69"/>
      <c r="AF29" s="69"/>
      <c r="AG29" s="69"/>
      <c r="AH29" s="69"/>
      <c r="AI29" s="69"/>
      <c r="AK29" s="69"/>
      <c r="AL29" s="69"/>
      <c r="AM29" s="69"/>
      <c r="AN29" s="69"/>
      <c r="AO29" s="69"/>
      <c r="AP29" s="69"/>
      <c r="AQ29" s="69"/>
      <c r="AR29" s="69"/>
    </row>
    <row r="30" spans="1:44">
      <c r="A30" s="128" t="str">
        <f>IF(AD34=1,AD31,AD30:AD31)</f>
        <v>-    GĐTT (để báo cáo);</v>
      </c>
      <c r="B30" s="100"/>
      <c r="C30" s="100"/>
      <c r="D30" s="100"/>
      <c r="E30" s="100"/>
      <c r="F30" s="100"/>
      <c r="AD30" s="128" t="s">
        <v>188</v>
      </c>
      <c r="AE30" s="69"/>
      <c r="AF30" s="69"/>
      <c r="AG30" s="69"/>
      <c r="AH30" s="69"/>
      <c r="AI30" s="69"/>
      <c r="AK30" s="69"/>
      <c r="AL30" s="69"/>
      <c r="AM30" s="69"/>
      <c r="AN30" s="69"/>
      <c r="AO30" s="69"/>
      <c r="AP30" s="69"/>
      <c r="AQ30" s="69"/>
      <c r="AR30" s="69"/>
    </row>
    <row r="31" spans="1:44" ht="16.5" customHeight="1">
      <c r="A31" s="128" t="str">
        <f>IF(AD34=1,"",AD31)</f>
        <v>-    Lưu: PTH, PKĐ.</v>
      </c>
      <c r="AD31" s="128" t="s">
        <v>221</v>
      </c>
      <c r="AE31" s="69"/>
      <c r="AF31" s="69"/>
      <c r="AG31" s="69"/>
      <c r="AH31" s="69"/>
      <c r="AI31" s="69"/>
      <c r="AK31" s="69"/>
      <c r="AL31" s="69"/>
      <c r="AM31" s="69"/>
      <c r="AN31" s="69"/>
      <c r="AO31" s="69"/>
      <c r="AP31" s="69"/>
      <c r="AQ31" s="69"/>
      <c r="AR31" s="69"/>
    </row>
    <row r="32" spans="1:44" ht="16.5" customHeight="1">
      <c r="AD32" s="69"/>
      <c r="AE32" s="69"/>
      <c r="AF32" s="69"/>
      <c r="AG32" s="69"/>
      <c r="AH32" s="69"/>
      <c r="AI32" s="69"/>
      <c r="AK32" s="69"/>
      <c r="AL32" s="69"/>
      <c r="AM32" s="69"/>
      <c r="AN32" s="69"/>
      <c r="AO32" s="69"/>
      <c r="AP32" s="69"/>
      <c r="AQ32" s="69"/>
      <c r="AR32" s="69"/>
    </row>
    <row r="33" spans="15:44" ht="16.5" customHeight="1">
      <c r="O33" s="129"/>
      <c r="P33" s="129"/>
      <c r="Q33" s="129"/>
      <c r="R33" s="129"/>
      <c r="S33" s="129"/>
      <c r="T33" s="129"/>
      <c r="U33" s="129"/>
      <c r="V33" s="129"/>
      <c r="W33" s="129"/>
      <c r="X33" s="129"/>
      <c r="Y33" s="129"/>
      <c r="Z33" s="129"/>
      <c r="AD33" s="69"/>
      <c r="AE33" s="69"/>
      <c r="AF33" s="69"/>
      <c r="AG33" s="69"/>
      <c r="AH33" s="69"/>
      <c r="AI33" s="69"/>
      <c r="AK33" s="69"/>
      <c r="AL33" s="69"/>
      <c r="AM33" s="69"/>
      <c r="AN33" s="69"/>
      <c r="AO33" s="69"/>
      <c r="AP33" s="69"/>
      <c r="AQ33" s="69"/>
      <c r="AR33" s="69"/>
    </row>
    <row r="34" spans="15:44" ht="16.5" customHeight="1">
      <c r="O34" s="314" t="str">
        <f>IF(AD34=0,AG34,IF(AD34=1,AE34,AI34))</f>
        <v>Trần Công Khanh</v>
      </c>
      <c r="P34" s="314"/>
      <c r="Q34" s="314"/>
      <c r="R34" s="314"/>
      <c r="S34" s="314"/>
      <c r="T34" s="314"/>
      <c r="U34" s="314"/>
      <c r="V34" s="314"/>
      <c r="W34" s="314"/>
      <c r="X34" s="314"/>
      <c r="Y34" s="314"/>
      <c r="Z34" s="314"/>
      <c r="AD34" s="69">
        <v>0</v>
      </c>
      <c r="AE34" s="69" t="s">
        <v>109</v>
      </c>
      <c r="AF34" s="69"/>
      <c r="AG34" s="69" t="s">
        <v>185</v>
      </c>
      <c r="AH34" s="69"/>
      <c r="AI34" s="69" t="s">
        <v>131</v>
      </c>
      <c r="AK34" s="69"/>
      <c r="AL34" s="69"/>
      <c r="AM34" s="69"/>
      <c r="AO34" s="69"/>
      <c r="AP34" s="69"/>
      <c r="AQ34" s="69"/>
      <c r="AR34" s="69"/>
    </row>
  </sheetData>
  <mergeCells count="43">
    <mergeCell ref="A1:J1"/>
    <mergeCell ref="A2:J2"/>
    <mergeCell ref="A3:J3"/>
    <mergeCell ref="A14:Z14"/>
    <mergeCell ref="A15:Z15"/>
    <mergeCell ref="C4:H4"/>
    <mergeCell ref="G13:M13"/>
    <mergeCell ref="C7:X7"/>
    <mergeCell ref="C8:X8"/>
    <mergeCell ref="Q13:W13"/>
    <mergeCell ref="N4:Z4"/>
    <mergeCell ref="D11:F11"/>
    <mergeCell ref="D10:W10"/>
    <mergeCell ref="J24:Y24"/>
    <mergeCell ref="B19:Y19"/>
    <mergeCell ref="R16:T16"/>
    <mergeCell ref="O16:Q16"/>
    <mergeCell ref="D16:N16"/>
    <mergeCell ref="D17:N17"/>
    <mergeCell ref="O17:Q17"/>
    <mergeCell ref="R17:T17"/>
    <mergeCell ref="U18:Y18"/>
    <mergeCell ref="U16:Y16"/>
    <mergeCell ref="U17:Y17"/>
    <mergeCell ref="B18:T18"/>
    <mergeCell ref="B16:C16"/>
    <mergeCell ref="B17:C17"/>
    <mergeCell ref="O29:Z29"/>
    <mergeCell ref="O34:Z34"/>
    <mergeCell ref="J25:Y25"/>
    <mergeCell ref="A26:Z26"/>
    <mergeCell ref="N1:Z1"/>
    <mergeCell ref="N2:Z2"/>
    <mergeCell ref="G11:W12"/>
    <mergeCell ref="O28:Z28"/>
    <mergeCell ref="A28:M28"/>
    <mergeCell ref="B21:I21"/>
    <mergeCell ref="B22:I22"/>
    <mergeCell ref="B23:I23"/>
    <mergeCell ref="B24:I24"/>
    <mergeCell ref="J21:Y21"/>
    <mergeCell ref="J22:Y22"/>
    <mergeCell ref="J23:Y23"/>
  </mergeCells>
  <printOptions horizontalCentered="1"/>
  <pageMargins left="0.75" right="0.5" top="0.75" bottom="0.75" header="0" footer="0"/>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M5"/>
  <sheetViews>
    <sheetView view="pageLayout" zoomScale="85" zoomScalePageLayoutView="85" workbookViewId="0">
      <selection activeCell="D5" sqref="D5"/>
    </sheetView>
  </sheetViews>
  <sheetFormatPr defaultColWidth="9.140625" defaultRowHeight="15"/>
  <cols>
    <col min="1" max="1" width="6.7109375" style="131" customWidth="1"/>
    <col min="2" max="2" width="13" style="131" customWidth="1"/>
    <col min="3" max="3" width="46.7109375" style="131" customWidth="1"/>
    <col min="4" max="4" width="20.42578125" style="131" customWidth="1"/>
    <col min="5" max="5" width="3" customWidth="1"/>
    <col min="6" max="6" width="9.28515625" customWidth="1"/>
    <col min="7" max="7" width="10" customWidth="1"/>
    <col min="8" max="8" width="25.140625" customWidth="1"/>
    <col min="9" max="9" width="10.28515625" customWidth="1"/>
    <col min="10" max="10" width="6.140625" customWidth="1"/>
    <col min="11" max="11" width="6.28515625" customWidth="1"/>
    <col min="12" max="12" width="4.85546875" customWidth="1"/>
    <col min="13" max="13" width="13.28515625" customWidth="1"/>
    <col min="14" max="107" width="3.140625" customWidth="1"/>
  </cols>
  <sheetData>
    <row r="1" spans="1:13" ht="16.5" customHeight="1">
      <c r="A1" s="344" t="s">
        <v>149</v>
      </c>
      <c r="B1" s="344"/>
      <c r="C1" s="344"/>
      <c r="D1" s="344"/>
      <c r="E1" s="344" t="s">
        <v>149</v>
      </c>
      <c r="F1" s="344"/>
      <c r="G1" s="344"/>
      <c r="H1" s="344"/>
      <c r="I1" s="344"/>
      <c r="J1" s="344"/>
      <c r="K1" s="344"/>
      <c r="L1" s="344"/>
      <c r="M1" s="344"/>
    </row>
    <row r="2" spans="1:13" ht="15.75" customHeight="1">
      <c r="A2" s="345" t="s">
        <v>264</v>
      </c>
      <c r="B2" s="345"/>
      <c r="C2" s="345"/>
      <c r="D2" s="345"/>
      <c r="E2" s="345" t="s">
        <v>271</v>
      </c>
      <c r="F2" s="345"/>
      <c r="G2" s="345"/>
      <c r="H2" s="345"/>
      <c r="I2" s="345"/>
      <c r="J2" s="345"/>
      <c r="K2" s="345"/>
      <c r="L2" s="345"/>
      <c r="M2" s="345"/>
    </row>
    <row r="3" spans="1:13" s="112" customFormat="1" ht="15.75" customHeight="1">
      <c r="A3" s="346"/>
      <c r="B3" s="346"/>
      <c r="C3" s="346"/>
      <c r="D3" s="346"/>
    </row>
    <row r="4" spans="1:13" ht="94.5">
      <c r="A4" s="143" t="s">
        <v>0</v>
      </c>
      <c r="B4" s="143" t="s">
        <v>17</v>
      </c>
      <c r="C4" s="143" t="s">
        <v>24</v>
      </c>
      <c r="D4" s="143" t="s">
        <v>150</v>
      </c>
      <c r="E4" s="202" t="s">
        <v>0</v>
      </c>
      <c r="F4" s="202" t="s">
        <v>265</v>
      </c>
      <c r="G4" s="202" t="s">
        <v>17</v>
      </c>
      <c r="H4" s="202" t="s">
        <v>24</v>
      </c>
      <c r="I4" s="202" t="s">
        <v>266</v>
      </c>
      <c r="J4" s="202" t="s">
        <v>267</v>
      </c>
      <c r="K4" s="202" t="s">
        <v>36</v>
      </c>
      <c r="L4" s="202" t="s">
        <v>268</v>
      </c>
      <c r="M4" s="202" t="s">
        <v>269</v>
      </c>
    </row>
    <row r="5" spans="1:13" ht="38.25">
      <c r="A5" s="180">
        <v>1</v>
      </c>
      <c r="B5" s="180" t="s">
        <v>253</v>
      </c>
      <c r="C5" s="197" t="s">
        <v>243</v>
      </c>
      <c r="D5" s="198" t="s">
        <v>261</v>
      </c>
      <c r="E5" s="199">
        <f>A5</f>
        <v>1</v>
      </c>
      <c r="F5" s="200">
        <v>1703176</v>
      </c>
      <c r="G5" s="200">
        <v>308073</v>
      </c>
      <c r="H5" s="201" t="str">
        <f>C5</f>
        <v>Số 1096, đường Lạc Long Quân, phường 8, quận Tân Bình, thành phố Hồ Chí Minh.</v>
      </c>
      <c r="I5" s="200" t="s">
        <v>270</v>
      </c>
      <c r="J5" s="199" t="s">
        <v>249</v>
      </c>
      <c r="K5" s="200" t="s">
        <v>249</v>
      </c>
      <c r="L5" s="199"/>
      <c r="M5" s="200" t="str">
        <f>D5</f>
        <v>B00410011217TG05</v>
      </c>
    </row>
  </sheetData>
  <mergeCells count="5">
    <mergeCell ref="A1:D1"/>
    <mergeCell ref="A2:D2"/>
    <mergeCell ref="A3:D3"/>
    <mergeCell ref="E1:M1"/>
    <mergeCell ref="E2:M2"/>
  </mergeCells>
  <pageMargins left="0.35714285714285715" right="0.25297619047619047" top="0.78740157480314965" bottom="0.78740157480314965" header="0.39370078740157483" footer="0.39370078740157483"/>
  <pageSetup paperSize="9" orientation="portrait" r:id="rId1"/>
  <headerFooter>
    <oddFooter>&amp;C&amp;"Times New Roman,thường"&amp;P/&amp;N</odd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14"/>
  <sheetViews>
    <sheetView workbookViewId="0">
      <selection activeCell="W5" sqref="W5"/>
    </sheetView>
  </sheetViews>
  <sheetFormatPr defaultColWidth="9.140625" defaultRowHeight="15"/>
  <cols>
    <col min="1" max="1" width="5.140625" style="186" customWidth="1"/>
    <col min="2" max="2" width="39.140625" style="109" customWidth="1"/>
    <col min="3" max="3" width="13.140625" style="186" customWidth="1"/>
    <col min="4" max="4" width="20.5703125" style="186" customWidth="1"/>
    <col min="5" max="5" width="21.28515625" style="186" customWidth="1"/>
    <col min="6" max="6" width="10.140625" style="97" bestFit="1" customWidth="1"/>
    <col min="7" max="7" width="8.5703125" style="186" bestFit="1" customWidth="1"/>
    <col min="8" max="8" width="16.28515625" style="186" customWidth="1"/>
    <col min="9" max="9" width="27.42578125" style="97" hidden="1" customWidth="1"/>
    <col min="10" max="10" width="12.140625" style="97" hidden="1" customWidth="1"/>
    <col min="11" max="19" width="0" style="97" hidden="1" customWidth="1"/>
    <col min="20" max="20" width="24.140625" style="97" hidden="1" customWidth="1"/>
    <col min="21" max="21" width="11.42578125" style="97" hidden="1" customWidth="1"/>
    <col min="22" max="22" width="26.28515625" style="97" hidden="1" customWidth="1"/>
    <col min="23" max="23" width="45.5703125" style="181" customWidth="1"/>
    <col min="24" max="16384" width="9.140625" style="97"/>
  </cols>
  <sheetData>
    <row r="1" spans="1:23" ht="7.5" customHeight="1">
      <c r="A1" s="189"/>
      <c r="B1" s="191"/>
      <c r="C1" s="189"/>
      <c r="D1" s="189"/>
      <c r="E1" s="185"/>
      <c r="F1" s="157"/>
      <c r="G1" s="185"/>
      <c r="H1" s="185"/>
      <c r="I1" s="157"/>
      <c r="J1" s="157"/>
      <c r="K1" s="157"/>
      <c r="L1" s="157"/>
      <c r="M1" s="157"/>
      <c r="N1" s="157"/>
      <c r="O1" s="157"/>
      <c r="P1" s="157"/>
      <c r="Q1" s="157"/>
      <c r="R1" s="157"/>
      <c r="S1" s="157"/>
      <c r="T1" s="157"/>
      <c r="U1" s="157"/>
      <c r="V1" s="157"/>
    </row>
    <row r="2" spans="1:23" ht="17.25">
      <c r="B2" s="347" t="s">
        <v>174</v>
      </c>
      <c r="C2" s="347"/>
      <c r="D2" s="347"/>
      <c r="E2" s="347"/>
      <c r="F2" s="347"/>
      <c r="O2" s="169" t="s">
        <v>203</v>
      </c>
      <c r="T2" s="169" t="s">
        <v>202</v>
      </c>
    </row>
    <row r="3" spans="1:23" ht="9.75" customHeight="1">
      <c r="A3" s="187"/>
      <c r="B3" s="192"/>
      <c r="C3" s="187"/>
      <c r="D3" s="187"/>
      <c r="E3" s="187"/>
      <c r="F3" s="158"/>
      <c r="G3" s="187"/>
      <c r="H3" s="187"/>
      <c r="I3" s="158"/>
      <c r="J3" s="158"/>
      <c r="K3" s="158"/>
      <c r="L3" s="158"/>
      <c r="M3" s="158"/>
      <c r="N3" s="158"/>
      <c r="O3" s="158"/>
      <c r="P3" s="158"/>
      <c r="Q3" s="158"/>
      <c r="R3" s="158"/>
      <c r="S3" s="158"/>
      <c r="T3" s="158"/>
      <c r="U3" s="158"/>
      <c r="V3" s="158"/>
    </row>
    <row r="4" spans="1:23" ht="36" customHeight="1">
      <c r="A4" s="196" t="s">
        <v>0</v>
      </c>
      <c r="B4" s="193" t="s">
        <v>24</v>
      </c>
      <c r="C4" s="196" t="s">
        <v>1</v>
      </c>
      <c r="D4" s="160" t="s">
        <v>201</v>
      </c>
      <c r="E4" s="160" t="s">
        <v>14</v>
      </c>
      <c r="F4" s="161" t="s">
        <v>32</v>
      </c>
      <c r="G4" s="161" t="s">
        <v>205</v>
      </c>
      <c r="H4" s="161" t="s">
        <v>79</v>
      </c>
      <c r="I4" s="161" t="s">
        <v>38</v>
      </c>
      <c r="J4" s="161" t="s">
        <v>39</v>
      </c>
      <c r="K4" s="162" t="s">
        <v>191</v>
      </c>
      <c r="L4" s="162" t="s">
        <v>192</v>
      </c>
      <c r="M4" s="162" t="s">
        <v>193</v>
      </c>
      <c r="N4" s="162" t="s">
        <v>194</v>
      </c>
      <c r="O4" s="162" t="s">
        <v>195</v>
      </c>
      <c r="P4" s="161" t="s">
        <v>196</v>
      </c>
      <c r="Q4" s="161" t="s">
        <v>197</v>
      </c>
      <c r="R4" s="161" t="s">
        <v>198</v>
      </c>
      <c r="S4" s="161" t="s">
        <v>199</v>
      </c>
      <c r="T4" s="161" t="s">
        <v>200</v>
      </c>
      <c r="U4" s="161" t="s">
        <v>7</v>
      </c>
      <c r="V4" s="161" t="s">
        <v>48</v>
      </c>
      <c r="W4" s="160" t="s">
        <v>163</v>
      </c>
    </row>
    <row r="5" spans="1:23" s="164" customFormat="1" ht="30">
      <c r="A5" s="163">
        <v>1</v>
      </c>
      <c r="B5" s="194" t="s">
        <v>250</v>
      </c>
      <c r="C5" s="190" t="s">
        <v>244</v>
      </c>
      <c r="D5" s="163" t="s">
        <v>260</v>
      </c>
      <c r="E5" s="163" t="s">
        <v>251</v>
      </c>
      <c r="F5" s="184">
        <v>43066</v>
      </c>
      <c r="G5" s="163">
        <v>0</v>
      </c>
      <c r="H5" s="163" t="s">
        <v>263</v>
      </c>
      <c r="I5" s="163">
        <v>0</v>
      </c>
      <c r="J5" s="163">
        <v>0.5</v>
      </c>
      <c r="K5" s="165" t="s">
        <v>130</v>
      </c>
      <c r="L5" s="165" t="s">
        <v>130</v>
      </c>
      <c r="M5" s="165" t="s">
        <v>130</v>
      </c>
      <c r="N5" s="165"/>
      <c r="O5" s="163" t="str">
        <f>IF(J5=1,K5,IF(J5=2,K5&amp;"/"&amp;L5,IF(J5=3,K5&amp;"/"&amp;L5&amp;"/"&amp;M5,IF(J5=4,K5&amp;"/"&amp;L5&amp;"/"&amp;M5&amp;"/"&amp;N5,""))))</f>
        <v/>
      </c>
      <c r="P5" s="165" t="s">
        <v>130</v>
      </c>
      <c r="Q5" s="165" t="e">
        <v>#VALUE!</v>
      </c>
      <c r="R5" s="165" t="e">
        <v>#VALUE!</v>
      </c>
      <c r="S5" s="165"/>
      <c r="T5" s="166" t="str">
        <f>IF(J5=1,TEXT(P5,"#,00")&amp;"W",IF(J5=2,TEXT(P5,"#,00")&amp;"W/"&amp;TEXT(Q5,"#,00")&amp;"W",IF(J5=3,TEXT(P5,"#,00")&amp;"W/"&amp;TEXT(Q5,"#,00")&amp;"W/"&amp;TEXT(R5,"#,00")&amp;"W",IF(J5=4,TEXT(P5,"#,00")&amp;"W/"&amp;TEXT(Q5,"#,00")&amp;"W/"&amp;TEXT(R5,"#,00")&amp;"W/"&amp;TEXT(S5,"#,00")&amp;"W",""))))</f>
        <v/>
      </c>
      <c r="U5" s="163">
        <v>0</v>
      </c>
      <c r="V5" s="163" t="s">
        <v>252</v>
      </c>
      <c r="W5" s="188">
        <v>0</v>
      </c>
    </row>
    <row r="14" spans="1:23">
      <c r="A14" s="190"/>
      <c r="B14" s="195"/>
      <c r="C14" s="190"/>
      <c r="D14" s="190"/>
    </row>
  </sheetData>
  <mergeCells count="1">
    <mergeCell ref="B2:F2"/>
  </mergeCells>
  <conditionalFormatting sqref="J4:J5">
    <cfRule type="cellIs" dxfId="0" priority="14" stopIfTrue="1" operator="notEqual">
      <formula>3</formula>
    </cfRule>
  </conditionalFormatting>
  <pageMargins left="0.59055118110236227" right="0.39370078740157483" top="0.59055118110236227" bottom="0.59055118110236227" header="0.31496062992125984" footer="0.31496062992125984"/>
  <pageSetup paperSize="9"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0000"/>
  </sheetPr>
  <dimension ref="A1:AV98"/>
  <sheetViews>
    <sheetView view="pageLayout" workbookViewId="0">
      <selection activeCell="AO29" sqref="AO29:AR29"/>
    </sheetView>
  </sheetViews>
  <sheetFormatPr defaultColWidth="3.140625" defaultRowHeight="12.75"/>
  <cols>
    <col min="1" max="1" width="3.140625" style="69"/>
    <col min="2" max="2" width="2" style="69" customWidth="1"/>
    <col min="3" max="15" width="3.140625" style="69"/>
    <col min="16" max="29" width="3.140625" style="69" customWidth="1"/>
    <col min="30" max="30" width="6" style="69" customWidth="1"/>
    <col min="31" max="31" width="3.140625" style="96" customWidth="1"/>
    <col min="32" max="32" width="3.140625" style="69"/>
    <col min="33" max="33" width="3.5703125" style="69" bestFit="1" customWidth="1"/>
    <col min="34" max="44" width="3.140625" style="69"/>
    <col min="45" max="45" width="5" style="69" bestFit="1" customWidth="1"/>
    <col min="46" max="16384" width="3.140625" style="69"/>
  </cols>
  <sheetData>
    <row r="1" spans="2:45" ht="19.7" customHeight="1">
      <c r="B1" s="370" t="s">
        <v>80</v>
      </c>
      <c r="C1" s="370"/>
      <c r="D1" s="370"/>
      <c r="E1" s="370"/>
      <c r="F1" s="370"/>
      <c r="G1" s="370"/>
      <c r="H1" s="370"/>
      <c r="I1" s="370"/>
      <c r="J1" s="370"/>
      <c r="K1" s="370"/>
      <c r="L1" s="370"/>
      <c r="M1" s="370"/>
      <c r="P1" s="351" t="s">
        <v>81</v>
      </c>
      <c r="Q1" s="351"/>
      <c r="R1" s="351"/>
      <c r="S1" s="351"/>
      <c r="T1" s="351"/>
      <c r="U1" s="351"/>
      <c r="V1" s="351"/>
      <c r="W1" s="351"/>
      <c r="X1" s="351"/>
      <c r="Y1" s="351"/>
      <c r="Z1" s="351"/>
      <c r="AA1" s="351"/>
      <c r="AB1" s="351"/>
      <c r="AC1" s="351"/>
      <c r="AD1" s="351"/>
      <c r="AE1" s="88"/>
    </row>
    <row r="2" spans="2:45" ht="19.7" customHeight="1">
      <c r="C2" s="370" t="s">
        <v>82</v>
      </c>
      <c r="D2" s="370"/>
      <c r="E2" s="370"/>
      <c r="F2" s="370"/>
      <c r="G2" s="370"/>
      <c r="H2" s="370"/>
      <c r="I2" s="370"/>
      <c r="J2" s="370"/>
      <c r="K2" s="370"/>
      <c r="L2" s="370"/>
      <c r="N2" s="71"/>
      <c r="P2" s="359" t="s">
        <v>153</v>
      </c>
      <c r="Q2" s="359"/>
      <c r="R2" s="359"/>
      <c r="S2" s="359"/>
      <c r="T2" s="359"/>
      <c r="U2" s="359"/>
      <c r="V2" s="359"/>
      <c r="W2" s="359"/>
      <c r="X2" s="359"/>
      <c r="Y2" s="359"/>
      <c r="Z2" s="359"/>
      <c r="AA2" s="359"/>
      <c r="AB2" s="359"/>
      <c r="AC2" s="359"/>
      <c r="AD2" s="359"/>
    </row>
    <row r="3" spans="2:45" ht="12" customHeight="1">
      <c r="C3" s="72"/>
      <c r="D3" s="72"/>
      <c r="E3" s="132"/>
      <c r="F3" s="132"/>
      <c r="G3" s="132"/>
      <c r="H3" s="132"/>
      <c r="I3" s="132"/>
      <c r="J3" s="132"/>
      <c r="K3" s="72"/>
      <c r="L3" s="73"/>
      <c r="M3" s="72"/>
      <c r="N3" s="72"/>
      <c r="O3" s="72"/>
      <c r="P3" s="72"/>
      <c r="Q3" s="74"/>
      <c r="R3" s="74"/>
      <c r="S3" s="132"/>
      <c r="T3" s="132"/>
      <c r="U3" s="132"/>
      <c r="V3" s="132"/>
      <c r="W3" s="132"/>
      <c r="X3" s="132"/>
      <c r="Y3" s="132"/>
      <c r="Z3" s="132"/>
      <c r="AA3" s="132"/>
    </row>
    <row r="4" spans="2:45" ht="8.25" customHeight="1">
      <c r="C4" s="75"/>
      <c r="D4" s="75"/>
      <c r="E4" s="76"/>
      <c r="F4" s="76"/>
      <c r="G4" s="76"/>
      <c r="H4" s="76"/>
      <c r="I4" s="76"/>
      <c r="J4" s="76"/>
      <c r="K4" s="76"/>
      <c r="L4" s="77"/>
      <c r="M4" s="77"/>
      <c r="N4" s="77"/>
      <c r="O4" s="77"/>
      <c r="P4" s="76"/>
      <c r="Q4" s="78"/>
      <c r="R4" s="78"/>
      <c r="S4" s="78"/>
      <c r="T4" s="78"/>
      <c r="U4" s="78"/>
      <c r="V4" s="78"/>
      <c r="W4" s="78"/>
      <c r="X4" s="78"/>
      <c r="Y4" s="78"/>
      <c r="Z4" s="78"/>
      <c r="AA4" s="78"/>
      <c r="AB4" s="78"/>
      <c r="AC4" s="78"/>
      <c r="AD4" s="78"/>
    </row>
    <row r="5" spans="2:45" ht="9.75" hidden="1" customHeight="1">
      <c r="C5" s="79"/>
      <c r="D5" s="79"/>
      <c r="E5" s="72"/>
      <c r="F5" s="72"/>
      <c r="G5" s="72"/>
      <c r="H5" s="72"/>
      <c r="I5" s="72"/>
      <c r="J5" s="72"/>
      <c r="K5" s="72"/>
      <c r="L5" s="72"/>
      <c r="M5" s="72"/>
      <c r="N5" s="72"/>
      <c r="O5" s="72"/>
      <c r="P5" s="72"/>
      <c r="Q5" s="72"/>
      <c r="R5" s="72"/>
      <c r="S5" s="72"/>
      <c r="T5" s="72"/>
      <c r="U5" s="72"/>
      <c r="V5" s="72"/>
      <c r="W5" s="72"/>
      <c r="X5" s="72"/>
      <c r="Y5" s="72"/>
      <c r="Z5" s="72"/>
      <c r="AA5" s="72"/>
    </row>
    <row r="6" spans="2:45" ht="19.7" customHeight="1">
      <c r="C6" s="363" t="s">
        <v>83</v>
      </c>
      <c r="D6" s="363"/>
      <c r="E6" s="363"/>
      <c r="F6" s="363"/>
      <c r="G6" s="363"/>
      <c r="H6" s="363"/>
      <c r="I6" s="363"/>
      <c r="J6" s="363"/>
      <c r="K6" s="363"/>
      <c r="L6" s="363"/>
      <c r="M6" s="363"/>
      <c r="N6" s="363"/>
      <c r="O6" s="363"/>
      <c r="P6" s="363"/>
      <c r="Q6" s="363"/>
      <c r="R6" s="363"/>
      <c r="S6" s="363"/>
      <c r="T6" s="363"/>
      <c r="U6" s="363"/>
      <c r="V6" s="363"/>
      <c r="W6" s="363"/>
      <c r="X6" s="363"/>
      <c r="Y6" s="363"/>
      <c r="Z6" s="363"/>
      <c r="AA6" s="363"/>
      <c r="AB6" s="363"/>
      <c r="AC6" s="363"/>
      <c r="AD6" s="363"/>
    </row>
    <row r="7" spans="2:45" ht="19.7" customHeight="1">
      <c r="C7" s="363" t="s">
        <v>84</v>
      </c>
      <c r="D7" s="363"/>
      <c r="E7" s="363"/>
      <c r="F7" s="363"/>
      <c r="G7" s="363"/>
      <c r="H7" s="363"/>
      <c r="I7" s="363"/>
      <c r="J7" s="363"/>
      <c r="K7" s="363"/>
      <c r="L7" s="363"/>
      <c r="M7" s="363"/>
      <c r="N7" s="363"/>
      <c r="O7" s="363"/>
      <c r="P7" s="363"/>
      <c r="Q7" s="363"/>
      <c r="R7" s="363"/>
      <c r="S7" s="363"/>
      <c r="T7" s="363"/>
      <c r="U7" s="363"/>
      <c r="V7" s="363"/>
      <c r="W7" s="363"/>
      <c r="X7" s="363"/>
      <c r="Y7" s="363"/>
      <c r="Z7" s="363"/>
      <c r="AA7" s="363"/>
      <c r="AB7" s="363"/>
      <c r="AC7" s="363"/>
      <c r="AD7" s="363"/>
    </row>
    <row r="8" spans="2:45" ht="10.5" customHeight="1">
      <c r="C8" s="133"/>
      <c r="D8" s="134"/>
      <c r="E8" s="134"/>
      <c r="F8" s="134"/>
      <c r="G8" s="134"/>
      <c r="H8" s="134"/>
      <c r="I8" s="134"/>
      <c r="J8" s="134"/>
      <c r="K8" s="134"/>
      <c r="L8" s="134"/>
      <c r="M8" s="134"/>
      <c r="N8" s="134"/>
      <c r="O8" s="134"/>
      <c r="P8" s="134"/>
      <c r="Q8" s="134"/>
      <c r="R8" s="134"/>
      <c r="S8" s="134"/>
      <c r="T8" s="134"/>
      <c r="U8" s="134"/>
      <c r="V8" s="134"/>
      <c r="W8" s="134"/>
      <c r="X8" s="134"/>
      <c r="Y8" s="134"/>
      <c r="Z8" s="134"/>
      <c r="AA8" s="134"/>
      <c r="AB8" s="70"/>
      <c r="AC8" s="70"/>
      <c r="AD8" s="70"/>
    </row>
    <row r="9" spans="2:45" ht="15.75" customHeight="1">
      <c r="C9" s="371" t="str">
        <f>"Số: "&amp;AG9</f>
        <v>Số: B08600120811TG05</v>
      </c>
      <c r="D9" s="371"/>
      <c r="E9" s="371"/>
      <c r="F9" s="371"/>
      <c r="G9" s="371"/>
      <c r="H9" s="371"/>
      <c r="I9" s="371"/>
      <c r="J9" s="371"/>
      <c r="K9" s="371"/>
      <c r="L9" s="371"/>
      <c r="M9" s="371"/>
      <c r="N9" s="371"/>
      <c r="O9" s="371"/>
      <c r="P9" s="371"/>
      <c r="Q9" s="371"/>
      <c r="R9" s="371"/>
      <c r="S9" s="371"/>
      <c r="T9" s="371"/>
      <c r="U9" s="371"/>
      <c r="V9" s="371"/>
      <c r="W9" s="371"/>
      <c r="X9" s="371"/>
      <c r="Y9" s="371"/>
      <c r="Z9" s="371"/>
      <c r="AA9" s="371"/>
      <c r="AB9" s="371"/>
      <c r="AC9" s="371"/>
      <c r="AD9" s="371"/>
      <c r="AG9" s="81" t="s">
        <v>189</v>
      </c>
    </row>
    <row r="10" spans="2:45" ht="11.25" customHeight="1">
      <c r="C10" s="135"/>
      <c r="D10" s="134"/>
      <c r="E10" s="134"/>
      <c r="F10" s="134"/>
      <c r="G10" s="134"/>
      <c r="H10" s="134"/>
      <c r="I10" s="134"/>
      <c r="J10" s="134"/>
      <c r="K10" s="134"/>
      <c r="L10" s="134"/>
      <c r="M10" s="134"/>
      <c r="N10" s="134"/>
      <c r="O10" s="134"/>
      <c r="P10" s="134"/>
      <c r="Q10" s="134"/>
      <c r="R10" s="134"/>
      <c r="S10" s="134"/>
      <c r="T10" s="134"/>
      <c r="U10" s="134"/>
      <c r="V10" s="134"/>
      <c r="W10" s="134"/>
      <c r="X10" s="134"/>
      <c r="Y10" s="134"/>
      <c r="Z10" s="134"/>
      <c r="AA10" s="134"/>
      <c r="AB10" s="70"/>
      <c r="AC10" s="70"/>
      <c r="AD10" s="70"/>
    </row>
    <row r="11" spans="2:45" ht="19.7" customHeight="1">
      <c r="C11" s="363" t="s">
        <v>85</v>
      </c>
      <c r="D11" s="363"/>
      <c r="E11" s="363"/>
      <c r="F11" s="363"/>
      <c r="G11" s="363"/>
      <c r="H11" s="363"/>
      <c r="I11" s="363"/>
      <c r="J11" s="363"/>
      <c r="K11" s="363"/>
      <c r="L11" s="363"/>
      <c r="M11" s="363"/>
      <c r="N11" s="363"/>
      <c r="O11" s="363"/>
      <c r="P11" s="363"/>
      <c r="Q11" s="363"/>
      <c r="R11" s="363"/>
      <c r="S11" s="363"/>
      <c r="T11" s="363"/>
      <c r="U11" s="363"/>
      <c r="V11" s="363"/>
      <c r="W11" s="363"/>
      <c r="X11" s="363"/>
      <c r="Y11" s="363"/>
      <c r="Z11" s="363"/>
      <c r="AA11" s="363"/>
      <c r="AB11" s="363"/>
      <c r="AC11" s="363"/>
      <c r="AD11" s="363"/>
    </row>
    <row r="12" spans="2:45" ht="19.7" customHeight="1">
      <c r="C12" s="363" t="s">
        <v>86</v>
      </c>
      <c r="D12" s="363"/>
      <c r="E12" s="363"/>
      <c r="F12" s="363"/>
      <c r="G12" s="363"/>
      <c r="H12" s="363"/>
      <c r="I12" s="363"/>
      <c r="J12" s="363"/>
      <c r="K12" s="363"/>
      <c r="L12" s="363"/>
      <c r="M12" s="363"/>
      <c r="N12" s="363"/>
      <c r="O12" s="363"/>
      <c r="P12" s="363"/>
      <c r="Q12" s="363"/>
      <c r="R12" s="363"/>
      <c r="S12" s="363"/>
      <c r="T12" s="363"/>
      <c r="U12" s="363"/>
      <c r="V12" s="363"/>
      <c r="W12" s="363"/>
      <c r="X12" s="363"/>
      <c r="Y12" s="363"/>
      <c r="Z12" s="363"/>
      <c r="AA12" s="363"/>
      <c r="AB12" s="363"/>
      <c r="AC12" s="363"/>
      <c r="AD12" s="363"/>
    </row>
    <row r="13" spans="2:45" ht="7.5" customHeight="1">
      <c r="C13" s="102"/>
      <c r="D13" s="72"/>
      <c r="E13" s="72"/>
      <c r="F13" s="72"/>
      <c r="G13" s="72"/>
      <c r="H13" s="72"/>
      <c r="I13" s="72"/>
      <c r="J13" s="72"/>
      <c r="K13" s="72"/>
      <c r="L13" s="72"/>
      <c r="M13" s="72"/>
      <c r="N13" s="72"/>
      <c r="O13" s="72"/>
      <c r="P13" s="72"/>
      <c r="Q13" s="72"/>
      <c r="R13" s="72"/>
      <c r="S13" s="72"/>
      <c r="T13" s="72"/>
      <c r="U13" s="72"/>
      <c r="V13" s="72"/>
      <c r="W13" s="72"/>
      <c r="X13" s="72"/>
      <c r="Y13" s="72"/>
      <c r="Z13" s="72"/>
      <c r="AA13" s="72"/>
    </row>
    <row r="14" spans="2:45" ht="3" hidden="1" customHeight="1">
      <c r="C14" s="80"/>
      <c r="D14" s="72"/>
      <c r="E14" s="72"/>
      <c r="F14" s="72"/>
      <c r="G14" s="72"/>
      <c r="H14" s="72"/>
      <c r="I14" s="72"/>
      <c r="J14" s="72"/>
      <c r="K14" s="72"/>
      <c r="L14" s="72"/>
      <c r="M14" s="72"/>
      <c r="N14" s="72"/>
      <c r="O14" s="72"/>
      <c r="P14" s="72"/>
      <c r="Q14" s="72"/>
      <c r="R14" s="72"/>
      <c r="S14" s="72"/>
      <c r="T14" s="72"/>
      <c r="U14" s="72"/>
      <c r="V14" s="72"/>
      <c r="W14" s="72"/>
      <c r="X14" s="72"/>
      <c r="Y14" s="72"/>
      <c r="Z14" s="72"/>
      <c r="AA14" s="72"/>
    </row>
    <row r="15" spans="2:45" ht="25.5" customHeight="1">
      <c r="C15" s="364" t="s">
        <v>84</v>
      </c>
      <c r="D15" s="365"/>
      <c r="E15" s="365"/>
      <c r="F15" s="365"/>
      <c r="G15" s="365"/>
      <c r="H15" s="365"/>
      <c r="I15" s="365"/>
      <c r="J15" s="365"/>
      <c r="K15" s="365"/>
      <c r="L15" s="365"/>
      <c r="M15" s="365"/>
      <c r="N15" s="365"/>
      <c r="O15" s="365"/>
      <c r="P15" s="365"/>
      <c r="Q15" s="365"/>
      <c r="R15" s="365"/>
      <c r="S15" s="365"/>
      <c r="T15" s="365"/>
      <c r="U15" s="365"/>
      <c r="V15" s="365"/>
      <c r="W15" s="365"/>
      <c r="X15" s="365"/>
      <c r="Y15" s="365"/>
      <c r="Z15" s="365"/>
      <c r="AA15" s="365"/>
      <c r="AB15" s="365"/>
      <c r="AC15" s="365"/>
      <c r="AD15" s="366"/>
      <c r="AE15" s="103"/>
      <c r="AG15" s="83">
        <v>1</v>
      </c>
      <c r="AH15" s="83"/>
      <c r="AI15" s="83"/>
      <c r="AJ15" s="83"/>
      <c r="AK15" s="83">
        <v>2</v>
      </c>
      <c r="AL15" s="83"/>
      <c r="AM15" s="83"/>
      <c r="AN15" s="83"/>
      <c r="AO15" s="83">
        <v>3</v>
      </c>
      <c r="AS15" s="69">
        <v>4</v>
      </c>
    </row>
    <row r="16" spans="2:45" ht="40.5" customHeight="1">
      <c r="C16" s="372" t="s">
        <v>24</v>
      </c>
      <c r="D16" s="373"/>
      <c r="E16" s="373"/>
      <c r="F16" s="373"/>
      <c r="G16" s="373"/>
      <c r="H16" s="373"/>
      <c r="I16" s="373"/>
      <c r="J16" s="373"/>
      <c r="K16" s="373"/>
      <c r="L16" s="374"/>
      <c r="M16" s="375" t="str">
        <f>AG16</f>
        <v>Ấp Bàu Trâu, xã Phước Thạnh, huyện Củ Chi, thành phố Hồ Chí Minh.</v>
      </c>
      <c r="N16" s="376"/>
      <c r="O16" s="376"/>
      <c r="P16" s="376"/>
      <c r="Q16" s="376"/>
      <c r="R16" s="376"/>
      <c r="S16" s="376"/>
      <c r="T16" s="376"/>
      <c r="U16" s="376"/>
      <c r="V16" s="376"/>
      <c r="W16" s="376"/>
      <c r="X16" s="376"/>
      <c r="Y16" s="376"/>
      <c r="Z16" s="376"/>
      <c r="AA16" s="376"/>
      <c r="AB16" s="376"/>
      <c r="AC16" s="376"/>
      <c r="AD16" s="377"/>
      <c r="AE16" s="103"/>
      <c r="AG16" s="170" t="s">
        <v>87</v>
      </c>
    </row>
    <row r="17" spans="3:48" ht="19.5" customHeight="1">
      <c r="C17" s="372" t="s">
        <v>17</v>
      </c>
      <c r="D17" s="373"/>
      <c r="E17" s="373"/>
      <c r="F17" s="373"/>
      <c r="G17" s="373"/>
      <c r="H17" s="373"/>
      <c r="I17" s="373"/>
      <c r="J17" s="373"/>
      <c r="K17" s="373"/>
      <c r="L17" s="374"/>
      <c r="M17" s="360" t="str">
        <f>IF(AG17="","",AG17)</f>
        <v/>
      </c>
      <c r="N17" s="361"/>
      <c r="O17" s="361"/>
      <c r="P17" s="361"/>
      <c r="Q17" s="361"/>
      <c r="R17" s="361"/>
      <c r="S17" s="361"/>
      <c r="T17" s="361"/>
      <c r="U17" s="361"/>
      <c r="V17" s="361"/>
      <c r="W17" s="361"/>
      <c r="X17" s="361"/>
      <c r="Y17" s="361"/>
      <c r="Z17" s="361"/>
      <c r="AA17" s="361"/>
      <c r="AB17" s="361"/>
      <c r="AC17" s="361"/>
      <c r="AD17" s="362"/>
      <c r="AE17" s="103"/>
    </row>
    <row r="18" spans="3:48" ht="33.950000000000003" customHeight="1">
      <c r="C18" s="367" t="s">
        <v>9</v>
      </c>
      <c r="D18" s="368"/>
      <c r="E18" s="368"/>
      <c r="F18" s="368"/>
      <c r="G18" s="368"/>
      <c r="H18" s="368"/>
      <c r="I18" s="368"/>
      <c r="J18" s="368"/>
      <c r="K18" s="368"/>
      <c r="L18" s="369"/>
      <c r="M18" s="360" t="str">
        <f>AG18</f>
        <v>CÔNG TY CỔ PHẦN VIỄN THÔNG DI ĐỘNG TOÀN CẦU</v>
      </c>
      <c r="N18" s="361"/>
      <c r="O18" s="361"/>
      <c r="P18" s="361"/>
      <c r="Q18" s="361"/>
      <c r="R18" s="361"/>
      <c r="S18" s="361"/>
      <c r="T18" s="361"/>
      <c r="U18" s="361"/>
      <c r="V18" s="361"/>
      <c r="W18" s="361"/>
      <c r="X18" s="361"/>
      <c r="Y18" s="361"/>
      <c r="Z18" s="361"/>
      <c r="AA18" s="361"/>
      <c r="AB18" s="361"/>
      <c r="AC18" s="361"/>
      <c r="AD18" s="362"/>
      <c r="AE18" s="103"/>
      <c r="AG18" s="81" t="s">
        <v>132</v>
      </c>
    </row>
    <row r="19" spans="3:48" ht="33.950000000000003" customHeight="1">
      <c r="C19" s="367" t="s">
        <v>16</v>
      </c>
      <c r="D19" s="368"/>
      <c r="E19" s="368"/>
      <c r="F19" s="368"/>
      <c r="G19" s="368"/>
      <c r="H19" s="368"/>
      <c r="I19" s="368"/>
      <c r="J19" s="368"/>
      <c r="K19" s="368"/>
      <c r="L19" s="369"/>
      <c r="M19" s="360" t="str">
        <f>AG19</f>
        <v>CÔNG TY CỔ PHẦN VIỄN THÔNG DI ĐỘNG TOÀN CẦU</v>
      </c>
      <c r="N19" s="361"/>
      <c r="O19" s="361"/>
      <c r="P19" s="361"/>
      <c r="Q19" s="361"/>
      <c r="R19" s="361"/>
      <c r="S19" s="361"/>
      <c r="T19" s="361"/>
      <c r="U19" s="361"/>
      <c r="V19" s="361"/>
      <c r="W19" s="361"/>
      <c r="X19" s="361"/>
      <c r="Y19" s="361"/>
      <c r="Z19" s="361"/>
      <c r="AA19" s="361"/>
      <c r="AB19" s="361"/>
      <c r="AC19" s="361"/>
      <c r="AD19" s="362"/>
      <c r="AE19" s="104"/>
      <c r="AG19" s="81" t="s">
        <v>132</v>
      </c>
    </row>
    <row r="20" spans="3:48" ht="21" customHeight="1">
      <c r="C20" s="384" t="s">
        <v>88</v>
      </c>
      <c r="D20" s="385"/>
      <c r="E20" s="385"/>
      <c r="F20" s="385"/>
      <c r="G20" s="385"/>
      <c r="H20" s="385"/>
      <c r="I20" s="385"/>
      <c r="J20" s="385"/>
      <c r="K20" s="385"/>
      <c r="L20" s="385"/>
      <c r="M20" s="385"/>
      <c r="N20" s="385"/>
      <c r="O20" s="385"/>
      <c r="P20" s="385"/>
      <c r="Q20" s="385"/>
      <c r="R20" s="385"/>
      <c r="S20" s="385"/>
      <c r="T20" s="385"/>
      <c r="U20" s="385"/>
      <c r="V20" s="385"/>
      <c r="W20" s="385"/>
      <c r="X20" s="385"/>
      <c r="Y20" s="385"/>
      <c r="Z20" s="385"/>
      <c r="AA20" s="385"/>
      <c r="AB20" s="385"/>
      <c r="AC20" s="385"/>
      <c r="AD20" s="386"/>
      <c r="AE20" s="105"/>
    </row>
    <row r="21" spans="3:48" ht="33.950000000000003" customHeight="1">
      <c r="C21" s="378" t="s">
        <v>89</v>
      </c>
      <c r="D21" s="378"/>
      <c r="E21" s="378"/>
      <c r="F21" s="378"/>
      <c r="G21" s="378"/>
      <c r="H21" s="378"/>
      <c r="I21" s="378"/>
      <c r="J21" s="378"/>
      <c r="K21" s="378"/>
      <c r="L21" s="378"/>
      <c r="M21" s="360" t="str">
        <f>AG21</f>
        <v>A</v>
      </c>
      <c r="N21" s="361"/>
      <c r="O21" s="361"/>
      <c r="P21" s="361"/>
      <c r="Q21" s="361"/>
      <c r="R21" s="361"/>
      <c r="S21" s="361"/>
      <c r="T21" s="361"/>
      <c r="U21" s="361"/>
      <c r="V21" s="361"/>
      <c r="W21" s="361"/>
      <c r="X21" s="361"/>
      <c r="Y21" s="361"/>
      <c r="Z21" s="361"/>
      <c r="AA21" s="361"/>
      <c r="AB21" s="361"/>
      <c r="AC21" s="361"/>
      <c r="AD21" s="362"/>
      <c r="AE21" s="103"/>
      <c r="AG21" s="81" t="s">
        <v>90</v>
      </c>
      <c r="AK21" s="81" t="s">
        <v>91</v>
      </c>
      <c r="AO21" s="81" t="s">
        <v>92</v>
      </c>
      <c r="AS21" s="81" t="s">
        <v>93</v>
      </c>
    </row>
    <row r="22" spans="3:48" ht="19.7" customHeight="1">
      <c r="C22" s="387" t="s">
        <v>94</v>
      </c>
      <c r="D22" s="388"/>
      <c r="E22" s="388"/>
      <c r="F22" s="388"/>
      <c r="G22" s="388"/>
      <c r="H22" s="388"/>
      <c r="I22" s="388"/>
      <c r="J22" s="388"/>
      <c r="K22" s="388"/>
      <c r="L22" s="389"/>
      <c r="M22" s="360">
        <f>AG22</f>
        <v>4</v>
      </c>
      <c r="N22" s="361"/>
      <c r="O22" s="361"/>
      <c r="P22" s="361"/>
      <c r="Q22" s="361"/>
      <c r="R22" s="361"/>
      <c r="S22" s="361"/>
      <c r="T22" s="361"/>
      <c r="U22" s="361"/>
      <c r="V22" s="361"/>
      <c r="W22" s="361"/>
      <c r="X22" s="361"/>
      <c r="Y22" s="361"/>
      <c r="Z22" s="361"/>
      <c r="AA22" s="361"/>
      <c r="AB22" s="361"/>
      <c r="AC22" s="361"/>
      <c r="AD22" s="362"/>
      <c r="AE22" s="103"/>
      <c r="AG22" s="83">
        <v>4</v>
      </c>
      <c r="AH22" s="83"/>
      <c r="AI22" s="83"/>
      <c r="AJ22" s="83"/>
      <c r="AK22" s="83">
        <v>1</v>
      </c>
      <c r="AL22" s="83"/>
      <c r="AM22" s="83"/>
      <c r="AN22" s="83"/>
      <c r="AO22" s="83">
        <v>3</v>
      </c>
      <c r="AS22" s="69">
        <v>1</v>
      </c>
    </row>
    <row r="23" spans="3:48" ht="19.7" customHeight="1">
      <c r="C23" s="378" t="s">
        <v>95</v>
      </c>
      <c r="D23" s="378"/>
      <c r="E23" s="378"/>
      <c r="F23" s="378"/>
      <c r="G23" s="378"/>
      <c r="H23" s="378"/>
      <c r="I23" s="378"/>
      <c r="J23" s="378"/>
      <c r="K23" s="378"/>
      <c r="L23" s="378"/>
      <c r="M23" s="381" t="str">
        <f>AG23</f>
        <v>4/4/4</v>
      </c>
      <c r="N23" s="382"/>
      <c r="O23" s="382"/>
      <c r="P23" s="382"/>
      <c r="Q23" s="382"/>
      <c r="R23" s="382"/>
      <c r="S23" s="382"/>
      <c r="T23" s="382"/>
      <c r="U23" s="382"/>
      <c r="V23" s="382"/>
      <c r="W23" s="382"/>
      <c r="X23" s="382"/>
      <c r="Y23" s="382"/>
      <c r="Z23" s="382"/>
      <c r="AA23" s="382"/>
      <c r="AB23" s="382"/>
      <c r="AC23" s="382"/>
      <c r="AD23" s="383"/>
      <c r="AE23" s="106"/>
      <c r="AG23" s="85" t="s">
        <v>96</v>
      </c>
      <c r="AH23" s="86"/>
      <c r="AI23" s="86"/>
      <c r="AJ23" s="86"/>
      <c r="AK23" s="85" t="s">
        <v>97</v>
      </c>
      <c r="AL23" s="86"/>
      <c r="AM23" s="86"/>
      <c r="AN23" s="86"/>
      <c r="AO23" s="85" t="s">
        <v>98</v>
      </c>
      <c r="AP23" s="86"/>
      <c r="AQ23" s="86"/>
      <c r="AR23" s="86"/>
      <c r="AS23" s="85" t="s">
        <v>99</v>
      </c>
    </row>
    <row r="24" spans="3:48" ht="19.7" customHeight="1">
      <c r="C24" s="387" t="s">
        <v>133</v>
      </c>
      <c r="D24" s="388"/>
      <c r="E24" s="388"/>
      <c r="F24" s="388"/>
      <c r="G24" s="388"/>
      <c r="H24" s="388"/>
      <c r="I24" s="388"/>
      <c r="J24" s="388"/>
      <c r="K24" s="388"/>
      <c r="L24" s="389"/>
      <c r="M24" s="360" t="str">
        <f>IF(M22=4,AG24&amp;"W/ "&amp;AH24&amp;"W/ "&amp;AI24&amp;"W/ "&amp;AJ24&amp;"W",IF(M22=3,AG24&amp;"W/ "&amp;AH24&amp;"W/ "&amp;AI24&amp;"W",IF(M22=2,AG24&amp;"W/ "&amp;AH24&amp;"W",AG24&amp;"W")))</f>
        <v>20W/ 20W/ 20W/ 20W</v>
      </c>
      <c r="N24" s="361"/>
      <c r="O24" s="361"/>
      <c r="P24" s="361"/>
      <c r="Q24" s="361"/>
      <c r="R24" s="361"/>
      <c r="S24" s="361"/>
      <c r="T24" s="361"/>
      <c r="U24" s="361"/>
      <c r="V24" s="361"/>
      <c r="W24" s="361"/>
      <c r="X24" s="361"/>
      <c r="Y24" s="361"/>
      <c r="Z24" s="361"/>
      <c r="AA24" s="361"/>
      <c r="AB24" s="361"/>
      <c r="AC24" s="361"/>
      <c r="AD24" s="362"/>
      <c r="AE24" s="104"/>
      <c r="AG24" s="69">
        <v>20</v>
      </c>
      <c r="AH24" s="69">
        <v>20</v>
      </c>
      <c r="AI24" s="69">
        <v>20</v>
      </c>
      <c r="AJ24" s="69">
        <v>20</v>
      </c>
      <c r="AK24" s="69">
        <v>40</v>
      </c>
      <c r="AL24" s="69">
        <v>40</v>
      </c>
      <c r="AM24" s="69">
        <v>40</v>
      </c>
      <c r="AN24" s="69">
        <v>20</v>
      </c>
      <c r="AO24" s="69">
        <v>60</v>
      </c>
      <c r="AP24" s="69">
        <v>60</v>
      </c>
      <c r="AQ24" s="69">
        <v>60</v>
      </c>
      <c r="AR24" s="69">
        <v>60</v>
      </c>
      <c r="AS24" s="69">
        <v>80</v>
      </c>
      <c r="AT24" s="69">
        <v>80</v>
      </c>
      <c r="AU24" s="69">
        <v>80</v>
      </c>
      <c r="AV24" s="69">
        <v>80</v>
      </c>
    </row>
    <row r="25" spans="3:48" ht="19.7" customHeight="1">
      <c r="C25" s="378" t="s">
        <v>100</v>
      </c>
      <c r="D25" s="378"/>
      <c r="E25" s="378"/>
      <c r="F25" s="378"/>
      <c r="G25" s="378"/>
      <c r="H25" s="378"/>
      <c r="I25" s="378"/>
      <c r="J25" s="378"/>
      <c r="K25" s="378"/>
      <c r="L25" s="378"/>
      <c r="M25" s="360" t="str">
        <f>IF(AG25="900 &amp; 1800","900MHz &amp; 1800MHz",IF(AG25="900 &amp; 2100","900MHz &amp; 2100MHz",IF(AG25="1800 &amp; 2100","1800MHz &amp; 2100MHz",AG25&amp;"MHz")))</f>
        <v>900MHz</v>
      </c>
      <c r="N25" s="361"/>
      <c r="O25" s="361"/>
      <c r="P25" s="361"/>
      <c r="Q25" s="361"/>
      <c r="R25" s="361"/>
      <c r="S25" s="361"/>
      <c r="T25" s="361"/>
      <c r="U25" s="361"/>
      <c r="V25" s="361"/>
      <c r="W25" s="361"/>
      <c r="X25" s="361"/>
      <c r="Y25" s="361"/>
      <c r="Z25" s="361"/>
      <c r="AA25" s="361"/>
      <c r="AB25" s="361"/>
      <c r="AC25" s="361"/>
      <c r="AD25" s="362"/>
      <c r="AE25" s="103"/>
      <c r="AG25" s="69">
        <v>900</v>
      </c>
      <c r="AK25" s="69">
        <v>1800</v>
      </c>
      <c r="AO25" s="69">
        <v>2100</v>
      </c>
      <c r="AS25" s="81" t="s">
        <v>180</v>
      </c>
    </row>
    <row r="26" spans="3:48" ht="33.950000000000003" customHeight="1">
      <c r="C26" s="378" t="s">
        <v>147</v>
      </c>
      <c r="D26" s="378"/>
      <c r="E26" s="378"/>
      <c r="F26" s="378"/>
      <c r="G26" s="378"/>
      <c r="H26" s="378"/>
      <c r="I26" s="378"/>
      <c r="J26" s="378"/>
      <c r="K26" s="378"/>
      <c r="L26" s="378"/>
      <c r="M26" s="360">
        <f>AG26</f>
        <v>15</v>
      </c>
      <c r="N26" s="361"/>
      <c r="O26" s="361"/>
      <c r="P26" s="361"/>
      <c r="Q26" s="361"/>
      <c r="R26" s="361"/>
      <c r="S26" s="361"/>
      <c r="T26" s="361"/>
      <c r="U26" s="361"/>
      <c r="V26" s="361"/>
      <c r="W26" s="361"/>
      <c r="X26" s="361"/>
      <c r="Y26" s="361"/>
      <c r="Z26" s="361"/>
      <c r="AA26" s="361"/>
      <c r="AB26" s="361"/>
      <c r="AC26" s="361"/>
      <c r="AD26" s="362"/>
      <c r="AE26" s="104"/>
      <c r="AG26" s="69">
        <v>15</v>
      </c>
      <c r="AK26" s="69">
        <v>16</v>
      </c>
      <c r="AO26" s="69">
        <v>17</v>
      </c>
      <c r="AS26" s="69">
        <v>18</v>
      </c>
    </row>
    <row r="27" spans="3:48" ht="25.5" customHeight="1">
      <c r="C27" s="379" t="s">
        <v>102</v>
      </c>
      <c r="D27" s="379"/>
      <c r="E27" s="379"/>
      <c r="F27" s="379"/>
      <c r="G27" s="379"/>
      <c r="H27" s="379"/>
      <c r="I27" s="379"/>
      <c r="J27" s="379"/>
      <c r="K27" s="379"/>
      <c r="L27" s="379"/>
      <c r="M27" s="379"/>
      <c r="N27" s="379"/>
      <c r="O27" s="379"/>
      <c r="P27" s="379"/>
      <c r="Q27" s="379"/>
      <c r="R27" s="379"/>
      <c r="S27" s="379"/>
      <c r="T27" s="379"/>
      <c r="U27" s="379"/>
      <c r="V27" s="379"/>
      <c r="W27" s="379"/>
      <c r="X27" s="379"/>
      <c r="Y27" s="379"/>
      <c r="Z27" s="379"/>
      <c r="AA27" s="379"/>
      <c r="AB27" s="87"/>
      <c r="AC27" s="87"/>
      <c r="AD27" s="87"/>
    </row>
    <row r="28" spans="3:48" ht="24.75" customHeight="1">
      <c r="C28" s="390"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390"/>
      <c r="E28" s="390"/>
      <c r="F28" s="390"/>
      <c r="G28" s="390"/>
      <c r="H28" s="390"/>
      <c r="I28" s="390"/>
      <c r="J28" s="390"/>
      <c r="K28" s="390"/>
      <c r="L28" s="390"/>
      <c r="M28" s="390"/>
      <c r="N28" s="390"/>
      <c r="O28" s="390"/>
      <c r="P28" s="390"/>
      <c r="Q28" s="390"/>
      <c r="R28" s="390"/>
      <c r="S28" s="390"/>
      <c r="T28" s="390"/>
      <c r="U28" s="390"/>
      <c r="V28" s="390"/>
      <c r="W28" s="390"/>
      <c r="X28" s="390"/>
      <c r="Y28" s="390"/>
      <c r="Z28" s="390"/>
      <c r="AA28" s="390"/>
      <c r="AB28" s="390"/>
      <c r="AC28" s="390"/>
      <c r="AD28" s="390"/>
      <c r="AG28" s="69">
        <v>30</v>
      </c>
      <c r="AO28" s="69" t="s">
        <v>234</v>
      </c>
    </row>
    <row r="29" spans="3:48" ht="24.75" customHeight="1">
      <c r="C29" s="390"/>
      <c r="D29" s="390"/>
      <c r="E29" s="390"/>
      <c r="F29" s="390"/>
      <c r="G29" s="390"/>
      <c r="H29" s="390"/>
      <c r="I29" s="390"/>
      <c r="J29" s="390"/>
      <c r="K29" s="390"/>
      <c r="L29" s="390"/>
      <c r="M29" s="390"/>
      <c r="N29" s="390"/>
      <c r="O29" s="390"/>
      <c r="P29" s="390"/>
      <c r="Q29" s="390"/>
      <c r="R29" s="390"/>
      <c r="S29" s="390"/>
      <c r="T29" s="390"/>
      <c r="U29" s="390"/>
      <c r="V29" s="390"/>
      <c r="W29" s="390"/>
      <c r="X29" s="390"/>
      <c r="Y29" s="390"/>
      <c r="Z29" s="390"/>
      <c r="AA29" s="390"/>
      <c r="AB29" s="390"/>
      <c r="AC29" s="390"/>
      <c r="AD29" s="390"/>
      <c r="AG29" s="69">
        <v>1</v>
      </c>
      <c r="AO29" s="69" t="str">
        <f>CONCATENATE(AP29,AQ29,AR29)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69" t="s">
        <v>236</v>
      </c>
      <c r="AQ29" s="69" t="str">
        <f>IF(AG28&gt;=0," cao hơn "," thấp hơn ")</f>
        <v xml:space="preserve"> cao hơn </v>
      </c>
      <c r="AR29" s="69" t="s">
        <v>237</v>
      </c>
    </row>
    <row r="30" spans="3:48" ht="16.5" customHeight="1">
      <c r="C30" s="380" t="str">
        <f>IF(AG31=1,AO31,IF(AG31=2,AO30))</f>
        <v>Trạm gốc điện thoại di động mặt đất công cộng này có mức an toàn phơi nhiễm trường điện từ tuân thủ quy chuẩn kỹ thuật trên.</v>
      </c>
      <c r="D30" s="380"/>
      <c r="E30" s="380"/>
      <c r="F30" s="380"/>
      <c r="G30" s="380"/>
      <c r="H30" s="380"/>
      <c r="I30" s="380"/>
      <c r="J30" s="380"/>
      <c r="K30" s="380"/>
      <c r="L30" s="380"/>
      <c r="M30" s="380"/>
      <c r="N30" s="380"/>
      <c r="O30" s="380"/>
      <c r="P30" s="380"/>
      <c r="Q30" s="380"/>
      <c r="R30" s="380"/>
      <c r="S30" s="380"/>
      <c r="T30" s="380"/>
      <c r="U30" s="380"/>
      <c r="V30" s="380"/>
      <c r="W30" s="380"/>
      <c r="X30" s="380"/>
      <c r="Y30" s="380"/>
      <c r="Z30" s="380"/>
      <c r="AA30" s="380"/>
      <c r="AB30" s="380"/>
      <c r="AC30" s="380"/>
      <c r="AD30" s="380"/>
      <c r="AG30" s="69">
        <v>20</v>
      </c>
      <c r="AO30" s="69" t="s">
        <v>148</v>
      </c>
    </row>
    <row r="31" spans="3:48" ht="16.5" customHeight="1">
      <c r="C31" s="380"/>
      <c r="D31" s="380"/>
      <c r="E31" s="380"/>
      <c r="F31" s="380"/>
      <c r="G31" s="380"/>
      <c r="H31" s="380"/>
      <c r="I31" s="380"/>
      <c r="J31" s="380"/>
      <c r="K31" s="380"/>
      <c r="L31" s="380"/>
      <c r="M31" s="380"/>
      <c r="N31" s="380"/>
      <c r="O31" s="380"/>
      <c r="P31" s="380"/>
      <c r="Q31" s="380"/>
      <c r="R31" s="380"/>
      <c r="S31" s="380"/>
      <c r="T31" s="380"/>
      <c r="U31" s="380"/>
      <c r="V31" s="380"/>
      <c r="W31" s="380"/>
      <c r="X31" s="380"/>
      <c r="Y31" s="380"/>
      <c r="Z31" s="380"/>
      <c r="AA31" s="380"/>
      <c r="AB31" s="380"/>
      <c r="AC31" s="380"/>
      <c r="AD31" s="380"/>
      <c r="AG31" s="69">
        <v>2</v>
      </c>
      <c r="AO31" s="14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spans="3:48" ht="17.100000000000001" customHeight="1">
      <c r="C32" s="391" t="s">
        <v>148</v>
      </c>
      <c r="D32" s="391"/>
      <c r="E32" s="391"/>
      <c r="F32" s="391"/>
      <c r="G32" s="391"/>
      <c r="H32" s="391"/>
      <c r="I32" s="391"/>
      <c r="J32" s="391"/>
      <c r="K32" s="391"/>
      <c r="L32" s="391"/>
      <c r="M32" s="391"/>
      <c r="N32" s="391"/>
      <c r="O32" s="391"/>
      <c r="P32" s="391"/>
      <c r="Q32" s="391"/>
      <c r="R32" s="391"/>
      <c r="S32" s="391"/>
      <c r="T32" s="391"/>
      <c r="U32" s="391"/>
      <c r="V32" s="391"/>
      <c r="W32" s="391"/>
      <c r="X32" s="391"/>
      <c r="Y32" s="391"/>
      <c r="Z32" s="391"/>
      <c r="AA32" s="391"/>
      <c r="AB32" s="391"/>
      <c r="AC32" s="391"/>
      <c r="AD32" s="391"/>
    </row>
    <row r="33" spans="1:48" ht="17.100000000000001" customHeight="1">
      <c r="C33" s="391"/>
      <c r="D33" s="391"/>
      <c r="E33" s="391"/>
      <c r="F33" s="391"/>
      <c r="G33" s="391"/>
      <c r="H33" s="391"/>
      <c r="I33" s="391"/>
      <c r="J33" s="391"/>
      <c r="K33" s="391"/>
      <c r="L33" s="391"/>
      <c r="M33" s="391"/>
      <c r="N33" s="391"/>
      <c r="O33" s="391"/>
      <c r="P33" s="391"/>
      <c r="Q33" s="391"/>
      <c r="R33" s="391"/>
      <c r="S33" s="391"/>
      <c r="T33" s="391"/>
      <c r="U33" s="391"/>
      <c r="V33" s="391"/>
      <c r="W33" s="391"/>
      <c r="X33" s="391"/>
      <c r="Y33" s="391"/>
      <c r="Z33" s="391"/>
      <c r="AA33" s="391"/>
      <c r="AB33" s="391"/>
      <c r="AC33" s="391"/>
      <c r="AD33" s="391"/>
      <c r="AE33" s="111"/>
    </row>
    <row r="34" spans="1:48" ht="17.100000000000001" customHeight="1">
      <c r="C34" s="357"/>
      <c r="D34" s="357"/>
      <c r="E34" s="357"/>
      <c r="F34" s="357"/>
      <c r="G34" s="357"/>
      <c r="H34" s="87"/>
      <c r="I34" s="358"/>
      <c r="J34" s="358"/>
      <c r="K34" s="358"/>
      <c r="L34" s="358"/>
      <c r="M34" s="358"/>
      <c r="N34" s="358"/>
      <c r="O34" s="87"/>
      <c r="P34" s="88"/>
      <c r="Q34" s="88"/>
      <c r="R34" s="88"/>
      <c r="S34" s="88"/>
      <c r="T34" s="352" t="str">
        <f>IF(AI41=0,AN34,IF(AI41=1,AK34,AR34))</f>
        <v>KT. GIÁM ĐỐC</v>
      </c>
      <c r="U34" s="352"/>
      <c r="V34" s="352"/>
      <c r="W34" s="352"/>
      <c r="X34" s="352"/>
      <c r="Y34" s="352"/>
      <c r="Z34" s="352"/>
      <c r="AA34" s="352"/>
      <c r="AB34" s="352"/>
      <c r="AC34" s="352"/>
      <c r="AD34" s="352"/>
      <c r="AE34" s="352"/>
      <c r="AK34" s="69" t="s">
        <v>103</v>
      </c>
      <c r="AN34" s="69" t="s">
        <v>187</v>
      </c>
      <c r="AR34" s="69" t="s">
        <v>186</v>
      </c>
    </row>
    <row r="35" spans="1:48" ht="17.100000000000001" customHeight="1">
      <c r="C35" s="353" t="s">
        <v>104</v>
      </c>
      <c r="D35" s="353"/>
      <c r="E35" s="353"/>
      <c r="F35" s="353"/>
      <c r="G35" s="353"/>
      <c r="H35" s="91" t="s">
        <v>105</v>
      </c>
      <c r="I35" s="355" t="s">
        <v>106</v>
      </c>
      <c r="J35" s="355"/>
      <c r="K35" s="355"/>
      <c r="L35" s="355"/>
      <c r="M35" s="355"/>
      <c r="N35" s="355"/>
      <c r="O35" s="90"/>
      <c r="P35" s="90"/>
      <c r="Q35" s="87"/>
      <c r="R35" s="87"/>
      <c r="S35" s="87"/>
      <c r="T35" s="352" t="str">
        <f>IF(AI41=0,AN35,IF(AI41=1,"",AR35))</f>
        <v>PHÓ GIÁM ĐỐC</v>
      </c>
      <c r="U35" s="352"/>
      <c r="V35" s="352"/>
      <c r="W35" s="352"/>
      <c r="X35" s="352"/>
      <c r="Y35" s="352"/>
      <c r="Z35" s="352"/>
      <c r="AA35" s="352"/>
      <c r="AB35" s="352"/>
      <c r="AC35" s="352"/>
      <c r="AD35" s="352"/>
      <c r="AE35" s="352"/>
      <c r="AN35" s="69" t="s">
        <v>184</v>
      </c>
      <c r="AR35" s="69" t="s">
        <v>135</v>
      </c>
    </row>
    <row r="36" spans="1:48" ht="17.100000000000001" customHeight="1">
      <c r="C36" s="353" t="s">
        <v>107</v>
      </c>
      <c r="D36" s="353"/>
      <c r="E36" s="353"/>
      <c r="F36" s="353"/>
      <c r="G36" s="353"/>
      <c r="H36" s="91" t="s">
        <v>105</v>
      </c>
      <c r="I36" s="354">
        <f>AG36</f>
        <v>40806</v>
      </c>
      <c r="J36" s="355"/>
      <c r="K36" s="355"/>
      <c r="L36" s="355"/>
      <c r="M36" s="355"/>
      <c r="N36" s="92"/>
      <c r="O36" s="92"/>
      <c r="P36" s="92"/>
      <c r="Q36" s="87"/>
      <c r="R36" s="87"/>
      <c r="S36" s="87"/>
      <c r="T36" s="87"/>
      <c r="U36" s="87"/>
      <c r="V36" s="87"/>
      <c r="W36" s="87"/>
      <c r="X36" s="87"/>
      <c r="Y36" s="87"/>
      <c r="Z36" s="87"/>
      <c r="AA36" s="87"/>
      <c r="AB36" s="87"/>
      <c r="AC36" s="87"/>
      <c r="AD36" s="87"/>
      <c r="AG36" s="93">
        <v>40806</v>
      </c>
    </row>
    <row r="37" spans="1:48" ht="17.100000000000001" customHeight="1">
      <c r="C37" s="353" t="s">
        <v>108</v>
      </c>
      <c r="D37" s="353"/>
      <c r="E37" s="353"/>
      <c r="F37" s="353"/>
      <c r="G37" s="353"/>
      <c r="H37" s="91" t="s">
        <v>105</v>
      </c>
      <c r="I37" s="354">
        <f>AG37</f>
        <v>42633</v>
      </c>
      <c r="J37" s="355"/>
      <c r="K37" s="355"/>
      <c r="L37" s="355"/>
      <c r="M37" s="355"/>
      <c r="N37" s="92"/>
      <c r="O37" s="92"/>
      <c r="P37" s="92"/>
      <c r="Q37" s="87"/>
      <c r="R37" s="87"/>
      <c r="S37" s="87"/>
      <c r="T37" s="87"/>
      <c r="U37" s="87"/>
      <c r="V37" s="87"/>
      <c r="W37" s="87"/>
      <c r="X37" s="87"/>
      <c r="Y37" s="87"/>
      <c r="Z37" s="87"/>
      <c r="AA37" s="87"/>
      <c r="AB37" s="87"/>
      <c r="AC37" s="87"/>
      <c r="AD37" s="87"/>
      <c r="AG37" s="93">
        <v>42633</v>
      </c>
    </row>
    <row r="38" spans="1:48" ht="17.100000000000001" customHeight="1">
      <c r="C38" s="94"/>
      <c r="D38" s="94"/>
      <c r="E38" s="94"/>
      <c r="F38" s="79"/>
      <c r="G38" s="72"/>
      <c r="H38" s="72"/>
      <c r="I38" s="72"/>
      <c r="J38" s="72"/>
      <c r="K38" s="72"/>
      <c r="L38" s="72"/>
      <c r="M38" s="72"/>
      <c r="N38" s="72"/>
      <c r="O38" s="72"/>
      <c r="P38" s="72"/>
      <c r="Q38" s="72"/>
      <c r="R38" s="72"/>
      <c r="S38" s="72"/>
      <c r="T38" s="72"/>
      <c r="U38" s="72"/>
      <c r="V38" s="72"/>
      <c r="W38" s="72"/>
      <c r="X38" s="72"/>
      <c r="Y38" s="72"/>
      <c r="Z38" s="72"/>
      <c r="AA38" s="72"/>
      <c r="AB38" s="87"/>
      <c r="AC38" s="87"/>
      <c r="AD38" s="87"/>
    </row>
    <row r="39" spans="1:48" ht="17.100000000000001" customHeight="1">
      <c r="C39" s="94"/>
      <c r="D39" s="94"/>
      <c r="E39" s="94"/>
      <c r="F39" s="79"/>
      <c r="G39" s="72"/>
      <c r="H39" s="72"/>
      <c r="I39" s="72"/>
      <c r="J39" s="72"/>
      <c r="K39" s="72"/>
      <c r="L39" s="72"/>
      <c r="M39" s="72"/>
      <c r="N39" s="72"/>
      <c r="O39" s="72"/>
      <c r="P39" s="72"/>
      <c r="Q39" s="72"/>
      <c r="R39" s="72"/>
      <c r="S39" s="72"/>
      <c r="T39" s="356"/>
      <c r="U39" s="356"/>
      <c r="V39" s="356"/>
      <c r="W39" s="356"/>
      <c r="X39" s="356"/>
      <c r="Y39" s="356"/>
      <c r="Z39" s="356"/>
      <c r="AA39" s="356"/>
      <c r="AB39" s="356"/>
      <c r="AC39" s="356"/>
      <c r="AD39" s="356"/>
      <c r="AE39" s="356"/>
    </row>
    <row r="40" spans="1:48" ht="17.100000000000001" customHeight="1">
      <c r="C40" s="94"/>
      <c r="D40" s="94"/>
      <c r="E40" s="94"/>
      <c r="F40" s="79"/>
      <c r="G40" s="72"/>
      <c r="H40" s="72"/>
      <c r="I40" s="72"/>
      <c r="J40" s="72"/>
      <c r="K40" s="72"/>
      <c r="L40" s="72"/>
      <c r="M40" s="72"/>
      <c r="N40" s="72"/>
      <c r="O40" s="72"/>
      <c r="P40" s="88"/>
      <c r="Q40" s="88"/>
      <c r="R40" s="88"/>
      <c r="S40" s="88"/>
      <c r="T40" s="351"/>
      <c r="U40" s="351"/>
      <c r="V40" s="351"/>
      <c r="W40" s="351"/>
      <c r="X40" s="351"/>
      <c r="Y40" s="351"/>
      <c r="Z40" s="351"/>
      <c r="AA40" s="351"/>
      <c r="AB40" s="351"/>
      <c r="AC40" s="351"/>
      <c r="AD40" s="351"/>
      <c r="AE40" s="351"/>
    </row>
    <row r="41" spans="1:48" ht="17.100000000000001" customHeight="1">
      <c r="C41" s="94"/>
      <c r="D41" s="94"/>
      <c r="E41" s="94"/>
      <c r="F41" s="79"/>
      <c r="G41" s="72"/>
      <c r="H41" s="72"/>
      <c r="I41" s="72"/>
      <c r="J41" s="72"/>
      <c r="K41" s="72"/>
      <c r="L41" s="72"/>
      <c r="M41" s="72"/>
      <c r="N41" s="72"/>
      <c r="O41" s="72"/>
      <c r="P41" s="72"/>
      <c r="Q41" s="72"/>
      <c r="R41" s="72"/>
      <c r="S41" s="72"/>
      <c r="T41" s="351" t="str">
        <f>IF(AI41=0,AO41,IF(AI41=1,AK41,AS41))</f>
        <v>Trần Công Khanh</v>
      </c>
      <c r="U41" s="351"/>
      <c r="V41" s="351"/>
      <c r="W41" s="351"/>
      <c r="X41" s="351"/>
      <c r="Y41" s="351"/>
      <c r="Z41" s="351"/>
      <c r="AA41" s="351"/>
      <c r="AB41" s="351"/>
      <c r="AC41" s="351"/>
      <c r="AD41" s="351"/>
      <c r="AE41" s="351"/>
      <c r="AI41" s="69">
        <v>0</v>
      </c>
      <c r="AK41" s="69" t="s">
        <v>109</v>
      </c>
      <c r="AO41" s="69" t="s">
        <v>185</v>
      </c>
      <c r="AS41" s="69" t="s">
        <v>131</v>
      </c>
    </row>
    <row r="42" spans="1:48" ht="16.5">
      <c r="A42" s="96"/>
      <c r="B42" s="96"/>
      <c r="C42" s="74"/>
      <c r="D42" s="74"/>
      <c r="E42" s="74"/>
      <c r="F42" s="74"/>
      <c r="G42" s="74"/>
      <c r="H42" s="74"/>
      <c r="I42" s="74"/>
      <c r="J42" s="74"/>
      <c r="K42" s="74"/>
      <c r="L42" s="74"/>
      <c r="M42" s="74"/>
      <c r="N42" s="74"/>
      <c r="O42" s="74"/>
      <c r="P42" s="74"/>
      <c r="Q42" s="74"/>
      <c r="R42" s="74"/>
      <c r="S42" s="74"/>
      <c r="T42" s="74"/>
      <c r="U42" s="74"/>
      <c r="V42" s="74"/>
      <c r="W42" s="74"/>
      <c r="X42" s="74"/>
      <c r="Y42" s="74"/>
      <c r="Z42" s="74"/>
      <c r="AA42" s="74"/>
      <c r="AB42" s="95"/>
      <c r="AC42" s="95"/>
      <c r="AD42" s="95"/>
    </row>
    <row r="43" spans="1:48" s="83" customFormat="1" ht="16.5" customHeight="1">
      <c r="A43" s="159"/>
      <c r="B43" s="393" t="s">
        <v>110</v>
      </c>
      <c r="C43" s="393"/>
      <c r="D43" s="393"/>
      <c r="E43" s="393"/>
      <c r="F43" s="393"/>
      <c r="G43" s="393"/>
      <c r="H43" s="394" t="s">
        <v>88</v>
      </c>
      <c r="I43" s="394"/>
      <c r="J43" s="394"/>
      <c r="K43" s="394"/>
      <c r="L43" s="394"/>
      <c r="M43" s="394"/>
      <c r="N43" s="394"/>
      <c r="O43" s="394"/>
      <c r="P43" s="394"/>
      <c r="Q43" s="394"/>
      <c r="R43" s="394"/>
      <c r="S43" s="394"/>
      <c r="T43" s="394"/>
      <c r="U43" s="394"/>
      <c r="V43" s="394"/>
      <c r="W43" s="394"/>
      <c r="X43" s="394"/>
      <c r="Y43" s="394"/>
      <c r="Z43" s="394"/>
      <c r="AA43" s="394"/>
      <c r="AB43" s="394"/>
      <c r="AC43" s="394"/>
      <c r="AD43" s="394"/>
      <c r="AE43" s="168"/>
    </row>
    <row r="44" spans="1:48" ht="16.5" customHeight="1">
      <c r="A44" s="96"/>
      <c r="B44" s="393"/>
      <c r="C44" s="393"/>
      <c r="D44" s="393"/>
      <c r="E44" s="393"/>
      <c r="F44" s="393"/>
      <c r="G44" s="393"/>
      <c r="H44" s="394"/>
      <c r="I44" s="394"/>
      <c r="J44" s="394"/>
      <c r="K44" s="394"/>
      <c r="L44" s="394"/>
      <c r="M44" s="394"/>
      <c r="N44" s="394"/>
      <c r="O44" s="394"/>
      <c r="P44" s="394"/>
      <c r="Q44" s="394"/>
      <c r="R44" s="394"/>
      <c r="S44" s="394"/>
      <c r="T44" s="394"/>
      <c r="U44" s="394"/>
      <c r="V44" s="394"/>
      <c r="W44" s="394"/>
      <c r="X44" s="394"/>
      <c r="Y44" s="394"/>
      <c r="Z44" s="394"/>
      <c r="AA44" s="394"/>
      <c r="AB44" s="394"/>
      <c r="AC44" s="394"/>
      <c r="AD44" s="394"/>
      <c r="AE44" s="168"/>
    </row>
    <row r="45" spans="1:48" ht="16.5" customHeight="1">
      <c r="A45" s="96"/>
      <c r="B45" s="393"/>
      <c r="C45" s="393"/>
      <c r="D45" s="393"/>
      <c r="E45" s="393"/>
      <c r="F45" s="393"/>
      <c r="G45" s="393"/>
      <c r="H45" s="348" t="s">
        <v>3</v>
      </c>
      <c r="I45" s="348"/>
      <c r="J45" s="348"/>
      <c r="K45" s="348"/>
      <c r="L45" s="348" t="s">
        <v>4</v>
      </c>
      <c r="M45" s="348"/>
      <c r="N45" s="348" t="s">
        <v>111</v>
      </c>
      <c r="O45" s="348"/>
      <c r="P45" s="348"/>
      <c r="Q45" s="348" t="s">
        <v>6</v>
      </c>
      <c r="R45" s="348"/>
      <c r="S45" s="348"/>
      <c r="T45" s="348"/>
      <c r="U45" s="348"/>
      <c r="V45" s="348" t="s">
        <v>112</v>
      </c>
      <c r="W45" s="348"/>
      <c r="X45" s="348"/>
      <c r="Y45" s="348" t="s">
        <v>113</v>
      </c>
      <c r="Z45" s="348"/>
      <c r="AA45" s="348"/>
      <c r="AB45" s="348"/>
      <c r="AC45" s="348"/>
      <c r="AD45" s="348"/>
      <c r="AE45" s="167"/>
    </row>
    <row r="46" spans="1:48" ht="16.5" customHeight="1">
      <c r="A46" s="96"/>
      <c r="B46" s="393"/>
      <c r="C46" s="393"/>
      <c r="D46" s="393"/>
      <c r="E46" s="393"/>
      <c r="F46" s="393"/>
      <c r="G46" s="393"/>
      <c r="H46" s="348"/>
      <c r="I46" s="348"/>
      <c r="J46" s="348"/>
      <c r="K46" s="348"/>
      <c r="L46" s="348"/>
      <c r="M46" s="348"/>
      <c r="N46" s="348"/>
      <c r="O46" s="348"/>
      <c r="P46" s="348"/>
      <c r="Q46" s="348"/>
      <c r="R46" s="348"/>
      <c r="S46" s="348"/>
      <c r="T46" s="348"/>
      <c r="U46" s="348"/>
      <c r="V46" s="348"/>
      <c r="W46" s="348"/>
      <c r="X46" s="348"/>
      <c r="Y46" s="348"/>
      <c r="Z46" s="348"/>
      <c r="AA46" s="348"/>
      <c r="AB46" s="348"/>
      <c r="AC46" s="348"/>
      <c r="AD46" s="348"/>
      <c r="AE46" s="167"/>
    </row>
    <row r="47" spans="1:48" ht="16.5" customHeight="1">
      <c r="A47" s="96"/>
      <c r="B47" s="393"/>
      <c r="C47" s="393"/>
      <c r="D47" s="393"/>
      <c r="E47" s="393"/>
      <c r="F47" s="393"/>
      <c r="G47" s="393"/>
      <c r="H47" s="348"/>
      <c r="I47" s="348"/>
      <c r="J47" s="348"/>
      <c r="K47" s="348"/>
      <c r="L47" s="348"/>
      <c r="M47" s="348"/>
      <c r="N47" s="348"/>
      <c r="O47" s="348"/>
      <c r="P47" s="348"/>
      <c r="Q47" s="348"/>
      <c r="R47" s="348"/>
      <c r="S47" s="348"/>
      <c r="T47" s="348"/>
      <c r="U47" s="348"/>
      <c r="V47" s="348"/>
      <c r="W47" s="348"/>
      <c r="X47" s="348"/>
      <c r="Y47" s="348"/>
      <c r="Z47" s="348"/>
      <c r="AA47" s="348"/>
      <c r="AB47" s="348"/>
      <c r="AC47" s="348"/>
      <c r="AD47" s="348"/>
      <c r="AE47" s="167"/>
    </row>
    <row r="48" spans="1:48" ht="16.5" customHeight="1">
      <c r="A48" s="96"/>
      <c r="B48" s="393"/>
      <c r="C48" s="393"/>
      <c r="D48" s="393"/>
      <c r="E48" s="393"/>
      <c r="F48" s="393"/>
      <c r="G48" s="393"/>
      <c r="H48" s="348"/>
      <c r="I48" s="348"/>
      <c r="J48" s="348"/>
      <c r="K48" s="348"/>
      <c r="L48" s="348"/>
      <c r="M48" s="348"/>
      <c r="N48" s="348"/>
      <c r="O48" s="348"/>
      <c r="P48" s="348"/>
      <c r="Q48" s="348"/>
      <c r="R48" s="348"/>
      <c r="S48" s="348"/>
      <c r="T48" s="348"/>
      <c r="U48" s="348"/>
      <c r="V48" s="348"/>
      <c r="W48" s="348"/>
      <c r="X48" s="348"/>
      <c r="Y48" s="348"/>
      <c r="Z48" s="348"/>
      <c r="AA48" s="348"/>
      <c r="AB48" s="348"/>
      <c r="AC48" s="348"/>
      <c r="AD48" s="348"/>
      <c r="AE48" s="167"/>
      <c r="AG48" s="69">
        <v>33</v>
      </c>
      <c r="AI48" s="69">
        <v>35</v>
      </c>
      <c r="AL48" s="69">
        <v>38</v>
      </c>
      <c r="AO48" s="69">
        <v>41</v>
      </c>
      <c r="AP48" s="69">
        <v>42</v>
      </c>
      <c r="AQ48" s="69">
        <v>43</v>
      </c>
      <c r="AR48" s="69">
        <v>44</v>
      </c>
      <c r="AS48" s="69">
        <v>45</v>
      </c>
      <c r="AT48" s="69">
        <v>46</v>
      </c>
      <c r="AU48" s="69">
        <v>47</v>
      </c>
      <c r="AV48" s="69">
        <v>48</v>
      </c>
    </row>
    <row r="49" spans="1:46" ht="18.75" customHeight="1">
      <c r="A49" s="96"/>
      <c r="B49" s="348" t="str">
        <f>AG49</f>
        <v>CÔNG TY CỔ PHẦN VIỄN THÔNG DI ĐỘNG TOÀN CẦU</v>
      </c>
      <c r="C49" s="348"/>
      <c r="D49" s="348"/>
      <c r="E49" s="348"/>
      <c r="F49" s="348"/>
      <c r="G49" s="348"/>
      <c r="H49" s="349" t="str">
        <f>AI49</f>
        <v>TB1</v>
      </c>
      <c r="I49" s="349"/>
      <c r="J49" s="349"/>
      <c r="K49" s="349"/>
      <c r="L49" s="350">
        <v>2</v>
      </c>
      <c r="M49" s="350"/>
      <c r="N49" s="392" t="str">
        <f>AL49</f>
        <v>4/4/4</v>
      </c>
      <c r="O49" s="392"/>
      <c r="P49" s="392"/>
      <c r="Q49" s="348" t="str">
        <f>IF(L49=4,AO49&amp;"W/ "&amp;AP49&amp;"W/ "&amp;AQ49&amp;"W/ "&amp;AR49&amp;"W",IF(L49=3,AO49&amp;"W/ "&amp;AP49&amp;"W/ "&amp;AQ49&amp;"W",IF(L49=2,AO49&amp;"W/ "&amp;AP49&amp;"W",AO49&amp;"W")))</f>
        <v>20W/ 30W</v>
      </c>
      <c r="R49" s="348"/>
      <c r="S49" s="348"/>
      <c r="T49" s="348"/>
      <c r="U49" s="348"/>
      <c r="V49" s="348" t="str">
        <f>IF(AS49="900 &amp; 1800","900MHz &amp; 1800MHz",IF(AS49="900 &amp; 2100","900MHz &amp; 2100MHz",IF(AS49="1800 &amp; 2100","1800MHz &amp; 2100MHz",AS49&amp;"MHz")))</f>
        <v>900MHz</v>
      </c>
      <c r="W49" s="348"/>
      <c r="X49" s="348"/>
      <c r="Y49" s="348">
        <f>AT49</f>
        <v>15</v>
      </c>
      <c r="Z49" s="348"/>
      <c r="AA49" s="348"/>
      <c r="AB49" s="348"/>
      <c r="AC49" s="348"/>
      <c r="AD49" s="348"/>
      <c r="AE49" s="167"/>
      <c r="AG49" s="81" t="s">
        <v>132</v>
      </c>
      <c r="AI49" s="81" t="s">
        <v>114</v>
      </c>
      <c r="AJ49" s="81"/>
      <c r="AL49" s="85" t="s">
        <v>96</v>
      </c>
      <c r="AO49" s="69">
        <v>20</v>
      </c>
      <c r="AP49" s="69">
        <v>30</v>
      </c>
      <c r="AQ49" s="69">
        <v>40</v>
      </c>
      <c r="AR49" s="69">
        <v>50</v>
      </c>
      <c r="AS49" s="69">
        <v>900</v>
      </c>
      <c r="AT49" s="69">
        <v>15</v>
      </c>
    </row>
    <row r="50" spans="1:46" ht="18.75" customHeight="1">
      <c r="A50" s="96"/>
      <c r="B50" s="348"/>
      <c r="C50" s="348"/>
      <c r="D50" s="348"/>
      <c r="E50" s="348"/>
      <c r="F50" s="348"/>
      <c r="G50" s="348"/>
      <c r="H50" s="349"/>
      <c r="I50" s="349"/>
      <c r="J50" s="349"/>
      <c r="K50" s="349"/>
      <c r="L50" s="350"/>
      <c r="M50" s="350"/>
      <c r="N50" s="392"/>
      <c r="O50" s="392"/>
      <c r="P50" s="392"/>
      <c r="Q50" s="348"/>
      <c r="R50" s="348"/>
      <c r="S50" s="348"/>
      <c r="T50" s="348"/>
      <c r="U50" s="348"/>
      <c r="V50" s="348"/>
      <c r="W50" s="348"/>
      <c r="X50" s="348"/>
      <c r="Y50" s="348"/>
      <c r="Z50" s="348"/>
      <c r="AA50" s="348"/>
      <c r="AB50" s="348"/>
      <c r="AC50" s="348"/>
      <c r="AD50" s="348"/>
      <c r="AE50" s="167"/>
    </row>
    <row r="51" spans="1:46" ht="18.75" customHeight="1">
      <c r="A51" s="96"/>
      <c r="B51" s="348"/>
      <c r="C51" s="348"/>
      <c r="D51" s="348"/>
      <c r="E51" s="348"/>
      <c r="F51" s="348"/>
      <c r="G51" s="348"/>
      <c r="H51" s="349"/>
      <c r="I51" s="349"/>
      <c r="J51" s="349"/>
      <c r="K51" s="349"/>
      <c r="L51" s="350"/>
      <c r="M51" s="350"/>
      <c r="N51" s="392"/>
      <c r="O51" s="392"/>
      <c r="P51" s="392"/>
      <c r="Q51" s="348"/>
      <c r="R51" s="348"/>
      <c r="S51" s="348"/>
      <c r="T51" s="348"/>
      <c r="U51" s="348"/>
      <c r="V51" s="348"/>
      <c r="W51" s="348"/>
      <c r="X51" s="348"/>
      <c r="Y51" s="348"/>
      <c r="Z51" s="348"/>
      <c r="AA51" s="348"/>
      <c r="AB51" s="348"/>
      <c r="AC51" s="348"/>
      <c r="AD51" s="348"/>
      <c r="AE51" s="167"/>
    </row>
    <row r="52" spans="1:46" ht="18.75" customHeight="1">
      <c r="A52" s="96"/>
      <c r="B52" s="348"/>
      <c r="C52" s="348"/>
      <c r="D52" s="348"/>
      <c r="E52" s="348"/>
      <c r="F52" s="348"/>
      <c r="G52" s="348"/>
      <c r="H52" s="349"/>
      <c r="I52" s="349"/>
      <c r="J52" s="349"/>
      <c r="K52" s="349"/>
      <c r="L52" s="350"/>
      <c r="M52" s="350"/>
      <c r="N52" s="392"/>
      <c r="O52" s="392"/>
      <c r="P52" s="392"/>
      <c r="Q52" s="348"/>
      <c r="R52" s="348"/>
      <c r="S52" s="348"/>
      <c r="T52" s="348"/>
      <c r="U52" s="348"/>
      <c r="V52" s="348"/>
      <c r="W52" s="348"/>
      <c r="X52" s="348"/>
      <c r="Y52" s="348"/>
      <c r="Z52" s="348"/>
      <c r="AA52" s="348"/>
      <c r="AB52" s="348"/>
      <c r="AC52" s="348"/>
      <c r="AD52" s="348"/>
      <c r="AE52" s="167"/>
    </row>
    <row r="53" spans="1:46" ht="18.75" customHeight="1">
      <c r="A53" s="96"/>
      <c r="B53" s="348" t="str">
        <f t="shared" ref="B53" si="0">AG53</f>
        <v>CÔNG TY CỔ PHẦN VIỄN THÔNG DI ĐỘNG TOÀN CẦU</v>
      </c>
      <c r="C53" s="348"/>
      <c r="D53" s="348"/>
      <c r="E53" s="348"/>
      <c r="F53" s="348"/>
      <c r="G53" s="348"/>
      <c r="H53" s="349" t="str">
        <f>AI53</f>
        <v>TB1</v>
      </c>
      <c r="I53" s="349"/>
      <c r="J53" s="349"/>
      <c r="K53" s="349"/>
      <c r="L53" s="350">
        <v>4</v>
      </c>
      <c r="M53" s="350"/>
      <c r="N53" s="392" t="str">
        <f>AL53</f>
        <v>4/4/4</v>
      </c>
      <c r="O53" s="392"/>
      <c r="P53" s="392"/>
      <c r="Q53" s="348" t="str">
        <f>IF(L53=4,AO53&amp;"W/ "&amp;AP53&amp;"W/ "&amp;AQ53&amp;"W/ "&amp;AR53&amp;"W",IF(L53=3,AO53&amp;"W/ "&amp;AP53&amp;"W/ "&amp;AQ53&amp;"W",IF(L53=2,AO53&amp;"W/ "&amp;AP53&amp;"W",AO53&amp;"W")))</f>
        <v>20W/ 30W/ 40W/ 50W</v>
      </c>
      <c r="R53" s="348"/>
      <c r="S53" s="348"/>
      <c r="T53" s="348"/>
      <c r="U53" s="348"/>
      <c r="V53" s="348" t="str">
        <f>IF(AS53="900 &amp; 1800","900MHz &amp; 1800MHz",IF(AS53="900 &amp; 2100","900MHz &amp; 2100MHz",IF(AS53="1800 &amp; 2100","1800MHz &amp; 2100MHz",AS53&amp;"MHz")))</f>
        <v>1800MHz</v>
      </c>
      <c r="W53" s="348"/>
      <c r="X53" s="348"/>
      <c r="Y53" s="348">
        <f>AT53</f>
        <v>15</v>
      </c>
      <c r="Z53" s="348"/>
      <c r="AA53" s="348"/>
      <c r="AB53" s="348"/>
      <c r="AC53" s="348"/>
      <c r="AD53" s="348"/>
      <c r="AE53" s="167"/>
      <c r="AG53" s="81" t="s">
        <v>132</v>
      </c>
      <c r="AI53" s="81" t="s">
        <v>114</v>
      </c>
      <c r="AJ53" s="81"/>
      <c r="AL53" s="85" t="s">
        <v>96</v>
      </c>
      <c r="AO53" s="69">
        <v>20</v>
      </c>
      <c r="AP53" s="69">
        <v>30</v>
      </c>
      <c r="AQ53" s="69">
        <v>40</v>
      </c>
      <c r="AR53" s="69">
        <v>50</v>
      </c>
      <c r="AS53" s="69">
        <v>1800</v>
      </c>
      <c r="AT53" s="69">
        <v>15</v>
      </c>
    </row>
    <row r="54" spans="1:46" ht="18.75" customHeight="1">
      <c r="A54" s="96"/>
      <c r="B54" s="348"/>
      <c r="C54" s="348"/>
      <c r="D54" s="348"/>
      <c r="E54" s="348"/>
      <c r="F54" s="348"/>
      <c r="G54" s="348"/>
      <c r="H54" s="349"/>
      <c r="I54" s="349"/>
      <c r="J54" s="349"/>
      <c r="K54" s="349"/>
      <c r="L54" s="350"/>
      <c r="M54" s="350"/>
      <c r="N54" s="392"/>
      <c r="O54" s="392"/>
      <c r="P54" s="392"/>
      <c r="Q54" s="348"/>
      <c r="R54" s="348"/>
      <c r="S54" s="348"/>
      <c r="T54" s="348"/>
      <c r="U54" s="348"/>
      <c r="V54" s="348"/>
      <c r="W54" s="348"/>
      <c r="X54" s="348"/>
      <c r="Y54" s="348"/>
      <c r="Z54" s="348"/>
      <c r="AA54" s="348"/>
      <c r="AB54" s="348"/>
      <c r="AC54" s="348"/>
      <c r="AD54" s="348"/>
      <c r="AE54" s="167"/>
      <c r="AG54" s="81"/>
      <c r="AI54" s="81"/>
      <c r="AJ54" s="81"/>
      <c r="AL54" s="85"/>
    </row>
    <row r="55" spans="1:46" ht="18.75" customHeight="1">
      <c r="A55" s="96"/>
      <c r="B55" s="348"/>
      <c r="C55" s="348"/>
      <c r="D55" s="348"/>
      <c r="E55" s="348"/>
      <c r="F55" s="348"/>
      <c r="G55" s="348"/>
      <c r="H55" s="349"/>
      <c r="I55" s="349"/>
      <c r="J55" s="349"/>
      <c r="K55" s="349"/>
      <c r="L55" s="350"/>
      <c r="M55" s="350"/>
      <c r="N55" s="392"/>
      <c r="O55" s="392"/>
      <c r="P55" s="392"/>
      <c r="Q55" s="348"/>
      <c r="R55" s="348"/>
      <c r="S55" s="348"/>
      <c r="T55" s="348"/>
      <c r="U55" s="348"/>
      <c r="V55" s="348"/>
      <c r="W55" s="348"/>
      <c r="X55" s="348"/>
      <c r="Y55" s="348"/>
      <c r="Z55" s="348"/>
      <c r="AA55" s="348"/>
      <c r="AB55" s="348"/>
      <c r="AC55" s="348"/>
      <c r="AD55" s="348"/>
      <c r="AE55" s="167"/>
    </row>
    <row r="56" spans="1:46" ht="18.75" customHeight="1">
      <c r="A56" s="96"/>
      <c r="B56" s="348"/>
      <c r="C56" s="348"/>
      <c r="D56" s="348"/>
      <c r="E56" s="348"/>
      <c r="F56" s="348"/>
      <c r="G56" s="348"/>
      <c r="H56" s="349"/>
      <c r="I56" s="349"/>
      <c r="J56" s="349"/>
      <c r="K56" s="349"/>
      <c r="L56" s="350"/>
      <c r="M56" s="350"/>
      <c r="N56" s="392"/>
      <c r="O56" s="392"/>
      <c r="P56" s="392"/>
      <c r="Q56" s="348"/>
      <c r="R56" s="348"/>
      <c r="S56" s="348"/>
      <c r="T56" s="348"/>
      <c r="U56" s="348"/>
      <c r="V56" s="348"/>
      <c r="W56" s="348"/>
      <c r="X56" s="348"/>
      <c r="Y56" s="348"/>
      <c r="Z56" s="348"/>
      <c r="AA56" s="348"/>
      <c r="AB56" s="348"/>
      <c r="AC56" s="348"/>
      <c r="AD56" s="348"/>
      <c r="AE56" s="167"/>
    </row>
    <row r="57" spans="1:46" ht="18.75" customHeight="1">
      <c r="A57" s="96"/>
      <c r="B57" s="348" t="str">
        <f t="shared" ref="B57" si="1">AG57</f>
        <v>CÔNG TY CỔ PHẦN VIỄN THÔNG DI ĐỘNG TOÀN CẦU</v>
      </c>
      <c r="C57" s="348"/>
      <c r="D57" s="348"/>
      <c r="E57" s="348"/>
      <c r="F57" s="348"/>
      <c r="G57" s="348"/>
      <c r="H57" s="349" t="str">
        <f>AI57</f>
        <v>TB1</v>
      </c>
      <c r="I57" s="349"/>
      <c r="J57" s="349"/>
      <c r="K57" s="349"/>
      <c r="L57" s="350">
        <v>3</v>
      </c>
      <c r="M57" s="350"/>
      <c r="N57" s="392" t="str">
        <f t="shared" ref="N57" si="2">AL57</f>
        <v>4/4/4</v>
      </c>
      <c r="O57" s="392"/>
      <c r="P57" s="392"/>
      <c r="Q57" s="348" t="str">
        <f>IF(L57=4,AO57&amp;"W/ "&amp;AP57&amp;"W/ "&amp;AQ57&amp;"W/ "&amp;AR57&amp;"W",IF(L57=3,AO57&amp;"W/ "&amp;AP57&amp;"W/ "&amp;AQ57&amp;"W",IF(L57=2,AO57&amp;"W/ "&amp;AP57&amp;"W",AO57&amp;"W")))</f>
        <v>20W/ 30W/ 40W</v>
      </c>
      <c r="R57" s="348"/>
      <c r="S57" s="348"/>
      <c r="T57" s="348"/>
      <c r="U57" s="348"/>
      <c r="V57" s="348" t="str">
        <f>IF(AS57="900 &amp; 1800","900MHz &amp; 1800MHz",IF(AS57="900 &amp; 2100","900MHz &amp; 2100MHz",IF(AS57="1800 &amp; 2100","1800MHz &amp; 2100MHz",AS57&amp;"MHz")))</f>
        <v>9000 &amp; 1800MHz</v>
      </c>
      <c r="W57" s="348"/>
      <c r="X57" s="348"/>
      <c r="Y57" s="348">
        <f>AT57</f>
        <v>15</v>
      </c>
      <c r="Z57" s="348"/>
      <c r="AA57" s="348"/>
      <c r="AB57" s="348"/>
      <c r="AC57" s="348"/>
      <c r="AD57" s="348"/>
      <c r="AE57" s="167"/>
      <c r="AG57" s="81" t="s">
        <v>132</v>
      </c>
      <c r="AI57" s="81" t="s">
        <v>114</v>
      </c>
      <c r="AJ57" s="81"/>
      <c r="AL57" s="85" t="s">
        <v>96</v>
      </c>
      <c r="AO57" s="69">
        <v>20</v>
      </c>
      <c r="AP57" s="69">
        <v>30</v>
      </c>
      <c r="AQ57" s="69">
        <v>40</v>
      </c>
      <c r="AR57" s="69">
        <v>50</v>
      </c>
      <c r="AS57" s="69" t="s">
        <v>181</v>
      </c>
      <c r="AT57" s="69">
        <v>15</v>
      </c>
    </row>
    <row r="58" spans="1:46" ht="18.75" customHeight="1">
      <c r="A58" s="96"/>
      <c r="B58" s="348"/>
      <c r="C58" s="348"/>
      <c r="D58" s="348"/>
      <c r="E58" s="348"/>
      <c r="F58" s="348"/>
      <c r="G58" s="348"/>
      <c r="H58" s="349"/>
      <c r="I58" s="349"/>
      <c r="J58" s="349"/>
      <c r="K58" s="349"/>
      <c r="L58" s="350"/>
      <c r="M58" s="350"/>
      <c r="N58" s="392"/>
      <c r="O58" s="392"/>
      <c r="P58" s="392"/>
      <c r="Q58" s="348"/>
      <c r="R58" s="348"/>
      <c r="S58" s="348"/>
      <c r="T58" s="348"/>
      <c r="U58" s="348"/>
      <c r="V58" s="348"/>
      <c r="W58" s="348"/>
      <c r="X58" s="348"/>
      <c r="Y58" s="348"/>
      <c r="Z58" s="348"/>
      <c r="AA58" s="348"/>
      <c r="AB58" s="348"/>
      <c r="AC58" s="348"/>
      <c r="AD58" s="348"/>
      <c r="AE58" s="167"/>
      <c r="AG58" s="81"/>
      <c r="AI58" s="81"/>
      <c r="AJ58" s="81"/>
      <c r="AL58" s="85"/>
    </row>
    <row r="59" spans="1:46" ht="18.75" customHeight="1">
      <c r="A59" s="96"/>
      <c r="B59" s="348"/>
      <c r="C59" s="348"/>
      <c r="D59" s="348"/>
      <c r="E59" s="348"/>
      <c r="F59" s="348"/>
      <c r="G59" s="348"/>
      <c r="H59" s="349"/>
      <c r="I59" s="349"/>
      <c r="J59" s="349"/>
      <c r="K59" s="349"/>
      <c r="L59" s="350"/>
      <c r="M59" s="350"/>
      <c r="N59" s="392"/>
      <c r="O59" s="392"/>
      <c r="P59" s="392"/>
      <c r="Q59" s="348"/>
      <c r="R59" s="348"/>
      <c r="S59" s="348"/>
      <c r="T59" s="348"/>
      <c r="U59" s="348"/>
      <c r="V59" s="348"/>
      <c r="W59" s="348"/>
      <c r="X59" s="348"/>
      <c r="Y59" s="348"/>
      <c r="Z59" s="348"/>
      <c r="AA59" s="348"/>
      <c r="AB59" s="348"/>
      <c r="AC59" s="348"/>
      <c r="AD59" s="348"/>
      <c r="AE59" s="167"/>
    </row>
    <row r="60" spans="1:46" ht="18.75" customHeight="1">
      <c r="A60" s="96"/>
      <c r="B60" s="348"/>
      <c r="C60" s="348"/>
      <c r="D60" s="348"/>
      <c r="E60" s="348"/>
      <c r="F60" s="348"/>
      <c r="G60" s="348"/>
      <c r="H60" s="349"/>
      <c r="I60" s="349"/>
      <c r="J60" s="349"/>
      <c r="K60" s="349"/>
      <c r="L60" s="350"/>
      <c r="M60" s="350"/>
      <c r="N60" s="392"/>
      <c r="O60" s="392"/>
      <c r="P60" s="392"/>
      <c r="Q60" s="348"/>
      <c r="R60" s="348"/>
      <c r="S60" s="348"/>
      <c r="T60" s="348"/>
      <c r="U60" s="348"/>
      <c r="V60" s="348"/>
      <c r="W60" s="348"/>
      <c r="X60" s="348"/>
      <c r="Y60" s="348"/>
      <c r="Z60" s="348"/>
      <c r="AA60" s="348"/>
      <c r="AB60" s="348"/>
      <c r="AC60" s="348"/>
      <c r="AD60" s="348"/>
      <c r="AE60" s="167"/>
    </row>
    <row r="61" spans="1:46" ht="18.75" customHeight="1">
      <c r="A61" s="96"/>
      <c r="B61" s="348" t="str">
        <f t="shared" ref="B61" si="3">AG61</f>
        <v>CÔNG TY CỔ PHẦN VIỄN THÔNG DI ĐỘNG TOÀN CẦU</v>
      </c>
      <c r="C61" s="348"/>
      <c r="D61" s="348"/>
      <c r="E61" s="348"/>
      <c r="F61" s="348"/>
      <c r="G61" s="348"/>
      <c r="H61" s="349" t="str">
        <f>AI61</f>
        <v>TB1</v>
      </c>
      <c r="I61" s="349"/>
      <c r="J61" s="349"/>
      <c r="K61" s="349"/>
      <c r="L61" s="350">
        <v>2</v>
      </c>
      <c r="M61" s="350"/>
      <c r="N61" s="392" t="str">
        <f t="shared" ref="N61" si="4">AL61</f>
        <v>4/4/4</v>
      </c>
      <c r="O61" s="392"/>
      <c r="P61" s="392"/>
      <c r="Q61" s="348" t="str">
        <f>IF(L61=4,AO61&amp;"W/ "&amp;AP61&amp;"W/ "&amp;AQ61&amp;"W/ "&amp;AR61&amp;"W",IF(L61=3,AO61&amp;"W/ "&amp;AP61&amp;"W/ "&amp;AQ61&amp;"W",IF(L61=2,AO61&amp;"W/ "&amp;AP61&amp;"W",AO61&amp;"W")))</f>
        <v>20W/ 30W</v>
      </c>
      <c r="R61" s="348"/>
      <c r="S61" s="348"/>
      <c r="T61" s="348"/>
      <c r="U61" s="348"/>
      <c r="V61" s="348" t="str">
        <f>IF(AS61="900 &amp; 1800","900MHz &amp; 1800MHz",IF(AS61="900 &amp; 2100","900MHz &amp; 2100MHz",IF(AS61="1800 &amp; 2100","1800MHz &amp; 2100MHz",AS61&amp;"MHz")))</f>
        <v>9000 &amp; 2100MHz</v>
      </c>
      <c r="W61" s="348"/>
      <c r="X61" s="348"/>
      <c r="Y61" s="348">
        <f>AT61</f>
        <v>15</v>
      </c>
      <c r="Z61" s="348"/>
      <c r="AA61" s="348"/>
      <c r="AB61" s="348"/>
      <c r="AC61" s="348"/>
      <c r="AD61" s="348"/>
      <c r="AE61" s="167"/>
      <c r="AG61" s="81" t="s">
        <v>132</v>
      </c>
      <c r="AI61" s="81" t="s">
        <v>114</v>
      </c>
      <c r="AJ61" s="81"/>
      <c r="AL61" s="85" t="s">
        <v>96</v>
      </c>
      <c r="AO61" s="69">
        <v>20</v>
      </c>
      <c r="AP61" s="69">
        <v>30</v>
      </c>
      <c r="AQ61" s="69">
        <v>40</v>
      </c>
      <c r="AR61" s="69">
        <v>50</v>
      </c>
      <c r="AS61" s="69" t="s">
        <v>182</v>
      </c>
      <c r="AT61" s="69">
        <v>15</v>
      </c>
    </row>
    <row r="62" spans="1:46" ht="18.75" customHeight="1">
      <c r="A62" s="96"/>
      <c r="B62" s="348"/>
      <c r="C62" s="348"/>
      <c r="D62" s="348"/>
      <c r="E62" s="348"/>
      <c r="F62" s="348"/>
      <c r="G62" s="348"/>
      <c r="H62" s="349"/>
      <c r="I62" s="349"/>
      <c r="J62" s="349"/>
      <c r="K62" s="349"/>
      <c r="L62" s="350"/>
      <c r="M62" s="350"/>
      <c r="N62" s="392"/>
      <c r="O62" s="392"/>
      <c r="P62" s="392"/>
      <c r="Q62" s="348"/>
      <c r="R62" s="348"/>
      <c r="S62" s="348"/>
      <c r="T62" s="348"/>
      <c r="U62" s="348"/>
      <c r="V62" s="348"/>
      <c r="W62" s="348"/>
      <c r="X62" s="348"/>
      <c r="Y62" s="348"/>
      <c r="Z62" s="348"/>
      <c r="AA62" s="348"/>
      <c r="AB62" s="348"/>
      <c r="AC62" s="348"/>
      <c r="AD62" s="348"/>
      <c r="AE62" s="167"/>
      <c r="AG62" s="81"/>
      <c r="AI62" s="81"/>
      <c r="AJ62" s="81"/>
      <c r="AL62" s="85"/>
    </row>
    <row r="63" spans="1:46" ht="18.75" customHeight="1">
      <c r="A63" s="96"/>
      <c r="B63" s="348"/>
      <c r="C63" s="348"/>
      <c r="D63" s="348"/>
      <c r="E63" s="348"/>
      <c r="F63" s="348"/>
      <c r="G63" s="348"/>
      <c r="H63" s="349"/>
      <c r="I63" s="349"/>
      <c r="J63" s="349"/>
      <c r="K63" s="349"/>
      <c r="L63" s="350"/>
      <c r="M63" s="350"/>
      <c r="N63" s="392"/>
      <c r="O63" s="392"/>
      <c r="P63" s="392"/>
      <c r="Q63" s="348"/>
      <c r="R63" s="348"/>
      <c r="S63" s="348"/>
      <c r="T63" s="348"/>
      <c r="U63" s="348"/>
      <c r="V63" s="348"/>
      <c r="W63" s="348"/>
      <c r="X63" s="348"/>
      <c r="Y63" s="348"/>
      <c r="Z63" s="348"/>
      <c r="AA63" s="348"/>
      <c r="AB63" s="348"/>
      <c r="AC63" s="348"/>
      <c r="AD63" s="348"/>
      <c r="AE63" s="167"/>
    </row>
    <row r="64" spans="1:46" ht="18.75" customHeight="1">
      <c r="A64" s="96"/>
      <c r="B64" s="348"/>
      <c r="C64" s="348"/>
      <c r="D64" s="348"/>
      <c r="E64" s="348"/>
      <c r="F64" s="348"/>
      <c r="G64" s="348"/>
      <c r="H64" s="349"/>
      <c r="I64" s="349"/>
      <c r="J64" s="349"/>
      <c r="K64" s="349"/>
      <c r="L64" s="350"/>
      <c r="M64" s="350"/>
      <c r="N64" s="392"/>
      <c r="O64" s="392"/>
      <c r="P64" s="392"/>
      <c r="Q64" s="348"/>
      <c r="R64" s="348"/>
      <c r="S64" s="348"/>
      <c r="T64" s="348"/>
      <c r="U64" s="348"/>
      <c r="V64" s="348"/>
      <c r="W64" s="348"/>
      <c r="X64" s="348"/>
      <c r="Y64" s="348"/>
      <c r="Z64" s="348"/>
      <c r="AA64" s="348"/>
      <c r="AB64" s="348"/>
      <c r="AC64" s="348"/>
      <c r="AD64" s="348"/>
      <c r="AE64" s="167"/>
    </row>
    <row r="65" spans="1:48" ht="18.75" customHeight="1">
      <c r="A65" s="96"/>
      <c r="B65" s="348" t="str">
        <f t="shared" ref="B65" si="5">AG65</f>
        <v>CÔNG TY CỔ PHẦN VIỄN THÔNG DI ĐỘNG TOÀN CẦU</v>
      </c>
      <c r="C65" s="348"/>
      <c r="D65" s="348"/>
      <c r="E65" s="348"/>
      <c r="F65" s="348"/>
      <c r="G65" s="348"/>
      <c r="H65" s="349" t="str">
        <f>AI65</f>
        <v>TB1</v>
      </c>
      <c r="I65" s="349"/>
      <c r="J65" s="349"/>
      <c r="K65" s="349"/>
      <c r="L65" s="350">
        <v>1</v>
      </c>
      <c r="M65" s="350"/>
      <c r="N65" s="392" t="str">
        <f t="shared" ref="N65" si="6">AL65</f>
        <v>4/4/4</v>
      </c>
      <c r="O65" s="392"/>
      <c r="P65" s="392"/>
      <c r="Q65" s="348" t="str">
        <f>IF(L65=4,AO65&amp;"W/ "&amp;AP65&amp;"W/ "&amp;AQ65&amp;"W/ "&amp;AR65&amp;"W",IF(L65=3,AO65&amp;"W/ "&amp;AP65&amp;"W/ "&amp;AQ65&amp;"W",IF(L65=2,AO65&amp;"W/ "&amp;AP65&amp;"W",AO65&amp;"W")))</f>
        <v>20W</v>
      </c>
      <c r="R65" s="348"/>
      <c r="S65" s="348"/>
      <c r="T65" s="348"/>
      <c r="U65" s="348"/>
      <c r="V65" s="348" t="str">
        <f>IF(AS65="900 &amp; 1800","900MHz &amp; 1800MHz",IF(AS65="900 &amp; 2100","900MHz &amp; 2100MHz",IF(AS65="1800 &amp; 2100","1800MHz &amp; 2100MHz",AS65&amp;"MHz")))</f>
        <v>1800MHz &amp; 2100MHz</v>
      </c>
      <c r="W65" s="348"/>
      <c r="X65" s="348"/>
      <c r="Y65" s="348">
        <f>AT65</f>
        <v>15</v>
      </c>
      <c r="Z65" s="348"/>
      <c r="AA65" s="348"/>
      <c r="AB65" s="348"/>
      <c r="AC65" s="348"/>
      <c r="AD65" s="348"/>
      <c r="AE65" s="167"/>
      <c r="AG65" s="81" t="s">
        <v>132</v>
      </c>
      <c r="AI65" s="81" t="s">
        <v>114</v>
      </c>
      <c r="AJ65" s="81"/>
      <c r="AL65" s="85" t="s">
        <v>96</v>
      </c>
      <c r="AO65" s="69">
        <v>20</v>
      </c>
      <c r="AP65" s="69">
        <v>30</v>
      </c>
      <c r="AQ65" s="69">
        <v>40</v>
      </c>
      <c r="AR65" s="69">
        <v>50</v>
      </c>
      <c r="AS65" s="69" t="s">
        <v>183</v>
      </c>
      <c r="AT65" s="69">
        <v>15</v>
      </c>
      <c r="AU65" s="69">
        <v>16</v>
      </c>
      <c r="AV65" s="69">
        <v>17</v>
      </c>
    </row>
    <row r="66" spans="1:48" ht="18.75" customHeight="1">
      <c r="A66" s="96"/>
      <c r="B66" s="348"/>
      <c r="C66" s="348"/>
      <c r="D66" s="348"/>
      <c r="E66" s="348"/>
      <c r="F66" s="348"/>
      <c r="G66" s="348"/>
      <c r="H66" s="349"/>
      <c r="I66" s="349"/>
      <c r="J66" s="349"/>
      <c r="K66" s="349"/>
      <c r="L66" s="350"/>
      <c r="M66" s="350"/>
      <c r="N66" s="392"/>
      <c r="O66" s="392"/>
      <c r="P66" s="392"/>
      <c r="Q66" s="348"/>
      <c r="R66" s="348"/>
      <c r="S66" s="348"/>
      <c r="T66" s="348"/>
      <c r="U66" s="348"/>
      <c r="V66" s="348"/>
      <c r="W66" s="348"/>
      <c r="X66" s="348"/>
      <c r="Y66" s="348"/>
      <c r="Z66" s="348"/>
      <c r="AA66" s="348"/>
      <c r="AB66" s="348"/>
      <c r="AC66" s="348"/>
      <c r="AD66" s="348"/>
      <c r="AE66" s="167"/>
      <c r="AG66" s="81"/>
      <c r="AI66" s="81"/>
      <c r="AJ66" s="81"/>
      <c r="AL66" s="85"/>
    </row>
    <row r="67" spans="1:48" ht="18.75" customHeight="1">
      <c r="A67" s="96"/>
      <c r="B67" s="348"/>
      <c r="C67" s="348"/>
      <c r="D67" s="348"/>
      <c r="E67" s="348"/>
      <c r="F67" s="348"/>
      <c r="G67" s="348"/>
      <c r="H67" s="349"/>
      <c r="I67" s="349"/>
      <c r="J67" s="349"/>
      <c r="K67" s="349"/>
      <c r="L67" s="350"/>
      <c r="M67" s="350"/>
      <c r="N67" s="392"/>
      <c r="O67" s="392"/>
      <c r="P67" s="392"/>
      <c r="Q67" s="348"/>
      <c r="R67" s="348"/>
      <c r="S67" s="348"/>
      <c r="T67" s="348"/>
      <c r="U67" s="348"/>
      <c r="V67" s="348"/>
      <c r="W67" s="348"/>
      <c r="X67" s="348"/>
      <c r="Y67" s="348"/>
      <c r="Z67" s="348"/>
      <c r="AA67" s="348"/>
      <c r="AB67" s="348"/>
      <c r="AC67" s="348"/>
      <c r="AD67" s="348"/>
      <c r="AE67" s="167"/>
    </row>
    <row r="68" spans="1:48" ht="18.75" customHeight="1">
      <c r="A68" s="96"/>
      <c r="B68" s="348"/>
      <c r="C68" s="348"/>
      <c r="D68" s="348"/>
      <c r="E68" s="348"/>
      <c r="F68" s="348"/>
      <c r="G68" s="348"/>
      <c r="H68" s="349"/>
      <c r="I68" s="349"/>
      <c r="J68" s="349"/>
      <c r="K68" s="349"/>
      <c r="L68" s="350"/>
      <c r="M68" s="350"/>
      <c r="N68" s="392"/>
      <c r="O68" s="392"/>
      <c r="P68" s="392"/>
      <c r="Q68" s="348"/>
      <c r="R68" s="348"/>
      <c r="S68" s="348"/>
      <c r="T68" s="348"/>
      <c r="U68" s="348"/>
      <c r="V68" s="348"/>
      <c r="W68" s="348"/>
      <c r="X68" s="348"/>
      <c r="Y68" s="348"/>
      <c r="Z68" s="348"/>
      <c r="AA68" s="348"/>
      <c r="AB68" s="348"/>
      <c r="AC68" s="348"/>
      <c r="AD68" s="348"/>
      <c r="AE68" s="167"/>
    </row>
    <row r="69" spans="1:48" ht="18.75" customHeight="1">
      <c r="A69" s="96"/>
      <c r="B69" s="96"/>
      <c r="C69" s="96"/>
      <c r="D69" s="96"/>
      <c r="E69" s="96"/>
      <c r="F69" s="96"/>
      <c r="G69" s="96"/>
      <c r="H69" s="96"/>
      <c r="I69" s="96"/>
      <c r="J69" s="96"/>
      <c r="K69" s="96"/>
      <c r="L69" s="96"/>
      <c r="M69" s="96"/>
      <c r="N69" s="96"/>
      <c r="O69" s="96"/>
      <c r="P69" s="96"/>
      <c r="Q69" s="96"/>
      <c r="R69" s="96"/>
      <c r="S69" s="96"/>
      <c r="T69" s="96"/>
      <c r="U69" s="96"/>
      <c r="V69" s="96"/>
      <c r="W69" s="96"/>
      <c r="X69" s="96"/>
      <c r="Y69" s="96"/>
      <c r="Z69" s="96"/>
      <c r="AA69" s="96"/>
      <c r="AB69" s="96"/>
      <c r="AC69" s="96"/>
      <c r="AD69" s="96"/>
    </row>
    <row r="70" spans="1:48" ht="18.75" customHeight="1">
      <c r="A70" s="96"/>
      <c r="B70" s="96"/>
      <c r="C70" s="96"/>
      <c r="D70" s="96"/>
      <c r="E70" s="96"/>
      <c r="F70" s="96"/>
      <c r="G70" s="96"/>
      <c r="H70" s="96"/>
      <c r="I70" s="96"/>
      <c r="J70" s="96"/>
      <c r="K70" s="96"/>
      <c r="L70" s="96"/>
      <c r="M70" s="96"/>
      <c r="N70" s="96"/>
      <c r="O70" s="96"/>
      <c r="P70" s="96"/>
      <c r="Q70" s="96"/>
      <c r="R70" s="96"/>
      <c r="S70" s="96"/>
      <c r="T70" s="96"/>
      <c r="U70" s="96"/>
      <c r="V70" s="96"/>
      <c r="W70" s="96"/>
      <c r="X70" s="96"/>
      <c r="Y70" s="96"/>
      <c r="Z70" s="96"/>
      <c r="AA70" s="96"/>
      <c r="AB70" s="96"/>
      <c r="AC70" s="96"/>
      <c r="AD70" s="96"/>
    </row>
    <row r="71" spans="1:48" ht="18.75" customHeight="1">
      <c r="A71" s="96"/>
      <c r="B71" s="96"/>
      <c r="C71" s="96"/>
      <c r="D71" s="96"/>
      <c r="E71" s="96"/>
      <c r="F71" s="96"/>
      <c r="G71" s="96"/>
      <c r="H71" s="96"/>
      <c r="I71" s="96"/>
      <c r="J71" s="96"/>
      <c r="K71" s="96"/>
      <c r="L71" s="96"/>
      <c r="M71" s="96"/>
      <c r="N71" s="96"/>
      <c r="O71" s="96"/>
      <c r="P71" s="96"/>
      <c r="Q71" s="96"/>
      <c r="R71" s="96"/>
      <c r="S71" s="96"/>
      <c r="T71" s="96"/>
      <c r="U71" s="96"/>
      <c r="V71" s="96"/>
      <c r="W71" s="96"/>
      <c r="X71" s="96"/>
      <c r="Y71" s="96"/>
      <c r="Z71" s="96"/>
      <c r="AA71" s="96"/>
      <c r="AB71" s="96"/>
      <c r="AC71" s="96"/>
      <c r="AD71" s="96"/>
    </row>
    <row r="72" spans="1:48" ht="18.75" customHeight="1">
      <c r="A72" s="96"/>
      <c r="B72" s="96"/>
      <c r="C72" s="96"/>
      <c r="D72" s="96"/>
      <c r="E72" s="96"/>
      <c r="F72" s="96"/>
      <c r="G72" s="96"/>
      <c r="H72" s="96"/>
      <c r="I72" s="96"/>
      <c r="J72" s="96"/>
      <c r="K72" s="96"/>
      <c r="L72" s="96"/>
      <c r="M72" s="96"/>
      <c r="N72" s="96"/>
      <c r="O72" s="96"/>
      <c r="P72" s="96"/>
      <c r="Q72" s="96"/>
      <c r="R72" s="96"/>
      <c r="S72" s="96"/>
      <c r="T72" s="96"/>
      <c r="U72" s="96"/>
      <c r="V72" s="96"/>
      <c r="W72" s="96"/>
      <c r="X72" s="96"/>
      <c r="Y72" s="96"/>
      <c r="Z72" s="96"/>
      <c r="AA72" s="96"/>
      <c r="AB72" s="96"/>
      <c r="AC72" s="96"/>
      <c r="AD72" s="96"/>
    </row>
    <row r="73" spans="1:48" ht="18.75" customHeight="1">
      <c r="A73" s="96"/>
      <c r="B73" s="96"/>
      <c r="C73" s="96"/>
      <c r="D73" s="96"/>
      <c r="E73" s="96"/>
      <c r="F73" s="96"/>
      <c r="G73" s="96"/>
      <c r="H73" s="96"/>
      <c r="I73" s="96"/>
      <c r="J73" s="96"/>
      <c r="K73" s="96"/>
      <c r="L73" s="96"/>
      <c r="M73" s="96"/>
      <c r="N73" s="96"/>
      <c r="O73" s="96"/>
      <c r="P73" s="96"/>
      <c r="Q73" s="96"/>
      <c r="R73" s="96"/>
      <c r="S73" s="96"/>
      <c r="T73" s="96"/>
      <c r="U73" s="96"/>
      <c r="V73" s="96"/>
      <c r="W73" s="96"/>
      <c r="X73" s="96"/>
      <c r="Y73" s="96"/>
      <c r="Z73" s="96"/>
      <c r="AA73" s="96"/>
      <c r="AB73" s="96"/>
      <c r="AC73" s="96"/>
      <c r="AD73" s="96"/>
    </row>
    <row r="74" spans="1:48" ht="18.75" customHeight="1">
      <c r="A74" s="96"/>
      <c r="B74" s="96"/>
      <c r="C74" s="96"/>
      <c r="D74" s="96"/>
      <c r="E74" s="96"/>
      <c r="F74" s="96"/>
      <c r="G74" s="96"/>
      <c r="H74" s="96"/>
      <c r="I74" s="96"/>
      <c r="J74" s="96"/>
      <c r="K74" s="96"/>
      <c r="L74" s="96"/>
      <c r="M74" s="96"/>
      <c r="N74" s="96"/>
      <c r="O74" s="96"/>
      <c r="P74" s="96"/>
      <c r="Q74" s="96"/>
      <c r="R74" s="96"/>
      <c r="S74" s="96"/>
      <c r="T74" s="96"/>
      <c r="U74" s="96"/>
      <c r="V74" s="96"/>
      <c r="W74" s="96"/>
      <c r="X74" s="96"/>
      <c r="Y74" s="96"/>
      <c r="Z74" s="96"/>
      <c r="AA74" s="96"/>
      <c r="AB74" s="96"/>
      <c r="AC74" s="96"/>
      <c r="AD74" s="96"/>
    </row>
    <row r="75" spans="1:48" ht="18.75" customHeight="1">
      <c r="A75" s="96"/>
      <c r="B75" s="96"/>
      <c r="C75" s="96"/>
      <c r="D75" s="96"/>
      <c r="E75" s="96"/>
      <c r="F75" s="96"/>
      <c r="G75" s="96"/>
      <c r="H75" s="96"/>
      <c r="I75" s="96"/>
      <c r="J75" s="96"/>
      <c r="K75" s="96"/>
      <c r="L75" s="96"/>
      <c r="M75" s="96"/>
      <c r="N75" s="96"/>
      <c r="O75" s="96"/>
      <c r="P75" s="96"/>
      <c r="Q75" s="96"/>
      <c r="R75" s="96"/>
      <c r="S75" s="96"/>
      <c r="T75" s="96"/>
      <c r="U75" s="96"/>
      <c r="V75" s="96"/>
      <c r="W75" s="96"/>
      <c r="X75" s="96"/>
      <c r="Y75" s="96"/>
      <c r="Z75" s="96"/>
      <c r="AA75" s="96"/>
      <c r="AB75" s="96"/>
      <c r="AC75" s="96"/>
      <c r="AD75" s="96"/>
    </row>
    <row r="76" spans="1:48" ht="18.75" customHeight="1">
      <c r="A76" s="96"/>
      <c r="B76" s="96"/>
      <c r="C76" s="96"/>
      <c r="D76" s="96"/>
      <c r="E76" s="96"/>
      <c r="F76" s="96"/>
      <c r="G76" s="96"/>
      <c r="H76" s="96"/>
      <c r="I76" s="96"/>
      <c r="J76" s="96"/>
      <c r="K76" s="96"/>
      <c r="L76" s="96"/>
      <c r="M76" s="96"/>
      <c r="N76" s="96"/>
      <c r="O76" s="96"/>
      <c r="P76" s="96"/>
      <c r="Q76" s="96"/>
      <c r="R76" s="96"/>
      <c r="S76" s="96"/>
      <c r="T76" s="96"/>
      <c r="U76" s="96"/>
      <c r="V76" s="96"/>
      <c r="W76" s="96"/>
      <c r="X76" s="96"/>
      <c r="Y76" s="96"/>
      <c r="Z76" s="96"/>
      <c r="AA76" s="96"/>
      <c r="AB76" s="96"/>
      <c r="AC76" s="96"/>
      <c r="AD76" s="96"/>
    </row>
    <row r="77" spans="1:48" ht="18.75" customHeight="1">
      <c r="A77" s="96"/>
      <c r="B77" s="96"/>
      <c r="C77" s="96"/>
      <c r="D77" s="96"/>
      <c r="E77" s="96"/>
      <c r="F77" s="96"/>
      <c r="G77" s="96"/>
      <c r="H77" s="96"/>
      <c r="I77" s="96"/>
      <c r="J77" s="96"/>
      <c r="K77" s="96"/>
      <c r="L77" s="96"/>
      <c r="M77" s="96"/>
      <c r="N77" s="96"/>
      <c r="O77" s="96"/>
      <c r="P77" s="96"/>
      <c r="Q77" s="96"/>
      <c r="R77" s="96"/>
      <c r="S77" s="96"/>
      <c r="T77" s="96"/>
      <c r="U77" s="96"/>
      <c r="V77" s="96"/>
      <c r="W77" s="96"/>
      <c r="X77" s="96"/>
      <c r="Y77" s="96"/>
      <c r="Z77" s="96"/>
      <c r="AA77" s="96"/>
      <c r="AB77" s="96"/>
      <c r="AC77" s="96"/>
      <c r="AD77" s="96"/>
    </row>
    <row r="78" spans="1:48" ht="18.75" customHeight="1">
      <c r="A78" s="96"/>
      <c r="B78" s="96"/>
      <c r="C78" s="96"/>
      <c r="D78" s="96"/>
      <c r="E78" s="96"/>
      <c r="F78" s="96"/>
      <c r="G78" s="96"/>
      <c r="H78" s="96"/>
      <c r="I78" s="96"/>
      <c r="J78" s="96"/>
      <c r="K78" s="96"/>
      <c r="L78" s="96"/>
      <c r="M78" s="96"/>
      <c r="N78" s="96"/>
      <c r="O78" s="96"/>
      <c r="P78" s="96"/>
      <c r="Q78" s="96"/>
      <c r="R78" s="96"/>
      <c r="S78" s="96"/>
      <c r="T78" s="96"/>
      <c r="U78" s="96"/>
      <c r="V78" s="96"/>
      <c r="W78" s="96"/>
      <c r="X78" s="96"/>
      <c r="Y78" s="96"/>
      <c r="Z78" s="96"/>
      <c r="AA78" s="96"/>
      <c r="AB78" s="96"/>
      <c r="AC78" s="96"/>
      <c r="AD78" s="96"/>
    </row>
    <row r="79" spans="1:48" ht="18.75" customHeight="1">
      <c r="A79" s="96"/>
      <c r="B79" s="96"/>
      <c r="C79" s="96"/>
      <c r="D79" s="96"/>
      <c r="E79" s="96"/>
      <c r="F79" s="96"/>
      <c r="G79" s="96"/>
      <c r="H79" s="96"/>
      <c r="I79" s="96"/>
      <c r="J79" s="96"/>
      <c r="K79" s="96"/>
      <c r="L79" s="96"/>
      <c r="M79" s="96"/>
      <c r="N79" s="96"/>
      <c r="O79" s="96"/>
      <c r="P79" s="96"/>
      <c r="Q79" s="96"/>
      <c r="R79" s="96"/>
      <c r="S79" s="96"/>
      <c r="T79" s="96"/>
      <c r="U79" s="96"/>
      <c r="V79" s="96"/>
      <c r="W79" s="96"/>
      <c r="X79" s="96"/>
      <c r="Y79" s="96"/>
      <c r="Z79" s="96"/>
      <c r="AA79" s="96"/>
      <c r="AB79" s="96"/>
      <c r="AC79" s="96"/>
      <c r="AD79" s="96"/>
    </row>
    <row r="80" spans="1:48" ht="18.75" customHeight="1">
      <c r="A80" s="96"/>
      <c r="B80" s="96"/>
      <c r="C80" s="96"/>
      <c r="D80" s="96"/>
      <c r="E80" s="96"/>
      <c r="F80" s="96"/>
      <c r="G80" s="96"/>
      <c r="H80" s="96"/>
      <c r="I80" s="96"/>
      <c r="J80" s="96"/>
      <c r="K80" s="96"/>
      <c r="L80" s="96"/>
      <c r="M80" s="96"/>
      <c r="N80" s="96"/>
      <c r="O80" s="96"/>
      <c r="P80" s="96"/>
      <c r="Q80" s="96"/>
      <c r="R80" s="96"/>
      <c r="S80" s="96"/>
      <c r="T80" s="96"/>
      <c r="U80" s="96"/>
      <c r="V80" s="96"/>
      <c r="W80" s="96"/>
      <c r="X80" s="96"/>
      <c r="Y80" s="96"/>
      <c r="Z80" s="96"/>
      <c r="AA80" s="96"/>
      <c r="AB80" s="96"/>
      <c r="AC80" s="96"/>
      <c r="AD80" s="96"/>
    </row>
    <row r="81" spans="1:30" ht="18.75" customHeight="1">
      <c r="A81" s="96"/>
      <c r="B81" s="96"/>
      <c r="C81" s="96"/>
      <c r="D81" s="96"/>
      <c r="E81" s="96"/>
      <c r="F81" s="96"/>
      <c r="G81" s="96"/>
      <c r="H81" s="96"/>
      <c r="I81" s="96"/>
      <c r="J81" s="96"/>
      <c r="K81" s="96"/>
      <c r="L81" s="96"/>
      <c r="M81" s="96"/>
      <c r="N81" s="96"/>
      <c r="O81" s="96"/>
      <c r="P81" s="96"/>
      <c r="Q81" s="96"/>
      <c r="R81" s="96"/>
      <c r="S81" s="96"/>
      <c r="T81" s="96"/>
      <c r="U81" s="96"/>
      <c r="V81" s="96"/>
      <c r="W81" s="96"/>
      <c r="X81" s="96"/>
      <c r="Y81" s="96"/>
      <c r="Z81" s="96"/>
      <c r="AA81" s="96"/>
      <c r="AB81" s="96"/>
      <c r="AC81" s="96"/>
      <c r="AD81" s="96"/>
    </row>
    <row r="82" spans="1:30" ht="18.75" customHeight="1">
      <c r="A82" s="96"/>
      <c r="B82" s="96"/>
      <c r="C82" s="96"/>
      <c r="D82" s="96"/>
      <c r="E82" s="96"/>
      <c r="F82" s="96"/>
      <c r="G82" s="96"/>
      <c r="H82" s="96"/>
      <c r="I82" s="96"/>
      <c r="J82" s="96"/>
      <c r="K82" s="96"/>
      <c r="L82" s="96"/>
      <c r="M82" s="96"/>
      <c r="N82" s="96"/>
      <c r="O82" s="96"/>
      <c r="P82" s="96"/>
      <c r="Q82" s="96"/>
      <c r="R82" s="96"/>
      <c r="S82" s="96"/>
      <c r="T82" s="96"/>
      <c r="U82" s="96"/>
      <c r="V82" s="96"/>
      <c r="W82" s="96"/>
      <c r="X82" s="96"/>
      <c r="Y82" s="96"/>
      <c r="Z82" s="96"/>
      <c r="AA82" s="96"/>
      <c r="AB82" s="96"/>
      <c r="AC82" s="96"/>
      <c r="AD82" s="96"/>
    </row>
    <row r="83" spans="1:30" ht="18.75" customHeight="1">
      <c r="A83" s="96"/>
      <c r="B83" s="96"/>
      <c r="C83" s="96"/>
      <c r="D83" s="96"/>
      <c r="E83" s="96"/>
      <c r="F83" s="96"/>
      <c r="G83" s="96"/>
      <c r="H83" s="96"/>
      <c r="I83" s="96"/>
      <c r="J83" s="96"/>
      <c r="K83" s="96"/>
      <c r="L83" s="96"/>
      <c r="M83" s="96"/>
      <c r="N83" s="96"/>
      <c r="O83" s="96"/>
      <c r="P83" s="96"/>
      <c r="Q83" s="96"/>
      <c r="R83" s="96"/>
      <c r="S83" s="96"/>
      <c r="T83" s="96"/>
      <c r="U83" s="96"/>
      <c r="V83" s="96"/>
      <c r="W83" s="96"/>
      <c r="X83" s="96"/>
      <c r="Y83" s="96"/>
      <c r="Z83" s="96"/>
      <c r="AA83" s="96"/>
      <c r="AB83" s="96"/>
      <c r="AC83" s="96"/>
      <c r="AD83" s="96"/>
    </row>
    <row r="84" spans="1:30" ht="18.75" customHeight="1">
      <c r="C84" s="96"/>
      <c r="D84" s="96"/>
      <c r="E84" s="96"/>
      <c r="F84" s="96"/>
      <c r="G84" s="96"/>
      <c r="H84" s="96"/>
      <c r="I84" s="96"/>
      <c r="J84" s="96"/>
      <c r="K84" s="96"/>
      <c r="L84" s="96"/>
      <c r="M84" s="96"/>
      <c r="N84" s="96"/>
      <c r="O84" s="96"/>
      <c r="P84" s="96"/>
      <c r="Q84" s="96"/>
      <c r="R84" s="96"/>
      <c r="S84" s="96"/>
      <c r="T84" s="96"/>
      <c r="U84" s="96"/>
      <c r="V84" s="96"/>
      <c r="W84" s="96"/>
      <c r="X84" s="96"/>
      <c r="Y84" s="96"/>
      <c r="Z84" s="96"/>
      <c r="AA84" s="96"/>
      <c r="AB84" s="96"/>
      <c r="AC84" s="96"/>
      <c r="AD84" s="96"/>
    </row>
    <row r="85" spans="1:30" ht="18.75" customHeight="1">
      <c r="C85" s="96"/>
      <c r="D85" s="96"/>
      <c r="E85" s="96"/>
      <c r="F85" s="96"/>
      <c r="G85" s="96"/>
      <c r="H85" s="96"/>
      <c r="I85" s="96"/>
      <c r="J85" s="96"/>
      <c r="K85" s="96"/>
      <c r="L85" s="96"/>
      <c r="M85" s="96"/>
      <c r="N85" s="96"/>
      <c r="O85" s="96"/>
      <c r="P85" s="96"/>
      <c r="Q85" s="96"/>
      <c r="R85" s="96"/>
      <c r="S85" s="96"/>
      <c r="T85" s="96"/>
      <c r="U85" s="96"/>
      <c r="V85" s="96"/>
      <c r="W85" s="96"/>
      <c r="X85" s="96"/>
      <c r="Y85" s="96"/>
      <c r="Z85" s="96"/>
      <c r="AA85" s="96"/>
      <c r="AB85" s="96"/>
      <c r="AC85" s="96"/>
      <c r="AD85" s="96"/>
    </row>
    <row r="86" spans="1:30" ht="18.75" customHeight="1">
      <c r="C86" s="96"/>
      <c r="D86" s="96"/>
      <c r="E86" s="96"/>
      <c r="F86" s="96"/>
      <c r="G86" s="96"/>
      <c r="H86" s="96"/>
      <c r="I86" s="96"/>
      <c r="J86" s="96"/>
      <c r="K86" s="96"/>
      <c r="L86" s="96"/>
      <c r="M86" s="96"/>
      <c r="N86" s="96"/>
      <c r="O86" s="96"/>
      <c r="P86" s="96"/>
      <c r="Q86" s="96"/>
      <c r="R86" s="96"/>
      <c r="S86" s="96"/>
      <c r="T86" s="96"/>
      <c r="U86" s="96"/>
      <c r="V86" s="96"/>
      <c r="W86" s="96"/>
      <c r="X86" s="96"/>
      <c r="Y86" s="96"/>
      <c r="Z86" s="96"/>
      <c r="AA86" s="96"/>
      <c r="AB86" s="96"/>
      <c r="AC86" s="96"/>
      <c r="AD86" s="96"/>
    </row>
    <row r="87" spans="1:30" ht="18.75" customHeight="1">
      <c r="C87" s="96"/>
      <c r="D87" s="96"/>
      <c r="E87" s="96"/>
      <c r="F87" s="96"/>
      <c r="G87" s="96"/>
      <c r="H87" s="96"/>
      <c r="I87" s="96"/>
      <c r="J87" s="96"/>
      <c r="K87" s="96"/>
      <c r="L87" s="96"/>
      <c r="M87" s="96"/>
      <c r="N87" s="96"/>
      <c r="O87" s="96"/>
      <c r="P87" s="96"/>
      <c r="Q87" s="96"/>
      <c r="R87" s="96"/>
      <c r="S87" s="96"/>
      <c r="T87" s="96"/>
      <c r="U87" s="96"/>
      <c r="V87" s="96"/>
      <c r="W87" s="96"/>
      <c r="X87" s="96"/>
      <c r="Y87" s="96"/>
      <c r="Z87" s="96"/>
      <c r="AA87" s="96"/>
      <c r="AB87" s="96"/>
      <c r="AC87" s="96"/>
      <c r="AD87" s="96"/>
    </row>
    <row r="88" spans="1:30" ht="18.75" customHeight="1">
      <c r="C88" s="96"/>
      <c r="D88" s="96"/>
      <c r="E88" s="96"/>
      <c r="F88" s="96"/>
      <c r="G88" s="96"/>
      <c r="H88" s="96"/>
      <c r="I88" s="96"/>
      <c r="J88" s="96"/>
      <c r="K88" s="96"/>
      <c r="L88" s="96"/>
      <c r="M88" s="96"/>
      <c r="N88" s="96"/>
      <c r="O88" s="96"/>
      <c r="P88" s="96"/>
      <c r="Q88" s="96"/>
      <c r="R88" s="96"/>
      <c r="S88" s="96"/>
      <c r="T88" s="96"/>
      <c r="U88" s="96"/>
      <c r="V88" s="96"/>
      <c r="W88" s="96"/>
      <c r="X88" s="96"/>
      <c r="Y88" s="96"/>
      <c r="Z88" s="96"/>
      <c r="AA88" s="96"/>
      <c r="AB88" s="96"/>
      <c r="AC88" s="96"/>
      <c r="AD88" s="96"/>
    </row>
    <row r="89" spans="1:30" ht="18.75" customHeight="1">
      <c r="C89" s="96"/>
      <c r="D89" s="96"/>
      <c r="E89" s="96"/>
      <c r="F89" s="96"/>
      <c r="G89" s="96"/>
      <c r="H89" s="96"/>
      <c r="I89" s="96"/>
      <c r="J89" s="96"/>
      <c r="K89" s="96"/>
      <c r="L89" s="96"/>
      <c r="M89" s="96"/>
      <c r="N89" s="96"/>
      <c r="O89" s="96"/>
      <c r="P89" s="96"/>
      <c r="Q89" s="96"/>
      <c r="R89" s="96"/>
      <c r="S89" s="96"/>
      <c r="T89" s="96"/>
      <c r="U89" s="96"/>
      <c r="V89" s="96"/>
      <c r="W89" s="96"/>
      <c r="X89" s="96"/>
      <c r="Y89" s="96"/>
      <c r="Z89" s="96"/>
      <c r="AA89" s="96"/>
      <c r="AB89" s="96"/>
      <c r="AC89" s="96"/>
      <c r="AD89" s="96"/>
    </row>
    <row r="90" spans="1:30" ht="18.75" customHeight="1">
      <c r="C90" s="96"/>
      <c r="D90" s="96"/>
      <c r="E90" s="96"/>
      <c r="F90" s="96"/>
      <c r="G90" s="96"/>
      <c r="H90" s="96"/>
      <c r="I90" s="96"/>
      <c r="J90" s="96"/>
      <c r="K90" s="96"/>
      <c r="L90" s="96"/>
      <c r="M90" s="96"/>
      <c r="N90" s="96"/>
      <c r="O90" s="96"/>
      <c r="P90" s="96"/>
      <c r="Q90" s="96"/>
      <c r="R90" s="96"/>
      <c r="S90" s="96"/>
      <c r="T90" s="96"/>
      <c r="U90" s="96"/>
      <c r="V90" s="96"/>
      <c r="W90" s="96"/>
      <c r="X90" s="96"/>
      <c r="Y90" s="96"/>
      <c r="Z90" s="96"/>
      <c r="AA90" s="96"/>
      <c r="AB90" s="96"/>
      <c r="AC90" s="96"/>
      <c r="AD90" s="96"/>
    </row>
    <row r="91" spans="1:30" ht="18.75" customHeight="1">
      <c r="C91" s="96"/>
      <c r="D91" s="96"/>
      <c r="E91" s="96"/>
      <c r="F91" s="96"/>
      <c r="G91" s="96"/>
      <c r="H91" s="96"/>
      <c r="I91" s="96"/>
      <c r="J91" s="96"/>
      <c r="K91" s="96"/>
      <c r="L91" s="96"/>
      <c r="M91" s="96"/>
      <c r="N91" s="96"/>
      <c r="O91" s="96"/>
      <c r="P91" s="96"/>
      <c r="Q91" s="96"/>
      <c r="R91" s="96"/>
      <c r="S91" s="96"/>
      <c r="T91" s="96"/>
      <c r="U91" s="96"/>
      <c r="V91" s="96"/>
      <c r="W91" s="96"/>
      <c r="X91" s="96"/>
      <c r="Y91" s="96"/>
      <c r="Z91" s="96"/>
      <c r="AA91" s="96"/>
      <c r="AB91" s="96"/>
      <c r="AC91" s="96"/>
      <c r="AD91" s="96"/>
    </row>
    <row r="92" spans="1:30">
      <c r="C92" s="96"/>
      <c r="D92" s="96"/>
      <c r="E92" s="96"/>
      <c r="F92" s="96"/>
      <c r="G92" s="96"/>
      <c r="H92" s="96"/>
      <c r="I92" s="96"/>
      <c r="J92" s="96"/>
      <c r="K92" s="96"/>
      <c r="L92" s="96"/>
      <c r="M92" s="96"/>
      <c r="N92" s="96"/>
      <c r="O92" s="96"/>
      <c r="P92" s="96"/>
      <c r="Q92" s="96"/>
      <c r="R92" s="96"/>
      <c r="S92" s="96"/>
      <c r="T92" s="96"/>
      <c r="U92" s="96"/>
      <c r="V92" s="96"/>
      <c r="W92" s="96"/>
      <c r="X92" s="96"/>
      <c r="Y92" s="96"/>
      <c r="Z92" s="96"/>
      <c r="AA92" s="96"/>
      <c r="AB92" s="96"/>
      <c r="AC92" s="96"/>
      <c r="AD92" s="96"/>
    </row>
    <row r="93" spans="1:30">
      <c r="C93" s="96"/>
      <c r="D93" s="96"/>
      <c r="E93" s="96"/>
      <c r="F93" s="96"/>
      <c r="G93" s="96"/>
      <c r="H93" s="96"/>
      <c r="I93" s="96"/>
      <c r="J93" s="96"/>
      <c r="K93" s="96"/>
      <c r="L93" s="96"/>
      <c r="M93" s="96"/>
      <c r="N93" s="96"/>
      <c r="O93" s="96"/>
      <c r="P93" s="96"/>
      <c r="Q93" s="96"/>
      <c r="R93" s="96"/>
      <c r="S93" s="96"/>
      <c r="T93" s="96"/>
      <c r="U93" s="96"/>
      <c r="V93" s="96"/>
      <c r="W93" s="96"/>
      <c r="X93" s="96"/>
      <c r="Y93" s="96"/>
      <c r="Z93" s="96"/>
      <c r="AA93" s="96"/>
      <c r="AB93" s="96"/>
      <c r="AC93" s="96"/>
      <c r="AD93" s="96"/>
    </row>
    <row r="94" spans="1:30">
      <c r="C94" s="96"/>
      <c r="D94" s="96"/>
      <c r="E94" s="96"/>
      <c r="F94" s="96"/>
      <c r="G94" s="96"/>
      <c r="H94" s="96"/>
      <c r="I94" s="96"/>
      <c r="J94" s="96"/>
      <c r="K94" s="96"/>
      <c r="L94" s="96"/>
      <c r="M94" s="96"/>
      <c r="N94" s="96"/>
      <c r="O94" s="96"/>
      <c r="P94" s="96"/>
      <c r="Q94" s="96"/>
      <c r="R94" s="96"/>
      <c r="S94" s="96"/>
      <c r="T94" s="96"/>
      <c r="U94" s="96"/>
      <c r="V94" s="96"/>
      <c r="W94" s="96"/>
      <c r="X94" s="96"/>
      <c r="Y94" s="96"/>
      <c r="Z94" s="96"/>
      <c r="AA94" s="96"/>
      <c r="AB94" s="96"/>
      <c r="AC94" s="96"/>
      <c r="AD94" s="96"/>
    </row>
    <row r="95" spans="1:30">
      <c r="C95" s="96"/>
      <c r="D95" s="96"/>
      <c r="E95" s="96"/>
      <c r="F95" s="96"/>
      <c r="G95" s="96"/>
      <c r="H95" s="96"/>
      <c r="I95" s="96"/>
      <c r="J95" s="96"/>
      <c r="K95" s="96"/>
      <c r="L95" s="96"/>
      <c r="M95" s="96"/>
      <c r="N95" s="96"/>
      <c r="O95" s="96"/>
      <c r="P95" s="96"/>
      <c r="Q95" s="96"/>
      <c r="R95" s="96"/>
      <c r="S95" s="96"/>
      <c r="T95" s="96"/>
      <c r="U95" s="96"/>
      <c r="V95" s="96"/>
      <c r="W95" s="96"/>
      <c r="X95" s="96"/>
      <c r="Y95" s="96"/>
      <c r="Z95" s="96"/>
      <c r="AA95" s="96"/>
      <c r="AB95" s="96"/>
      <c r="AC95" s="96"/>
      <c r="AD95" s="96"/>
    </row>
    <row r="96" spans="1:30">
      <c r="C96" s="96"/>
      <c r="D96" s="96"/>
      <c r="E96" s="96"/>
      <c r="F96" s="96"/>
      <c r="G96" s="96"/>
      <c r="H96" s="96"/>
      <c r="I96" s="96"/>
      <c r="J96" s="96"/>
      <c r="K96" s="96"/>
      <c r="L96" s="96"/>
      <c r="M96" s="96"/>
      <c r="N96" s="96"/>
      <c r="O96" s="96"/>
      <c r="P96" s="96"/>
      <c r="Q96" s="96"/>
      <c r="R96" s="96"/>
      <c r="S96" s="96"/>
      <c r="T96" s="96"/>
      <c r="U96" s="96"/>
      <c r="V96" s="96"/>
      <c r="W96" s="96"/>
      <c r="X96" s="96"/>
      <c r="Y96" s="96"/>
      <c r="Z96" s="96"/>
      <c r="AA96" s="96"/>
      <c r="AB96" s="96"/>
      <c r="AC96" s="96"/>
      <c r="AD96" s="96"/>
    </row>
    <row r="97" spans="3:30">
      <c r="C97" s="96"/>
      <c r="D97" s="96"/>
      <c r="E97" s="96"/>
      <c r="F97" s="96"/>
      <c r="G97" s="96"/>
      <c r="H97" s="96"/>
      <c r="I97" s="96"/>
      <c r="J97" s="96"/>
      <c r="K97" s="96"/>
      <c r="L97" s="96"/>
      <c r="M97" s="96"/>
      <c r="N97" s="96"/>
      <c r="O97" s="96"/>
      <c r="P97" s="96"/>
      <c r="Q97" s="96"/>
      <c r="R97" s="96"/>
      <c r="S97" s="96"/>
      <c r="T97" s="96"/>
      <c r="U97" s="96"/>
      <c r="V97" s="96"/>
      <c r="W97" s="96"/>
      <c r="X97" s="96"/>
      <c r="Y97" s="96"/>
      <c r="Z97" s="96"/>
      <c r="AA97" s="96"/>
      <c r="AB97" s="96"/>
      <c r="AC97" s="96"/>
      <c r="AD97" s="96"/>
    </row>
    <row r="98" spans="3:30">
      <c r="C98" s="96"/>
      <c r="D98" s="96"/>
      <c r="E98" s="96"/>
      <c r="F98" s="96"/>
      <c r="G98" s="96"/>
      <c r="H98" s="96"/>
      <c r="I98" s="96"/>
      <c r="J98" s="96"/>
      <c r="K98" s="96"/>
      <c r="L98" s="96"/>
      <c r="M98" s="96"/>
      <c r="N98" s="96"/>
      <c r="O98" s="96"/>
      <c r="P98" s="96"/>
      <c r="Q98" s="96"/>
      <c r="R98" s="96"/>
      <c r="S98" s="96"/>
      <c r="T98" s="96"/>
      <c r="U98" s="96"/>
      <c r="V98" s="96"/>
      <c r="W98" s="96"/>
      <c r="X98" s="96"/>
      <c r="Y98" s="96"/>
      <c r="Z98" s="96"/>
      <c r="AA98" s="96"/>
      <c r="AB98" s="96"/>
      <c r="AC98" s="96"/>
      <c r="AD98" s="96"/>
    </row>
  </sheetData>
  <mergeCells count="91">
    <mergeCell ref="B57:G60"/>
    <mergeCell ref="H57:K60"/>
    <mergeCell ref="L57:M60"/>
    <mergeCell ref="N57:P60"/>
    <mergeCell ref="Q57:U60"/>
    <mergeCell ref="H49:K52"/>
    <mergeCell ref="L49:M52"/>
    <mergeCell ref="N49:P52"/>
    <mergeCell ref="Q49:U52"/>
    <mergeCell ref="B53:G56"/>
    <mergeCell ref="H53:K56"/>
    <mergeCell ref="L53:M56"/>
    <mergeCell ref="N53:P56"/>
    <mergeCell ref="Q53:U56"/>
    <mergeCell ref="N65:P68"/>
    <mergeCell ref="Q65:U68"/>
    <mergeCell ref="V65:X68"/>
    <mergeCell ref="Y65:AD68"/>
    <mergeCell ref="V49:X52"/>
    <mergeCell ref="Y49:AD52"/>
    <mergeCell ref="V53:X56"/>
    <mergeCell ref="Y53:AD56"/>
    <mergeCell ref="V57:X60"/>
    <mergeCell ref="Y57:AD60"/>
    <mergeCell ref="C32:AD33"/>
    <mergeCell ref="M21:AD21"/>
    <mergeCell ref="M26:AD26"/>
    <mergeCell ref="N61:P64"/>
    <mergeCell ref="Q61:U64"/>
    <mergeCell ref="V61:X64"/>
    <mergeCell ref="Y61:AD64"/>
    <mergeCell ref="B43:G48"/>
    <mergeCell ref="H43:AD44"/>
    <mergeCell ref="H45:K48"/>
    <mergeCell ref="L45:M48"/>
    <mergeCell ref="N45:P48"/>
    <mergeCell ref="Q45:U48"/>
    <mergeCell ref="V45:X48"/>
    <mergeCell ref="Y45:AD48"/>
    <mergeCell ref="B49:G52"/>
    <mergeCell ref="C17:L17"/>
    <mergeCell ref="M17:AD17"/>
    <mergeCell ref="C26:L26"/>
    <mergeCell ref="C27:AA27"/>
    <mergeCell ref="C30:AD31"/>
    <mergeCell ref="M22:AD22"/>
    <mergeCell ref="M23:AD23"/>
    <mergeCell ref="M24:AD24"/>
    <mergeCell ref="M25:AD25"/>
    <mergeCell ref="C20:AD20"/>
    <mergeCell ref="C21:L21"/>
    <mergeCell ref="C24:L24"/>
    <mergeCell ref="C25:L25"/>
    <mergeCell ref="C22:L22"/>
    <mergeCell ref="C23:L23"/>
    <mergeCell ref="C28:AD29"/>
    <mergeCell ref="P1:AD1"/>
    <mergeCell ref="P2:AD2"/>
    <mergeCell ref="M19:AD19"/>
    <mergeCell ref="C11:AD11"/>
    <mergeCell ref="C12:AD12"/>
    <mergeCell ref="C15:AD15"/>
    <mergeCell ref="C18:L18"/>
    <mergeCell ref="M18:AD18"/>
    <mergeCell ref="C19:L19"/>
    <mergeCell ref="B1:M1"/>
    <mergeCell ref="C2:L2"/>
    <mergeCell ref="C6:AD6"/>
    <mergeCell ref="C7:AD7"/>
    <mergeCell ref="C9:AD9"/>
    <mergeCell ref="C16:L16"/>
    <mergeCell ref="M16:AD16"/>
    <mergeCell ref="T41:AE41"/>
    <mergeCell ref="T35:AE35"/>
    <mergeCell ref="T34:AE34"/>
    <mergeCell ref="C35:G35"/>
    <mergeCell ref="C36:G36"/>
    <mergeCell ref="I36:M36"/>
    <mergeCell ref="T39:AE39"/>
    <mergeCell ref="C37:G37"/>
    <mergeCell ref="I37:M37"/>
    <mergeCell ref="C34:G34"/>
    <mergeCell ref="T40:AE40"/>
    <mergeCell ref="I34:N34"/>
    <mergeCell ref="I35:N35"/>
    <mergeCell ref="B61:G64"/>
    <mergeCell ref="H61:K64"/>
    <mergeCell ref="L61:M64"/>
    <mergeCell ref="B65:G68"/>
    <mergeCell ref="H65:K68"/>
    <mergeCell ref="L65:M68"/>
  </mergeCells>
  <pageMargins left="0" right="0" top="0.59055118110236227" bottom="0.47244094488188981" header="0" footer="0"/>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FF0000"/>
  </sheetPr>
  <dimension ref="B1:AV98"/>
  <sheetViews>
    <sheetView view="pageLayout" topLeftCell="A22" workbookViewId="0">
      <selection activeCell="AO29" sqref="AO29:AR29"/>
    </sheetView>
  </sheetViews>
  <sheetFormatPr defaultColWidth="9.140625" defaultRowHeight="12.75"/>
  <cols>
    <col min="1" max="15" width="3.140625" style="69" customWidth="1"/>
    <col min="16" max="30" width="3.28515625" style="69" customWidth="1"/>
    <col min="31" max="31" width="3.28515625" style="96" customWidth="1"/>
    <col min="32" max="146" width="3.140625" style="69" customWidth="1"/>
    <col min="147" max="16384" width="9.140625" style="69"/>
  </cols>
  <sheetData>
    <row r="1" spans="2:45" ht="19.7" customHeight="1">
      <c r="B1" s="370" t="s">
        <v>80</v>
      </c>
      <c r="C1" s="370"/>
      <c r="D1" s="370"/>
      <c r="E1" s="370"/>
      <c r="F1" s="370"/>
      <c r="G1" s="370"/>
      <c r="H1" s="370"/>
      <c r="I1" s="370"/>
      <c r="J1" s="370"/>
      <c r="K1" s="370"/>
      <c r="L1" s="370"/>
      <c r="M1" s="370"/>
      <c r="N1" s="70"/>
      <c r="O1" s="70"/>
      <c r="P1" s="351" t="s">
        <v>81</v>
      </c>
      <c r="Q1" s="351"/>
      <c r="R1" s="351"/>
      <c r="S1" s="351"/>
      <c r="T1" s="351"/>
      <c r="U1" s="351"/>
      <c r="V1" s="351"/>
      <c r="W1" s="351"/>
      <c r="X1" s="351"/>
      <c r="Y1" s="351"/>
      <c r="Z1" s="351"/>
      <c r="AA1" s="351"/>
      <c r="AB1" s="351"/>
      <c r="AC1" s="351"/>
      <c r="AD1" s="351"/>
      <c r="AE1" s="88"/>
    </row>
    <row r="2" spans="2:45" ht="19.7" customHeight="1">
      <c r="C2" s="370" t="s">
        <v>82</v>
      </c>
      <c r="D2" s="370"/>
      <c r="E2" s="370"/>
      <c r="F2" s="370"/>
      <c r="G2" s="370"/>
      <c r="H2" s="370"/>
      <c r="I2" s="370"/>
      <c r="J2" s="370"/>
      <c r="K2" s="370"/>
      <c r="L2" s="370"/>
      <c r="M2" s="70"/>
      <c r="N2" s="136"/>
      <c r="O2" s="70"/>
      <c r="P2" s="371" t="s">
        <v>153</v>
      </c>
      <c r="Q2" s="371"/>
      <c r="R2" s="371"/>
      <c r="S2" s="371"/>
      <c r="T2" s="371"/>
      <c r="U2" s="371"/>
      <c r="V2" s="371"/>
      <c r="W2" s="371"/>
      <c r="X2" s="371"/>
      <c r="Y2" s="371"/>
      <c r="Z2" s="371"/>
      <c r="AA2" s="371"/>
      <c r="AB2" s="371"/>
      <c r="AC2" s="371"/>
      <c r="AD2" s="371"/>
    </row>
    <row r="3" spans="2:45" ht="12" customHeight="1">
      <c r="C3" s="134"/>
      <c r="D3" s="134"/>
      <c r="E3" s="138"/>
      <c r="F3" s="138"/>
      <c r="G3" s="138"/>
      <c r="H3" s="138"/>
      <c r="I3" s="138"/>
      <c r="J3" s="138"/>
      <c r="K3" s="134"/>
      <c r="L3" s="133"/>
      <c r="M3" s="134"/>
      <c r="N3" s="134"/>
      <c r="O3" s="134"/>
      <c r="P3" s="134"/>
      <c r="Q3" s="77"/>
      <c r="R3" s="77"/>
      <c r="S3" s="138"/>
      <c r="T3" s="138"/>
      <c r="U3" s="138"/>
      <c r="V3" s="138"/>
      <c r="W3" s="138"/>
      <c r="X3" s="138"/>
      <c r="Y3" s="138"/>
      <c r="Z3" s="138"/>
      <c r="AA3" s="138"/>
      <c r="AB3" s="70"/>
      <c r="AC3" s="70"/>
      <c r="AD3" s="70"/>
    </row>
    <row r="4" spans="2:45" ht="6.75" customHeight="1">
      <c r="C4" s="75"/>
      <c r="D4" s="75"/>
      <c r="E4" s="76"/>
      <c r="F4" s="76"/>
      <c r="G4" s="76"/>
      <c r="H4" s="76"/>
      <c r="I4" s="76"/>
      <c r="J4" s="76"/>
      <c r="K4" s="76"/>
      <c r="L4" s="77"/>
      <c r="M4" s="77"/>
      <c r="N4" s="77"/>
      <c r="O4" s="77"/>
      <c r="P4" s="76"/>
      <c r="Q4" s="136"/>
      <c r="R4" s="136"/>
      <c r="S4" s="136"/>
      <c r="T4" s="136"/>
      <c r="U4" s="136"/>
      <c r="V4" s="136"/>
      <c r="W4" s="136"/>
      <c r="X4" s="136"/>
      <c r="Y4" s="136"/>
      <c r="Z4" s="136"/>
      <c r="AA4" s="136"/>
      <c r="AB4" s="136"/>
      <c r="AC4" s="136"/>
      <c r="AD4" s="136"/>
    </row>
    <row r="5" spans="2:45" ht="0.75" customHeight="1">
      <c r="C5" s="137"/>
      <c r="D5" s="137"/>
      <c r="E5" s="134"/>
      <c r="F5" s="134"/>
      <c r="G5" s="134"/>
      <c r="H5" s="134"/>
      <c r="I5" s="134"/>
      <c r="J5" s="134"/>
      <c r="K5" s="134"/>
      <c r="L5" s="134"/>
      <c r="M5" s="134"/>
      <c r="N5" s="134"/>
      <c r="O5" s="134"/>
      <c r="P5" s="134"/>
      <c r="Q5" s="134"/>
      <c r="R5" s="134"/>
      <c r="S5" s="134"/>
      <c r="T5" s="134"/>
      <c r="U5" s="134"/>
      <c r="V5" s="134"/>
      <c r="W5" s="134"/>
      <c r="X5" s="134"/>
      <c r="Y5" s="134"/>
      <c r="Z5" s="134"/>
      <c r="AA5" s="134"/>
      <c r="AB5" s="70"/>
      <c r="AC5" s="70"/>
      <c r="AD5" s="70"/>
    </row>
    <row r="6" spans="2:45" ht="19.7" customHeight="1">
      <c r="C6" s="363" t="s">
        <v>83</v>
      </c>
      <c r="D6" s="363"/>
      <c r="E6" s="363"/>
      <c r="F6" s="363"/>
      <c r="G6" s="363"/>
      <c r="H6" s="363"/>
      <c r="I6" s="363"/>
      <c r="J6" s="363"/>
      <c r="K6" s="363"/>
      <c r="L6" s="363"/>
      <c r="M6" s="363"/>
      <c r="N6" s="363"/>
      <c r="O6" s="363"/>
      <c r="P6" s="363"/>
      <c r="Q6" s="363"/>
      <c r="R6" s="363"/>
      <c r="S6" s="363"/>
      <c r="T6" s="363"/>
      <c r="U6" s="363"/>
      <c r="V6" s="363"/>
      <c r="W6" s="363"/>
      <c r="X6" s="363"/>
      <c r="Y6" s="363"/>
      <c r="Z6" s="363"/>
      <c r="AA6" s="363"/>
      <c r="AB6" s="363"/>
      <c r="AC6" s="363"/>
      <c r="AD6" s="363"/>
    </row>
    <row r="7" spans="2:45" ht="19.7" customHeight="1">
      <c r="C7" s="363" t="s">
        <v>84</v>
      </c>
      <c r="D7" s="363"/>
      <c r="E7" s="363"/>
      <c r="F7" s="363"/>
      <c r="G7" s="363"/>
      <c r="H7" s="363"/>
      <c r="I7" s="363"/>
      <c r="J7" s="363"/>
      <c r="K7" s="363"/>
      <c r="L7" s="363"/>
      <c r="M7" s="363"/>
      <c r="N7" s="363"/>
      <c r="O7" s="363"/>
      <c r="P7" s="363"/>
      <c r="Q7" s="363"/>
      <c r="R7" s="363"/>
      <c r="S7" s="363"/>
      <c r="T7" s="363"/>
      <c r="U7" s="363"/>
      <c r="V7" s="363"/>
      <c r="W7" s="363"/>
      <c r="X7" s="363"/>
      <c r="Y7" s="363"/>
      <c r="Z7" s="363"/>
      <c r="AA7" s="363"/>
      <c r="AB7" s="363"/>
      <c r="AC7" s="363"/>
      <c r="AD7" s="363"/>
    </row>
    <row r="8" spans="2:45" ht="12.75" customHeight="1">
      <c r="C8" s="133"/>
      <c r="D8" s="134"/>
      <c r="E8" s="134"/>
      <c r="F8" s="134"/>
      <c r="G8" s="134"/>
      <c r="H8" s="134"/>
      <c r="I8" s="134"/>
      <c r="J8" s="134"/>
      <c r="K8" s="134"/>
      <c r="L8" s="134"/>
      <c r="M8" s="134"/>
      <c r="N8" s="134"/>
      <c r="O8" s="134"/>
      <c r="P8" s="134"/>
      <c r="Q8" s="134"/>
      <c r="R8" s="134"/>
      <c r="S8" s="134"/>
      <c r="T8" s="134"/>
      <c r="U8" s="134"/>
      <c r="V8" s="134"/>
      <c r="W8" s="134"/>
      <c r="X8" s="134"/>
      <c r="Y8" s="134"/>
      <c r="Z8" s="134"/>
      <c r="AA8" s="134"/>
      <c r="AB8" s="70"/>
      <c r="AC8" s="70"/>
      <c r="AD8" s="70"/>
    </row>
    <row r="9" spans="2:45" ht="15.75" customHeight="1">
      <c r="C9" s="371" t="str">
        <f>"Số: "&amp;AG9</f>
        <v>Số: B08600120811TG05</v>
      </c>
      <c r="D9" s="371"/>
      <c r="E9" s="371"/>
      <c r="F9" s="371"/>
      <c r="G9" s="371"/>
      <c r="H9" s="371"/>
      <c r="I9" s="371"/>
      <c r="J9" s="371"/>
      <c r="K9" s="371"/>
      <c r="L9" s="371"/>
      <c r="M9" s="371"/>
      <c r="N9" s="371"/>
      <c r="O9" s="371"/>
      <c r="P9" s="371"/>
      <c r="Q9" s="371"/>
      <c r="R9" s="371"/>
      <c r="S9" s="371"/>
      <c r="T9" s="371"/>
      <c r="U9" s="371"/>
      <c r="V9" s="371"/>
      <c r="W9" s="371"/>
      <c r="X9" s="371"/>
      <c r="Y9" s="371"/>
      <c r="Z9" s="371"/>
      <c r="AA9" s="371"/>
      <c r="AB9" s="371"/>
      <c r="AC9" s="371"/>
      <c r="AD9" s="371"/>
      <c r="AG9" s="81" t="s">
        <v>189</v>
      </c>
    </row>
    <row r="10" spans="2:45" ht="10.5" customHeight="1">
      <c r="C10" s="135"/>
      <c r="D10" s="134"/>
      <c r="E10" s="134"/>
      <c r="F10" s="134"/>
      <c r="G10" s="134"/>
      <c r="H10" s="134"/>
      <c r="I10" s="134"/>
      <c r="J10" s="134"/>
      <c r="K10" s="134"/>
      <c r="L10" s="134"/>
      <c r="M10" s="134"/>
      <c r="N10" s="134"/>
      <c r="O10" s="134"/>
      <c r="P10" s="134"/>
      <c r="Q10" s="134"/>
      <c r="R10" s="134"/>
      <c r="S10" s="134"/>
      <c r="T10" s="134"/>
      <c r="U10" s="134"/>
      <c r="V10" s="134"/>
      <c r="W10" s="134"/>
      <c r="X10" s="134"/>
      <c r="Y10" s="134"/>
      <c r="Z10" s="134"/>
      <c r="AA10" s="134"/>
      <c r="AB10" s="70"/>
      <c r="AC10" s="70"/>
      <c r="AD10" s="70"/>
    </row>
    <row r="11" spans="2:45" ht="19.7" customHeight="1">
      <c r="C11" s="363" t="s">
        <v>85</v>
      </c>
      <c r="D11" s="363"/>
      <c r="E11" s="363"/>
      <c r="F11" s="363"/>
      <c r="G11" s="363"/>
      <c r="H11" s="363"/>
      <c r="I11" s="363"/>
      <c r="J11" s="363"/>
      <c r="K11" s="363"/>
      <c r="L11" s="363"/>
      <c r="M11" s="363"/>
      <c r="N11" s="363"/>
      <c r="O11" s="363"/>
      <c r="P11" s="363"/>
      <c r="Q11" s="363"/>
      <c r="R11" s="363"/>
      <c r="S11" s="363"/>
      <c r="T11" s="363"/>
      <c r="U11" s="363"/>
      <c r="V11" s="363"/>
      <c r="W11" s="363"/>
      <c r="X11" s="363"/>
      <c r="Y11" s="363"/>
      <c r="Z11" s="363"/>
      <c r="AA11" s="363"/>
      <c r="AB11" s="363"/>
      <c r="AC11" s="363"/>
      <c r="AD11" s="363"/>
    </row>
    <row r="12" spans="2:45" ht="19.7" customHeight="1">
      <c r="C12" s="363" t="s">
        <v>86</v>
      </c>
      <c r="D12" s="363"/>
      <c r="E12" s="363"/>
      <c r="F12" s="363"/>
      <c r="G12" s="363"/>
      <c r="H12" s="363"/>
      <c r="I12" s="363"/>
      <c r="J12" s="363"/>
      <c r="K12" s="363"/>
      <c r="L12" s="363"/>
      <c r="M12" s="363"/>
      <c r="N12" s="363"/>
      <c r="O12" s="363"/>
      <c r="P12" s="363"/>
      <c r="Q12" s="363"/>
      <c r="R12" s="363"/>
      <c r="S12" s="363"/>
      <c r="T12" s="363"/>
      <c r="U12" s="363"/>
      <c r="V12" s="363"/>
      <c r="W12" s="363"/>
      <c r="X12" s="363"/>
      <c r="Y12" s="363"/>
      <c r="Z12" s="363"/>
      <c r="AA12" s="363"/>
      <c r="AB12" s="363"/>
      <c r="AC12" s="363"/>
      <c r="AD12" s="363"/>
    </row>
    <row r="13" spans="2:45" ht="7.5" customHeight="1">
      <c r="C13" s="82"/>
      <c r="D13" s="72"/>
      <c r="E13" s="72"/>
      <c r="F13" s="72"/>
      <c r="G13" s="72"/>
      <c r="H13" s="72"/>
      <c r="I13" s="72"/>
      <c r="J13" s="72"/>
      <c r="K13" s="72"/>
      <c r="L13" s="72"/>
      <c r="M13" s="72"/>
      <c r="N13" s="72"/>
      <c r="O13" s="72"/>
      <c r="P13" s="72"/>
      <c r="Q13" s="72"/>
      <c r="R13" s="72"/>
      <c r="S13" s="72"/>
      <c r="T13" s="72"/>
      <c r="U13" s="72"/>
      <c r="V13" s="72"/>
      <c r="W13" s="72"/>
      <c r="X13" s="72"/>
      <c r="Y13" s="72"/>
      <c r="Z13" s="72"/>
      <c r="AA13" s="72"/>
    </row>
    <row r="14" spans="2:45" ht="3" customHeight="1">
      <c r="C14" s="80"/>
      <c r="D14" s="72"/>
      <c r="E14" s="72"/>
      <c r="F14" s="72"/>
      <c r="G14" s="72"/>
      <c r="H14" s="72"/>
      <c r="I14" s="72"/>
      <c r="J14" s="72"/>
      <c r="K14" s="72"/>
      <c r="L14" s="72"/>
      <c r="M14" s="72"/>
      <c r="N14" s="72"/>
      <c r="O14" s="72"/>
      <c r="P14" s="72"/>
      <c r="Q14" s="72"/>
      <c r="R14" s="72"/>
      <c r="S14" s="72"/>
      <c r="T14" s="72"/>
      <c r="U14" s="72"/>
      <c r="V14" s="72"/>
      <c r="W14" s="72"/>
      <c r="X14" s="72"/>
      <c r="Y14" s="72"/>
      <c r="Z14" s="72"/>
      <c r="AA14" s="72"/>
    </row>
    <row r="15" spans="2:45" ht="23.25" customHeight="1">
      <c r="C15" s="364" t="s">
        <v>84</v>
      </c>
      <c r="D15" s="365"/>
      <c r="E15" s="365"/>
      <c r="F15" s="365"/>
      <c r="G15" s="365"/>
      <c r="H15" s="365"/>
      <c r="I15" s="365"/>
      <c r="J15" s="365"/>
      <c r="K15" s="365"/>
      <c r="L15" s="365"/>
      <c r="M15" s="365"/>
      <c r="N15" s="365"/>
      <c r="O15" s="365"/>
      <c r="P15" s="365"/>
      <c r="Q15" s="365"/>
      <c r="R15" s="365"/>
      <c r="S15" s="365"/>
      <c r="T15" s="365"/>
      <c r="U15" s="365"/>
      <c r="V15" s="365"/>
      <c r="W15" s="365"/>
      <c r="X15" s="365"/>
      <c r="Y15" s="365"/>
      <c r="Z15" s="365"/>
      <c r="AA15" s="365"/>
      <c r="AB15" s="365"/>
      <c r="AC15" s="365"/>
      <c r="AD15" s="366"/>
      <c r="AE15" s="103"/>
      <c r="AG15" s="83">
        <v>1</v>
      </c>
      <c r="AH15" s="83"/>
      <c r="AI15" s="83"/>
      <c r="AJ15" s="83"/>
      <c r="AK15" s="83">
        <v>2</v>
      </c>
      <c r="AL15" s="83"/>
      <c r="AM15" s="83"/>
      <c r="AN15" s="83"/>
      <c r="AO15" s="83">
        <v>3</v>
      </c>
      <c r="AS15" s="69">
        <v>4</v>
      </c>
    </row>
    <row r="16" spans="2:45" ht="38.25" customHeight="1">
      <c r="C16" s="395" t="s">
        <v>24</v>
      </c>
      <c r="D16" s="396"/>
      <c r="E16" s="396"/>
      <c r="F16" s="396"/>
      <c r="G16" s="396"/>
      <c r="H16" s="396"/>
      <c r="I16" s="396"/>
      <c r="J16" s="396"/>
      <c r="K16" s="396"/>
      <c r="L16" s="397"/>
      <c r="M16" s="375" t="str">
        <f>AG16</f>
        <v>Ấp Bàu Trâu, xã Phước Thạnh, huyện Củ Chi, thành phố Hồ Chí Minh.</v>
      </c>
      <c r="N16" s="376"/>
      <c r="O16" s="376"/>
      <c r="P16" s="376"/>
      <c r="Q16" s="376"/>
      <c r="R16" s="376"/>
      <c r="S16" s="376"/>
      <c r="T16" s="376"/>
      <c r="U16" s="376"/>
      <c r="V16" s="376"/>
      <c r="W16" s="376"/>
      <c r="X16" s="376"/>
      <c r="Y16" s="376"/>
      <c r="Z16" s="376"/>
      <c r="AA16" s="376"/>
      <c r="AB16" s="376"/>
      <c r="AC16" s="376"/>
      <c r="AD16" s="377"/>
      <c r="AE16" s="103"/>
      <c r="AG16" s="84" t="s">
        <v>87</v>
      </c>
    </row>
    <row r="17" spans="3:47" ht="21" customHeight="1">
      <c r="C17" s="372" t="s">
        <v>17</v>
      </c>
      <c r="D17" s="373"/>
      <c r="E17" s="373"/>
      <c r="F17" s="373"/>
      <c r="G17" s="373"/>
      <c r="H17" s="373"/>
      <c r="I17" s="373"/>
      <c r="J17" s="373"/>
      <c r="K17" s="373"/>
      <c r="L17" s="374"/>
      <c r="M17" s="364" t="str">
        <f>IF(AG17="","",AG17)</f>
        <v/>
      </c>
      <c r="N17" s="365"/>
      <c r="O17" s="365"/>
      <c r="P17" s="365"/>
      <c r="Q17" s="365"/>
      <c r="R17" s="365"/>
      <c r="S17" s="365"/>
      <c r="T17" s="365"/>
      <c r="U17" s="365"/>
      <c r="V17" s="365"/>
      <c r="W17" s="365"/>
      <c r="X17" s="365"/>
      <c r="Y17" s="365"/>
      <c r="Z17" s="365"/>
      <c r="AA17" s="365"/>
      <c r="AB17" s="365"/>
      <c r="AC17" s="365"/>
      <c r="AD17" s="366"/>
      <c r="AE17" s="103"/>
    </row>
    <row r="18" spans="3:47" ht="33.950000000000003" customHeight="1">
      <c r="C18" s="367" t="s">
        <v>9</v>
      </c>
      <c r="D18" s="368"/>
      <c r="E18" s="368"/>
      <c r="F18" s="368"/>
      <c r="G18" s="368"/>
      <c r="H18" s="368"/>
      <c r="I18" s="368"/>
      <c r="J18" s="368"/>
      <c r="K18" s="368"/>
      <c r="L18" s="369"/>
      <c r="M18" s="360" t="str">
        <f>AG18</f>
        <v>CÔNG TY CỔ PHẦN VIỄN THÔNG DI ĐỘNG TOÀN CẦU</v>
      </c>
      <c r="N18" s="361"/>
      <c r="O18" s="361"/>
      <c r="P18" s="361"/>
      <c r="Q18" s="361"/>
      <c r="R18" s="361"/>
      <c r="S18" s="361"/>
      <c r="T18" s="361"/>
      <c r="U18" s="361"/>
      <c r="V18" s="361"/>
      <c r="W18" s="361"/>
      <c r="X18" s="361"/>
      <c r="Y18" s="361"/>
      <c r="Z18" s="361"/>
      <c r="AA18" s="361"/>
      <c r="AB18" s="361"/>
      <c r="AC18" s="361"/>
      <c r="AD18" s="362"/>
      <c r="AE18" s="103"/>
      <c r="AG18" s="81" t="s">
        <v>132</v>
      </c>
    </row>
    <row r="19" spans="3:47" ht="33.950000000000003" customHeight="1">
      <c r="C19" s="367" t="s">
        <v>16</v>
      </c>
      <c r="D19" s="368"/>
      <c r="E19" s="368"/>
      <c r="F19" s="368"/>
      <c r="G19" s="368"/>
      <c r="H19" s="368"/>
      <c r="I19" s="368"/>
      <c r="J19" s="368"/>
      <c r="K19" s="368"/>
      <c r="L19" s="369"/>
      <c r="M19" s="360" t="str">
        <f>AG19</f>
        <v>CÔNG TY CỔ PHẦN VIỄN THÔNG DI ĐỘNG TOÀN CẦU</v>
      </c>
      <c r="N19" s="361"/>
      <c r="O19" s="361"/>
      <c r="P19" s="361"/>
      <c r="Q19" s="361"/>
      <c r="R19" s="361"/>
      <c r="S19" s="361"/>
      <c r="T19" s="361"/>
      <c r="U19" s="361"/>
      <c r="V19" s="361"/>
      <c r="W19" s="361"/>
      <c r="X19" s="361"/>
      <c r="Y19" s="361"/>
      <c r="Z19" s="361"/>
      <c r="AA19" s="361"/>
      <c r="AB19" s="361"/>
      <c r="AC19" s="361"/>
      <c r="AD19" s="362"/>
      <c r="AE19" s="104"/>
      <c r="AG19" s="81" t="s">
        <v>132</v>
      </c>
    </row>
    <row r="20" spans="3:47" ht="21" customHeight="1">
      <c r="C20" s="384" t="s">
        <v>88</v>
      </c>
      <c r="D20" s="385"/>
      <c r="E20" s="385"/>
      <c r="F20" s="385"/>
      <c r="G20" s="385"/>
      <c r="H20" s="385"/>
      <c r="I20" s="385"/>
      <c r="J20" s="385"/>
      <c r="K20" s="385"/>
      <c r="L20" s="385"/>
      <c r="M20" s="385"/>
      <c r="N20" s="385"/>
      <c r="O20" s="385"/>
      <c r="P20" s="385"/>
      <c r="Q20" s="385"/>
      <c r="R20" s="385"/>
      <c r="S20" s="385"/>
      <c r="T20" s="385"/>
      <c r="U20" s="385"/>
      <c r="V20" s="385"/>
      <c r="W20" s="385"/>
      <c r="X20" s="385"/>
      <c r="Y20" s="385"/>
      <c r="Z20" s="385"/>
      <c r="AA20" s="385"/>
      <c r="AB20" s="385"/>
      <c r="AC20" s="385"/>
      <c r="AD20" s="386"/>
      <c r="AE20" s="105"/>
    </row>
    <row r="21" spans="3:47" ht="33.950000000000003" customHeight="1">
      <c r="C21" s="378" t="s">
        <v>89</v>
      </c>
      <c r="D21" s="378"/>
      <c r="E21" s="378"/>
      <c r="F21" s="378"/>
      <c r="G21" s="378"/>
      <c r="H21" s="378"/>
      <c r="I21" s="378"/>
      <c r="J21" s="378"/>
      <c r="K21" s="378"/>
      <c r="L21" s="378"/>
      <c r="M21" s="398" t="str">
        <f>AG21</f>
        <v>MOTOROLA HORIZON II MACRO</v>
      </c>
      <c r="N21" s="398"/>
      <c r="O21" s="398"/>
      <c r="P21" s="398"/>
      <c r="Q21" s="398"/>
      <c r="R21" s="398"/>
      <c r="S21" s="398"/>
      <c r="T21" s="398"/>
      <c r="U21" s="398"/>
      <c r="V21" s="398" t="str">
        <f>AK21</f>
        <v>MOTOROLA HORIZON II MACRO</v>
      </c>
      <c r="W21" s="398"/>
      <c r="X21" s="398"/>
      <c r="Y21" s="398"/>
      <c r="Z21" s="398"/>
      <c r="AA21" s="398"/>
      <c r="AB21" s="398"/>
      <c r="AC21" s="398"/>
      <c r="AD21" s="398"/>
      <c r="AE21" s="103"/>
      <c r="AG21" s="81" t="s">
        <v>158</v>
      </c>
      <c r="AK21" s="81" t="s">
        <v>158</v>
      </c>
      <c r="AO21" s="81" t="s">
        <v>92</v>
      </c>
      <c r="AS21" s="81" t="s">
        <v>93</v>
      </c>
    </row>
    <row r="22" spans="3:47" ht="19.7" customHeight="1">
      <c r="C22" s="387" t="s">
        <v>94</v>
      </c>
      <c r="D22" s="388"/>
      <c r="E22" s="388"/>
      <c r="F22" s="388"/>
      <c r="G22" s="388"/>
      <c r="H22" s="388"/>
      <c r="I22" s="388"/>
      <c r="J22" s="388"/>
      <c r="K22" s="388"/>
      <c r="L22" s="389"/>
      <c r="M22" s="360">
        <f>AG22</f>
        <v>3</v>
      </c>
      <c r="N22" s="361"/>
      <c r="O22" s="361"/>
      <c r="P22" s="361"/>
      <c r="Q22" s="361"/>
      <c r="R22" s="361"/>
      <c r="S22" s="361"/>
      <c r="T22" s="361"/>
      <c r="U22" s="362"/>
      <c r="V22" s="360">
        <f>AK22</f>
        <v>3</v>
      </c>
      <c r="W22" s="361"/>
      <c r="X22" s="361"/>
      <c r="Y22" s="361"/>
      <c r="Z22" s="361"/>
      <c r="AA22" s="361"/>
      <c r="AB22" s="361"/>
      <c r="AC22" s="361"/>
      <c r="AD22" s="362"/>
      <c r="AE22" s="103"/>
      <c r="AG22" s="83">
        <v>3</v>
      </c>
      <c r="AH22" s="83"/>
      <c r="AI22" s="83"/>
      <c r="AJ22" s="83"/>
      <c r="AK22" s="83">
        <v>3</v>
      </c>
      <c r="AL22" s="83"/>
      <c r="AM22" s="83"/>
      <c r="AN22" s="83"/>
      <c r="AO22" s="83">
        <v>3</v>
      </c>
      <c r="AS22" s="69">
        <v>1</v>
      </c>
    </row>
    <row r="23" spans="3:47" ht="19.7" customHeight="1">
      <c r="C23" s="378" t="s">
        <v>95</v>
      </c>
      <c r="D23" s="378"/>
      <c r="E23" s="378"/>
      <c r="F23" s="378"/>
      <c r="G23" s="378"/>
      <c r="H23" s="378"/>
      <c r="I23" s="378"/>
      <c r="J23" s="378"/>
      <c r="K23" s="378"/>
      <c r="L23" s="378"/>
      <c r="M23" s="401" t="str">
        <f>AG23</f>
        <v>4/4/4</v>
      </c>
      <c r="N23" s="402"/>
      <c r="O23" s="402"/>
      <c r="P23" s="402"/>
      <c r="Q23" s="402"/>
      <c r="R23" s="402"/>
      <c r="S23" s="402"/>
      <c r="T23" s="402"/>
      <c r="U23" s="402"/>
      <c r="V23" s="382" t="str">
        <f>AK23</f>
        <v>2/2/2</v>
      </c>
      <c r="W23" s="399"/>
      <c r="X23" s="399"/>
      <c r="Y23" s="399"/>
      <c r="Z23" s="399"/>
      <c r="AA23" s="399"/>
      <c r="AB23" s="399"/>
      <c r="AC23" s="399"/>
      <c r="AD23" s="400"/>
      <c r="AE23" s="106"/>
      <c r="AG23" s="85" t="s">
        <v>96</v>
      </c>
      <c r="AH23" s="86"/>
      <c r="AI23" s="86"/>
      <c r="AJ23" s="86"/>
      <c r="AK23" s="85" t="s">
        <v>97</v>
      </c>
      <c r="AL23" s="86"/>
      <c r="AM23" s="86"/>
      <c r="AN23" s="86"/>
      <c r="AO23" s="85" t="s">
        <v>98</v>
      </c>
      <c r="AP23" s="86"/>
      <c r="AQ23" s="86"/>
      <c r="AR23" s="86"/>
      <c r="AS23" s="85" t="s">
        <v>99</v>
      </c>
    </row>
    <row r="24" spans="3:47" ht="18.75" customHeight="1">
      <c r="C24" s="387" t="s">
        <v>133</v>
      </c>
      <c r="D24" s="388"/>
      <c r="E24" s="388"/>
      <c r="F24" s="388"/>
      <c r="G24" s="388"/>
      <c r="H24" s="388"/>
      <c r="I24" s="388"/>
      <c r="J24" s="388"/>
      <c r="K24" s="388"/>
      <c r="L24" s="389"/>
      <c r="M24" s="360" t="str">
        <f>IF(M22=4,AG24&amp;"W/ "&amp;AH24&amp;"W/ "&amp;AI24&amp;"W/ "&amp;AJ24&amp;"W",IF(M22=3,AG24&amp;"W/ "&amp;AH24&amp;"W/ "&amp;AI24&amp;"W",IF(M22=2,AG24&amp;"W/ "&amp;AH24&amp;"W",AG24&amp;"W")))</f>
        <v>100,45W/ 100,45W/ 100,45W</v>
      </c>
      <c r="N24" s="361"/>
      <c r="O24" s="361"/>
      <c r="P24" s="361"/>
      <c r="Q24" s="361"/>
      <c r="R24" s="361"/>
      <c r="S24" s="361"/>
      <c r="T24" s="361"/>
      <c r="U24" s="362"/>
      <c r="V24" s="360" t="str">
        <f>IF(V22=4,AK24&amp;"W/ "&amp;AL24&amp;"W/ "&amp;AM24&amp;"W/ "&amp;AN24&amp;"W",IF(V22=3,AK24&amp;"W/ "&amp;AL24&amp;"W/ "&amp;AM24&amp;"W",IF(V22=2,AK24&amp;"W/"&amp;AL24&amp;"W",AK24&amp;"W")))</f>
        <v>40W/ 40W/ 40W</v>
      </c>
      <c r="W24" s="361"/>
      <c r="X24" s="361"/>
      <c r="Y24" s="361"/>
      <c r="Z24" s="361"/>
      <c r="AA24" s="361"/>
      <c r="AB24" s="361"/>
      <c r="AC24" s="361"/>
      <c r="AD24" s="362"/>
      <c r="AE24" s="104"/>
      <c r="AG24" s="69" t="s">
        <v>157</v>
      </c>
      <c r="AH24" s="69" t="s">
        <v>157</v>
      </c>
      <c r="AI24" s="69" t="s">
        <v>157</v>
      </c>
      <c r="AJ24" s="69" t="s">
        <v>157</v>
      </c>
      <c r="AK24" s="69">
        <v>40</v>
      </c>
      <c r="AL24" s="69">
        <v>40</v>
      </c>
      <c r="AM24" s="69">
        <v>40</v>
      </c>
      <c r="AN24" s="69">
        <v>40</v>
      </c>
      <c r="AO24" s="69">
        <v>60</v>
      </c>
      <c r="AP24" s="69">
        <v>60</v>
      </c>
      <c r="AQ24" s="69">
        <v>60</v>
      </c>
      <c r="AS24" s="69">
        <v>80</v>
      </c>
      <c r="AT24" s="69">
        <v>80</v>
      </c>
      <c r="AU24" s="69">
        <v>80</v>
      </c>
    </row>
    <row r="25" spans="3:47" ht="19.7" customHeight="1">
      <c r="C25" s="378" t="s">
        <v>100</v>
      </c>
      <c r="D25" s="378"/>
      <c r="E25" s="378"/>
      <c r="F25" s="378"/>
      <c r="G25" s="378"/>
      <c r="H25" s="378"/>
      <c r="I25" s="378"/>
      <c r="J25" s="378"/>
      <c r="K25" s="378"/>
      <c r="L25" s="378"/>
      <c r="M25" s="398" t="str">
        <f>IF(AG25="900 &amp; 1800","900MHz &amp; 1800MHz",IF(AG25="900 &amp; 2100","900MHz &amp; 2100MHz",IF(AG25="1800 &amp; 2100","1800MHz &amp; 2100MHz",AG25&amp;"MHz")))</f>
        <v>1800MHz</v>
      </c>
      <c r="N25" s="398"/>
      <c r="O25" s="398"/>
      <c r="P25" s="398"/>
      <c r="Q25" s="398"/>
      <c r="R25" s="398"/>
      <c r="S25" s="398"/>
      <c r="T25" s="398"/>
      <c r="U25" s="398"/>
      <c r="V25" s="398" t="str">
        <f>IF(AK25="900 &amp; 1800","900MHz &amp; 1800MHz",IF(AK25="900 &amp; 2100","900MHz &amp; 2100MHz",AK25&amp;"MHz"))</f>
        <v>1800MHz</v>
      </c>
      <c r="W25" s="398"/>
      <c r="X25" s="398"/>
      <c r="Y25" s="398"/>
      <c r="Z25" s="398"/>
      <c r="AA25" s="398"/>
      <c r="AB25" s="398"/>
      <c r="AC25" s="398"/>
      <c r="AD25" s="398"/>
      <c r="AE25" s="103"/>
      <c r="AG25" s="69">
        <v>1800</v>
      </c>
      <c r="AK25" s="69">
        <v>1800</v>
      </c>
      <c r="AO25" s="69">
        <v>2100</v>
      </c>
      <c r="AS25" s="81" t="s">
        <v>101</v>
      </c>
    </row>
    <row r="26" spans="3:47" ht="33.950000000000003" customHeight="1">
      <c r="C26" s="378" t="s">
        <v>146</v>
      </c>
      <c r="D26" s="378"/>
      <c r="E26" s="378"/>
      <c r="F26" s="378"/>
      <c r="G26" s="378"/>
      <c r="H26" s="378"/>
      <c r="I26" s="378"/>
      <c r="J26" s="378"/>
      <c r="K26" s="378"/>
      <c r="L26" s="378"/>
      <c r="M26" s="398">
        <f>AG26</f>
        <v>15</v>
      </c>
      <c r="N26" s="398"/>
      <c r="O26" s="398"/>
      <c r="P26" s="398"/>
      <c r="Q26" s="398"/>
      <c r="R26" s="398"/>
      <c r="S26" s="398"/>
      <c r="T26" s="398"/>
      <c r="U26" s="398"/>
      <c r="V26" s="398">
        <f>AK26</f>
        <v>16</v>
      </c>
      <c r="W26" s="398"/>
      <c r="X26" s="398"/>
      <c r="Y26" s="398"/>
      <c r="Z26" s="398"/>
      <c r="AA26" s="398"/>
      <c r="AB26" s="398"/>
      <c r="AC26" s="398"/>
      <c r="AD26" s="398"/>
      <c r="AE26" s="104"/>
      <c r="AG26" s="69">
        <v>15</v>
      </c>
      <c r="AK26" s="69">
        <v>16</v>
      </c>
      <c r="AO26" s="69">
        <v>17</v>
      </c>
      <c r="AS26" s="69">
        <v>18</v>
      </c>
    </row>
    <row r="27" spans="3:47" ht="25.5" customHeight="1">
      <c r="C27" s="379" t="s">
        <v>102</v>
      </c>
      <c r="D27" s="379"/>
      <c r="E27" s="379"/>
      <c r="F27" s="379"/>
      <c r="G27" s="379"/>
      <c r="H27" s="379"/>
      <c r="I27" s="379"/>
      <c r="J27" s="379"/>
      <c r="K27" s="379"/>
      <c r="L27" s="379"/>
      <c r="M27" s="379"/>
      <c r="N27" s="379"/>
      <c r="O27" s="379"/>
      <c r="P27" s="379"/>
      <c r="Q27" s="379"/>
      <c r="R27" s="379"/>
      <c r="S27" s="379"/>
      <c r="T27" s="379"/>
      <c r="U27" s="379"/>
      <c r="V27" s="379"/>
      <c r="W27" s="379"/>
      <c r="X27" s="379"/>
      <c r="Y27" s="379"/>
      <c r="Z27" s="379"/>
      <c r="AA27" s="379"/>
      <c r="AB27" s="87"/>
      <c r="AC27" s="87"/>
      <c r="AD27" s="87"/>
    </row>
    <row r="28" spans="3:47" ht="24.75" customHeight="1">
      <c r="C28" s="390"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390"/>
      <c r="E28" s="390"/>
      <c r="F28" s="390"/>
      <c r="G28" s="390"/>
      <c r="H28" s="390"/>
      <c r="I28" s="390"/>
      <c r="J28" s="390"/>
      <c r="K28" s="390"/>
      <c r="L28" s="390"/>
      <c r="M28" s="390"/>
      <c r="N28" s="390"/>
      <c r="O28" s="390"/>
      <c r="P28" s="390"/>
      <c r="Q28" s="390"/>
      <c r="R28" s="390"/>
      <c r="S28" s="390"/>
      <c r="T28" s="390"/>
      <c r="U28" s="390"/>
      <c r="V28" s="390"/>
      <c r="W28" s="390"/>
      <c r="X28" s="390"/>
      <c r="Y28" s="390"/>
      <c r="Z28" s="390"/>
      <c r="AA28" s="390"/>
      <c r="AB28" s="390"/>
      <c r="AC28" s="390"/>
      <c r="AD28" s="390"/>
      <c r="AG28" s="69">
        <v>30</v>
      </c>
      <c r="AO28" s="69" t="s">
        <v>234</v>
      </c>
    </row>
    <row r="29" spans="3:47" ht="24.75" customHeight="1">
      <c r="C29" s="390"/>
      <c r="D29" s="390"/>
      <c r="E29" s="390"/>
      <c r="F29" s="390"/>
      <c r="G29" s="390"/>
      <c r="H29" s="390"/>
      <c r="I29" s="390"/>
      <c r="J29" s="390"/>
      <c r="K29" s="390"/>
      <c r="L29" s="390"/>
      <c r="M29" s="390"/>
      <c r="N29" s="390"/>
      <c r="O29" s="390"/>
      <c r="P29" s="390"/>
      <c r="Q29" s="390"/>
      <c r="R29" s="390"/>
      <c r="S29" s="390"/>
      <c r="T29" s="390"/>
      <c r="U29" s="390"/>
      <c r="V29" s="390"/>
      <c r="W29" s="390"/>
      <c r="X29" s="390"/>
      <c r="Y29" s="390"/>
      <c r="Z29" s="390"/>
      <c r="AA29" s="390"/>
      <c r="AB29" s="390"/>
      <c r="AC29" s="390"/>
      <c r="AD29" s="390"/>
      <c r="AG29" s="69">
        <v>1</v>
      </c>
      <c r="AO29" s="69" t="str">
        <f>CONCATENATE(AP29,AQ29,AR29)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69" t="s">
        <v>236</v>
      </c>
      <c r="AQ29" s="69" t="str">
        <f>IF(AG28&gt;=0," cao hơn "," thấp hơn ")</f>
        <v xml:space="preserve"> cao hơn </v>
      </c>
      <c r="AR29" s="69" t="s">
        <v>237</v>
      </c>
    </row>
    <row r="30" spans="3:47" ht="16.5" customHeight="1">
      <c r="C30" s="380" t="str">
        <f>IF(AG31=1,AO31,IF(AG31=2,AO30))</f>
        <v>Trạm gốc điện thoại di động mặt đất công cộng này có mức an toàn phơi nhiễm trường điện từ tuân thủ quy chuẩn kỹ thuật trên.</v>
      </c>
      <c r="D30" s="380"/>
      <c r="E30" s="380"/>
      <c r="F30" s="380"/>
      <c r="G30" s="380"/>
      <c r="H30" s="380"/>
      <c r="I30" s="380"/>
      <c r="J30" s="380"/>
      <c r="K30" s="380"/>
      <c r="L30" s="380"/>
      <c r="M30" s="380"/>
      <c r="N30" s="380"/>
      <c r="O30" s="380"/>
      <c r="P30" s="380"/>
      <c r="Q30" s="380"/>
      <c r="R30" s="380"/>
      <c r="S30" s="380"/>
      <c r="T30" s="380"/>
      <c r="U30" s="380"/>
      <c r="V30" s="380"/>
      <c r="W30" s="380"/>
      <c r="X30" s="380"/>
      <c r="Y30" s="380"/>
      <c r="Z30" s="380"/>
      <c r="AA30" s="380"/>
      <c r="AB30" s="380"/>
      <c r="AC30" s="380"/>
      <c r="AD30" s="380"/>
      <c r="AG30" s="69">
        <v>20</v>
      </c>
      <c r="AO30" s="69" t="s">
        <v>148</v>
      </c>
    </row>
    <row r="31" spans="3:47" ht="16.5" customHeight="1">
      <c r="C31" s="380"/>
      <c r="D31" s="380"/>
      <c r="E31" s="380"/>
      <c r="F31" s="380"/>
      <c r="G31" s="380"/>
      <c r="H31" s="380"/>
      <c r="I31" s="380"/>
      <c r="J31" s="380"/>
      <c r="K31" s="380"/>
      <c r="L31" s="380"/>
      <c r="M31" s="380"/>
      <c r="N31" s="380"/>
      <c r="O31" s="380"/>
      <c r="P31" s="380"/>
      <c r="Q31" s="380"/>
      <c r="R31" s="380"/>
      <c r="S31" s="380"/>
      <c r="T31" s="380"/>
      <c r="U31" s="380"/>
      <c r="V31" s="380"/>
      <c r="W31" s="380"/>
      <c r="X31" s="380"/>
      <c r="Y31" s="380"/>
      <c r="Z31" s="380"/>
      <c r="AA31" s="380"/>
      <c r="AB31" s="380"/>
      <c r="AC31" s="380"/>
      <c r="AD31" s="380"/>
      <c r="AG31" s="69">
        <v>2</v>
      </c>
      <c r="AO31" s="14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spans="3:47" ht="17.100000000000001" customHeight="1">
      <c r="C32" s="391" t="s">
        <v>148</v>
      </c>
      <c r="D32" s="391"/>
      <c r="E32" s="391"/>
      <c r="F32" s="391"/>
      <c r="G32" s="391"/>
      <c r="H32" s="391"/>
      <c r="I32" s="391"/>
      <c r="J32" s="391"/>
      <c r="K32" s="391"/>
      <c r="L32" s="391"/>
      <c r="M32" s="391"/>
      <c r="N32" s="391"/>
      <c r="O32" s="391"/>
      <c r="P32" s="391"/>
      <c r="Q32" s="391"/>
      <c r="R32" s="391"/>
      <c r="S32" s="391"/>
      <c r="T32" s="391"/>
      <c r="U32" s="391"/>
      <c r="V32" s="391"/>
      <c r="W32" s="391"/>
      <c r="X32" s="391"/>
      <c r="Y32" s="391"/>
      <c r="Z32" s="391"/>
      <c r="AA32" s="391"/>
      <c r="AB32" s="391"/>
      <c r="AC32" s="391"/>
      <c r="AD32" s="391"/>
    </row>
    <row r="33" spans="2:48" ht="17.100000000000001" customHeight="1">
      <c r="C33" s="391"/>
      <c r="D33" s="391"/>
      <c r="E33" s="391"/>
      <c r="F33" s="391"/>
      <c r="G33" s="391"/>
      <c r="H33" s="391"/>
      <c r="I33" s="391"/>
      <c r="J33" s="391"/>
      <c r="K33" s="391"/>
      <c r="L33" s="391"/>
      <c r="M33" s="391"/>
      <c r="N33" s="391"/>
      <c r="O33" s="391"/>
      <c r="P33" s="391"/>
      <c r="Q33" s="391"/>
      <c r="R33" s="391"/>
      <c r="S33" s="391"/>
      <c r="T33" s="391"/>
      <c r="U33" s="391"/>
      <c r="V33" s="391"/>
      <c r="W33" s="391"/>
      <c r="X33" s="391"/>
      <c r="Y33" s="391"/>
      <c r="Z33" s="391"/>
      <c r="AA33" s="391"/>
      <c r="AB33" s="391"/>
      <c r="AC33" s="391"/>
      <c r="AD33" s="391"/>
      <c r="AE33" s="111"/>
    </row>
    <row r="34" spans="2:48" ht="17.100000000000001" customHeight="1">
      <c r="C34" s="357"/>
      <c r="D34" s="357"/>
      <c r="E34" s="357"/>
      <c r="F34" s="357"/>
      <c r="G34" s="357"/>
      <c r="H34" s="87"/>
      <c r="I34" s="358"/>
      <c r="J34" s="358"/>
      <c r="K34" s="358"/>
      <c r="L34" s="358"/>
      <c r="M34" s="358"/>
      <c r="N34" s="358"/>
      <c r="O34" s="87"/>
      <c r="P34" s="88"/>
      <c r="Q34" s="88"/>
      <c r="R34" s="88"/>
      <c r="S34" s="88"/>
      <c r="T34" s="352" t="str">
        <f>IF(AI41=0,AO34,IF(AI41=1,AK34,AS34))</f>
        <v>KT. GIÁM ĐỐC</v>
      </c>
      <c r="U34" s="352"/>
      <c r="V34" s="352"/>
      <c r="W34" s="352"/>
      <c r="X34" s="352"/>
      <c r="Y34" s="352"/>
      <c r="Z34" s="352"/>
      <c r="AA34" s="352"/>
      <c r="AB34" s="352"/>
      <c r="AC34" s="352"/>
      <c r="AD34" s="352"/>
      <c r="AE34" s="352"/>
      <c r="AK34" s="69" t="s">
        <v>103</v>
      </c>
      <c r="AO34" s="69" t="s">
        <v>187</v>
      </c>
      <c r="AS34" s="69" t="s">
        <v>186</v>
      </c>
    </row>
    <row r="35" spans="2:48" ht="17.100000000000001" customHeight="1">
      <c r="C35" s="353" t="s">
        <v>104</v>
      </c>
      <c r="D35" s="353"/>
      <c r="E35" s="353"/>
      <c r="F35" s="353"/>
      <c r="G35" s="353"/>
      <c r="H35" s="91" t="s">
        <v>105</v>
      </c>
      <c r="I35" s="355" t="s">
        <v>106</v>
      </c>
      <c r="J35" s="355"/>
      <c r="K35" s="355"/>
      <c r="L35" s="355"/>
      <c r="M35" s="355"/>
      <c r="N35" s="355"/>
      <c r="O35" s="90"/>
      <c r="P35" s="90"/>
      <c r="Q35" s="87"/>
      <c r="R35" s="87"/>
      <c r="S35" s="87"/>
      <c r="T35" s="352" t="str">
        <f>IF(AI41=0,AO35,IF(AI41=1,"",AS35))</f>
        <v>PHÓ GIÁM ĐỐC</v>
      </c>
      <c r="U35" s="352"/>
      <c r="V35" s="352"/>
      <c r="W35" s="352"/>
      <c r="X35" s="352"/>
      <c r="Y35" s="352"/>
      <c r="Z35" s="352"/>
      <c r="AA35" s="352"/>
      <c r="AB35" s="352"/>
      <c r="AC35" s="352"/>
      <c r="AD35" s="352"/>
      <c r="AE35" s="352"/>
      <c r="AO35" s="69" t="s">
        <v>184</v>
      </c>
      <c r="AS35" s="69" t="s">
        <v>135</v>
      </c>
    </row>
    <row r="36" spans="2:48" ht="17.100000000000001" customHeight="1">
      <c r="C36" s="353" t="s">
        <v>107</v>
      </c>
      <c r="D36" s="353"/>
      <c r="E36" s="353"/>
      <c r="F36" s="353"/>
      <c r="G36" s="353"/>
      <c r="H36" s="91" t="s">
        <v>105</v>
      </c>
      <c r="I36" s="354">
        <f>AG36</f>
        <v>40806</v>
      </c>
      <c r="J36" s="355"/>
      <c r="K36" s="355"/>
      <c r="L36" s="355"/>
      <c r="M36" s="355"/>
      <c r="N36" s="92"/>
      <c r="O36" s="92"/>
      <c r="P36" s="92"/>
      <c r="Q36" s="87"/>
      <c r="R36" s="87"/>
      <c r="S36" s="87"/>
      <c r="T36" s="87"/>
      <c r="U36" s="87"/>
      <c r="V36" s="87"/>
      <c r="W36" s="87"/>
      <c r="X36" s="87"/>
      <c r="Y36" s="87"/>
      <c r="Z36" s="87"/>
      <c r="AA36" s="87"/>
      <c r="AB36" s="87"/>
      <c r="AC36" s="87"/>
      <c r="AD36" s="87"/>
      <c r="AG36" s="93">
        <v>40806</v>
      </c>
    </row>
    <row r="37" spans="2:48" ht="17.100000000000001" customHeight="1">
      <c r="C37" s="353" t="s">
        <v>108</v>
      </c>
      <c r="D37" s="353"/>
      <c r="E37" s="353"/>
      <c r="F37" s="353"/>
      <c r="G37" s="353"/>
      <c r="H37" s="91" t="s">
        <v>105</v>
      </c>
      <c r="I37" s="354">
        <f>AG37</f>
        <v>42633</v>
      </c>
      <c r="J37" s="355"/>
      <c r="K37" s="355"/>
      <c r="L37" s="355"/>
      <c r="M37" s="355"/>
      <c r="N37" s="92"/>
      <c r="O37" s="92"/>
      <c r="P37" s="92"/>
      <c r="Q37" s="87"/>
      <c r="R37" s="87"/>
      <c r="S37" s="87"/>
      <c r="T37" s="87"/>
      <c r="U37" s="87"/>
      <c r="V37" s="87"/>
      <c r="W37" s="87"/>
      <c r="X37" s="87"/>
      <c r="Y37" s="87"/>
      <c r="Z37" s="87"/>
      <c r="AA37" s="87"/>
      <c r="AB37" s="87"/>
      <c r="AC37" s="87"/>
      <c r="AD37" s="87"/>
      <c r="AG37" s="93">
        <v>42633</v>
      </c>
    </row>
    <row r="38" spans="2:48" ht="17.100000000000001" customHeight="1">
      <c r="C38" s="94"/>
      <c r="D38" s="94"/>
      <c r="E38" s="94"/>
      <c r="F38" s="79"/>
      <c r="G38" s="72"/>
      <c r="H38" s="72"/>
      <c r="I38" s="72"/>
      <c r="J38" s="72"/>
      <c r="K38" s="72"/>
      <c r="L38" s="72"/>
      <c r="M38" s="72"/>
      <c r="N38" s="72"/>
      <c r="O38" s="72"/>
      <c r="P38" s="72"/>
      <c r="Q38" s="72"/>
      <c r="R38" s="72"/>
      <c r="S38" s="72"/>
      <c r="T38" s="72"/>
      <c r="U38" s="72"/>
      <c r="V38" s="72"/>
      <c r="W38" s="72"/>
      <c r="X38" s="72"/>
      <c r="Y38" s="72"/>
      <c r="Z38" s="72"/>
      <c r="AA38" s="72"/>
      <c r="AB38" s="87"/>
      <c r="AC38" s="87"/>
      <c r="AD38" s="87"/>
    </row>
    <row r="39" spans="2:48" ht="17.100000000000001" customHeight="1">
      <c r="C39" s="94"/>
      <c r="D39" s="94"/>
      <c r="E39" s="94"/>
      <c r="F39" s="79"/>
      <c r="G39" s="72"/>
      <c r="H39" s="72"/>
      <c r="I39" s="72"/>
      <c r="J39" s="72"/>
      <c r="K39" s="72"/>
      <c r="L39" s="72"/>
      <c r="M39" s="72"/>
      <c r="N39" s="72"/>
      <c r="O39" s="72"/>
      <c r="P39" s="72"/>
      <c r="Q39" s="72"/>
      <c r="R39" s="72"/>
      <c r="S39" s="72"/>
      <c r="T39" s="356"/>
      <c r="U39" s="356"/>
      <c r="V39" s="356"/>
      <c r="W39" s="356"/>
      <c r="X39" s="356"/>
      <c r="Y39" s="356"/>
      <c r="Z39" s="356"/>
      <c r="AA39" s="356"/>
      <c r="AB39" s="356"/>
      <c r="AC39" s="356"/>
      <c r="AD39" s="356"/>
      <c r="AE39" s="356"/>
    </row>
    <row r="40" spans="2:48" ht="17.100000000000001" customHeight="1">
      <c r="C40" s="94"/>
      <c r="D40" s="94"/>
      <c r="E40" s="94"/>
      <c r="F40" s="79"/>
      <c r="G40" s="72"/>
      <c r="H40" s="72"/>
      <c r="I40" s="72"/>
      <c r="J40" s="72"/>
      <c r="K40" s="72"/>
      <c r="L40" s="72"/>
      <c r="M40" s="72"/>
      <c r="N40" s="72"/>
      <c r="O40" s="72"/>
      <c r="P40" s="88"/>
      <c r="Q40" s="88"/>
      <c r="R40" s="88"/>
      <c r="S40" s="88"/>
      <c r="T40" s="351"/>
      <c r="U40" s="351"/>
      <c r="V40" s="351"/>
      <c r="W40" s="351"/>
      <c r="X40" s="351"/>
      <c r="Y40" s="351"/>
      <c r="Z40" s="351"/>
      <c r="AA40" s="351"/>
      <c r="AB40" s="351"/>
      <c r="AC40" s="351"/>
      <c r="AD40" s="351"/>
      <c r="AE40" s="351"/>
    </row>
    <row r="41" spans="2:48" ht="17.100000000000001" customHeight="1">
      <c r="C41" s="94"/>
      <c r="D41" s="94"/>
      <c r="E41" s="94"/>
      <c r="F41" s="79"/>
      <c r="G41" s="72"/>
      <c r="H41" s="72"/>
      <c r="I41" s="72"/>
      <c r="J41" s="72"/>
      <c r="K41" s="72"/>
      <c r="L41" s="72"/>
      <c r="M41" s="72"/>
      <c r="N41" s="72"/>
      <c r="O41" s="72"/>
      <c r="P41" s="72"/>
      <c r="Q41" s="72"/>
      <c r="R41" s="72"/>
      <c r="S41" s="72"/>
      <c r="T41" s="351" t="str">
        <f>IF(AI41=0,AO41,IF(AI41=1,AK41,AT41))</f>
        <v>Trần Công Khanh</v>
      </c>
      <c r="U41" s="351"/>
      <c r="V41" s="351"/>
      <c r="W41" s="351"/>
      <c r="X41" s="351"/>
      <c r="Y41" s="351"/>
      <c r="Z41" s="351"/>
      <c r="AA41" s="351"/>
      <c r="AB41" s="351"/>
      <c r="AC41" s="351"/>
      <c r="AD41" s="351"/>
      <c r="AE41" s="351"/>
      <c r="AI41" s="69">
        <v>0</v>
      </c>
      <c r="AK41" s="69" t="s">
        <v>109</v>
      </c>
      <c r="AO41" s="69" t="s">
        <v>185</v>
      </c>
      <c r="AT41" s="69" t="s">
        <v>131</v>
      </c>
    </row>
    <row r="42" spans="2:48" ht="16.5">
      <c r="C42" s="74"/>
      <c r="D42" s="74"/>
      <c r="E42" s="74"/>
      <c r="F42" s="74"/>
      <c r="G42" s="74"/>
      <c r="H42" s="74"/>
      <c r="I42" s="74"/>
      <c r="J42" s="74"/>
      <c r="K42" s="74"/>
      <c r="L42" s="74"/>
      <c r="M42" s="74"/>
      <c r="N42" s="74"/>
      <c r="O42" s="74"/>
      <c r="P42" s="74"/>
      <c r="Q42" s="74"/>
      <c r="R42" s="74"/>
      <c r="S42" s="74"/>
      <c r="T42" s="74"/>
      <c r="U42" s="74"/>
      <c r="V42" s="74"/>
      <c r="W42" s="74"/>
      <c r="X42" s="74"/>
      <c r="Y42" s="74"/>
      <c r="Z42" s="74"/>
      <c r="AA42" s="74"/>
      <c r="AB42" s="95"/>
      <c r="AC42" s="95"/>
      <c r="AD42" s="95"/>
    </row>
    <row r="43" spans="2:48" ht="16.5" customHeight="1">
      <c r="B43" s="393" t="s">
        <v>110</v>
      </c>
      <c r="C43" s="393"/>
      <c r="D43" s="393"/>
      <c r="E43" s="393"/>
      <c r="F43" s="393"/>
      <c r="G43" s="393"/>
      <c r="H43" s="394" t="s">
        <v>88</v>
      </c>
      <c r="I43" s="394"/>
      <c r="J43" s="394"/>
      <c r="K43" s="394"/>
      <c r="L43" s="394"/>
      <c r="M43" s="394"/>
      <c r="N43" s="394"/>
      <c r="O43" s="394"/>
      <c r="P43" s="394"/>
      <c r="Q43" s="394"/>
      <c r="R43" s="394"/>
      <c r="S43" s="394"/>
      <c r="T43" s="394"/>
      <c r="U43" s="394"/>
      <c r="V43" s="394"/>
      <c r="W43" s="394"/>
      <c r="X43" s="394"/>
      <c r="Y43" s="394"/>
      <c r="Z43" s="394"/>
      <c r="AA43" s="394"/>
      <c r="AB43" s="394"/>
      <c r="AC43" s="394"/>
      <c r="AD43" s="394"/>
    </row>
    <row r="44" spans="2:48" ht="16.5" customHeight="1">
      <c r="B44" s="393"/>
      <c r="C44" s="393"/>
      <c r="D44" s="393"/>
      <c r="E44" s="393"/>
      <c r="F44" s="393"/>
      <c r="G44" s="393"/>
      <c r="H44" s="394"/>
      <c r="I44" s="394"/>
      <c r="J44" s="394"/>
      <c r="K44" s="394"/>
      <c r="L44" s="394"/>
      <c r="M44" s="394"/>
      <c r="N44" s="394"/>
      <c r="O44" s="394"/>
      <c r="P44" s="394"/>
      <c r="Q44" s="394"/>
      <c r="R44" s="394"/>
      <c r="S44" s="394"/>
      <c r="T44" s="394"/>
      <c r="U44" s="394"/>
      <c r="V44" s="394"/>
      <c r="W44" s="394"/>
      <c r="X44" s="394"/>
      <c r="Y44" s="394"/>
      <c r="Z44" s="394"/>
      <c r="AA44" s="394"/>
      <c r="AB44" s="394"/>
      <c r="AC44" s="394"/>
      <c r="AD44" s="394"/>
    </row>
    <row r="45" spans="2:48" ht="16.5" customHeight="1">
      <c r="B45" s="393"/>
      <c r="C45" s="393"/>
      <c r="D45" s="393"/>
      <c r="E45" s="393"/>
      <c r="F45" s="393"/>
      <c r="G45" s="393"/>
      <c r="H45" s="348" t="s">
        <v>3</v>
      </c>
      <c r="I45" s="348"/>
      <c r="J45" s="348"/>
      <c r="K45" s="348"/>
      <c r="L45" s="348" t="s">
        <v>4</v>
      </c>
      <c r="M45" s="348"/>
      <c r="N45" s="348" t="s">
        <v>111</v>
      </c>
      <c r="O45" s="348"/>
      <c r="P45" s="348"/>
      <c r="Q45" s="348" t="s">
        <v>6</v>
      </c>
      <c r="R45" s="348"/>
      <c r="S45" s="348"/>
      <c r="T45" s="348"/>
      <c r="U45" s="348"/>
      <c r="V45" s="348" t="s">
        <v>112</v>
      </c>
      <c r="W45" s="348"/>
      <c r="X45" s="348"/>
      <c r="Y45" s="348" t="s">
        <v>113</v>
      </c>
      <c r="Z45" s="348"/>
      <c r="AA45" s="348"/>
      <c r="AB45" s="348"/>
      <c r="AC45" s="348"/>
      <c r="AD45" s="348"/>
    </row>
    <row r="46" spans="2:48" ht="16.5" customHeight="1">
      <c r="B46" s="393"/>
      <c r="C46" s="393"/>
      <c r="D46" s="393"/>
      <c r="E46" s="393"/>
      <c r="F46" s="393"/>
      <c r="G46" s="393"/>
      <c r="H46" s="348"/>
      <c r="I46" s="348"/>
      <c r="J46" s="348"/>
      <c r="K46" s="348"/>
      <c r="L46" s="348"/>
      <c r="M46" s="348"/>
      <c r="N46" s="348"/>
      <c r="O46" s="348"/>
      <c r="P46" s="348"/>
      <c r="Q46" s="348"/>
      <c r="R46" s="348"/>
      <c r="S46" s="348"/>
      <c r="T46" s="348"/>
      <c r="U46" s="348"/>
      <c r="V46" s="348"/>
      <c r="W46" s="348"/>
      <c r="X46" s="348"/>
      <c r="Y46" s="348"/>
      <c r="Z46" s="348"/>
      <c r="AA46" s="348"/>
      <c r="AB46" s="348"/>
      <c r="AC46" s="348"/>
      <c r="AD46" s="348"/>
    </row>
    <row r="47" spans="2:48" ht="16.5" customHeight="1">
      <c r="B47" s="393"/>
      <c r="C47" s="393"/>
      <c r="D47" s="393"/>
      <c r="E47" s="393"/>
      <c r="F47" s="393"/>
      <c r="G47" s="393"/>
      <c r="H47" s="348"/>
      <c r="I47" s="348"/>
      <c r="J47" s="348"/>
      <c r="K47" s="348"/>
      <c r="L47" s="348"/>
      <c r="M47" s="348"/>
      <c r="N47" s="348"/>
      <c r="O47" s="348"/>
      <c r="P47" s="348"/>
      <c r="Q47" s="348"/>
      <c r="R47" s="348"/>
      <c r="S47" s="348"/>
      <c r="T47" s="348"/>
      <c r="U47" s="348"/>
      <c r="V47" s="348"/>
      <c r="W47" s="348"/>
      <c r="X47" s="348"/>
      <c r="Y47" s="348"/>
      <c r="Z47" s="348"/>
      <c r="AA47" s="348"/>
      <c r="AB47" s="348"/>
      <c r="AC47" s="348"/>
      <c r="AD47" s="348"/>
    </row>
    <row r="48" spans="2:48" ht="16.5" customHeight="1">
      <c r="B48" s="393"/>
      <c r="C48" s="393"/>
      <c r="D48" s="393"/>
      <c r="E48" s="393"/>
      <c r="F48" s="393"/>
      <c r="G48" s="393"/>
      <c r="H48" s="348"/>
      <c r="I48" s="348"/>
      <c r="J48" s="348"/>
      <c r="K48" s="348"/>
      <c r="L48" s="348"/>
      <c r="M48" s="348"/>
      <c r="N48" s="348"/>
      <c r="O48" s="348"/>
      <c r="P48" s="348"/>
      <c r="Q48" s="348"/>
      <c r="R48" s="348"/>
      <c r="S48" s="348"/>
      <c r="T48" s="348"/>
      <c r="U48" s="348"/>
      <c r="V48" s="348"/>
      <c r="W48" s="348"/>
      <c r="X48" s="348"/>
      <c r="Y48" s="348"/>
      <c r="Z48" s="348"/>
      <c r="AA48" s="348"/>
      <c r="AB48" s="348"/>
      <c r="AC48" s="348"/>
      <c r="AD48" s="348"/>
      <c r="AG48" s="69">
        <v>33</v>
      </c>
      <c r="AI48" s="69">
        <v>35</v>
      </c>
      <c r="AL48" s="69">
        <v>37</v>
      </c>
      <c r="AO48" s="69">
        <v>39</v>
      </c>
      <c r="AP48" s="69">
        <v>40</v>
      </c>
      <c r="AQ48" s="69">
        <v>41</v>
      </c>
      <c r="AS48" s="69">
        <v>42</v>
      </c>
      <c r="AT48" s="69">
        <v>43</v>
      </c>
      <c r="AU48" s="69">
        <v>44</v>
      </c>
      <c r="AV48" s="69">
        <v>45</v>
      </c>
    </row>
    <row r="49" spans="2:48" ht="18.75" customHeight="1">
      <c r="B49" s="348" t="str">
        <f>AG49</f>
        <v>CÔNG TY CỔ PHẦN VIỄN THÔNG DI ĐỘNG TOÀN CẦU</v>
      </c>
      <c r="C49" s="348"/>
      <c r="D49" s="348"/>
      <c r="E49" s="348"/>
      <c r="F49" s="348"/>
      <c r="G49" s="348"/>
      <c r="H49" s="349" t="str">
        <f>AI49</f>
        <v>TB1</v>
      </c>
      <c r="I49" s="349"/>
      <c r="J49" s="349"/>
      <c r="K49" s="349"/>
      <c r="L49" s="350">
        <v>2</v>
      </c>
      <c r="M49" s="350"/>
      <c r="N49" s="392" t="str">
        <f>AL49</f>
        <v>4/4/4</v>
      </c>
      <c r="O49" s="392"/>
      <c r="P49" s="392"/>
      <c r="Q49" s="348" t="str">
        <f>IF(L49=4,AO49&amp;"W/ "&amp;AP49&amp;"W/ "&amp;AQ49&amp;"W/ "&amp;AR49&amp;"W",IF(L49=3,AO49&amp;"W/ "&amp;AP49&amp;"W/ "&amp;AQ49&amp;"W",IF(L49=2,AO49&amp;"W/ "&amp;AP49&amp;"W",AO49&amp;"W")))</f>
        <v>20W/ 30W</v>
      </c>
      <c r="R49" s="348"/>
      <c r="S49" s="348"/>
      <c r="T49" s="348"/>
      <c r="U49" s="348"/>
      <c r="V49" s="348" t="str">
        <f>IF(AS49="900 &amp; 1800","900MHz &amp; 1800MHz",IF(AS49="900 &amp; 2100","900MHz &amp; 2100MHz",IF(AS49="1800 &amp; 2100","1800MHz &amp; 2100MHz",AS49&amp;"MHz")))</f>
        <v>900MHz</v>
      </c>
      <c r="W49" s="348"/>
      <c r="X49" s="348"/>
      <c r="Y49" s="348">
        <f>AT49</f>
        <v>15</v>
      </c>
      <c r="Z49" s="348"/>
      <c r="AA49" s="348"/>
      <c r="AB49" s="348"/>
      <c r="AC49" s="348"/>
      <c r="AD49" s="348"/>
      <c r="AG49" s="81" t="s">
        <v>132</v>
      </c>
      <c r="AI49" s="81" t="s">
        <v>114</v>
      </c>
      <c r="AJ49" s="81"/>
      <c r="AL49" s="85" t="s">
        <v>96</v>
      </c>
      <c r="AO49" s="69">
        <v>20</v>
      </c>
      <c r="AP49" s="69">
        <v>30</v>
      </c>
      <c r="AQ49" s="69">
        <v>40</v>
      </c>
      <c r="AS49" s="69">
        <v>900</v>
      </c>
      <c r="AT49" s="69">
        <v>15</v>
      </c>
      <c r="AU49" s="69">
        <v>16</v>
      </c>
      <c r="AV49" s="69">
        <v>17</v>
      </c>
    </row>
    <row r="50" spans="2:48" ht="18.75" customHeight="1">
      <c r="B50" s="348"/>
      <c r="C50" s="348"/>
      <c r="D50" s="348"/>
      <c r="E50" s="348"/>
      <c r="F50" s="348"/>
      <c r="G50" s="348"/>
      <c r="H50" s="349"/>
      <c r="I50" s="349"/>
      <c r="J50" s="349"/>
      <c r="K50" s="349"/>
      <c r="L50" s="350"/>
      <c r="M50" s="350"/>
      <c r="N50" s="392"/>
      <c r="O50" s="392"/>
      <c r="P50" s="392"/>
      <c r="Q50" s="348"/>
      <c r="R50" s="348"/>
      <c r="S50" s="348"/>
      <c r="T50" s="348"/>
      <c r="U50" s="348"/>
      <c r="V50" s="348"/>
      <c r="W50" s="348"/>
      <c r="X50" s="348"/>
      <c r="Y50" s="348"/>
      <c r="Z50" s="348"/>
      <c r="AA50" s="348"/>
      <c r="AB50" s="348"/>
      <c r="AC50" s="348"/>
      <c r="AD50" s="348"/>
    </row>
    <row r="51" spans="2:48" ht="18.75" customHeight="1">
      <c r="B51" s="348"/>
      <c r="C51" s="348"/>
      <c r="D51" s="348"/>
      <c r="E51" s="348"/>
      <c r="F51" s="348"/>
      <c r="G51" s="348"/>
      <c r="H51" s="349"/>
      <c r="I51" s="349"/>
      <c r="J51" s="349"/>
      <c r="K51" s="349"/>
      <c r="L51" s="350"/>
      <c r="M51" s="350"/>
      <c r="N51" s="392"/>
      <c r="O51" s="392"/>
      <c r="P51" s="392"/>
      <c r="Q51" s="348"/>
      <c r="R51" s="348"/>
      <c r="S51" s="348"/>
      <c r="T51" s="348"/>
      <c r="U51" s="348"/>
      <c r="V51" s="348"/>
      <c r="W51" s="348"/>
      <c r="X51" s="348"/>
      <c r="Y51" s="348"/>
      <c r="Z51" s="348"/>
      <c r="AA51" s="348"/>
      <c r="AB51" s="348"/>
      <c r="AC51" s="348"/>
      <c r="AD51" s="348"/>
    </row>
    <row r="52" spans="2:48" ht="18.75" customHeight="1">
      <c r="B52" s="348"/>
      <c r="C52" s="348"/>
      <c r="D52" s="348"/>
      <c r="E52" s="348"/>
      <c r="F52" s="348"/>
      <c r="G52" s="348"/>
      <c r="H52" s="349"/>
      <c r="I52" s="349"/>
      <c r="J52" s="349"/>
      <c r="K52" s="349"/>
      <c r="L52" s="350"/>
      <c r="M52" s="350"/>
      <c r="N52" s="392"/>
      <c r="O52" s="392"/>
      <c r="P52" s="392"/>
      <c r="Q52" s="348"/>
      <c r="R52" s="348"/>
      <c r="S52" s="348"/>
      <c r="T52" s="348"/>
      <c r="U52" s="348"/>
      <c r="V52" s="348"/>
      <c r="W52" s="348"/>
      <c r="X52" s="348"/>
      <c r="Y52" s="348"/>
      <c r="Z52" s="348"/>
      <c r="AA52" s="348"/>
      <c r="AB52" s="348"/>
      <c r="AC52" s="348"/>
      <c r="AD52" s="348"/>
    </row>
    <row r="53" spans="2:48" ht="18.75" customHeight="1">
      <c r="B53" s="348" t="str">
        <f t="shared" ref="B53" si="0">AG53</f>
        <v>CÔNG TY CỔ PHẦN VIỄN THÔNG DI ĐỘNG TOÀN CẦU</v>
      </c>
      <c r="C53" s="348"/>
      <c r="D53" s="348"/>
      <c r="E53" s="348"/>
      <c r="F53" s="348"/>
      <c r="G53" s="348"/>
      <c r="H53" s="349" t="str">
        <f>AI53</f>
        <v>TB1</v>
      </c>
      <c r="I53" s="349"/>
      <c r="J53" s="349"/>
      <c r="K53" s="349"/>
      <c r="L53" s="350">
        <v>4</v>
      </c>
      <c r="M53" s="350"/>
      <c r="N53" s="392" t="str">
        <f>AL53</f>
        <v>4/4/4</v>
      </c>
      <c r="O53" s="392"/>
      <c r="P53" s="392"/>
      <c r="Q53" s="348" t="str">
        <f>IF(L53=4,AO53&amp;"W/ "&amp;AP53&amp;"W/ "&amp;AQ53&amp;"W/ "&amp;AR53&amp;"W",IF(L53=3,AO53&amp;"W/ "&amp;AP53&amp;"W/ "&amp;AQ53&amp;"W",IF(L53=2,AO53&amp;"W/ "&amp;AP53&amp;"W",AO53&amp;"W")))</f>
        <v>20W/ 30W/ 40W/ W</v>
      </c>
      <c r="R53" s="348"/>
      <c r="S53" s="348"/>
      <c r="T53" s="348"/>
      <c r="U53" s="348"/>
      <c r="V53" s="348" t="str">
        <f>IF(AS53="900 &amp; 1800","900MHz &amp; 1800MHz",IF(AS53="900 &amp; 2100","900MHz &amp; 2100MHz",IF(AS53="1800 &amp; 2100","1800MHz &amp; 2100MHz",AS53&amp;"MHz")))</f>
        <v>1800MHz</v>
      </c>
      <c r="W53" s="348"/>
      <c r="X53" s="348"/>
      <c r="Y53" s="348">
        <f>AT53</f>
        <v>15</v>
      </c>
      <c r="Z53" s="348"/>
      <c r="AA53" s="348"/>
      <c r="AB53" s="348"/>
      <c r="AC53" s="348"/>
      <c r="AD53" s="348"/>
      <c r="AG53" s="81" t="s">
        <v>132</v>
      </c>
      <c r="AI53" s="81" t="s">
        <v>114</v>
      </c>
      <c r="AJ53" s="81"/>
      <c r="AL53" s="85" t="s">
        <v>96</v>
      </c>
      <c r="AO53" s="69">
        <v>20</v>
      </c>
      <c r="AP53" s="69">
        <v>30</v>
      </c>
      <c r="AQ53" s="69">
        <v>40</v>
      </c>
      <c r="AS53" s="69">
        <v>1800</v>
      </c>
      <c r="AT53" s="69">
        <v>15</v>
      </c>
      <c r="AU53" s="69">
        <v>16</v>
      </c>
      <c r="AV53" s="69">
        <v>17</v>
      </c>
    </row>
    <row r="54" spans="2:48" ht="18.75" customHeight="1">
      <c r="B54" s="348"/>
      <c r="C54" s="348"/>
      <c r="D54" s="348"/>
      <c r="E54" s="348"/>
      <c r="F54" s="348"/>
      <c r="G54" s="348"/>
      <c r="H54" s="349"/>
      <c r="I54" s="349"/>
      <c r="J54" s="349"/>
      <c r="K54" s="349"/>
      <c r="L54" s="350"/>
      <c r="M54" s="350"/>
      <c r="N54" s="392"/>
      <c r="O54" s="392"/>
      <c r="P54" s="392"/>
      <c r="Q54" s="348"/>
      <c r="R54" s="348"/>
      <c r="S54" s="348"/>
      <c r="T54" s="348"/>
      <c r="U54" s="348"/>
      <c r="V54" s="348"/>
      <c r="W54" s="348"/>
      <c r="X54" s="348"/>
      <c r="Y54" s="348"/>
      <c r="Z54" s="348"/>
      <c r="AA54" s="348"/>
      <c r="AB54" s="348"/>
      <c r="AC54" s="348"/>
      <c r="AD54" s="348"/>
      <c r="AG54" s="81"/>
      <c r="AI54" s="81"/>
      <c r="AJ54" s="81"/>
      <c r="AL54" s="85"/>
    </row>
    <row r="55" spans="2:48" ht="18.75" customHeight="1">
      <c r="B55" s="348"/>
      <c r="C55" s="348"/>
      <c r="D55" s="348"/>
      <c r="E55" s="348"/>
      <c r="F55" s="348"/>
      <c r="G55" s="348"/>
      <c r="H55" s="349"/>
      <c r="I55" s="349"/>
      <c r="J55" s="349"/>
      <c r="K55" s="349"/>
      <c r="L55" s="350"/>
      <c r="M55" s="350"/>
      <c r="N55" s="392"/>
      <c r="O55" s="392"/>
      <c r="P55" s="392"/>
      <c r="Q55" s="348"/>
      <c r="R55" s="348"/>
      <c r="S55" s="348"/>
      <c r="T55" s="348"/>
      <c r="U55" s="348"/>
      <c r="V55" s="348"/>
      <c r="W55" s="348"/>
      <c r="X55" s="348"/>
      <c r="Y55" s="348"/>
      <c r="Z55" s="348"/>
      <c r="AA55" s="348"/>
      <c r="AB55" s="348"/>
      <c r="AC55" s="348"/>
      <c r="AD55" s="348"/>
    </row>
    <row r="56" spans="2:48" ht="18.75" customHeight="1">
      <c r="B56" s="348"/>
      <c r="C56" s="348"/>
      <c r="D56" s="348"/>
      <c r="E56" s="348"/>
      <c r="F56" s="348"/>
      <c r="G56" s="348"/>
      <c r="H56" s="349"/>
      <c r="I56" s="349"/>
      <c r="J56" s="349"/>
      <c r="K56" s="349"/>
      <c r="L56" s="350"/>
      <c r="M56" s="350"/>
      <c r="N56" s="392"/>
      <c r="O56" s="392"/>
      <c r="P56" s="392"/>
      <c r="Q56" s="348"/>
      <c r="R56" s="348"/>
      <c r="S56" s="348"/>
      <c r="T56" s="348"/>
      <c r="U56" s="348"/>
      <c r="V56" s="348"/>
      <c r="W56" s="348"/>
      <c r="X56" s="348"/>
      <c r="Y56" s="348"/>
      <c r="Z56" s="348"/>
      <c r="AA56" s="348"/>
      <c r="AB56" s="348"/>
      <c r="AC56" s="348"/>
      <c r="AD56" s="348"/>
    </row>
    <row r="57" spans="2:48" ht="18.75" customHeight="1">
      <c r="B57" s="348" t="str">
        <f t="shared" ref="B57" si="1">AG57</f>
        <v>CÔNG TY CỔ PHẦN VIỄN THÔNG DI ĐỘNG TOÀN CẦU</v>
      </c>
      <c r="C57" s="348"/>
      <c r="D57" s="348"/>
      <c r="E57" s="348"/>
      <c r="F57" s="348"/>
      <c r="G57" s="348"/>
      <c r="H57" s="349" t="str">
        <f>AI57</f>
        <v>TB1</v>
      </c>
      <c r="I57" s="349"/>
      <c r="J57" s="349"/>
      <c r="K57" s="349"/>
      <c r="L57" s="350">
        <v>3</v>
      </c>
      <c r="M57" s="350"/>
      <c r="N57" s="392" t="str">
        <f t="shared" ref="N57" si="2">AL57</f>
        <v>4/4/4</v>
      </c>
      <c r="O57" s="392"/>
      <c r="P57" s="392"/>
      <c r="Q57" s="348" t="str">
        <f>IF(L57=4,AO57&amp;"W/ "&amp;AP57&amp;"W/ "&amp;AQ57&amp;"W/ "&amp;AR57&amp;"W",IF(L57=3,AO57&amp;"W/ "&amp;AP57&amp;"W/ "&amp;AQ57&amp;"W",IF(L57=2,AO57&amp;"W/ "&amp;AP57&amp;"W",AO57&amp;"W")))</f>
        <v>20W/ 30W/ 40W</v>
      </c>
      <c r="R57" s="348"/>
      <c r="S57" s="348"/>
      <c r="T57" s="348"/>
      <c r="U57" s="348"/>
      <c r="V57" s="348" t="str">
        <f>IF(AS57="900 &amp; 1800","900MHz &amp; 1800MHz",IF(AS57="900 &amp; 2100","900MHz &amp; 2100MHz",IF(AS57="1800 &amp; 2100","1800MHz &amp; 2100MHz",AS57&amp;"MHz")))</f>
        <v>900MHz &amp; 1800MHz</v>
      </c>
      <c r="W57" s="348"/>
      <c r="X57" s="348"/>
      <c r="Y57" s="348">
        <f>AT57</f>
        <v>15</v>
      </c>
      <c r="Z57" s="348"/>
      <c r="AA57" s="348"/>
      <c r="AB57" s="348"/>
      <c r="AC57" s="348"/>
      <c r="AD57" s="348"/>
      <c r="AG57" s="81" t="s">
        <v>132</v>
      </c>
      <c r="AI57" s="81" t="s">
        <v>114</v>
      </c>
      <c r="AJ57" s="81"/>
      <c r="AL57" s="85" t="s">
        <v>96</v>
      </c>
      <c r="AO57" s="69">
        <v>20</v>
      </c>
      <c r="AP57" s="69">
        <v>30</v>
      </c>
      <c r="AQ57" s="69">
        <v>40</v>
      </c>
      <c r="AS57" s="69" t="s">
        <v>180</v>
      </c>
      <c r="AT57" s="69">
        <v>15</v>
      </c>
      <c r="AU57" s="69">
        <v>16</v>
      </c>
      <c r="AV57" s="69">
        <v>17</v>
      </c>
    </row>
    <row r="58" spans="2:48" ht="18.75" customHeight="1">
      <c r="B58" s="348"/>
      <c r="C58" s="348"/>
      <c r="D58" s="348"/>
      <c r="E58" s="348"/>
      <c r="F58" s="348"/>
      <c r="G58" s="348"/>
      <c r="H58" s="349"/>
      <c r="I58" s="349"/>
      <c r="J58" s="349"/>
      <c r="K58" s="349"/>
      <c r="L58" s="350"/>
      <c r="M58" s="350"/>
      <c r="N58" s="392"/>
      <c r="O58" s="392"/>
      <c r="P58" s="392"/>
      <c r="Q58" s="348"/>
      <c r="R58" s="348"/>
      <c r="S58" s="348"/>
      <c r="T58" s="348"/>
      <c r="U58" s="348"/>
      <c r="V58" s="348"/>
      <c r="W58" s="348"/>
      <c r="X58" s="348"/>
      <c r="Y58" s="348"/>
      <c r="Z58" s="348"/>
      <c r="AA58" s="348"/>
      <c r="AB58" s="348"/>
      <c r="AC58" s="348"/>
      <c r="AD58" s="348"/>
      <c r="AG58" s="81"/>
      <c r="AI58" s="81"/>
      <c r="AJ58" s="81"/>
      <c r="AL58" s="85"/>
    </row>
    <row r="59" spans="2:48" ht="18.75" customHeight="1">
      <c r="B59" s="348"/>
      <c r="C59" s="348"/>
      <c r="D59" s="348"/>
      <c r="E59" s="348"/>
      <c r="F59" s="348"/>
      <c r="G59" s="348"/>
      <c r="H59" s="349"/>
      <c r="I59" s="349"/>
      <c r="J59" s="349"/>
      <c r="K59" s="349"/>
      <c r="L59" s="350"/>
      <c r="M59" s="350"/>
      <c r="N59" s="392"/>
      <c r="O59" s="392"/>
      <c r="P59" s="392"/>
      <c r="Q59" s="348"/>
      <c r="R59" s="348"/>
      <c r="S59" s="348"/>
      <c r="T59" s="348"/>
      <c r="U59" s="348"/>
      <c r="V59" s="348"/>
      <c r="W59" s="348"/>
      <c r="X59" s="348"/>
      <c r="Y59" s="348"/>
      <c r="Z59" s="348"/>
      <c r="AA59" s="348"/>
      <c r="AB59" s="348"/>
      <c r="AC59" s="348"/>
      <c r="AD59" s="348"/>
    </row>
    <row r="60" spans="2:48" ht="18.75" customHeight="1">
      <c r="B60" s="348"/>
      <c r="C60" s="348"/>
      <c r="D60" s="348"/>
      <c r="E60" s="348"/>
      <c r="F60" s="348"/>
      <c r="G60" s="348"/>
      <c r="H60" s="349"/>
      <c r="I60" s="349"/>
      <c r="J60" s="349"/>
      <c r="K60" s="349"/>
      <c r="L60" s="350"/>
      <c r="M60" s="350"/>
      <c r="N60" s="392"/>
      <c r="O60" s="392"/>
      <c r="P60" s="392"/>
      <c r="Q60" s="348"/>
      <c r="R60" s="348"/>
      <c r="S60" s="348"/>
      <c r="T60" s="348"/>
      <c r="U60" s="348"/>
      <c r="V60" s="348"/>
      <c r="W60" s="348"/>
      <c r="X60" s="348"/>
      <c r="Y60" s="348"/>
      <c r="Z60" s="348"/>
      <c r="AA60" s="348"/>
      <c r="AB60" s="348"/>
      <c r="AC60" s="348"/>
      <c r="AD60" s="348"/>
    </row>
    <row r="61" spans="2:48" ht="18.75" customHeight="1">
      <c r="B61" s="348" t="str">
        <f t="shared" ref="B61" si="3">AG61</f>
        <v>CÔNG TY CỔ PHẦN VIỄN THÔNG DI ĐỘNG TOÀN CẦU</v>
      </c>
      <c r="C61" s="348"/>
      <c r="D61" s="348"/>
      <c r="E61" s="348"/>
      <c r="F61" s="348"/>
      <c r="G61" s="348"/>
      <c r="H61" s="349" t="str">
        <f>AI61</f>
        <v>TB1</v>
      </c>
      <c r="I61" s="349"/>
      <c r="J61" s="349"/>
      <c r="K61" s="349"/>
      <c r="L61" s="350">
        <v>2</v>
      </c>
      <c r="M61" s="350"/>
      <c r="N61" s="392" t="str">
        <f t="shared" ref="N61" si="4">AL61</f>
        <v>4/4/4</v>
      </c>
      <c r="O61" s="392"/>
      <c r="P61" s="392"/>
      <c r="Q61" s="348" t="str">
        <f>IF(L61=4,AO61&amp;"W/ "&amp;AP61&amp;"W/ "&amp;AQ61&amp;"W/ "&amp;AR61&amp;"W",IF(L61=3,AO61&amp;"W/ "&amp;AP61&amp;"W/ "&amp;AQ61&amp;"W",IF(L61=2,AO61&amp;"W/ "&amp;AP61&amp;"W",AO61&amp;"W")))</f>
        <v>20W/ 30W</v>
      </c>
      <c r="R61" s="348"/>
      <c r="S61" s="348"/>
      <c r="T61" s="348"/>
      <c r="U61" s="348"/>
      <c r="V61" s="348" t="str">
        <f>IF(AS61="900 &amp; 1800","900MHz &amp; 1800MHz",IF(AS61="900 &amp; 2100","900MHz &amp; 2100MHz",IF(AS61="1800 &amp; 2100","1800MHz &amp; 2100MHz",AS61&amp;"MHz")))</f>
        <v>9000 &amp; 2100MHz</v>
      </c>
      <c r="W61" s="348"/>
      <c r="X61" s="348"/>
      <c r="Y61" s="348">
        <f>AT61</f>
        <v>15</v>
      </c>
      <c r="Z61" s="348"/>
      <c r="AA61" s="348"/>
      <c r="AB61" s="348"/>
      <c r="AC61" s="348"/>
      <c r="AD61" s="348"/>
      <c r="AG61" s="81" t="s">
        <v>132</v>
      </c>
      <c r="AI61" s="81" t="s">
        <v>114</v>
      </c>
      <c r="AJ61" s="81"/>
      <c r="AL61" s="85" t="s">
        <v>96</v>
      </c>
      <c r="AO61" s="69">
        <v>20</v>
      </c>
      <c r="AP61" s="69">
        <v>30</v>
      </c>
      <c r="AQ61" s="69">
        <v>40</v>
      </c>
      <c r="AS61" s="69" t="s">
        <v>182</v>
      </c>
      <c r="AT61" s="69">
        <v>15</v>
      </c>
      <c r="AU61" s="69">
        <v>16</v>
      </c>
      <c r="AV61" s="69">
        <v>17</v>
      </c>
    </row>
    <row r="62" spans="2:48" ht="18.75" customHeight="1">
      <c r="B62" s="348"/>
      <c r="C62" s="348"/>
      <c r="D62" s="348"/>
      <c r="E62" s="348"/>
      <c r="F62" s="348"/>
      <c r="G62" s="348"/>
      <c r="H62" s="349"/>
      <c r="I62" s="349"/>
      <c r="J62" s="349"/>
      <c r="K62" s="349"/>
      <c r="L62" s="350"/>
      <c r="M62" s="350"/>
      <c r="N62" s="392"/>
      <c r="O62" s="392"/>
      <c r="P62" s="392"/>
      <c r="Q62" s="348"/>
      <c r="R62" s="348"/>
      <c r="S62" s="348"/>
      <c r="T62" s="348"/>
      <c r="U62" s="348"/>
      <c r="V62" s="348"/>
      <c r="W62" s="348"/>
      <c r="X62" s="348"/>
      <c r="Y62" s="348"/>
      <c r="Z62" s="348"/>
      <c r="AA62" s="348"/>
      <c r="AB62" s="348"/>
      <c r="AC62" s="348"/>
      <c r="AD62" s="348"/>
      <c r="AG62" s="81"/>
      <c r="AI62" s="81"/>
      <c r="AJ62" s="81"/>
      <c r="AL62" s="85"/>
    </row>
    <row r="63" spans="2:48" ht="18.75" customHeight="1">
      <c r="B63" s="348"/>
      <c r="C63" s="348"/>
      <c r="D63" s="348"/>
      <c r="E63" s="348"/>
      <c r="F63" s="348"/>
      <c r="G63" s="348"/>
      <c r="H63" s="349"/>
      <c r="I63" s="349"/>
      <c r="J63" s="349"/>
      <c r="K63" s="349"/>
      <c r="L63" s="350"/>
      <c r="M63" s="350"/>
      <c r="N63" s="392"/>
      <c r="O63" s="392"/>
      <c r="P63" s="392"/>
      <c r="Q63" s="348"/>
      <c r="R63" s="348"/>
      <c r="S63" s="348"/>
      <c r="T63" s="348"/>
      <c r="U63" s="348"/>
      <c r="V63" s="348"/>
      <c r="W63" s="348"/>
      <c r="X63" s="348"/>
      <c r="Y63" s="348"/>
      <c r="Z63" s="348"/>
      <c r="AA63" s="348"/>
      <c r="AB63" s="348"/>
      <c r="AC63" s="348"/>
      <c r="AD63" s="348"/>
    </row>
    <row r="64" spans="2:48" ht="18.75" customHeight="1">
      <c r="B64" s="348"/>
      <c r="C64" s="348"/>
      <c r="D64" s="348"/>
      <c r="E64" s="348"/>
      <c r="F64" s="348"/>
      <c r="G64" s="348"/>
      <c r="H64" s="349"/>
      <c r="I64" s="349"/>
      <c r="J64" s="349"/>
      <c r="K64" s="349"/>
      <c r="L64" s="350"/>
      <c r="M64" s="350"/>
      <c r="N64" s="392"/>
      <c r="O64" s="392"/>
      <c r="P64" s="392"/>
      <c r="Q64" s="348"/>
      <c r="R64" s="348"/>
      <c r="S64" s="348"/>
      <c r="T64" s="348"/>
      <c r="U64" s="348"/>
      <c r="V64" s="348"/>
      <c r="W64" s="348"/>
      <c r="X64" s="348"/>
      <c r="Y64" s="348"/>
      <c r="Z64" s="348"/>
      <c r="AA64" s="348"/>
      <c r="AB64" s="348"/>
      <c r="AC64" s="348"/>
      <c r="AD64" s="348"/>
    </row>
    <row r="65" spans="2:48" ht="18.75" customHeight="1">
      <c r="B65" s="348" t="str">
        <f t="shared" ref="B65" si="5">AG65</f>
        <v>CÔNG TY CỔ PHẦN VIỄN THÔNG DI ĐỘNG TOÀN CẦU</v>
      </c>
      <c r="C65" s="348"/>
      <c r="D65" s="348"/>
      <c r="E65" s="348"/>
      <c r="F65" s="348"/>
      <c r="G65" s="348"/>
      <c r="H65" s="349" t="str">
        <f>AI65</f>
        <v>TB1</v>
      </c>
      <c r="I65" s="349"/>
      <c r="J65" s="349"/>
      <c r="K65" s="349"/>
      <c r="L65" s="350">
        <v>1</v>
      </c>
      <c r="M65" s="350"/>
      <c r="N65" s="392" t="str">
        <f t="shared" ref="N65" si="6">AL65</f>
        <v>4/4/4</v>
      </c>
      <c r="O65" s="392"/>
      <c r="P65" s="392"/>
      <c r="Q65" s="348" t="str">
        <f>IF(L65=4,AO65&amp;"W/ "&amp;AP65&amp;"W/ "&amp;AQ65&amp;"W/ "&amp;AR65&amp;"W",IF(L65=3,AO65&amp;"W/ "&amp;AP65&amp;"W/ "&amp;AQ65&amp;"W",IF(L65=2,AO65&amp;"W/ "&amp;AP65&amp;"W",AO65&amp;"W")))</f>
        <v>20W</v>
      </c>
      <c r="R65" s="348"/>
      <c r="S65" s="348"/>
      <c r="T65" s="348"/>
      <c r="U65" s="348"/>
      <c r="V65" s="348" t="str">
        <f>IF(AS65="900 &amp; 1800","900MHz &amp; 1800MHz",IF(AS65="900 &amp; 2100","900MHz &amp; 2100MHz",IF(AS65="1800 &amp; 2100","1800MHz &amp; 2100MHz",AS65&amp;"MHz")))</f>
        <v>1800MHz &amp; 2100MHz</v>
      </c>
      <c r="W65" s="348"/>
      <c r="X65" s="348"/>
      <c r="Y65" s="348">
        <f>AT65</f>
        <v>15</v>
      </c>
      <c r="Z65" s="348"/>
      <c r="AA65" s="348"/>
      <c r="AB65" s="348"/>
      <c r="AC65" s="348"/>
      <c r="AD65" s="348"/>
      <c r="AG65" s="81" t="s">
        <v>132</v>
      </c>
      <c r="AI65" s="81" t="s">
        <v>114</v>
      </c>
      <c r="AJ65" s="81"/>
      <c r="AL65" s="85" t="s">
        <v>96</v>
      </c>
      <c r="AO65" s="69">
        <v>20</v>
      </c>
      <c r="AP65" s="69">
        <v>30</v>
      </c>
      <c r="AQ65" s="69">
        <v>40</v>
      </c>
      <c r="AS65" s="69" t="s">
        <v>183</v>
      </c>
      <c r="AT65" s="69">
        <v>15</v>
      </c>
      <c r="AU65" s="69">
        <v>16</v>
      </c>
      <c r="AV65" s="69">
        <v>17</v>
      </c>
    </row>
    <row r="66" spans="2:48" ht="18.75" customHeight="1">
      <c r="B66" s="348"/>
      <c r="C66" s="348"/>
      <c r="D66" s="348"/>
      <c r="E66" s="348"/>
      <c r="F66" s="348"/>
      <c r="G66" s="348"/>
      <c r="H66" s="349"/>
      <c r="I66" s="349"/>
      <c r="J66" s="349"/>
      <c r="K66" s="349"/>
      <c r="L66" s="350"/>
      <c r="M66" s="350"/>
      <c r="N66" s="392"/>
      <c r="O66" s="392"/>
      <c r="P66" s="392"/>
      <c r="Q66" s="348"/>
      <c r="R66" s="348"/>
      <c r="S66" s="348"/>
      <c r="T66" s="348"/>
      <c r="U66" s="348"/>
      <c r="V66" s="348"/>
      <c r="W66" s="348"/>
      <c r="X66" s="348"/>
      <c r="Y66" s="348"/>
      <c r="Z66" s="348"/>
      <c r="AA66" s="348"/>
      <c r="AB66" s="348"/>
      <c r="AC66" s="348"/>
      <c r="AD66" s="348"/>
    </row>
    <row r="67" spans="2:48" ht="18.75" customHeight="1">
      <c r="B67" s="348"/>
      <c r="C67" s="348"/>
      <c r="D67" s="348"/>
      <c r="E67" s="348"/>
      <c r="F67" s="348"/>
      <c r="G67" s="348"/>
      <c r="H67" s="349"/>
      <c r="I67" s="349"/>
      <c r="J67" s="349"/>
      <c r="K67" s="349"/>
      <c r="L67" s="350"/>
      <c r="M67" s="350"/>
      <c r="N67" s="392"/>
      <c r="O67" s="392"/>
      <c r="P67" s="392"/>
      <c r="Q67" s="348"/>
      <c r="R67" s="348"/>
      <c r="S67" s="348"/>
      <c r="T67" s="348"/>
      <c r="U67" s="348"/>
      <c r="V67" s="348"/>
      <c r="W67" s="348"/>
      <c r="X67" s="348"/>
      <c r="Y67" s="348"/>
      <c r="Z67" s="348"/>
      <c r="AA67" s="348"/>
      <c r="AB67" s="348"/>
      <c r="AC67" s="348"/>
      <c r="AD67" s="348"/>
    </row>
    <row r="68" spans="2:48" ht="18.75" customHeight="1">
      <c r="B68" s="348"/>
      <c r="C68" s="348"/>
      <c r="D68" s="348"/>
      <c r="E68" s="348"/>
      <c r="F68" s="348"/>
      <c r="G68" s="348"/>
      <c r="H68" s="349"/>
      <c r="I68" s="349"/>
      <c r="J68" s="349"/>
      <c r="K68" s="349"/>
      <c r="L68" s="350"/>
      <c r="M68" s="350"/>
      <c r="N68" s="392"/>
      <c r="O68" s="392"/>
      <c r="P68" s="392"/>
      <c r="Q68" s="348"/>
      <c r="R68" s="348"/>
      <c r="S68" s="348"/>
      <c r="T68" s="348"/>
      <c r="U68" s="348"/>
      <c r="V68" s="348"/>
      <c r="W68" s="348"/>
      <c r="X68" s="348"/>
      <c r="Y68" s="348"/>
      <c r="Z68" s="348"/>
      <c r="AA68" s="348"/>
      <c r="AB68" s="348"/>
      <c r="AC68" s="348"/>
      <c r="AD68" s="348"/>
    </row>
    <row r="69" spans="2:48" ht="18.75" customHeight="1">
      <c r="C69" s="96"/>
      <c r="D69" s="96"/>
      <c r="E69" s="96"/>
      <c r="F69" s="96"/>
      <c r="G69" s="96"/>
      <c r="H69" s="96"/>
      <c r="I69" s="96"/>
      <c r="J69" s="96"/>
      <c r="K69" s="96"/>
      <c r="L69" s="96"/>
      <c r="M69" s="96"/>
      <c r="N69" s="96"/>
      <c r="O69" s="96"/>
      <c r="P69" s="96"/>
      <c r="Q69" s="96"/>
      <c r="R69" s="96"/>
      <c r="S69" s="96"/>
      <c r="T69" s="96"/>
      <c r="U69" s="96"/>
      <c r="V69" s="96"/>
      <c r="W69" s="96"/>
      <c r="X69" s="96"/>
      <c r="Y69" s="96"/>
      <c r="Z69" s="96"/>
      <c r="AA69" s="96"/>
      <c r="AB69" s="96"/>
      <c r="AC69" s="96"/>
      <c r="AD69" s="96"/>
    </row>
    <row r="70" spans="2:48" ht="18.75" customHeight="1">
      <c r="C70" s="96"/>
      <c r="D70" s="96"/>
      <c r="E70" s="96"/>
      <c r="F70" s="96"/>
      <c r="G70" s="96"/>
      <c r="H70" s="96"/>
      <c r="I70" s="96"/>
      <c r="J70" s="96"/>
      <c r="K70" s="96"/>
      <c r="L70" s="96"/>
      <c r="M70" s="96"/>
      <c r="N70" s="96"/>
      <c r="O70" s="96"/>
      <c r="P70" s="96"/>
      <c r="Q70" s="96"/>
      <c r="R70" s="96"/>
      <c r="S70" s="96"/>
      <c r="T70" s="96"/>
      <c r="U70" s="96"/>
      <c r="V70" s="96"/>
      <c r="W70" s="96"/>
      <c r="X70" s="96"/>
      <c r="Y70" s="96"/>
      <c r="Z70" s="96"/>
      <c r="AA70" s="96"/>
      <c r="AB70" s="96"/>
      <c r="AC70" s="96"/>
      <c r="AD70" s="96"/>
    </row>
    <row r="71" spans="2:48" ht="18.75" customHeight="1">
      <c r="C71" s="96"/>
      <c r="D71" s="96"/>
      <c r="E71" s="96"/>
      <c r="F71" s="96"/>
      <c r="G71" s="96"/>
      <c r="H71" s="96"/>
      <c r="I71" s="96"/>
      <c r="J71" s="96"/>
      <c r="K71" s="96"/>
      <c r="L71" s="96"/>
      <c r="M71" s="96"/>
      <c r="N71" s="96"/>
      <c r="O71" s="96"/>
      <c r="P71" s="96"/>
      <c r="Q71" s="96"/>
      <c r="R71" s="96"/>
      <c r="S71" s="96"/>
      <c r="T71" s="96"/>
      <c r="U71" s="96"/>
      <c r="V71" s="96"/>
      <c r="W71" s="96"/>
      <c r="X71" s="96"/>
      <c r="Y71" s="96"/>
      <c r="Z71" s="96"/>
      <c r="AA71" s="96"/>
      <c r="AB71" s="96"/>
      <c r="AC71" s="96"/>
      <c r="AD71" s="96"/>
    </row>
    <row r="72" spans="2:48" ht="18.75" customHeight="1">
      <c r="C72" s="96"/>
      <c r="D72" s="96"/>
      <c r="E72" s="96"/>
      <c r="F72" s="96"/>
      <c r="G72" s="96"/>
      <c r="H72" s="96"/>
      <c r="I72" s="96"/>
      <c r="J72" s="96"/>
      <c r="K72" s="96"/>
      <c r="L72" s="96"/>
      <c r="M72" s="96"/>
      <c r="N72" s="96"/>
      <c r="O72" s="96"/>
      <c r="P72" s="96"/>
      <c r="Q72" s="96"/>
      <c r="R72" s="96"/>
      <c r="S72" s="96"/>
      <c r="T72" s="96"/>
      <c r="U72" s="96"/>
      <c r="V72" s="96"/>
      <c r="W72" s="96"/>
      <c r="X72" s="96"/>
      <c r="Y72" s="96"/>
      <c r="Z72" s="96"/>
      <c r="AA72" s="96"/>
      <c r="AB72" s="96"/>
      <c r="AC72" s="96"/>
      <c r="AD72" s="96"/>
    </row>
    <row r="73" spans="2:48" ht="18.75" customHeight="1">
      <c r="C73" s="96"/>
      <c r="D73" s="96"/>
      <c r="E73" s="96"/>
      <c r="F73" s="96"/>
      <c r="G73" s="96"/>
      <c r="H73" s="96"/>
      <c r="I73" s="96"/>
      <c r="J73" s="96"/>
      <c r="K73" s="96"/>
      <c r="L73" s="96"/>
      <c r="M73" s="96"/>
      <c r="N73" s="96"/>
      <c r="O73" s="96"/>
      <c r="P73" s="96"/>
      <c r="Q73" s="96"/>
      <c r="R73" s="96"/>
      <c r="S73" s="96"/>
      <c r="T73" s="96"/>
      <c r="U73" s="96"/>
      <c r="V73" s="96"/>
      <c r="W73" s="96"/>
      <c r="X73" s="96"/>
      <c r="Y73" s="96"/>
      <c r="Z73" s="96"/>
      <c r="AA73" s="96"/>
      <c r="AB73" s="96"/>
      <c r="AC73" s="96"/>
      <c r="AD73" s="96"/>
    </row>
    <row r="74" spans="2:48" ht="18.75" customHeight="1">
      <c r="C74" s="96"/>
      <c r="D74" s="96"/>
      <c r="E74" s="96"/>
      <c r="F74" s="96"/>
      <c r="G74" s="96"/>
      <c r="H74" s="96"/>
      <c r="I74" s="96"/>
      <c r="J74" s="96"/>
      <c r="K74" s="96"/>
      <c r="L74" s="96"/>
      <c r="M74" s="96"/>
      <c r="N74" s="96"/>
      <c r="O74" s="96"/>
      <c r="P74" s="96"/>
      <c r="Q74" s="96"/>
      <c r="R74" s="96"/>
      <c r="S74" s="96"/>
      <c r="T74" s="96"/>
      <c r="U74" s="96"/>
      <c r="V74" s="96"/>
      <c r="W74" s="96"/>
      <c r="X74" s="96"/>
      <c r="Y74" s="96"/>
      <c r="Z74" s="96"/>
      <c r="AA74" s="96"/>
      <c r="AB74" s="96"/>
      <c r="AC74" s="96"/>
      <c r="AD74" s="96"/>
    </row>
    <row r="75" spans="2:48" ht="18.75" customHeight="1">
      <c r="C75" s="96"/>
      <c r="D75" s="96"/>
      <c r="E75" s="96"/>
      <c r="F75" s="96"/>
      <c r="G75" s="96"/>
      <c r="H75" s="96"/>
      <c r="I75" s="96"/>
      <c r="J75" s="96"/>
      <c r="K75" s="96"/>
      <c r="L75" s="96"/>
      <c r="M75" s="96"/>
      <c r="N75" s="96"/>
      <c r="O75" s="96"/>
      <c r="P75" s="96"/>
      <c r="Q75" s="96"/>
      <c r="R75" s="96"/>
      <c r="S75" s="96"/>
      <c r="T75" s="96"/>
      <c r="U75" s="96"/>
      <c r="V75" s="96"/>
      <c r="W75" s="96"/>
      <c r="X75" s="96"/>
      <c r="Y75" s="96"/>
      <c r="Z75" s="96"/>
      <c r="AA75" s="96"/>
      <c r="AB75" s="96"/>
      <c r="AC75" s="96"/>
      <c r="AD75" s="96"/>
    </row>
    <row r="76" spans="2:48" ht="18.75" customHeight="1">
      <c r="C76" s="96"/>
      <c r="D76" s="96"/>
      <c r="E76" s="96"/>
      <c r="F76" s="96"/>
      <c r="G76" s="96"/>
      <c r="H76" s="96"/>
      <c r="I76" s="96"/>
      <c r="J76" s="96"/>
      <c r="K76" s="96"/>
      <c r="L76" s="96"/>
      <c r="M76" s="96"/>
      <c r="N76" s="96"/>
      <c r="O76" s="96"/>
      <c r="P76" s="96"/>
      <c r="Q76" s="96"/>
      <c r="R76" s="96"/>
      <c r="S76" s="96"/>
      <c r="T76" s="96"/>
      <c r="U76" s="96"/>
      <c r="V76" s="96"/>
      <c r="W76" s="96"/>
      <c r="X76" s="96"/>
      <c r="Y76" s="96"/>
      <c r="Z76" s="96"/>
      <c r="AA76" s="96"/>
      <c r="AB76" s="96"/>
      <c r="AC76" s="96"/>
      <c r="AD76" s="96"/>
    </row>
    <row r="77" spans="2:48" ht="18.75" customHeight="1">
      <c r="C77" s="96"/>
      <c r="D77" s="96"/>
      <c r="E77" s="96"/>
      <c r="F77" s="96"/>
      <c r="G77" s="96"/>
      <c r="H77" s="96"/>
      <c r="I77" s="96"/>
      <c r="J77" s="96"/>
      <c r="K77" s="96"/>
      <c r="L77" s="96"/>
      <c r="M77" s="96"/>
      <c r="N77" s="96"/>
      <c r="O77" s="96"/>
      <c r="P77" s="96"/>
      <c r="Q77" s="96"/>
      <c r="R77" s="96"/>
      <c r="S77" s="96"/>
      <c r="T77" s="96"/>
      <c r="U77" s="96"/>
      <c r="V77" s="96"/>
      <c r="W77" s="96"/>
      <c r="X77" s="96"/>
      <c r="Y77" s="96"/>
      <c r="Z77" s="96"/>
      <c r="AA77" s="96"/>
      <c r="AB77" s="96"/>
      <c r="AC77" s="96"/>
      <c r="AD77" s="96"/>
    </row>
    <row r="78" spans="2:48" ht="18.75" customHeight="1">
      <c r="C78" s="96"/>
      <c r="D78" s="96"/>
      <c r="E78" s="96"/>
      <c r="F78" s="96"/>
      <c r="G78" s="96"/>
      <c r="H78" s="96"/>
      <c r="I78" s="96"/>
      <c r="J78" s="96"/>
      <c r="K78" s="96"/>
      <c r="L78" s="96"/>
      <c r="M78" s="96"/>
      <c r="N78" s="96"/>
      <c r="O78" s="96"/>
      <c r="P78" s="96"/>
      <c r="Q78" s="96"/>
      <c r="R78" s="96"/>
      <c r="S78" s="96"/>
      <c r="T78" s="96"/>
      <c r="U78" s="96"/>
      <c r="V78" s="96"/>
      <c r="W78" s="96"/>
      <c r="X78" s="96"/>
      <c r="Y78" s="96"/>
      <c r="Z78" s="96"/>
      <c r="AA78" s="96"/>
      <c r="AB78" s="96"/>
      <c r="AC78" s="96"/>
      <c r="AD78" s="96"/>
    </row>
    <row r="79" spans="2:48" ht="18.75" customHeight="1">
      <c r="C79" s="96"/>
      <c r="D79" s="96"/>
      <c r="E79" s="96"/>
      <c r="F79" s="96"/>
      <c r="G79" s="96"/>
      <c r="H79" s="96"/>
      <c r="I79" s="96"/>
      <c r="J79" s="96"/>
      <c r="K79" s="96"/>
      <c r="L79" s="96"/>
      <c r="M79" s="96"/>
      <c r="N79" s="96"/>
      <c r="O79" s="96"/>
      <c r="P79" s="96"/>
      <c r="Q79" s="96"/>
      <c r="R79" s="96"/>
      <c r="S79" s="96"/>
      <c r="T79" s="96"/>
      <c r="U79" s="96"/>
      <c r="V79" s="96"/>
      <c r="W79" s="96"/>
      <c r="X79" s="96"/>
      <c r="Y79" s="96"/>
      <c r="Z79" s="96"/>
      <c r="AA79" s="96"/>
      <c r="AB79" s="96"/>
      <c r="AC79" s="96"/>
      <c r="AD79" s="96"/>
    </row>
    <row r="80" spans="2:48" ht="18.75" customHeight="1">
      <c r="C80" s="96"/>
      <c r="D80" s="96"/>
      <c r="E80" s="96"/>
      <c r="F80" s="96"/>
      <c r="G80" s="96"/>
      <c r="H80" s="96"/>
      <c r="I80" s="96"/>
      <c r="J80" s="96"/>
      <c r="K80" s="96"/>
      <c r="L80" s="96"/>
      <c r="M80" s="96"/>
      <c r="N80" s="96"/>
      <c r="O80" s="96"/>
      <c r="P80" s="96"/>
      <c r="Q80" s="96"/>
      <c r="R80" s="96"/>
      <c r="S80" s="96"/>
      <c r="T80" s="96"/>
      <c r="U80" s="96"/>
      <c r="V80" s="96"/>
      <c r="W80" s="96"/>
      <c r="X80" s="96"/>
      <c r="Y80" s="96"/>
      <c r="Z80" s="96"/>
      <c r="AA80" s="96"/>
      <c r="AB80" s="96"/>
      <c r="AC80" s="96"/>
      <c r="AD80" s="96"/>
    </row>
    <row r="81" spans="3:30" ht="18.75" customHeight="1">
      <c r="C81" s="96"/>
      <c r="D81" s="96"/>
      <c r="E81" s="96"/>
      <c r="F81" s="96"/>
      <c r="G81" s="96"/>
      <c r="H81" s="96"/>
      <c r="I81" s="96"/>
      <c r="J81" s="96"/>
      <c r="K81" s="96"/>
      <c r="L81" s="96"/>
      <c r="M81" s="96"/>
      <c r="N81" s="96"/>
      <c r="O81" s="96"/>
      <c r="P81" s="96"/>
      <c r="Q81" s="96"/>
      <c r="R81" s="96"/>
      <c r="S81" s="96"/>
      <c r="T81" s="96"/>
      <c r="U81" s="96"/>
      <c r="V81" s="96"/>
      <c r="W81" s="96"/>
      <c r="X81" s="96"/>
      <c r="Y81" s="96"/>
      <c r="Z81" s="96"/>
      <c r="AA81" s="96"/>
      <c r="AB81" s="96"/>
      <c r="AC81" s="96"/>
      <c r="AD81" s="96"/>
    </row>
    <row r="82" spans="3:30" ht="18.75" customHeight="1">
      <c r="C82" s="96"/>
      <c r="D82" s="96"/>
      <c r="E82" s="96"/>
      <c r="F82" s="96"/>
      <c r="G82" s="96"/>
      <c r="H82" s="96"/>
      <c r="I82" s="96"/>
      <c r="J82" s="96"/>
      <c r="K82" s="96"/>
      <c r="L82" s="96"/>
      <c r="M82" s="96"/>
      <c r="N82" s="96"/>
      <c r="O82" s="96"/>
      <c r="P82" s="96"/>
      <c r="Q82" s="96"/>
      <c r="R82" s="96"/>
      <c r="S82" s="96"/>
      <c r="T82" s="96"/>
      <c r="U82" s="96"/>
      <c r="V82" s="96"/>
      <c r="W82" s="96"/>
      <c r="X82" s="96"/>
      <c r="Y82" s="96"/>
      <c r="Z82" s="96"/>
      <c r="AA82" s="96"/>
      <c r="AB82" s="96"/>
      <c r="AC82" s="96"/>
      <c r="AD82" s="96"/>
    </row>
    <row r="83" spans="3:30" ht="18.75" customHeight="1">
      <c r="C83" s="96"/>
      <c r="D83" s="96"/>
      <c r="E83" s="96"/>
      <c r="F83" s="96"/>
      <c r="G83" s="96"/>
      <c r="H83" s="96"/>
      <c r="I83" s="96"/>
      <c r="J83" s="96"/>
      <c r="K83" s="96"/>
      <c r="L83" s="96"/>
      <c r="M83" s="96"/>
      <c r="N83" s="96"/>
      <c r="O83" s="96"/>
      <c r="P83" s="96"/>
      <c r="Q83" s="96"/>
      <c r="R83" s="96"/>
      <c r="S83" s="96"/>
      <c r="T83" s="96"/>
      <c r="U83" s="96"/>
      <c r="V83" s="96"/>
      <c r="W83" s="96"/>
      <c r="X83" s="96"/>
      <c r="Y83" s="96"/>
      <c r="Z83" s="96"/>
      <c r="AA83" s="96"/>
      <c r="AB83" s="96"/>
      <c r="AC83" s="96"/>
      <c r="AD83" s="96"/>
    </row>
    <row r="84" spans="3:30" ht="18.75" customHeight="1">
      <c r="C84" s="96"/>
      <c r="D84" s="96"/>
      <c r="E84" s="96"/>
      <c r="F84" s="96"/>
      <c r="G84" s="96"/>
      <c r="H84" s="96"/>
      <c r="I84" s="96"/>
      <c r="J84" s="96"/>
      <c r="K84" s="96"/>
      <c r="L84" s="96"/>
      <c r="M84" s="96"/>
      <c r="N84" s="96"/>
      <c r="O84" s="96"/>
      <c r="P84" s="96"/>
      <c r="Q84" s="96"/>
      <c r="R84" s="96"/>
      <c r="S84" s="96"/>
      <c r="T84" s="96"/>
      <c r="U84" s="96"/>
      <c r="V84" s="96"/>
      <c r="W84" s="96"/>
      <c r="X84" s="96"/>
      <c r="Y84" s="96"/>
      <c r="Z84" s="96"/>
      <c r="AA84" s="96"/>
      <c r="AB84" s="96"/>
      <c r="AC84" s="96"/>
      <c r="AD84" s="96"/>
    </row>
    <row r="85" spans="3:30" ht="18.75" customHeight="1">
      <c r="C85" s="96"/>
      <c r="D85" s="96"/>
      <c r="E85" s="96"/>
      <c r="F85" s="96"/>
      <c r="G85" s="96"/>
      <c r="H85" s="96"/>
      <c r="I85" s="96"/>
      <c r="J85" s="96"/>
      <c r="K85" s="96"/>
      <c r="L85" s="96"/>
      <c r="M85" s="96"/>
      <c r="N85" s="96"/>
      <c r="O85" s="96"/>
      <c r="P85" s="96"/>
      <c r="Q85" s="96"/>
      <c r="R85" s="96"/>
      <c r="S85" s="96"/>
      <c r="T85" s="96"/>
      <c r="U85" s="96"/>
      <c r="V85" s="96"/>
      <c r="W85" s="96"/>
      <c r="X85" s="96"/>
      <c r="Y85" s="96"/>
      <c r="Z85" s="96"/>
      <c r="AA85" s="96"/>
      <c r="AB85" s="96"/>
      <c r="AC85" s="96"/>
      <c r="AD85" s="96"/>
    </row>
    <row r="86" spans="3:30" ht="18.75" customHeight="1">
      <c r="C86" s="96"/>
      <c r="D86" s="96"/>
      <c r="E86" s="96"/>
      <c r="F86" s="96"/>
      <c r="G86" s="96"/>
      <c r="H86" s="96"/>
      <c r="I86" s="96"/>
      <c r="J86" s="96"/>
      <c r="K86" s="96"/>
      <c r="L86" s="96"/>
      <c r="M86" s="96"/>
      <c r="N86" s="96"/>
      <c r="O86" s="96"/>
      <c r="P86" s="96"/>
      <c r="Q86" s="96"/>
      <c r="R86" s="96"/>
      <c r="S86" s="96"/>
      <c r="T86" s="96"/>
      <c r="U86" s="96"/>
      <c r="V86" s="96"/>
      <c r="W86" s="96"/>
      <c r="X86" s="96"/>
      <c r="Y86" s="96"/>
      <c r="Z86" s="96"/>
      <c r="AA86" s="96"/>
      <c r="AB86" s="96"/>
      <c r="AC86" s="96"/>
      <c r="AD86" s="96"/>
    </row>
    <row r="87" spans="3:30" ht="18.75" customHeight="1">
      <c r="C87" s="96"/>
      <c r="D87" s="96"/>
      <c r="E87" s="96"/>
      <c r="F87" s="96"/>
      <c r="G87" s="96"/>
      <c r="H87" s="96"/>
      <c r="I87" s="96"/>
      <c r="J87" s="96"/>
      <c r="K87" s="96"/>
      <c r="L87" s="96"/>
      <c r="M87" s="96"/>
      <c r="N87" s="96"/>
      <c r="O87" s="96"/>
      <c r="P87" s="96"/>
      <c r="Q87" s="96"/>
      <c r="R87" s="96"/>
      <c r="S87" s="96"/>
      <c r="T87" s="96"/>
      <c r="U87" s="96"/>
      <c r="V87" s="96"/>
      <c r="W87" s="96"/>
      <c r="X87" s="96"/>
      <c r="Y87" s="96"/>
      <c r="Z87" s="96"/>
      <c r="AA87" s="96"/>
      <c r="AB87" s="96"/>
      <c r="AC87" s="96"/>
      <c r="AD87" s="96"/>
    </row>
    <row r="88" spans="3:30" ht="18.75" customHeight="1">
      <c r="C88" s="96"/>
      <c r="D88" s="96"/>
      <c r="E88" s="96"/>
      <c r="F88" s="96"/>
      <c r="G88" s="96"/>
      <c r="H88" s="96"/>
      <c r="I88" s="96"/>
      <c r="J88" s="96"/>
      <c r="K88" s="96"/>
      <c r="L88" s="96"/>
      <c r="M88" s="96"/>
      <c r="N88" s="96"/>
      <c r="O88" s="96"/>
      <c r="P88" s="96"/>
      <c r="Q88" s="96"/>
      <c r="R88" s="96"/>
      <c r="S88" s="96"/>
      <c r="T88" s="96"/>
      <c r="U88" s="96"/>
      <c r="V88" s="96"/>
      <c r="W88" s="96"/>
      <c r="X88" s="96"/>
      <c r="Y88" s="96"/>
      <c r="Z88" s="96"/>
      <c r="AA88" s="96"/>
      <c r="AB88" s="96"/>
      <c r="AC88" s="96"/>
      <c r="AD88" s="96"/>
    </row>
    <row r="89" spans="3:30" ht="18.75" customHeight="1">
      <c r="C89" s="96"/>
      <c r="D89" s="96"/>
      <c r="E89" s="96"/>
      <c r="F89" s="96"/>
      <c r="G89" s="96"/>
      <c r="H89" s="96"/>
      <c r="I89" s="96"/>
      <c r="J89" s="96"/>
      <c r="K89" s="96"/>
      <c r="L89" s="96"/>
      <c r="M89" s="96"/>
      <c r="N89" s="96"/>
      <c r="O89" s="96"/>
      <c r="P89" s="96"/>
      <c r="Q89" s="96"/>
      <c r="R89" s="96"/>
      <c r="S89" s="96"/>
      <c r="T89" s="96"/>
      <c r="U89" s="96"/>
      <c r="V89" s="96"/>
      <c r="W89" s="96"/>
      <c r="X89" s="96"/>
      <c r="Y89" s="96"/>
      <c r="Z89" s="96"/>
      <c r="AA89" s="96"/>
      <c r="AB89" s="96"/>
      <c r="AC89" s="96"/>
      <c r="AD89" s="96"/>
    </row>
    <row r="90" spans="3:30" ht="18.75" customHeight="1">
      <c r="C90" s="96"/>
      <c r="D90" s="96"/>
      <c r="E90" s="96"/>
      <c r="F90" s="96"/>
      <c r="G90" s="96"/>
      <c r="H90" s="96"/>
      <c r="I90" s="96"/>
      <c r="J90" s="96"/>
      <c r="K90" s="96"/>
      <c r="L90" s="96"/>
      <c r="M90" s="96"/>
      <c r="N90" s="96"/>
      <c r="O90" s="96"/>
      <c r="P90" s="96"/>
      <c r="Q90" s="96"/>
      <c r="R90" s="96"/>
      <c r="S90" s="96"/>
      <c r="T90" s="96"/>
      <c r="U90" s="96"/>
      <c r="V90" s="96"/>
      <c r="W90" s="96"/>
      <c r="X90" s="96"/>
      <c r="Y90" s="96"/>
      <c r="Z90" s="96"/>
      <c r="AA90" s="96"/>
      <c r="AB90" s="96"/>
      <c r="AC90" s="96"/>
      <c r="AD90" s="96"/>
    </row>
    <row r="91" spans="3:30" ht="18.75" customHeight="1">
      <c r="C91" s="96"/>
      <c r="D91" s="96"/>
      <c r="E91" s="96"/>
      <c r="F91" s="96"/>
      <c r="G91" s="96"/>
      <c r="H91" s="96"/>
      <c r="I91" s="96"/>
      <c r="J91" s="96"/>
      <c r="K91" s="96"/>
      <c r="L91" s="96"/>
      <c r="M91" s="96"/>
      <c r="N91" s="96"/>
      <c r="O91" s="96"/>
      <c r="P91" s="96"/>
      <c r="Q91" s="96"/>
      <c r="R91" s="96"/>
      <c r="S91" s="96"/>
      <c r="T91" s="96"/>
      <c r="U91" s="96"/>
      <c r="V91" s="96"/>
      <c r="W91" s="96"/>
      <c r="X91" s="96"/>
      <c r="Y91" s="96"/>
      <c r="Z91" s="96"/>
      <c r="AA91" s="96"/>
      <c r="AB91" s="96"/>
      <c r="AC91" s="96"/>
      <c r="AD91" s="96"/>
    </row>
    <row r="92" spans="3:30">
      <c r="C92" s="96"/>
      <c r="D92" s="96"/>
      <c r="E92" s="96"/>
      <c r="F92" s="96"/>
      <c r="G92" s="96"/>
      <c r="H92" s="96"/>
      <c r="I92" s="96"/>
      <c r="J92" s="96"/>
      <c r="K92" s="96"/>
      <c r="L92" s="96"/>
      <c r="M92" s="96"/>
      <c r="N92" s="96"/>
      <c r="O92" s="96"/>
      <c r="P92" s="96"/>
      <c r="Q92" s="96"/>
      <c r="R92" s="96"/>
      <c r="S92" s="96"/>
      <c r="T92" s="96"/>
      <c r="U92" s="96"/>
      <c r="V92" s="96"/>
      <c r="W92" s="96"/>
      <c r="X92" s="96"/>
      <c r="Y92" s="96"/>
      <c r="Z92" s="96"/>
      <c r="AA92" s="96"/>
      <c r="AB92" s="96"/>
      <c r="AC92" s="96"/>
      <c r="AD92" s="96"/>
    </row>
    <row r="93" spans="3:30">
      <c r="C93" s="96"/>
      <c r="D93" s="96"/>
      <c r="E93" s="96"/>
      <c r="F93" s="96"/>
      <c r="G93" s="96"/>
      <c r="H93" s="96"/>
      <c r="I93" s="96"/>
      <c r="J93" s="96"/>
      <c r="K93" s="96"/>
      <c r="L93" s="96"/>
      <c r="M93" s="96"/>
      <c r="N93" s="96"/>
      <c r="O93" s="96"/>
      <c r="P93" s="96"/>
      <c r="Q93" s="96"/>
      <c r="R93" s="96"/>
      <c r="S93" s="96"/>
      <c r="T93" s="96"/>
      <c r="U93" s="96"/>
      <c r="V93" s="96"/>
      <c r="W93" s="96"/>
      <c r="X93" s="96"/>
      <c r="Y93" s="96"/>
      <c r="Z93" s="96"/>
      <c r="AA93" s="96"/>
      <c r="AB93" s="96"/>
      <c r="AC93" s="96"/>
      <c r="AD93" s="96"/>
    </row>
    <row r="94" spans="3:30">
      <c r="C94" s="96"/>
      <c r="D94" s="96"/>
      <c r="E94" s="96"/>
      <c r="F94" s="96"/>
      <c r="G94" s="96"/>
      <c r="H94" s="96"/>
      <c r="I94" s="96"/>
      <c r="J94" s="96"/>
      <c r="K94" s="96"/>
      <c r="L94" s="96"/>
      <c r="M94" s="96"/>
      <c r="N94" s="96"/>
      <c r="O94" s="96"/>
      <c r="P94" s="96"/>
      <c r="Q94" s="96"/>
      <c r="R94" s="96"/>
      <c r="S94" s="96"/>
      <c r="T94" s="96"/>
      <c r="U94" s="96"/>
      <c r="V94" s="96"/>
      <c r="W94" s="96"/>
      <c r="X94" s="96"/>
      <c r="Y94" s="96"/>
      <c r="Z94" s="96"/>
      <c r="AA94" s="96"/>
      <c r="AB94" s="96"/>
      <c r="AC94" s="96"/>
      <c r="AD94" s="96"/>
    </row>
    <row r="95" spans="3:30">
      <c r="C95" s="96"/>
      <c r="D95" s="96"/>
      <c r="E95" s="96"/>
      <c r="F95" s="96"/>
      <c r="G95" s="96"/>
      <c r="H95" s="96"/>
      <c r="I95" s="96"/>
      <c r="J95" s="96"/>
      <c r="K95" s="96"/>
      <c r="L95" s="96"/>
      <c r="M95" s="96"/>
      <c r="N95" s="96"/>
      <c r="O95" s="96"/>
      <c r="P95" s="96"/>
      <c r="Q95" s="96"/>
      <c r="R95" s="96"/>
      <c r="S95" s="96"/>
      <c r="T95" s="96"/>
      <c r="U95" s="96"/>
      <c r="V95" s="96"/>
      <c r="W95" s="96"/>
      <c r="X95" s="96"/>
      <c r="Y95" s="96"/>
      <c r="Z95" s="96"/>
      <c r="AA95" s="96"/>
      <c r="AB95" s="96"/>
      <c r="AC95" s="96"/>
      <c r="AD95" s="96"/>
    </row>
    <row r="96" spans="3:30">
      <c r="C96" s="96"/>
      <c r="D96" s="96"/>
      <c r="E96" s="96"/>
      <c r="F96" s="96"/>
      <c r="G96" s="96"/>
      <c r="H96" s="96"/>
      <c r="I96" s="96"/>
      <c r="J96" s="96"/>
      <c r="K96" s="96"/>
      <c r="L96" s="96"/>
      <c r="M96" s="96"/>
      <c r="N96" s="96"/>
      <c r="O96" s="96"/>
      <c r="P96" s="96"/>
      <c r="Q96" s="96"/>
      <c r="R96" s="96"/>
      <c r="S96" s="96"/>
      <c r="T96" s="96"/>
      <c r="U96" s="96"/>
      <c r="V96" s="96"/>
      <c r="W96" s="96"/>
      <c r="X96" s="96"/>
      <c r="Y96" s="96"/>
      <c r="Z96" s="96"/>
      <c r="AA96" s="96"/>
      <c r="AB96" s="96"/>
      <c r="AC96" s="96"/>
      <c r="AD96" s="96"/>
    </row>
    <row r="97" spans="3:30">
      <c r="C97" s="96"/>
      <c r="D97" s="96"/>
      <c r="E97" s="96"/>
      <c r="F97" s="96"/>
      <c r="G97" s="96"/>
      <c r="H97" s="96"/>
      <c r="I97" s="96"/>
      <c r="J97" s="96"/>
      <c r="K97" s="96"/>
      <c r="L97" s="96"/>
      <c r="M97" s="96"/>
      <c r="N97" s="96"/>
      <c r="O97" s="96"/>
      <c r="P97" s="96"/>
      <c r="Q97" s="96"/>
      <c r="R97" s="96"/>
      <c r="S97" s="96"/>
      <c r="T97" s="96"/>
      <c r="U97" s="96"/>
      <c r="V97" s="96"/>
      <c r="W97" s="96"/>
      <c r="X97" s="96"/>
      <c r="Y97" s="96"/>
      <c r="Z97" s="96"/>
      <c r="AA97" s="96"/>
      <c r="AB97" s="96"/>
      <c r="AC97" s="96"/>
      <c r="AD97" s="96"/>
    </row>
    <row r="98" spans="3:30">
      <c r="C98" s="96"/>
      <c r="D98" s="96"/>
      <c r="E98" s="96"/>
      <c r="F98" s="96"/>
      <c r="G98" s="96"/>
      <c r="H98" s="96"/>
      <c r="I98" s="96"/>
      <c r="J98" s="96"/>
      <c r="K98" s="96"/>
      <c r="L98" s="96"/>
      <c r="M98" s="96"/>
      <c r="N98" s="96"/>
      <c r="O98" s="96"/>
      <c r="P98" s="96"/>
      <c r="Q98" s="96"/>
      <c r="R98" s="96"/>
      <c r="S98" s="96"/>
      <c r="T98" s="96"/>
      <c r="U98" s="96"/>
      <c r="V98" s="96"/>
      <c r="W98" s="96"/>
      <c r="X98" s="96"/>
      <c r="Y98" s="96"/>
      <c r="Z98" s="96"/>
      <c r="AA98" s="96"/>
      <c r="AB98" s="96"/>
      <c r="AC98" s="96"/>
      <c r="AD98" s="96"/>
    </row>
  </sheetData>
  <mergeCells count="97">
    <mergeCell ref="B65:G68"/>
    <mergeCell ref="H53:K56"/>
    <mergeCell ref="L53:M56"/>
    <mergeCell ref="N53:P56"/>
    <mergeCell ref="C24:L24"/>
    <mergeCell ref="C25:L25"/>
    <mergeCell ref="H57:K60"/>
    <mergeCell ref="L57:M60"/>
    <mergeCell ref="N57:P60"/>
    <mergeCell ref="N45:P48"/>
    <mergeCell ref="I35:N35"/>
    <mergeCell ref="C34:G34"/>
    <mergeCell ref="L49:M52"/>
    <mergeCell ref="N49:P52"/>
    <mergeCell ref="B57:G60"/>
    <mergeCell ref="I37:M37"/>
    <mergeCell ref="C23:L23"/>
    <mergeCell ref="V24:AD24"/>
    <mergeCell ref="C27:AA27"/>
    <mergeCell ref="M26:U26"/>
    <mergeCell ref="C32:AD33"/>
    <mergeCell ref="V25:AD25"/>
    <mergeCell ref="M24:U24"/>
    <mergeCell ref="M25:U25"/>
    <mergeCell ref="C26:L26"/>
    <mergeCell ref="C28:AD29"/>
    <mergeCell ref="B61:G64"/>
    <mergeCell ref="Q53:U56"/>
    <mergeCell ref="V26:AD26"/>
    <mergeCell ref="H49:K52"/>
    <mergeCell ref="B49:G52"/>
    <mergeCell ref="B53:G56"/>
    <mergeCell ref="L45:M48"/>
    <mergeCell ref="Y45:AD48"/>
    <mergeCell ref="V45:X48"/>
    <mergeCell ref="Y49:AD52"/>
    <mergeCell ref="T40:AE40"/>
    <mergeCell ref="V53:X56"/>
    <mergeCell ref="Q45:U48"/>
    <mergeCell ref="Q49:U52"/>
    <mergeCell ref="I36:M36"/>
    <mergeCell ref="Q57:U60"/>
    <mergeCell ref="N61:P64"/>
    <mergeCell ref="V49:X52"/>
    <mergeCell ref="H45:K48"/>
    <mergeCell ref="V61:X64"/>
    <mergeCell ref="Y65:AD68"/>
    <mergeCell ref="Q61:U64"/>
    <mergeCell ref="V57:X60"/>
    <mergeCell ref="T39:AE39"/>
    <mergeCell ref="V65:X68"/>
    <mergeCell ref="Y53:AD56"/>
    <mergeCell ref="B43:G48"/>
    <mergeCell ref="T35:AE35"/>
    <mergeCell ref="H43:AD44"/>
    <mergeCell ref="C37:G37"/>
    <mergeCell ref="Y57:AD60"/>
    <mergeCell ref="T41:AE41"/>
    <mergeCell ref="H65:K68"/>
    <mergeCell ref="L65:M68"/>
    <mergeCell ref="N65:P68"/>
    <mergeCell ref="Q65:U68"/>
    <mergeCell ref="Y61:AD64"/>
    <mergeCell ref="H61:K64"/>
    <mergeCell ref="L61:M64"/>
    <mergeCell ref="C17:L17"/>
    <mergeCell ref="C16:L16"/>
    <mergeCell ref="M17:AD17"/>
    <mergeCell ref="C36:G36"/>
    <mergeCell ref="I34:N34"/>
    <mergeCell ref="M21:U21"/>
    <mergeCell ref="C21:L21"/>
    <mergeCell ref="V21:AD21"/>
    <mergeCell ref="V22:AD22"/>
    <mergeCell ref="M22:U22"/>
    <mergeCell ref="C22:L22"/>
    <mergeCell ref="C30:AD31"/>
    <mergeCell ref="T34:AE34"/>
    <mergeCell ref="C35:G35"/>
    <mergeCell ref="V23:AD23"/>
    <mergeCell ref="M23:U23"/>
    <mergeCell ref="C20:AD20"/>
    <mergeCell ref="C7:AD7"/>
    <mergeCell ref="C11:AD11"/>
    <mergeCell ref="P1:AD1"/>
    <mergeCell ref="P2:AD2"/>
    <mergeCell ref="C12:AD12"/>
    <mergeCell ref="C9:AD9"/>
    <mergeCell ref="B1:M1"/>
    <mergeCell ref="C2:L2"/>
    <mergeCell ref="C6:AD6"/>
    <mergeCell ref="C15:AD15"/>
    <mergeCell ref="C18:L18"/>
    <mergeCell ref="M18:AD18"/>
    <mergeCell ref="C19:L19"/>
    <mergeCell ref="M19:AD19"/>
    <mergeCell ref="M16:AD16"/>
  </mergeCells>
  <pageMargins left="0" right="0" top="0.59055118110236227" bottom="0.47244094488188981" header="0" footer="0"/>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rgb="FFFF0000"/>
  </sheetPr>
  <dimension ref="B1:AW98"/>
  <sheetViews>
    <sheetView view="pageLayout" topLeftCell="A19" workbookViewId="0">
      <selection activeCell="AO29" sqref="AO29:AR29"/>
    </sheetView>
  </sheetViews>
  <sheetFormatPr defaultColWidth="9.140625" defaultRowHeight="12.75"/>
  <cols>
    <col min="1" max="12" width="3.140625" style="69" customWidth="1"/>
    <col min="13" max="30" width="3.28515625" style="69" customWidth="1"/>
    <col min="31" max="31" width="3.140625" style="96" customWidth="1"/>
    <col min="32" max="117" width="3.140625" style="69" customWidth="1"/>
    <col min="118" max="16384" width="9.140625" style="69"/>
  </cols>
  <sheetData>
    <row r="1" spans="2:49" ht="19.7" customHeight="1">
      <c r="B1" s="370" t="s">
        <v>80</v>
      </c>
      <c r="C1" s="370"/>
      <c r="D1" s="370"/>
      <c r="E1" s="370"/>
      <c r="F1" s="370"/>
      <c r="G1" s="370"/>
      <c r="H1" s="370"/>
      <c r="I1" s="370"/>
      <c r="J1" s="370"/>
      <c r="K1" s="370"/>
      <c r="L1" s="370"/>
      <c r="M1" s="370"/>
      <c r="N1" s="70"/>
      <c r="O1" s="70"/>
      <c r="P1" s="351" t="s">
        <v>81</v>
      </c>
      <c r="Q1" s="351"/>
      <c r="R1" s="351"/>
      <c r="S1" s="351"/>
      <c r="T1" s="351"/>
      <c r="U1" s="351"/>
      <c r="V1" s="351"/>
      <c r="W1" s="351"/>
      <c r="X1" s="351"/>
      <c r="Y1" s="351"/>
      <c r="Z1" s="351"/>
      <c r="AA1" s="351"/>
      <c r="AB1" s="351"/>
      <c r="AC1" s="351"/>
      <c r="AD1" s="351"/>
      <c r="AE1" s="88"/>
    </row>
    <row r="2" spans="2:49" ht="19.7" customHeight="1">
      <c r="C2" s="370" t="s">
        <v>82</v>
      </c>
      <c r="D2" s="370"/>
      <c r="E2" s="370"/>
      <c r="F2" s="370"/>
      <c r="G2" s="370"/>
      <c r="H2" s="370"/>
      <c r="I2" s="370"/>
      <c r="J2" s="370"/>
      <c r="K2" s="370"/>
      <c r="L2" s="370"/>
      <c r="M2" s="70"/>
      <c r="N2" s="136"/>
      <c r="O2" s="70"/>
      <c r="P2" s="371" t="s">
        <v>153</v>
      </c>
      <c r="Q2" s="371"/>
      <c r="R2" s="371"/>
      <c r="S2" s="371"/>
      <c r="T2" s="371"/>
      <c r="U2" s="371"/>
      <c r="V2" s="371"/>
      <c r="W2" s="371"/>
      <c r="X2" s="371"/>
      <c r="Y2" s="371"/>
      <c r="Z2" s="371"/>
      <c r="AA2" s="371"/>
      <c r="AB2" s="371"/>
      <c r="AC2" s="371"/>
      <c r="AD2" s="371"/>
    </row>
    <row r="3" spans="2:49" ht="8.4499999999999993" customHeight="1">
      <c r="C3" s="134"/>
      <c r="D3" s="134"/>
      <c r="E3" s="138"/>
      <c r="F3" s="138"/>
      <c r="G3" s="138"/>
      <c r="H3" s="138"/>
      <c r="I3" s="138"/>
      <c r="J3" s="138"/>
      <c r="K3" s="134"/>
      <c r="L3" s="133"/>
      <c r="M3" s="134"/>
      <c r="N3" s="134"/>
      <c r="O3" s="134"/>
      <c r="P3" s="134"/>
      <c r="Q3" s="77"/>
      <c r="R3" s="77"/>
      <c r="S3" s="138"/>
      <c r="T3" s="138"/>
      <c r="U3" s="138"/>
      <c r="V3" s="138"/>
      <c r="W3" s="138"/>
      <c r="X3" s="138"/>
      <c r="Y3" s="138"/>
      <c r="Z3" s="138"/>
      <c r="AA3" s="138"/>
      <c r="AB3" s="70"/>
      <c r="AC3" s="70"/>
      <c r="AD3" s="70"/>
    </row>
    <row r="4" spans="2:49" ht="8.4499999999999993" customHeight="1">
      <c r="C4" s="75"/>
      <c r="D4" s="75"/>
      <c r="E4" s="76"/>
      <c r="F4" s="76"/>
      <c r="G4" s="76"/>
      <c r="H4" s="76"/>
      <c r="I4" s="76"/>
      <c r="J4" s="76"/>
      <c r="K4" s="76"/>
      <c r="L4" s="77"/>
      <c r="M4" s="77"/>
      <c r="N4" s="77"/>
      <c r="O4" s="77"/>
      <c r="P4" s="76"/>
      <c r="Q4" s="136"/>
      <c r="R4" s="136"/>
      <c r="S4" s="136"/>
      <c r="T4" s="136"/>
      <c r="U4" s="136"/>
      <c r="V4" s="136"/>
      <c r="W4" s="136"/>
      <c r="X4" s="136"/>
      <c r="Y4" s="136"/>
      <c r="Z4" s="136"/>
      <c r="AA4" s="136"/>
      <c r="AB4" s="136"/>
      <c r="AC4" s="136"/>
      <c r="AD4" s="136"/>
    </row>
    <row r="5" spans="2:49" ht="0.75" customHeight="1">
      <c r="C5" s="137"/>
      <c r="D5" s="137"/>
      <c r="E5" s="134"/>
      <c r="F5" s="134"/>
      <c r="G5" s="134"/>
      <c r="H5" s="134"/>
      <c r="I5" s="134"/>
      <c r="J5" s="134"/>
      <c r="K5" s="134"/>
      <c r="L5" s="134"/>
      <c r="M5" s="134"/>
      <c r="N5" s="134"/>
      <c r="O5" s="134"/>
      <c r="P5" s="134"/>
      <c r="Q5" s="134"/>
      <c r="R5" s="134"/>
      <c r="S5" s="134"/>
      <c r="T5" s="134"/>
      <c r="U5" s="134"/>
      <c r="V5" s="134"/>
      <c r="W5" s="134"/>
      <c r="X5" s="134"/>
      <c r="Y5" s="134"/>
      <c r="Z5" s="134"/>
      <c r="AA5" s="134"/>
      <c r="AB5" s="70"/>
      <c r="AC5" s="70"/>
      <c r="AD5" s="70"/>
    </row>
    <row r="6" spans="2:49" ht="19.7" customHeight="1">
      <c r="C6" s="363" t="s">
        <v>83</v>
      </c>
      <c r="D6" s="363"/>
      <c r="E6" s="363"/>
      <c r="F6" s="363"/>
      <c r="G6" s="363"/>
      <c r="H6" s="363"/>
      <c r="I6" s="363"/>
      <c r="J6" s="363"/>
      <c r="K6" s="363"/>
      <c r="L6" s="363"/>
      <c r="M6" s="363"/>
      <c r="N6" s="363"/>
      <c r="O6" s="363"/>
      <c r="P6" s="363"/>
      <c r="Q6" s="363"/>
      <c r="R6" s="363"/>
      <c r="S6" s="363"/>
      <c r="T6" s="363"/>
      <c r="U6" s="363"/>
      <c r="V6" s="363"/>
      <c r="W6" s="363"/>
      <c r="X6" s="363"/>
      <c r="Y6" s="363"/>
      <c r="Z6" s="363"/>
      <c r="AA6" s="363"/>
      <c r="AB6" s="363"/>
      <c r="AC6" s="363"/>
      <c r="AD6" s="363"/>
    </row>
    <row r="7" spans="2:49" ht="19.7" customHeight="1">
      <c r="C7" s="363" t="s">
        <v>84</v>
      </c>
      <c r="D7" s="363"/>
      <c r="E7" s="363"/>
      <c r="F7" s="363"/>
      <c r="G7" s="363"/>
      <c r="H7" s="363"/>
      <c r="I7" s="363"/>
      <c r="J7" s="363"/>
      <c r="K7" s="363"/>
      <c r="L7" s="363"/>
      <c r="M7" s="363"/>
      <c r="N7" s="363"/>
      <c r="O7" s="363"/>
      <c r="P7" s="363"/>
      <c r="Q7" s="363"/>
      <c r="R7" s="363"/>
      <c r="S7" s="363"/>
      <c r="T7" s="363"/>
      <c r="U7" s="363"/>
      <c r="V7" s="363"/>
      <c r="W7" s="363"/>
      <c r="X7" s="363"/>
      <c r="Y7" s="363"/>
      <c r="Z7" s="363"/>
      <c r="AA7" s="363"/>
      <c r="AB7" s="363"/>
      <c r="AC7" s="363"/>
      <c r="AD7" s="363"/>
    </row>
    <row r="8" spans="2:49" ht="11.25" customHeight="1">
      <c r="C8" s="133"/>
      <c r="D8" s="134"/>
      <c r="E8" s="134"/>
      <c r="F8" s="134"/>
      <c r="G8" s="134"/>
      <c r="H8" s="134"/>
      <c r="I8" s="134"/>
      <c r="J8" s="134"/>
      <c r="K8" s="134"/>
      <c r="L8" s="134"/>
      <c r="M8" s="134"/>
      <c r="N8" s="134"/>
      <c r="O8" s="134"/>
      <c r="P8" s="134"/>
      <c r="Q8" s="134"/>
      <c r="R8" s="134"/>
      <c r="S8" s="134"/>
      <c r="T8" s="134"/>
      <c r="U8" s="134"/>
      <c r="V8" s="134"/>
      <c r="W8" s="134"/>
      <c r="X8" s="134"/>
      <c r="Y8" s="134"/>
      <c r="Z8" s="134"/>
      <c r="AA8" s="134"/>
      <c r="AB8" s="70"/>
      <c r="AC8" s="70"/>
      <c r="AD8" s="70"/>
    </row>
    <row r="9" spans="2:49" ht="19.7" customHeight="1">
      <c r="C9" s="371" t="str">
        <f>"Số: "&amp;AG9</f>
        <v>Số: B08600120811TG05</v>
      </c>
      <c r="D9" s="371"/>
      <c r="E9" s="371"/>
      <c r="F9" s="371"/>
      <c r="G9" s="371"/>
      <c r="H9" s="371"/>
      <c r="I9" s="371"/>
      <c r="J9" s="371"/>
      <c r="K9" s="371"/>
      <c r="L9" s="371"/>
      <c r="M9" s="371"/>
      <c r="N9" s="371"/>
      <c r="O9" s="371"/>
      <c r="P9" s="371"/>
      <c r="Q9" s="371"/>
      <c r="R9" s="371"/>
      <c r="S9" s="371"/>
      <c r="T9" s="371"/>
      <c r="U9" s="371"/>
      <c r="V9" s="371"/>
      <c r="W9" s="371"/>
      <c r="X9" s="371"/>
      <c r="Y9" s="371"/>
      <c r="Z9" s="371"/>
      <c r="AA9" s="371"/>
      <c r="AB9" s="371"/>
      <c r="AC9" s="371"/>
      <c r="AD9" s="371"/>
      <c r="AG9" s="81" t="s">
        <v>189</v>
      </c>
    </row>
    <row r="10" spans="2:49" ht="12" customHeight="1">
      <c r="C10" s="135"/>
      <c r="D10" s="134"/>
      <c r="E10" s="134"/>
      <c r="F10" s="134"/>
      <c r="G10" s="134"/>
      <c r="H10" s="134"/>
      <c r="I10" s="134"/>
      <c r="J10" s="134"/>
      <c r="K10" s="134"/>
      <c r="L10" s="134"/>
      <c r="M10" s="134"/>
      <c r="N10" s="134"/>
      <c r="O10" s="134"/>
      <c r="P10" s="134"/>
      <c r="Q10" s="134"/>
      <c r="R10" s="134"/>
      <c r="S10" s="134"/>
      <c r="T10" s="134"/>
      <c r="U10" s="134"/>
      <c r="V10" s="134"/>
      <c r="W10" s="134"/>
      <c r="X10" s="134"/>
      <c r="Y10" s="134"/>
      <c r="Z10" s="134"/>
      <c r="AA10" s="134"/>
      <c r="AB10" s="70"/>
      <c r="AC10" s="70"/>
      <c r="AD10" s="70"/>
    </row>
    <row r="11" spans="2:49" ht="19.7" customHeight="1">
      <c r="C11" s="363" t="s">
        <v>85</v>
      </c>
      <c r="D11" s="363"/>
      <c r="E11" s="363"/>
      <c r="F11" s="363"/>
      <c r="G11" s="363"/>
      <c r="H11" s="363"/>
      <c r="I11" s="363"/>
      <c r="J11" s="363"/>
      <c r="K11" s="363"/>
      <c r="L11" s="363"/>
      <c r="M11" s="363"/>
      <c r="N11" s="363"/>
      <c r="O11" s="363"/>
      <c r="P11" s="363"/>
      <c r="Q11" s="363"/>
      <c r="R11" s="363"/>
      <c r="S11" s="363"/>
      <c r="T11" s="363"/>
      <c r="U11" s="363"/>
      <c r="V11" s="363"/>
      <c r="W11" s="363"/>
      <c r="X11" s="363"/>
      <c r="Y11" s="363"/>
      <c r="Z11" s="363"/>
      <c r="AA11" s="363"/>
      <c r="AB11" s="363"/>
      <c r="AC11" s="363"/>
      <c r="AD11" s="363"/>
    </row>
    <row r="12" spans="2:49" ht="19.7" customHeight="1">
      <c r="C12" s="363" t="s">
        <v>86</v>
      </c>
      <c r="D12" s="363"/>
      <c r="E12" s="363"/>
      <c r="F12" s="363"/>
      <c r="G12" s="363"/>
      <c r="H12" s="363"/>
      <c r="I12" s="363"/>
      <c r="J12" s="363"/>
      <c r="K12" s="363"/>
      <c r="L12" s="363"/>
      <c r="M12" s="363"/>
      <c r="N12" s="363"/>
      <c r="O12" s="363"/>
      <c r="P12" s="363"/>
      <c r="Q12" s="363"/>
      <c r="R12" s="363"/>
      <c r="S12" s="363"/>
      <c r="T12" s="363"/>
      <c r="U12" s="363"/>
      <c r="V12" s="363"/>
      <c r="W12" s="363"/>
      <c r="X12" s="363"/>
      <c r="Y12" s="363"/>
      <c r="Z12" s="363"/>
      <c r="AA12" s="363"/>
      <c r="AB12" s="363"/>
      <c r="AC12" s="363"/>
      <c r="AD12" s="363"/>
    </row>
    <row r="13" spans="2:49" ht="8.4499999999999993" customHeight="1">
      <c r="C13" s="102"/>
      <c r="D13" s="72"/>
      <c r="E13" s="72"/>
      <c r="F13" s="72"/>
      <c r="G13" s="72"/>
      <c r="H13" s="72"/>
      <c r="I13" s="72"/>
      <c r="J13" s="72"/>
      <c r="K13" s="72"/>
      <c r="L13" s="72"/>
      <c r="M13" s="72"/>
      <c r="N13" s="72"/>
      <c r="O13" s="72"/>
      <c r="P13" s="72"/>
      <c r="Q13" s="72"/>
      <c r="R13" s="72"/>
      <c r="S13" s="72"/>
      <c r="T13" s="72"/>
      <c r="U13" s="72"/>
      <c r="V13" s="72"/>
      <c r="W13" s="72"/>
      <c r="X13" s="72"/>
      <c r="Y13" s="72"/>
      <c r="Z13" s="72"/>
      <c r="AA13" s="72"/>
    </row>
    <row r="14" spans="2:49" ht="3.75" customHeight="1">
      <c r="C14" s="80"/>
      <c r="D14" s="72"/>
      <c r="E14" s="72"/>
      <c r="F14" s="72"/>
      <c r="G14" s="72"/>
      <c r="H14" s="72"/>
      <c r="I14" s="72"/>
      <c r="J14" s="72"/>
      <c r="K14" s="72"/>
      <c r="L14" s="72"/>
      <c r="M14" s="72"/>
      <c r="N14" s="72"/>
      <c r="O14" s="72"/>
      <c r="P14" s="72"/>
      <c r="Q14" s="72"/>
      <c r="R14" s="72"/>
      <c r="S14" s="72"/>
      <c r="T14" s="72"/>
      <c r="U14" s="72"/>
      <c r="V14" s="72"/>
      <c r="W14" s="72"/>
      <c r="X14" s="72"/>
      <c r="Y14" s="72"/>
      <c r="Z14" s="72"/>
      <c r="AA14" s="72"/>
    </row>
    <row r="15" spans="2:49" ht="21.75" customHeight="1">
      <c r="C15" s="412" t="s">
        <v>84</v>
      </c>
      <c r="D15" s="413"/>
      <c r="E15" s="413"/>
      <c r="F15" s="413"/>
      <c r="G15" s="413"/>
      <c r="H15" s="413"/>
      <c r="I15" s="413"/>
      <c r="J15" s="413"/>
      <c r="K15" s="413"/>
      <c r="L15" s="413"/>
      <c r="M15" s="413"/>
      <c r="N15" s="413"/>
      <c r="O15" s="413"/>
      <c r="P15" s="413"/>
      <c r="Q15" s="413"/>
      <c r="R15" s="413"/>
      <c r="S15" s="413"/>
      <c r="T15" s="413"/>
      <c r="U15" s="413"/>
      <c r="V15" s="413"/>
      <c r="W15" s="413"/>
      <c r="X15" s="413"/>
      <c r="Y15" s="413"/>
      <c r="Z15" s="413"/>
      <c r="AA15" s="413"/>
      <c r="AB15" s="413"/>
      <c r="AC15" s="413"/>
      <c r="AD15" s="414"/>
      <c r="AE15" s="103"/>
      <c r="AG15" s="83">
        <v>1</v>
      </c>
      <c r="AH15" s="83"/>
      <c r="AI15" s="83"/>
      <c r="AJ15" s="83"/>
      <c r="AK15" s="83">
        <v>2</v>
      </c>
      <c r="AL15" s="83"/>
      <c r="AM15" s="83"/>
      <c r="AN15" s="83"/>
      <c r="AO15" s="83">
        <v>3</v>
      </c>
      <c r="AS15" s="69">
        <v>4</v>
      </c>
    </row>
    <row r="16" spans="2:49" ht="36" customHeight="1">
      <c r="C16" s="406" t="s">
        <v>24</v>
      </c>
      <c r="D16" s="407"/>
      <c r="E16" s="407"/>
      <c r="F16" s="407"/>
      <c r="G16" s="407"/>
      <c r="H16" s="407"/>
      <c r="I16" s="407"/>
      <c r="J16" s="407"/>
      <c r="K16" s="407"/>
      <c r="L16" s="408"/>
      <c r="M16" s="409" t="str">
        <f>AG16</f>
        <v>Ấp Bàu Trâu, xã Phước Thạnh, huyện Củ Chi, thành phố Hồ Chí Minh.</v>
      </c>
      <c r="N16" s="410"/>
      <c r="O16" s="410"/>
      <c r="P16" s="410"/>
      <c r="Q16" s="410"/>
      <c r="R16" s="410"/>
      <c r="S16" s="410"/>
      <c r="T16" s="410"/>
      <c r="U16" s="410"/>
      <c r="V16" s="410"/>
      <c r="W16" s="410"/>
      <c r="X16" s="410"/>
      <c r="Y16" s="410"/>
      <c r="Z16" s="410"/>
      <c r="AA16" s="410"/>
      <c r="AB16" s="410"/>
      <c r="AC16" s="410"/>
      <c r="AD16" s="411"/>
      <c r="AE16" s="103"/>
      <c r="AG16" s="415" t="s">
        <v>87</v>
      </c>
      <c r="AH16" s="415"/>
      <c r="AI16" s="415"/>
      <c r="AJ16" s="415"/>
      <c r="AK16" s="415"/>
      <c r="AL16" s="415"/>
      <c r="AM16" s="415"/>
      <c r="AN16" s="415"/>
      <c r="AO16" s="415"/>
      <c r="AP16" s="415"/>
      <c r="AQ16" s="415"/>
      <c r="AR16" s="415"/>
      <c r="AS16" s="415"/>
      <c r="AT16" s="415"/>
      <c r="AU16" s="415"/>
      <c r="AV16" s="415"/>
      <c r="AW16" s="415"/>
    </row>
    <row r="17" spans="3:47" ht="23.25" customHeight="1">
      <c r="C17" s="406" t="s">
        <v>17</v>
      </c>
      <c r="D17" s="407"/>
      <c r="E17" s="407"/>
      <c r="F17" s="407"/>
      <c r="G17" s="407"/>
      <c r="H17" s="407"/>
      <c r="I17" s="407"/>
      <c r="J17" s="407"/>
      <c r="K17" s="407"/>
      <c r="L17" s="408"/>
      <c r="M17" s="412" t="str">
        <f>IF(AG17="","",AG17)</f>
        <v/>
      </c>
      <c r="N17" s="413"/>
      <c r="O17" s="413"/>
      <c r="P17" s="413"/>
      <c r="Q17" s="413"/>
      <c r="R17" s="413"/>
      <c r="S17" s="413"/>
      <c r="T17" s="413"/>
      <c r="U17" s="413"/>
      <c r="V17" s="413"/>
      <c r="W17" s="413"/>
      <c r="X17" s="413"/>
      <c r="Y17" s="413"/>
      <c r="Z17" s="413"/>
      <c r="AA17" s="413"/>
      <c r="AB17" s="413"/>
      <c r="AC17" s="413"/>
      <c r="AD17" s="414"/>
      <c r="AE17" s="103"/>
    </row>
    <row r="18" spans="3:47" ht="31.35" customHeight="1">
      <c r="C18" s="423" t="s">
        <v>9</v>
      </c>
      <c r="D18" s="424"/>
      <c r="E18" s="424"/>
      <c r="F18" s="424"/>
      <c r="G18" s="424"/>
      <c r="H18" s="424"/>
      <c r="I18" s="424"/>
      <c r="J18" s="424"/>
      <c r="K18" s="424"/>
      <c r="L18" s="425"/>
      <c r="M18" s="426" t="str">
        <f>AG18</f>
        <v>CÔNG TY CỔ PHẦN VIỄN THÔNG DI ĐỘNG TOÀN CẦU
GTEL</v>
      </c>
      <c r="N18" s="427"/>
      <c r="O18" s="427"/>
      <c r="P18" s="427"/>
      <c r="Q18" s="427"/>
      <c r="R18" s="427"/>
      <c r="S18" s="427"/>
      <c r="T18" s="427"/>
      <c r="U18" s="427"/>
      <c r="V18" s="427"/>
      <c r="W18" s="427"/>
      <c r="X18" s="427"/>
      <c r="Y18" s="427"/>
      <c r="Z18" s="427"/>
      <c r="AA18" s="427"/>
      <c r="AB18" s="427"/>
      <c r="AC18" s="427"/>
      <c r="AD18" s="428"/>
      <c r="AE18" s="103"/>
      <c r="AG18" s="142" t="s">
        <v>159</v>
      </c>
    </row>
    <row r="19" spans="3:47" ht="31.35" customHeight="1">
      <c r="C19" s="423" t="s">
        <v>16</v>
      </c>
      <c r="D19" s="424"/>
      <c r="E19" s="424"/>
      <c r="F19" s="424"/>
      <c r="G19" s="424"/>
      <c r="H19" s="424"/>
      <c r="I19" s="424"/>
      <c r="J19" s="424"/>
      <c r="K19" s="424"/>
      <c r="L19" s="425"/>
      <c r="M19" s="426" t="str">
        <f>AG19</f>
        <v>CÔNG TY CỔ PHẦN VIỄN THÔNG DI ĐỘNG TOÀN CẦU</v>
      </c>
      <c r="N19" s="427"/>
      <c r="O19" s="427"/>
      <c r="P19" s="427"/>
      <c r="Q19" s="427"/>
      <c r="R19" s="427"/>
      <c r="S19" s="427"/>
      <c r="T19" s="427"/>
      <c r="U19" s="427"/>
      <c r="V19" s="427"/>
      <c r="W19" s="427"/>
      <c r="X19" s="427"/>
      <c r="Y19" s="427"/>
      <c r="Z19" s="427"/>
      <c r="AA19" s="427"/>
      <c r="AB19" s="427"/>
      <c r="AC19" s="427"/>
      <c r="AD19" s="428"/>
      <c r="AE19" s="104"/>
      <c r="AG19" s="81" t="s">
        <v>132</v>
      </c>
    </row>
    <row r="20" spans="3:47" ht="20.25" customHeight="1">
      <c r="C20" s="403" t="s">
        <v>88</v>
      </c>
      <c r="D20" s="404"/>
      <c r="E20" s="404"/>
      <c r="F20" s="404"/>
      <c r="G20" s="404"/>
      <c r="H20" s="404"/>
      <c r="I20" s="404"/>
      <c r="J20" s="404"/>
      <c r="K20" s="404"/>
      <c r="L20" s="404"/>
      <c r="M20" s="404"/>
      <c r="N20" s="404"/>
      <c r="O20" s="404"/>
      <c r="P20" s="404"/>
      <c r="Q20" s="404"/>
      <c r="R20" s="404"/>
      <c r="S20" s="404"/>
      <c r="T20" s="404"/>
      <c r="U20" s="404"/>
      <c r="V20" s="404"/>
      <c r="W20" s="404"/>
      <c r="X20" s="404"/>
      <c r="Y20" s="404"/>
      <c r="Z20" s="404"/>
      <c r="AA20" s="404"/>
      <c r="AB20" s="404"/>
      <c r="AC20" s="404"/>
      <c r="AD20" s="405"/>
      <c r="AE20" s="105"/>
    </row>
    <row r="21" spans="3:47" ht="31.5" customHeight="1">
      <c r="C21" s="420" t="s">
        <v>89</v>
      </c>
      <c r="D21" s="420"/>
      <c r="E21" s="420"/>
      <c r="F21" s="420"/>
      <c r="G21" s="420"/>
      <c r="H21" s="420"/>
      <c r="I21" s="420"/>
      <c r="J21" s="420"/>
      <c r="K21" s="420"/>
      <c r="L21" s="420"/>
      <c r="M21" s="416" t="str">
        <f>AG21</f>
        <v>MOTOROLA HORIZON II MACRO</v>
      </c>
      <c r="N21" s="416"/>
      <c r="O21" s="416"/>
      <c r="P21" s="416"/>
      <c r="Q21" s="416"/>
      <c r="R21" s="416"/>
      <c r="S21" s="416" t="str">
        <f>AK21</f>
        <v>B</v>
      </c>
      <c r="T21" s="416"/>
      <c r="U21" s="416"/>
      <c r="V21" s="416"/>
      <c r="W21" s="416"/>
      <c r="X21" s="416"/>
      <c r="Y21" s="416" t="str">
        <f>AO21</f>
        <v>C</v>
      </c>
      <c r="Z21" s="416"/>
      <c r="AA21" s="416"/>
      <c r="AB21" s="416"/>
      <c r="AC21" s="416"/>
      <c r="AD21" s="416"/>
      <c r="AE21" s="103"/>
      <c r="AG21" s="81" t="s">
        <v>158</v>
      </c>
      <c r="AK21" s="81" t="s">
        <v>91</v>
      </c>
      <c r="AO21" s="81" t="s">
        <v>92</v>
      </c>
      <c r="AS21" s="81" t="s">
        <v>93</v>
      </c>
    </row>
    <row r="22" spans="3:47" ht="19.7" customHeight="1">
      <c r="C22" s="417" t="s">
        <v>94</v>
      </c>
      <c r="D22" s="418"/>
      <c r="E22" s="418"/>
      <c r="F22" s="418"/>
      <c r="G22" s="418"/>
      <c r="H22" s="418"/>
      <c r="I22" s="418"/>
      <c r="J22" s="418"/>
      <c r="K22" s="418"/>
      <c r="L22" s="419"/>
      <c r="M22" s="416">
        <f>AG22</f>
        <v>3</v>
      </c>
      <c r="N22" s="416"/>
      <c r="O22" s="416"/>
      <c r="P22" s="416"/>
      <c r="Q22" s="416"/>
      <c r="R22" s="416"/>
      <c r="S22" s="416">
        <f>AK22</f>
        <v>3</v>
      </c>
      <c r="T22" s="416"/>
      <c r="U22" s="416"/>
      <c r="V22" s="416"/>
      <c r="W22" s="416"/>
      <c r="X22" s="416"/>
      <c r="Y22" s="416">
        <f>AO22</f>
        <v>3</v>
      </c>
      <c r="Z22" s="416"/>
      <c r="AA22" s="416"/>
      <c r="AB22" s="416"/>
      <c r="AC22" s="416"/>
      <c r="AD22" s="416"/>
      <c r="AE22" s="103"/>
      <c r="AG22" s="83">
        <v>3</v>
      </c>
      <c r="AH22" s="83"/>
      <c r="AI22" s="83"/>
      <c r="AJ22" s="83"/>
      <c r="AK22" s="83">
        <v>3</v>
      </c>
      <c r="AL22" s="83"/>
      <c r="AM22" s="83"/>
      <c r="AN22" s="83"/>
      <c r="AO22" s="83">
        <v>3</v>
      </c>
      <c r="AS22" s="69">
        <v>1</v>
      </c>
    </row>
    <row r="23" spans="3:47" ht="19.7" customHeight="1">
      <c r="C23" s="420" t="s">
        <v>95</v>
      </c>
      <c r="D23" s="420"/>
      <c r="E23" s="420"/>
      <c r="F23" s="420"/>
      <c r="G23" s="420"/>
      <c r="H23" s="420"/>
      <c r="I23" s="420"/>
      <c r="J23" s="420"/>
      <c r="K23" s="420"/>
      <c r="L23" s="420"/>
      <c r="M23" s="421" t="str">
        <f>AG23</f>
        <v>4/4/4</v>
      </c>
      <c r="N23" s="421"/>
      <c r="O23" s="421"/>
      <c r="P23" s="421"/>
      <c r="Q23" s="421"/>
      <c r="R23" s="421"/>
      <c r="S23" s="421" t="str">
        <f>AK23</f>
        <v>2/2/2</v>
      </c>
      <c r="T23" s="421"/>
      <c r="U23" s="421"/>
      <c r="V23" s="421"/>
      <c r="W23" s="421"/>
      <c r="X23" s="421"/>
      <c r="Y23" s="421" t="str">
        <f>AO23</f>
        <v>5/5/5</v>
      </c>
      <c r="Z23" s="416"/>
      <c r="AA23" s="416"/>
      <c r="AB23" s="416"/>
      <c r="AC23" s="416"/>
      <c r="AD23" s="416"/>
      <c r="AE23" s="106"/>
      <c r="AG23" s="85" t="s">
        <v>96</v>
      </c>
      <c r="AH23" s="86"/>
      <c r="AI23" s="86"/>
      <c r="AJ23" s="86"/>
      <c r="AK23" s="85" t="s">
        <v>97</v>
      </c>
      <c r="AL23" s="86"/>
      <c r="AM23" s="86"/>
      <c r="AN23" s="86"/>
      <c r="AO23" s="85" t="s">
        <v>98</v>
      </c>
      <c r="AP23" s="86"/>
      <c r="AQ23" s="86"/>
      <c r="AR23" s="86"/>
      <c r="AS23" s="85" t="s">
        <v>99</v>
      </c>
    </row>
    <row r="24" spans="3:47" ht="31.35" customHeight="1">
      <c r="C24" s="417" t="s">
        <v>133</v>
      </c>
      <c r="D24" s="418"/>
      <c r="E24" s="418"/>
      <c r="F24" s="418"/>
      <c r="G24" s="418"/>
      <c r="H24" s="418"/>
      <c r="I24" s="418"/>
      <c r="J24" s="418"/>
      <c r="K24" s="418"/>
      <c r="L24" s="419"/>
      <c r="M24" s="422" t="str">
        <f>IF(M22=4,AG24&amp;"W/ "&amp;AH24&amp;"W/ "&amp;AI24&amp;"W/ "&amp;AK24&amp;"W",IF(M22=3,AG24&amp;"W/ "&amp;AH24&amp;"W/ "&amp;AI24&amp;"W",IF(M22=2,AG24&amp;"W/ "&amp;AH24&amp;"W",AG24&amp;"W")))</f>
        <v>20W/ 20W/ 20W</v>
      </c>
      <c r="N24" s="422"/>
      <c r="O24" s="422"/>
      <c r="P24" s="422"/>
      <c r="Q24" s="422"/>
      <c r="R24" s="422"/>
      <c r="S24" s="422" t="str">
        <f>IF(S22=4,AK24&amp;"W/ "&amp;AL24&amp;"W/ "&amp;AM24&amp;"W/ "&amp;AN24&amp;"W",IF(S22=3,AK24&amp;"W/ "&amp;AL24&amp;"W/ "&amp;AM24&amp;"W",IF(S22=2,AK24&amp;"W/ "&amp;AL24&amp;"W",AK24&amp;"W")))</f>
        <v>40W/ 40W/ 40W</v>
      </c>
      <c r="T24" s="422"/>
      <c r="U24" s="422"/>
      <c r="V24" s="422"/>
      <c r="W24" s="422"/>
      <c r="X24" s="422"/>
      <c r="Y24" s="422" t="str">
        <f>IF(Y22=4,AO24&amp;"W/ "&amp;AP24&amp;"W/ "&amp;AQ24&amp;"W/ "&amp;AR24&amp;"W",IF(Y22=3,AO24&amp;"W/ "&amp;AP24&amp;"W/ "&amp;AQ24&amp;"W",IF(Y22=2,AO24&amp;"W/ "&amp;AP24&amp;"W",AO24&amp;"W")))</f>
        <v>60W/ 60W/ 60W</v>
      </c>
      <c r="Z24" s="422"/>
      <c r="AA24" s="422"/>
      <c r="AB24" s="422"/>
      <c r="AC24" s="422"/>
      <c r="AD24" s="422"/>
      <c r="AE24" s="104"/>
      <c r="AG24" s="69">
        <v>20</v>
      </c>
      <c r="AH24" s="69">
        <v>20</v>
      </c>
      <c r="AI24" s="69">
        <v>20</v>
      </c>
      <c r="AK24" s="69">
        <v>40</v>
      </c>
      <c r="AL24" s="69">
        <v>40</v>
      </c>
      <c r="AM24" s="69">
        <v>40</v>
      </c>
      <c r="AO24" s="69">
        <v>60</v>
      </c>
      <c r="AP24" s="69">
        <v>60</v>
      </c>
      <c r="AQ24" s="69">
        <v>60</v>
      </c>
      <c r="AS24" s="69">
        <v>80</v>
      </c>
      <c r="AT24" s="69">
        <v>80</v>
      </c>
      <c r="AU24" s="69">
        <v>80</v>
      </c>
    </row>
    <row r="25" spans="3:47" ht="19.7" customHeight="1">
      <c r="C25" s="420" t="s">
        <v>100</v>
      </c>
      <c r="D25" s="420"/>
      <c r="E25" s="420"/>
      <c r="F25" s="420"/>
      <c r="G25" s="420"/>
      <c r="H25" s="420"/>
      <c r="I25" s="420"/>
      <c r="J25" s="420"/>
      <c r="K25" s="420"/>
      <c r="L25" s="420"/>
      <c r="M25" s="416" t="str">
        <f>IF(AG25="900 &amp; 1800","900MHz &amp; 1800MHz",IF(AG25="900 &amp; 2100","900MHz &amp; 2100MHz",AG25&amp;"MHz"))</f>
        <v>900MHz</v>
      </c>
      <c r="N25" s="416"/>
      <c r="O25" s="416"/>
      <c r="P25" s="416"/>
      <c r="Q25" s="416"/>
      <c r="R25" s="416"/>
      <c r="S25" s="416" t="str">
        <f>IF(AK25="900 &amp; 1800","900MHz &amp; 1800MHz",IF(AK25="900 &amp; 2100","900MHz &amp; 2100MHz",AK25&amp;"MHz"))</f>
        <v>1800MHz</v>
      </c>
      <c r="T25" s="416"/>
      <c r="U25" s="416"/>
      <c r="V25" s="416"/>
      <c r="W25" s="416"/>
      <c r="X25" s="416"/>
      <c r="Y25" s="416" t="str">
        <f>IF(AO25="900 &amp; 1800","900MHz &amp; 1800MHz",IF(AO25="900 &amp; 2100","900MHz &amp; 2100MHz",AO25&amp;"MHz"))</f>
        <v>2100MHz</v>
      </c>
      <c r="Z25" s="416"/>
      <c r="AA25" s="416"/>
      <c r="AB25" s="416"/>
      <c r="AC25" s="416"/>
      <c r="AD25" s="416"/>
      <c r="AE25" s="103"/>
      <c r="AG25" s="69">
        <v>900</v>
      </c>
      <c r="AK25" s="69">
        <v>1800</v>
      </c>
      <c r="AO25" s="69">
        <v>2100</v>
      </c>
      <c r="AS25" s="81" t="s">
        <v>101</v>
      </c>
    </row>
    <row r="26" spans="3:47" ht="31.35" customHeight="1">
      <c r="C26" s="420" t="s">
        <v>134</v>
      </c>
      <c r="D26" s="420"/>
      <c r="E26" s="420"/>
      <c r="F26" s="420"/>
      <c r="G26" s="420"/>
      <c r="H26" s="420"/>
      <c r="I26" s="420"/>
      <c r="J26" s="420"/>
      <c r="K26" s="420"/>
      <c r="L26" s="420"/>
      <c r="M26" s="416">
        <f>AG26</f>
        <v>15</v>
      </c>
      <c r="N26" s="416"/>
      <c r="O26" s="416"/>
      <c r="P26" s="416"/>
      <c r="Q26" s="416"/>
      <c r="R26" s="416"/>
      <c r="S26" s="416">
        <f>AK26</f>
        <v>16</v>
      </c>
      <c r="T26" s="416"/>
      <c r="U26" s="416"/>
      <c r="V26" s="416"/>
      <c r="W26" s="416"/>
      <c r="X26" s="416"/>
      <c r="Y26" s="416">
        <f>AO26</f>
        <v>17</v>
      </c>
      <c r="Z26" s="416"/>
      <c r="AA26" s="416"/>
      <c r="AB26" s="416"/>
      <c r="AC26" s="416"/>
      <c r="AD26" s="416"/>
      <c r="AE26" s="104"/>
      <c r="AG26" s="69">
        <v>15</v>
      </c>
      <c r="AK26" s="69">
        <v>16</v>
      </c>
      <c r="AO26" s="69">
        <v>17</v>
      </c>
      <c r="AS26" s="69">
        <v>18</v>
      </c>
    </row>
    <row r="27" spans="3:47" ht="25.5" customHeight="1">
      <c r="C27" s="379" t="s">
        <v>102</v>
      </c>
      <c r="D27" s="379"/>
      <c r="E27" s="379"/>
      <c r="F27" s="379"/>
      <c r="G27" s="379"/>
      <c r="H27" s="379"/>
      <c r="I27" s="379"/>
      <c r="J27" s="379"/>
      <c r="K27" s="379"/>
      <c r="L27" s="379"/>
      <c r="M27" s="379"/>
      <c r="N27" s="379"/>
      <c r="O27" s="379"/>
      <c r="P27" s="379"/>
      <c r="Q27" s="379"/>
      <c r="R27" s="379"/>
      <c r="S27" s="379"/>
      <c r="T27" s="379"/>
      <c r="U27" s="379"/>
      <c r="V27" s="379"/>
      <c r="W27" s="379"/>
      <c r="X27" s="379"/>
      <c r="Y27" s="379"/>
      <c r="Z27" s="379"/>
      <c r="AA27" s="379"/>
      <c r="AB27" s="87"/>
      <c r="AC27" s="87"/>
      <c r="AD27" s="87"/>
    </row>
    <row r="28" spans="3:47" ht="25.5" customHeight="1">
      <c r="C28" s="390"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390"/>
      <c r="E28" s="390"/>
      <c r="F28" s="390"/>
      <c r="G28" s="390"/>
      <c r="H28" s="390"/>
      <c r="I28" s="390"/>
      <c r="J28" s="390"/>
      <c r="K28" s="390"/>
      <c r="L28" s="390"/>
      <c r="M28" s="390"/>
      <c r="N28" s="390"/>
      <c r="O28" s="390"/>
      <c r="P28" s="390"/>
      <c r="Q28" s="390"/>
      <c r="R28" s="390"/>
      <c r="S28" s="390"/>
      <c r="T28" s="390"/>
      <c r="U28" s="390"/>
      <c r="V28" s="390"/>
      <c r="W28" s="390"/>
      <c r="X28" s="390"/>
      <c r="Y28" s="390"/>
      <c r="Z28" s="390"/>
      <c r="AA28" s="390"/>
      <c r="AB28" s="390"/>
      <c r="AC28" s="390"/>
      <c r="AD28" s="390"/>
      <c r="AG28" s="69">
        <v>30</v>
      </c>
      <c r="AO28" s="69" t="s">
        <v>234</v>
      </c>
    </row>
    <row r="29" spans="3:47" ht="25.5" customHeight="1">
      <c r="C29" s="390"/>
      <c r="D29" s="390"/>
      <c r="E29" s="390"/>
      <c r="F29" s="390"/>
      <c r="G29" s="390"/>
      <c r="H29" s="390"/>
      <c r="I29" s="390"/>
      <c r="J29" s="390"/>
      <c r="K29" s="390"/>
      <c r="L29" s="390"/>
      <c r="M29" s="390"/>
      <c r="N29" s="390"/>
      <c r="O29" s="390"/>
      <c r="P29" s="390"/>
      <c r="Q29" s="390"/>
      <c r="R29" s="390"/>
      <c r="S29" s="390"/>
      <c r="T29" s="390"/>
      <c r="U29" s="390"/>
      <c r="V29" s="390"/>
      <c r="W29" s="390"/>
      <c r="X29" s="390"/>
      <c r="Y29" s="390"/>
      <c r="Z29" s="390"/>
      <c r="AA29" s="390"/>
      <c r="AB29" s="390"/>
      <c r="AC29" s="390"/>
      <c r="AD29" s="390"/>
      <c r="AG29" s="69">
        <v>1</v>
      </c>
      <c r="AO29" s="69" t="str">
        <f>CONCATENATE(AP29,AQ29,AR29)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69" t="s">
        <v>236</v>
      </c>
      <c r="AQ29" s="69" t="str">
        <f>IF(AG28&gt;=0," cao hơn "," thấp hơn ")</f>
        <v xml:space="preserve"> cao hơn </v>
      </c>
      <c r="AR29" s="69" t="s">
        <v>237</v>
      </c>
    </row>
    <row r="30" spans="3:47" ht="15.75" customHeight="1">
      <c r="C30" s="380" t="str">
        <f>IF(AG31=1,AO31,IF(AG31=2,AO30))</f>
        <v>Giới hạn an toàn: là khoảng chiều cao trên cột anten tính từ điểm có độ cao 20m so với mặt đất trở lên.</v>
      </c>
      <c r="D30" s="380"/>
      <c r="E30" s="380"/>
      <c r="F30" s="380"/>
      <c r="G30" s="380"/>
      <c r="H30" s="380"/>
      <c r="I30" s="380"/>
      <c r="J30" s="380"/>
      <c r="K30" s="380"/>
      <c r="L30" s="380"/>
      <c r="M30" s="380"/>
      <c r="N30" s="380"/>
      <c r="O30" s="380"/>
      <c r="P30" s="380"/>
      <c r="Q30" s="380"/>
      <c r="R30" s="380"/>
      <c r="S30" s="380"/>
      <c r="T30" s="380"/>
      <c r="U30" s="380"/>
      <c r="V30" s="380"/>
      <c r="W30" s="380"/>
      <c r="X30" s="380"/>
      <c r="Y30" s="380"/>
      <c r="Z30" s="380"/>
      <c r="AA30" s="380"/>
      <c r="AB30" s="380"/>
      <c r="AC30" s="380"/>
      <c r="AD30" s="380"/>
      <c r="AG30" s="69">
        <v>20</v>
      </c>
      <c r="AO30" s="69" t="s">
        <v>148</v>
      </c>
    </row>
    <row r="31" spans="3:47" ht="15.75" customHeight="1">
      <c r="C31" s="380"/>
      <c r="D31" s="380"/>
      <c r="E31" s="380"/>
      <c r="F31" s="380"/>
      <c r="G31" s="380"/>
      <c r="H31" s="380"/>
      <c r="I31" s="380"/>
      <c r="J31" s="380"/>
      <c r="K31" s="380"/>
      <c r="L31" s="380"/>
      <c r="M31" s="380"/>
      <c r="N31" s="380"/>
      <c r="O31" s="380"/>
      <c r="P31" s="380"/>
      <c r="Q31" s="380"/>
      <c r="R31" s="380"/>
      <c r="S31" s="380"/>
      <c r="T31" s="380"/>
      <c r="U31" s="380"/>
      <c r="V31" s="380"/>
      <c r="W31" s="380"/>
      <c r="X31" s="380"/>
      <c r="Y31" s="380"/>
      <c r="Z31" s="380"/>
      <c r="AA31" s="380"/>
      <c r="AB31" s="380"/>
      <c r="AC31" s="380"/>
      <c r="AD31" s="380"/>
      <c r="AG31" s="69">
        <v>1</v>
      </c>
      <c r="AO31" s="14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spans="3:47" ht="17.100000000000001" customHeight="1">
      <c r="C32" s="391" t="s">
        <v>148</v>
      </c>
      <c r="D32" s="391"/>
      <c r="E32" s="391"/>
      <c r="F32" s="391"/>
      <c r="G32" s="391"/>
      <c r="H32" s="391"/>
      <c r="I32" s="391"/>
      <c r="J32" s="391"/>
      <c r="K32" s="391"/>
      <c r="L32" s="391"/>
      <c r="M32" s="391"/>
      <c r="N32" s="391"/>
      <c r="O32" s="391"/>
      <c r="P32" s="391"/>
      <c r="Q32" s="391"/>
      <c r="R32" s="391"/>
      <c r="S32" s="391"/>
      <c r="T32" s="391"/>
      <c r="U32" s="391"/>
      <c r="V32" s="391"/>
      <c r="W32" s="391"/>
      <c r="X32" s="391"/>
      <c r="Y32" s="391"/>
      <c r="Z32" s="391"/>
      <c r="AA32" s="391"/>
      <c r="AB32" s="391"/>
      <c r="AC32" s="391"/>
      <c r="AD32" s="391"/>
    </row>
    <row r="33" spans="2:48" ht="17.100000000000001" customHeight="1">
      <c r="C33" s="391"/>
      <c r="D33" s="391"/>
      <c r="E33" s="391"/>
      <c r="F33" s="391"/>
      <c r="G33" s="391"/>
      <c r="H33" s="391"/>
      <c r="I33" s="391"/>
      <c r="J33" s="391"/>
      <c r="K33" s="391"/>
      <c r="L33" s="391"/>
      <c r="M33" s="391"/>
      <c r="N33" s="391"/>
      <c r="O33" s="391"/>
      <c r="P33" s="391"/>
      <c r="Q33" s="391"/>
      <c r="R33" s="391"/>
      <c r="S33" s="391"/>
      <c r="T33" s="391"/>
      <c r="U33" s="391"/>
      <c r="V33" s="391"/>
      <c r="W33" s="391"/>
      <c r="X33" s="391"/>
      <c r="Y33" s="391"/>
      <c r="Z33" s="391"/>
      <c r="AA33" s="391"/>
      <c r="AB33" s="391"/>
      <c r="AC33" s="391"/>
      <c r="AD33" s="391"/>
      <c r="AE33" s="111"/>
    </row>
    <row r="34" spans="2:48" ht="17.100000000000001" customHeight="1">
      <c r="C34" s="357"/>
      <c r="D34" s="357"/>
      <c r="E34" s="357"/>
      <c r="F34" s="357"/>
      <c r="G34" s="357"/>
      <c r="H34" s="87"/>
      <c r="I34" s="358"/>
      <c r="J34" s="358"/>
      <c r="K34" s="358"/>
      <c r="L34" s="358"/>
      <c r="M34" s="358"/>
      <c r="N34" s="358"/>
      <c r="O34" s="87"/>
      <c r="P34" s="88"/>
      <c r="Q34" s="88"/>
      <c r="R34" s="88"/>
      <c r="S34" s="88"/>
      <c r="T34" s="352" t="str">
        <f>IF(AI41=0,AO34,IF(AI41=1,AK34,AS34))</f>
        <v>KT. GIÁM ĐỐC</v>
      </c>
      <c r="U34" s="352"/>
      <c r="V34" s="352"/>
      <c r="W34" s="352"/>
      <c r="X34" s="352"/>
      <c r="Y34" s="352"/>
      <c r="Z34" s="352"/>
      <c r="AA34" s="352"/>
      <c r="AB34" s="352"/>
      <c r="AC34" s="352"/>
      <c r="AD34" s="352"/>
      <c r="AE34" s="352"/>
      <c r="AK34" s="69" t="s">
        <v>103</v>
      </c>
      <c r="AO34" s="69" t="s">
        <v>187</v>
      </c>
      <c r="AS34" s="69" t="s">
        <v>186</v>
      </c>
    </row>
    <row r="35" spans="2:48" ht="17.100000000000001" customHeight="1">
      <c r="C35" s="353" t="s">
        <v>104</v>
      </c>
      <c r="D35" s="353"/>
      <c r="E35" s="353"/>
      <c r="F35" s="353"/>
      <c r="G35" s="353"/>
      <c r="H35" s="89" t="s">
        <v>105</v>
      </c>
      <c r="I35" s="355" t="s">
        <v>106</v>
      </c>
      <c r="J35" s="355"/>
      <c r="K35" s="355"/>
      <c r="L35" s="355"/>
      <c r="M35" s="355"/>
      <c r="N35" s="355"/>
      <c r="O35" s="90"/>
      <c r="P35" s="90"/>
      <c r="Q35" s="87"/>
      <c r="R35" s="87"/>
      <c r="S35" s="87"/>
      <c r="T35" s="352" t="str">
        <f>IF(AI41=0,AO35,IF(AI41=1,"",AS35))</f>
        <v>PHÓ GIÁM ĐỐC</v>
      </c>
      <c r="U35" s="352"/>
      <c r="V35" s="352"/>
      <c r="W35" s="352"/>
      <c r="X35" s="352"/>
      <c r="Y35" s="352"/>
      <c r="Z35" s="352"/>
      <c r="AA35" s="352"/>
      <c r="AB35" s="352"/>
      <c r="AC35" s="352"/>
      <c r="AD35" s="352"/>
      <c r="AE35" s="352"/>
      <c r="AO35" s="69" t="s">
        <v>184</v>
      </c>
      <c r="AS35" s="69" t="s">
        <v>135</v>
      </c>
    </row>
    <row r="36" spans="2:48" ht="17.100000000000001" customHeight="1">
      <c r="C36" s="353" t="s">
        <v>107</v>
      </c>
      <c r="D36" s="353"/>
      <c r="E36" s="353"/>
      <c r="F36" s="353"/>
      <c r="G36" s="353"/>
      <c r="H36" s="91" t="s">
        <v>105</v>
      </c>
      <c r="I36" s="354">
        <f>AG36</f>
        <v>40806</v>
      </c>
      <c r="J36" s="355"/>
      <c r="K36" s="355"/>
      <c r="L36" s="355"/>
      <c r="M36" s="355"/>
      <c r="N36" s="92"/>
      <c r="O36" s="92"/>
      <c r="P36" s="92"/>
      <c r="Q36" s="87"/>
      <c r="R36" s="87"/>
      <c r="S36" s="87"/>
      <c r="T36" s="87"/>
      <c r="U36" s="87"/>
      <c r="V36" s="87"/>
      <c r="W36" s="87"/>
      <c r="X36" s="87"/>
      <c r="Y36" s="87"/>
      <c r="Z36" s="87"/>
      <c r="AA36" s="87"/>
      <c r="AB36" s="87"/>
      <c r="AC36" s="87"/>
      <c r="AD36" s="87"/>
      <c r="AG36" s="93">
        <v>40806</v>
      </c>
    </row>
    <row r="37" spans="2:48" ht="17.100000000000001" customHeight="1">
      <c r="C37" s="353" t="s">
        <v>108</v>
      </c>
      <c r="D37" s="353"/>
      <c r="E37" s="353"/>
      <c r="F37" s="353"/>
      <c r="G37" s="353"/>
      <c r="H37" s="91" t="s">
        <v>105</v>
      </c>
      <c r="I37" s="354">
        <f>AG37</f>
        <v>42633</v>
      </c>
      <c r="J37" s="355"/>
      <c r="K37" s="355"/>
      <c r="L37" s="355"/>
      <c r="M37" s="355"/>
      <c r="N37" s="92"/>
      <c r="O37" s="92"/>
      <c r="P37" s="92"/>
      <c r="Q37" s="87"/>
      <c r="R37" s="87"/>
      <c r="S37" s="87"/>
      <c r="T37" s="87"/>
      <c r="U37" s="87"/>
      <c r="V37" s="87"/>
      <c r="W37" s="87"/>
      <c r="X37" s="87"/>
      <c r="Y37" s="87"/>
      <c r="Z37" s="87"/>
      <c r="AA37" s="87"/>
      <c r="AB37" s="87"/>
      <c r="AC37" s="87"/>
      <c r="AD37" s="87"/>
      <c r="AG37" s="93">
        <v>42633</v>
      </c>
    </row>
    <row r="38" spans="2:48" ht="19.5" customHeight="1">
      <c r="C38" s="94"/>
      <c r="D38" s="94"/>
      <c r="E38" s="94"/>
      <c r="F38" s="79"/>
      <c r="G38" s="72"/>
      <c r="H38" s="72"/>
      <c r="I38" s="72"/>
      <c r="J38" s="72"/>
      <c r="K38" s="72"/>
      <c r="L38" s="72"/>
      <c r="M38" s="72"/>
      <c r="N38" s="72"/>
      <c r="O38" s="72"/>
      <c r="P38" s="72"/>
      <c r="Q38" s="72"/>
      <c r="R38" s="72"/>
      <c r="S38" s="72"/>
      <c r="T38" s="72"/>
      <c r="U38" s="72"/>
      <c r="V38" s="72"/>
      <c r="W38" s="72"/>
      <c r="X38" s="72"/>
      <c r="Y38" s="72"/>
      <c r="Z38" s="72"/>
      <c r="AA38" s="72"/>
      <c r="AB38" s="87"/>
      <c r="AC38" s="87"/>
      <c r="AD38" s="87"/>
    </row>
    <row r="39" spans="2:48" ht="17.100000000000001" customHeight="1">
      <c r="C39" s="94"/>
      <c r="D39" s="94"/>
      <c r="E39" s="94"/>
      <c r="F39" s="79"/>
      <c r="G39" s="72"/>
      <c r="H39" s="72"/>
      <c r="I39" s="72"/>
      <c r="J39" s="72"/>
      <c r="K39" s="72"/>
      <c r="L39" s="72"/>
      <c r="M39" s="72"/>
      <c r="N39" s="72"/>
      <c r="O39" s="72"/>
      <c r="P39" s="72"/>
      <c r="Q39" s="72"/>
      <c r="R39" s="72"/>
      <c r="S39" s="72"/>
      <c r="T39" s="356"/>
      <c r="U39" s="356"/>
      <c r="V39" s="356"/>
      <c r="W39" s="356"/>
      <c r="X39" s="356"/>
      <c r="Y39" s="356"/>
      <c r="Z39" s="356"/>
      <c r="AA39" s="356"/>
      <c r="AB39" s="356"/>
      <c r="AC39" s="356"/>
      <c r="AD39" s="356"/>
      <c r="AE39" s="356"/>
    </row>
    <row r="40" spans="2:48" ht="17.100000000000001" customHeight="1">
      <c r="C40" s="94"/>
      <c r="D40" s="94"/>
      <c r="E40" s="94"/>
      <c r="F40" s="79"/>
      <c r="G40" s="72"/>
      <c r="H40" s="72"/>
      <c r="I40" s="72"/>
      <c r="J40" s="72"/>
      <c r="K40" s="72"/>
      <c r="L40" s="72"/>
      <c r="M40" s="72"/>
      <c r="N40" s="72"/>
      <c r="O40" s="72"/>
      <c r="P40" s="88"/>
      <c r="Q40" s="88"/>
      <c r="R40" s="88"/>
      <c r="S40" s="88"/>
      <c r="T40" s="351"/>
      <c r="U40" s="351"/>
      <c r="V40" s="351"/>
      <c r="W40" s="351"/>
      <c r="X40" s="351"/>
      <c r="Y40" s="351"/>
      <c r="Z40" s="351"/>
      <c r="AA40" s="351"/>
      <c r="AB40" s="351"/>
      <c r="AC40" s="351"/>
      <c r="AD40" s="351"/>
      <c r="AE40" s="351"/>
    </row>
    <row r="41" spans="2:48" ht="17.100000000000001" customHeight="1">
      <c r="C41" s="94"/>
      <c r="D41" s="94"/>
      <c r="E41" s="94"/>
      <c r="F41" s="79"/>
      <c r="G41" s="72"/>
      <c r="H41" s="72"/>
      <c r="I41" s="72"/>
      <c r="J41" s="72"/>
      <c r="K41" s="72"/>
      <c r="L41" s="72"/>
      <c r="M41" s="72"/>
      <c r="N41" s="72"/>
      <c r="O41" s="72"/>
      <c r="P41" s="72"/>
      <c r="Q41" s="72"/>
      <c r="R41" s="72"/>
      <c r="S41" s="72"/>
      <c r="T41" s="351" t="str">
        <f>IF(AI41=0,AO41,IF(AI41=1,AK41,AT41))</f>
        <v>Trần Công Khanh</v>
      </c>
      <c r="U41" s="351"/>
      <c r="V41" s="351"/>
      <c r="W41" s="351"/>
      <c r="X41" s="351"/>
      <c r="Y41" s="351"/>
      <c r="Z41" s="351"/>
      <c r="AA41" s="351"/>
      <c r="AB41" s="351"/>
      <c r="AC41" s="351"/>
      <c r="AD41" s="351"/>
      <c r="AE41" s="351"/>
      <c r="AI41" s="69">
        <v>0</v>
      </c>
      <c r="AK41" s="69" t="s">
        <v>109</v>
      </c>
      <c r="AO41" s="69" t="s">
        <v>185</v>
      </c>
      <c r="AT41" s="69" t="s">
        <v>131</v>
      </c>
    </row>
    <row r="42" spans="2:48" ht="16.5">
      <c r="C42" s="74"/>
      <c r="D42" s="74"/>
      <c r="E42" s="74"/>
      <c r="F42" s="74"/>
      <c r="G42" s="74"/>
      <c r="H42" s="74"/>
      <c r="I42" s="74"/>
      <c r="J42" s="74"/>
      <c r="K42" s="74"/>
      <c r="L42" s="74"/>
      <c r="M42" s="74"/>
      <c r="N42" s="74"/>
      <c r="O42" s="74"/>
      <c r="P42" s="74"/>
      <c r="Q42" s="74"/>
      <c r="R42" s="74"/>
      <c r="S42" s="74"/>
      <c r="T42" s="74"/>
      <c r="U42" s="74"/>
      <c r="V42" s="74"/>
      <c r="W42" s="74"/>
      <c r="X42" s="74"/>
      <c r="Y42" s="74"/>
      <c r="Z42" s="74"/>
      <c r="AA42" s="74"/>
      <c r="AB42" s="95"/>
      <c r="AC42" s="95"/>
      <c r="AD42" s="95"/>
    </row>
    <row r="43" spans="2:48" ht="16.5" customHeight="1">
      <c r="B43" s="393" t="s">
        <v>110</v>
      </c>
      <c r="C43" s="393"/>
      <c r="D43" s="393"/>
      <c r="E43" s="393"/>
      <c r="F43" s="393"/>
      <c r="G43" s="393"/>
      <c r="H43" s="394" t="s">
        <v>88</v>
      </c>
      <c r="I43" s="394"/>
      <c r="J43" s="394"/>
      <c r="K43" s="394"/>
      <c r="L43" s="394"/>
      <c r="M43" s="394"/>
      <c r="N43" s="394"/>
      <c r="O43" s="394"/>
      <c r="P43" s="394"/>
      <c r="Q43" s="394"/>
      <c r="R43" s="394"/>
      <c r="S43" s="394"/>
      <c r="T43" s="394"/>
      <c r="U43" s="394"/>
      <c r="V43" s="394"/>
      <c r="W43" s="394"/>
      <c r="X43" s="394"/>
      <c r="Y43" s="394"/>
      <c r="Z43" s="394"/>
      <c r="AA43" s="394"/>
      <c r="AB43" s="394"/>
      <c r="AC43" s="394"/>
      <c r="AD43" s="394"/>
    </row>
    <row r="44" spans="2:48" ht="16.5" customHeight="1">
      <c r="B44" s="393"/>
      <c r="C44" s="393"/>
      <c r="D44" s="393"/>
      <c r="E44" s="393"/>
      <c r="F44" s="393"/>
      <c r="G44" s="393"/>
      <c r="H44" s="394"/>
      <c r="I44" s="394"/>
      <c r="J44" s="394"/>
      <c r="K44" s="394"/>
      <c r="L44" s="394"/>
      <c r="M44" s="394"/>
      <c r="N44" s="394"/>
      <c r="O44" s="394"/>
      <c r="P44" s="394"/>
      <c r="Q44" s="394"/>
      <c r="R44" s="394"/>
      <c r="S44" s="394"/>
      <c r="T44" s="394"/>
      <c r="U44" s="394"/>
      <c r="V44" s="394"/>
      <c r="W44" s="394"/>
      <c r="X44" s="394"/>
      <c r="Y44" s="394"/>
      <c r="Z44" s="394"/>
      <c r="AA44" s="394"/>
      <c r="AB44" s="394"/>
      <c r="AC44" s="394"/>
      <c r="AD44" s="394"/>
    </row>
    <row r="45" spans="2:48" ht="16.5" customHeight="1">
      <c r="B45" s="393"/>
      <c r="C45" s="393"/>
      <c r="D45" s="393"/>
      <c r="E45" s="393"/>
      <c r="F45" s="393"/>
      <c r="G45" s="393"/>
      <c r="H45" s="348" t="s">
        <v>3</v>
      </c>
      <c r="I45" s="348"/>
      <c r="J45" s="348"/>
      <c r="K45" s="348"/>
      <c r="L45" s="348" t="s">
        <v>4</v>
      </c>
      <c r="M45" s="348"/>
      <c r="N45" s="348" t="s">
        <v>111</v>
      </c>
      <c r="O45" s="348"/>
      <c r="P45" s="348"/>
      <c r="Q45" s="348" t="s">
        <v>6</v>
      </c>
      <c r="R45" s="348"/>
      <c r="S45" s="348"/>
      <c r="T45" s="348"/>
      <c r="U45" s="348"/>
      <c r="V45" s="348" t="s">
        <v>112</v>
      </c>
      <c r="W45" s="348"/>
      <c r="X45" s="348"/>
      <c r="Y45" s="348" t="s">
        <v>113</v>
      </c>
      <c r="Z45" s="348"/>
      <c r="AA45" s="348"/>
      <c r="AB45" s="348"/>
      <c r="AC45" s="348"/>
      <c r="AD45" s="348"/>
    </row>
    <row r="46" spans="2:48" ht="16.5" customHeight="1">
      <c r="B46" s="393"/>
      <c r="C46" s="393"/>
      <c r="D46" s="393"/>
      <c r="E46" s="393"/>
      <c r="F46" s="393"/>
      <c r="G46" s="393"/>
      <c r="H46" s="348"/>
      <c r="I46" s="348"/>
      <c r="J46" s="348"/>
      <c r="K46" s="348"/>
      <c r="L46" s="348"/>
      <c r="M46" s="348"/>
      <c r="N46" s="348"/>
      <c r="O46" s="348"/>
      <c r="P46" s="348"/>
      <c r="Q46" s="348"/>
      <c r="R46" s="348"/>
      <c r="S46" s="348"/>
      <c r="T46" s="348"/>
      <c r="U46" s="348"/>
      <c r="V46" s="348"/>
      <c r="W46" s="348"/>
      <c r="X46" s="348"/>
      <c r="Y46" s="348"/>
      <c r="Z46" s="348"/>
      <c r="AA46" s="348"/>
      <c r="AB46" s="348"/>
      <c r="AC46" s="348"/>
      <c r="AD46" s="348"/>
    </row>
    <row r="47" spans="2:48" ht="16.5" customHeight="1">
      <c r="B47" s="393"/>
      <c r="C47" s="393"/>
      <c r="D47" s="393"/>
      <c r="E47" s="393"/>
      <c r="F47" s="393"/>
      <c r="G47" s="393"/>
      <c r="H47" s="348"/>
      <c r="I47" s="348"/>
      <c r="J47" s="348"/>
      <c r="K47" s="348"/>
      <c r="L47" s="348"/>
      <c r="M47" s="348"/>
      <c r="N47" s="348"/>
      <c r="O47" s="348"/>
      <c r="P47" s="348"/>
      <c r="Q47" s="348"/>
      <c r="R47" s="348"/>
      <c r="S47" s="348"/>
      <c r="T47" s="348"/>
      <c r="U47" s="348"/>
      <c r="V47" s="348"/>
      <c r="W47" s="348"/>
      <c r="X47" s="348"/>
      <c r="Y47" s="348"/>
      <c r="Z47" s="348"/>
      <c r="AA47" s="348"/>
      <c r="AB47" s="348"/>
      <c r="AC47" s="348"/>
      <c r="AD47" s="348"/>
    </row>
    <row r="48" spans="2:48" ht="16.5" customHeight="1">
      <c r="B48" s="393"/>
      <c r="C48" s="393"/>
      <c r="D48" s="393"/>
      <c r="E48" s="393"/>
      <c r="F48" s="393"/>
      <c r="G48" s="393"/>
      <c r="H48" s="348"/>
      <c r="I48" s="348"/>
      <c r="J48" s="348"/>
      <c r="K48" s="348"/>
      <c r="L48" s="348"/>
      <c r="M48" s="348"/>
      <c r="N48" s="348"/>
      <c r="O48" s="348"/>
      <c r="P48" s="348"/>
      <c r="Q48" s="348"/>
      <c r="R48" s="348"/>
      <c r="S48" s="348"/>
      <c r="T48" s="348"/>
      <c r="U48" s="348"/>
      <c r="V48" s="348"/>
      <c r="W48" s="348"/>
      <c r="X48" s="348"/>
      <c r="Y48" s="348"/>
      <c r="Z48" s="348"/>
      <c r="AA48" s="348"/>
      <c r="AB48" s="348"/>
      <c r="AC48" s="348"/>
      <c r="AD48" s="348"/>
      <c r="AG48" s="69">
        <v>33</v>
      </c>
      <c r="AI48" s="69">
        <v>35</v>
      </c>
      <c r="AL48" s="69">
        <v>37</v>
      </c>
      <c r="AO48" s="69">
        <v>39</v>
      </c>
      <c r="AP48" s="69">
        <v>40</v>
      </c>
      <c r="AQ48" s="69">
        <v>41</v>
      </c>
      <c r="AS48" s="69">
        <v>42</v>
      </c>
      <c r="AT48" s="69">
        <v>43</v>
      </c>
      <c r="AU48" s="69">
        <v>44</v>
      </c>
      <c r="AV48" s="69">
        <v>45</v>
      </c>
    </row>
    <row r="49" spans="2:48" ht="18.75" customHeight="1">
      <c r="B49" s="348" t="str">
        <f>AG49</f>
        <v>CÔNG TY CỔ PHẦN VIỄN THÔNG DI ĐỘNG TOÀN CẦU</v>
      </c>
      <c r="C49" s="348"/>
      <c r="D49" s="348"/>
      <c r="E49" s="348"/>
      <c r="F49" s="348"/>
      <c r="G49" s="348"/>
      <c r="H49" s="349" t="str">
        <f>AI49</f>
        <v>TB1</v>
      </c>
      <c r="I49" s="349"/>
      <c r="J49" s="349"/>
      <c r="K49" s="349"/>
      <c r="L49" s="350">
        <v>3</v>
      </c>
      <c r="M49" s="350"/>
      <c r="N49" s="392" t="str">
        <f>AL49</f>
        <v>4/4/4</v>
      </c>
      <c r="O49" s="392"/>
      <c r="P49" s="392"/>
      <c r="Q49" s="348" t="str">
        <f>IF(L49=3,AO49&amp;"W/ "&amp;AP49&amp;"W/ "&amp;AQ49&amp;"W",IF(L49=2,AO49&amp;"W/ "&amp;AP49&amp;"W",AO49&amp;"W"))</f>
        <v>20W/ 30W/ 40W</v>
      </c>
      <c r="R49" s="348"/>
      <c r="S49" s="348"/>
      <c r="T49" s="348"/>
      <c r="U49" s="348"/>
      <c r="V49" s="348" t="str">
        <f>IF(AS49="900 &amp; 1800","900MHz &amp; 1800MHz",IF(AS49="900 &amp; 2100","900MHz &amp; 2100MHz",IF(AS49="1800 &amp; 2100","1800MHz &amp; 2100MHz",AS49&amp;"MHz")))</f>
        <v>900MHz</v>
      </c>
      <c r="W49" s="348"/>
      <c r="X49" s="348"/>
      <c r="Y49" s="348">
        <f>AT49</f>
        <v>15</v>
      </c>
      <c r="Z49" s="348"/>
      <c r="AA49" s="348"/>
      <c r="AB49" s="348"/>
      <c r="AC49" s="348"/>
      <c r="AD49" s="348"/>
      <c r="AG49" s="81" t="s">
        <v>132</v>
      </c>
      <c r="AI49" s="81" t="s">
        <v>114</v>
      </c>
      <c r="AJ49" s="81"/>
      <c r="AL49" s="85" t="s">
        <v>96</v>
      </c>
      <c r="AO49" s="69">
        <v>20</v>
      </c>
      <c r="AP49" s="69">
        <v>30</v>
      </c>
      <c r="AQ49" s="69">
        <v>40</v>
      </c>
      <c r="AS49" s="69">
        <v>900</v>
      </c>
      <c r="AT49" s="69">
        <v>15</v>
      </c>
      <c r="AU49" s="69">
        <v>16</v>
      </c>
      <c r="AV49" s="69">
        <v>17</v>
      </c>
    </row>
    <row r="50" spans="2:48" ht="18.75" customHeight="1">
      <c r="B50" s="348"/>
      <c r="C50" s="348"/>
      <c r="D50" s="348"/>
      <c r="E50" s="348"/>
      <c r="F50" s="348"/>
      <c r="G50" s="348"/>
      <c r="H50" s="349"/>
      <c r="I50" s="349"/>
      <c r="J50" s="349"/>
      <c r="K50" s="349"/>
      <c r="L50" s="350"/>
      <c r="M50" s="350"/>
      <c r="N50" s="392"/>
      <c r="O50" s="392"/>
      <c r="P50" s="392"/>
      <c r="Q50" s="348"/>
      <c r="R50" s="348"/>
      <c r="S50" s="348"/>
      <c r="T50" s="348"/>
      <c r="U50" s="348"/>
      <c r="V50" s="348"/>
      <c r="W50" s="348"/>
      <c r="X50" s="348"/>
      <c r="Y50" s="348"/>
      <c r="Z50" s="348"/>
      <c r="AA50" s="348"/>
      <c r="AB50" s="348"/>
      <c r="AC50" s="348"/>
      <c r="AD50" s="348"/>
    </row>
    <row r="51" spans="2:48" ht="18.75" customHeight="1">
      <c r="B51" s="348"/>
      <c r="C51" s="348"/>
      <c r="D51" s="348"/>
      <c r="E51" s="348"/>
      <c r="F51" s="348"/>
      <c r="G51" s="348"/>
      <c r="H51" s="349"/>
      <c r="I51" s="349"/>
      <c r="J51" s="349"/>
      <c r="K51" s="349"/>
      <c r="L51" s="350"/>
      <c r="M51" s="350"/>
      <c r="N51" s="392"/>
      <c r="O51" s="392"/>
      <c r="P51" s="392"/>
      <c r="Q51" s="348"/>
      <c r="R51" s="348"/>
      <c r="S51" s="348"/>
      <c r="T51" s="348"/>
      <c r="U51" s="348"/>
      <c r="V51" s="348"/>
      <c r="W51" s="348"/>
      <c r="X51" s="348"/>
      <c r="Y51" s="348"/>
      <c r="Z51" s="348"/>
      <c r="AA51" s="348"/>
      <c r="AB51" s="348"/>
      <c r="AC51" s="348"/>
      <c r="AD51" s="348"/>
    </row>
    <row r="52" spans="2:48" ht="18.75" customHeight="1">
      <c r="B52" s="348"/>
      <c r="C52" s="348"/>
      <c r="D52" s="348"/>
      <c r="E52" s="348"/>
      <c r="F52" s="348"/>
      <c r="G52" s="348"/>
      <c r="H52" s="349"/>
      <c r="I52" s="349"/>
      <c r="J52" s="349"/>
      <c r="K52" s="349"/>
      <c r="L52" s="350"/>
      <c r="M52" s="350"/>
      <c r="N52" s="392"/>
      <c r="O52" s="392"/>
      <c r="P52" s="392"/>
      <c r="Q52" s="348"/>
      <c r="R52" s="348"/>
      <c r="S52" s="348"/>
      <c r="T52" s="348"/>
      <c r="U52" s="348"/>
      <c r="V52" s="348"/>
      <c r="W52" s="348"/>
      <c r="X52" s="348"/>
      <c r="Y52" s="348"/>
      <c r="Z52" s="348"/>
      <c r="AA52" s="348"/>
      <c r="AB52" s="348"/>
      <c r="AC52" s="348"/>
      <c r="AD52" s="348"/>
    </row>
    <row r="53" spans="2:48" ht="18.75" customHeight="1">
      <c r="B53" s="348" t="str">
        <f t="shared" ref="B53" si="0">AG53</f>
        <v>CÔNG TY CỔ PHẦN VIỄN THÔNG DI ĐỘNG TOÀN CẦU</v>
      </c>
      <c r="C53" s="348"/>
      <c r="D53" s="348"/>
      <c r="E53" s="348"/>
      <c r="F53" s="348"/>
      <c r="G53" s="348"/>
      <c r="H53" s="349" t="str">
        <f>AI53</f>
        <v>TB1</v>
      </c>
      <c r="I53" s="349"/>
      <c r="J53" s="349"/>
      <c r="K53" s="349"/>
      <c r="L53" s="350">
        <v>2</v>
      </c>
      <c r="M53" s="350"/>
      <c r="N53" s="392" t="str">
        <f>AL53</f>
        <v>4/4/4</v>
      </c>
      <c r="O53" s="392"/>
      <c r="P53" s="392"/>
      <c r="Q53" s="348" t="str">
        <f t="shared" ref="Q53" si="1">IF(L53=3,AO53&amp;"W/ "&amp;AP53&amp;"W/ "&amp;AQ53&amp;"W",IF(L53=2,AO53&amp;"W/ "&amp;AP53&amp;"W",AO53&amp;"W"))</f>
        <v>20W/ 30W</v>
      </c>
      <c r="R53" s="348"/>
      <c r="S53" s="348"/>
      <c r="T53" s="348"/>
      <c r="U53" s="348"/>
      <c r="V53" s="348" t="str">
        <f>IF(AS53="900 &amp; 1800","900MHz &amp; 1800MHz",IF(AS53="900 &amp; 2100","900MHz &amp; 2100MHz",IF(AS53="1800 &amp; 2100","1800MHz &amp; 2100MHz",AS53&amp;"MHz")))</f>
        <v>1800MHz</v>
      </c>
      <c r="W53" s="348"/>
      <c r="X53" s="348"/>
      <c r="Y53" s="348">
        <f>AT53</f>
        <v>15</v>
      </c>
      <c r="Z53" s="348"/>
      <c r="AA53" s="348"/>
      <c r="AB53" s="348"/>
      <c r="AC53" s="348"/>
      <c r="AD53" s="348"/>
      <c r="AG53" s="81" t="s">
        <v>132</v>
      </c>
      <c r="AI53" s="81" t="s">
        <v>114</v>
      </c>
      <c r="AJ53" s="81"/>
      <c r="AL53" s="85" t="s">
        <v>96</v>
      </c>
      <c r="AO53" s="69">
        <v>20</v>
      </c>
      <c r="AP53" s="69">
        <v>30</v>
      </c>
      <c r="AQ53" s="69">
        <v>40</v>
      </c>
      <c r="AS53" s="69">
        <v>1800</v>
      </c>
      <c r="AT53" s="69">
        <v>15</v>
      </c>
      <c r="AU53" s="69">
        <v>16</v>
      </c>
      <c r="AV53" s="69">
        <v>17</v>
      </c>
    </row>
    <row r="54" spans="2:48" ht="18.75" customHeight="1">
      <c r="B54" s="348"/>
      <c r="C54" s="348"/>
      <c r="D54" s="348"/>
      <c r="E54" s="348"/>
      <c r="F54" s="348"/>
      <c r="G54" s="348"/>
      <c r="H54" s="349"/>
      <c r="I54" s="349"/>
      <c r="J54" s="349"/>
      <c r="K54" s="349"/>
      <c r="L54" s="350"/>
      <c r="M54" s="350"/>
      <c r="N54" s="392"/>
      <c r="O54" s="392"/>
      <c r="P54" s="392"/>
      <c r="Q54" s="348"/>
      <c r="R54" s="348"/>
      <c r="S54" s="348"/>
      <c r="T54" s="348"/>
      <c r="U54" s="348"/>
      <c r="V54" s="348"/>
      <c r="W54" s="348"/>
      <c r="X54" s="348"/>
      <c r="Y54" s="348"/>
      <c r="Z54" s="348"/>
      <c r="AA54" s="348"/>
      <c r="AB54" s="348"/>
      <c r="AC54" s="348"/>
      <c r="AD54" s="348"/>
      <c r="AG54" s="81"/>
      <c r="AI54" s="81"/>
      <c r="AJ54" s="81"/>
      <c r="AL54" s="85"/>
    </row>
    <row r="55" spans="2:48" ht="18.75" customHeight="1">
      <c r="B55" s="348"/>
      <c r="C55" s="348"/>
      <c r="D55" s="348"/>
      <c r="E55" s="348"/>
      <c r="F55" s="348"/>
      <c r="G55" s="348"/>
      <c r="H55" s="349"/>
      <c r="I55" s="349"/>
      <c r="J55" s="349"/>
      <c r="K55" s="349"/>
      <c r="L55" s="350"/>
      <c r="M55" s="350"/>
      <c r="N55" s="392"/>
      <c r="O55" s="392"/>
      <c r="P55" s="392"/>
      <c r="Q55" s="348"/>
      <c r="R55" s="348"/>
      <c r="S55" s="348"/>
      <c r="T55" s="348"/>
      <c r="U55" s="348"/>
      <c r="V55" s="348"/>
      <c r="W55" s="348"/>
      <c r="X55" s="348"/>
      <c r="Y55" s="348"/>
      <c r="Z55" s="348"/>
      <c r="AA55" s="348"/>
      <c r="AB55" s="348"/>
      <c r="AC55" s="348"/>
      <c r="AD55" s="348"/>
    </row>
    <row r="56" spans="2:48" ht="18.75" customHeight="1">
      <c r="B56" s="348"/>
      <c r="C56" s="348"/>
      <c r="D56" s="348"/>
      <c r="E56" s="348"/>
      <c r="F56" s="348"/>
      <c r="G56" s="348"/>
      <c r="H56" s="349"/>
      <c r="I56" s="349"/>
      <c r="J56" s="349"/>
      <c r="K56" s="349"/>
      <c r="L56" s="350"/>
      <c r="M56" s="350"/>
      <c r="N56" s="392"/>
      <c r="O56" s="392"/>
      <c r="P56" s="392"/>
      <c r="Q56" s="348"/>
      <c r="R56" s="348"/>
      <c r="S56" s="348"/>
      <c r="T56" s="348"/>
      <c r="U56" s="348"/>
      <c r="V56" s="348"/>
      <c r="W56" s="348"/>
      <c r="X56" s="348"/>
      <c r="Y56" s="348"/>
      <c r="Z56" s="348"/>
      <c r="AA56" s="348"/>
      <c r="AB56" s="348"/>
      <c r="AC56" s="348"/>
      <c r="AD56" s="348"/>
    </row>
    <row r="57" spans="2:48" ht="18.75" customHeight="1">
      <c r="B57" s="348" t="str">
        <f t="shared" ref="B57" si="2">AG57</f>
        <v>CÔNG TY CỔ PHẦN VIỄN THÔNG DI ĐỘNG TOÀN CẦU</v>
      </c>
      <c r="C57" s="348"/>
      <c r="D57" s="348"/>
      <c r="E57" s="348"/>
      <c r="F57" s="348"/>
      <c r="G57" s="348"/>
      <c r="H57" s="349" t="str">
        <f>AI57</f>
        <v>TB1</v>
      </c>
      <c r="I57" s="349"/>
      <c r="J57" s="349"/>
      <c r="K57" s="349"/>
      <c r="L57" s="350">
        <v>2</v>
      </c>
      <c r="M57" s="350"/>
      <c r="N57" s="392" t="str">
        <f t="shared" ref="N57" si="3">AL57</f>
        <v>4/4/4</v>
      </c>
      <c r="O57" s="392"/>
      <c r="P57" s="392"/>
      <c r="Q57" s="348" t="str">
        <f t="shared" ref="Q57" si="4">IF(L57=3,AO57&amp;"W/ "&amp;AP57&amp;"W/ "&amp;AQ57&amp;"W",IF(L57=2,AO57&amp;"W/ "&amp;AP57&amp;"W",AO57&amp;"W"))</f>
        <v>20W/ 30W</v>
      </c>
      <c r="R57" s="348"/>
      <c r="S57" s="348"/>
      <c r="T57" s="348"/>
      <c r="U57" s="348"/>
      <c r="V57" s="348" t="str">
        <f>IF(AS57="900 &amp; 1800","900MHz &amp; 1800MHz",IF(AS57="900 &amp; 2100","900MHz &amp; 2100MHz",IF(AS57="1800 &amp; 2100","1800MHz &amp; 2100MHz",AS57&amp;"MHz")))</f>
        <v>9000 &amp; 1800MHz</v>
      </c>
      <c r="W57" s="348"/>
      <c r="X57" s="348"/>
      <c r="Y57" s="348">
        <f>AT57</f>
        <v>15</v>
      </c>
      <c r="Z57" s="348"/>
      <c r="AA57" s="348"/>
      <c r="AB57" s="348"/>
      <c r="AC57" s="348"/>
      <c r="AD57" s="348"/>
      <c r="AG57" s="81" t="s">
        <v>132</v>
      </c>
      <c r="AI57" s="81" t="s">
        <v>114</v>
      </c>
      <c r="AJ57" s="81"/>
      <c r="AL57" s="85" t="s">
        <v>96</v>
      </c>
      <c r="AO57" s="69">
        <v>20</v>
      </c>
      <c r="AP57" s="69">
        <v>30</v>
      </c>
      <c r="AQ57" s="69">
        <v>40</v>
      </c>
      <c r="AS57" s="69" t="s">
        <v>181</v>
      </c>
      <c r="AT57" s="69">
        <v>15</v>
      </c>
      <c r="AU57" s="69">
        <v>16</v>
      </c>
      <c r="AV57" s="69">
        <v>17</v>
      </c>
    </row>
    <row r="58" spans="2:48" ht="18.75" customHeight="1">
      <c r="B58" s="348"/>
      <c r="C58" s="348"/>
      <c r="D58" s="348"/>
      <c r="E58" s="348"/>
      <c r="F58" s="348"/>
      <c r="G58" s="348"/>
      <c r="H58" s="349"/>
      <c r="I58" s="349"/>
      <c r="J58" s="349"/>
      <c r="K58" s="349"/>
      <c r="L58" s="350"/>
      <c r="M58" s="350"/>
      <c r="N58" s="392"/>
      <c r="O58" s="392"/>
      <c r="P58" s="392"/>
      <c r="Q58" s="348"/>
      <c r="R58" s="348"/>
      <c r="S58" s="348"/>
      <c r="T58" s="348"/>
      <c r="U58" s="348"/>
      <c r="V58" s="348"/>
      <c r="W58" s="348"/>
      <c r="X58" s="348"/>
      <c r="Y58" s="348"/>
      <c r="Z58" s="348"/>
      <c r="AA58" s="348"/>
      <c r="AB58" s="348"/>
      <c r="AC58" s="348"/>
      <c r="AD58" s="348"/>
      <c r="AG58" s="81"/>
      <c r="AI58" s="81"/>
      <c r="AJ58" s="81"/>
      <c r="AL58" s="85"/>
    </row>
    <row r="59" spans="2:48" ht="18.75" customHeight="1">
      <c r="B59" s="348"/>
      <c r="C59" s="348"/>
      <c r="D59" s="348"/>
      <c r="E59" s="348"/>
      <c r="F59" s="348"/>
      <c r="G59" s="348"/>
      <c r="H59" s="349"/>
      <c r="I59" s="349"/>
      <c r="J59" s="349"/>
      <c r="K59" s="349"/>
      <c r="L59" s="350"/>
      <c r="M59" s="350"/>
      <c r="N59" s="392"/>
      <c r="O59" s="392"/>
      <c r="P59" s="392"/>
      <c r="Q59" s="348"/>
      <c r="R59" s="348"/>
      <c r="S59" s="348"/>
      <c r="T59" s="348"/>
      <c r="U59" s="348"/>
      <c r="V59" s="348"/>
      <c r="W59" s="348"/>
      <c r="X59" s="348"/>
      <c r="Y59" s="348"/>
      <c r="Z59" s="348"/>
      <c r="AA59" s="348"/>
      <c r="AB59" s="348"/>
      <c r="AC59" s="348"/>
      <c r="AD59" s="348"/>
    </row>
    <row r="60" spans="2:48" ht="18.75" customHeight="1">
      <c r="B60" s="348"/>
      <c r="C60" s="348"/>
      <c r="D60" s="348"/>
      <c r="E60" s="348"/>
      <c r="F60" s="348"/>
      <c r="G60" s="348"/>
      <c r="H60" s="349"/>
      <c r="I60" s="349"/>
      <c r="J60" s="349"/>
      <c r="K60" s="349"/>
      <c r="L60" s="350"/>
      <c r="M60" s="350"/>
      <c r="N60" s="392"/>
      <c r="O60" s="392"/>
      <c r="P60" s="392"/>
      <c r="Q60" s="348"/>
      <c r="R60" s="348"/>
      <c r="S60" s="348"/>
      <c r="T60" s="348"/>
      <c r="U60" s="348"/>
      <c r="V60" s="348"/>
      <c r="W60" s="348"/>
      <c r="X60" s="348"/>
      <c r="Y60" s="348"/>
      <c r="Z60" s="348"/>
      <c r="AA60" s="348"/>
      <c r="AB60" s="348"/>
      <c r="AC60" s="348"/>
      <c r="AD60" s="348"/>
    </row>
    <row r="61" spans="2:48" ht="18.75" customHeight="1">
      <c r="B61" s="348" t="str">
        <f t="shared" ref="B61" si="5">AG61</f>
        <v>CÔNG TY CỔ PHẦN VIỄN THÔNG DI ĐỘNG TOÀN CẦU</v>
      </c>
      <c r="C61" s="348"/>
      <c r="D61" s="348"/>
      <c r="E61" s="348"/>
      <c r="F61" s="348"/>
      <c r="G61" s="348"/>
      <c r="H61" s="349" t="str">
        <f>AI61</f>
        <v>TB1</v>
      </c>
      <c r="I61" s="349"/>
      <c r="J61" s="349"/>
      <c r="K61" s="349"/>
      <c r="L61" s="350">
        <v>3</v>
      </c>
      <c r="M61" s="350"/>
      <c r="N61" s="392" t="str">
        <f t="shared" ref="N61" si="6">AL61</f>
        <v>4/4/4</v>
      </c>
      <c r="O61" s="392"/>
      <c r="P61" s="392"/>
      <c r="Q61" s="348" t="str">
        <f>IF(L61=3,AO61&amp;"W/ "&amp;AP61&amp;"W/ "&amp;AQ61&amp;"W",IF(L61=2,AO61&amp;"W/ "&amp;AP61&amp;"W",AO61&amp;"W"))</f>
        <v>20W/ 30W/ 40W</v>
      </c>
      <c r="R61" s="348"/>
      <c r="S61" s="348"/>
      <c r="T61" s="348"/>
      <c r="U61" s="348"/>
      <c r="V61" s="348" t="str">
        <f>IF(AS61="900 &amp; 1800","900MHz &amp; 1800MHz",IF(AS61="900 &amp; 2100","900MHz &amp; 2100MHz",IF(AS61="1800 &amp; 2100","1800MHz &amp; 2100MHz",AS61&amp;"MHz")))</f>
        <v>9000 &amp; 2100MHz</v>
      </c>
      <c r="W61" s="348"/>
      <c r="X61" s="348"/>
      <c r="Y61" s="348">
        <f>AT61</f>
        <v>15</v>
      </c>
      <c r="Z61" s="348"/>
      <c r="AA61" s="348"/>
      <c r="AB61" s="348"/>
      <c r="AC61" s="348"/>
      <c r="AD61" s="348"/>
      <c r="AG61" s="81" t="s">
        <v>132</v>
      </c>
      <c r="AI61" s="81" t="s">
        <v>114</v>
      </c>
      <c r="AJ61" s="81"/>
      <c r="AL61" s="85" t="s">
        <v>96</v>
      </c>
      <c r="AO61" s="69">
        <v>20</v>
      </c>
      <c r="AP61" s="69">
        <v>30</v>
      </c>
      <c r="AQ61" s="69">
        <v>40</v>
      </c>
      <c r="AS61" s="69" t="s">
        <v>182</v>
      </c>
      <c r="AT61" s="69">
        <v>15</v>
      </c>
      <c r="AU61" s="69">
        <v>16</v>
      </c>
      <c r="AV61" s="69">
        <v>17</v>
      </c>
    </row>
    <row r="62" spans="2:48" ht="18.75" customHeight="1">
      <c r="B62" s="348"/>
      <c r="C62" s="348"/>
      <c r="D62" s="348"/>
      <c r="E62" s="348"/>
      <c r="F62" s="348"/>
      <c r="G62" s="348"/>
      <c r="H62" s="349"/>
      <c r="I62" s="349"/>
      <c r="J62" s="349"/>
      <c r="K62" s="349"/>
      <c r="L62" s="350"/>
      <c r="M62" s="350"/>
      <c r="N62" s="392"/>
      <c r="O62" s="392"/>
      <c r="P62" s="392"/>
      <c r="Q62" s="348"/>
      <c r="R62" s="348"/>
      <c r="S62" s="348"/>
      <c r="T62" s="348"/>
      <c r="U62" s="348"/>
      <c r="V62" s="348"/>
      <c r="W62" s="348"/>
      <c r="X62" s="348"/>
      <c r="Y62" s="348"/>
      <c r="Z62" s="348"/>
      <c r="AA62" s="348"/>
      <c r="AB62" s="348"/>
      <c r="AC62" s="348"/>
      <c r="AD62" s="348"/>
      <c r="AG62" s="81"/>
      <c r="AI62" s="81"/>
      <c r="AJ62" s="81"/>
      <c r="AL62" s="85"/>
    </row>
    <row r="63" spans="2:48" ht="18.75" customHeight="1">
      <c r="B63" s="348"/>
      <c r="C63" s="348"/>
      <c r="D63" s="348"/>
      <c r="E63" s="348"/>
      <c r="F63" s="348"/>
      <c r="G63" s="348"/>
      <c r="H63" s="349"/>
      <c r="I63" s="349"/>
      <c r="J63" s="349"/>
      <c r="K63" s="349"/>
      <c r="L63" s="350"/>
      <c r="M63" s="350"/>
      <c r="N63" s="392"/>
      <c r="O63" s="392"/>
      <c r="P63" s="392"/>
      <c r="Q63" s="348"/>
      <c r="R63" s="348"/>
      <c r="S63" s="348"/>
      <c r="T63" s="348"/>
      <c r="U63" s="348"/>
      <c r="V63" s="348"/>
      <c r="W63" s="348"/>
      <c r="X63" s="348"/>
      <c r="Y63" s="348"/>
      <c r="Z63" s="348"/>
      <c r="AA63" s="348"/>
      <c r="AB63" s="348"/>
      <c r="AC63" s="348"/>
      <c r="AD63" s="348"/>
    </row>
    <row r="64" spans="2:48" ht="18.75" customHeight="1">
      <c r="B64" s="348"/>
      <c r="C64" s="348"/>
      <c r="D64" s="348"/>
      <c r="E64" s="348"/>
      <c r="F64" s="348"/>
      <c r="G64" s="348"/>
      <c r="H64" s="349"/>
      <c r="I64" s="349"/>
      <c r="J64" s="349"/>
      <c r="K64" s="349"/>
      <c r="L64" s="350"/>
      <c r="M64" s="350"/>
      <c r="N64" s="392"/>
      <c r="O64" s="392"/>
      <c r="P64" s="392"/>
      <c r="Q64" s="348"/>
      <c r="R64" s="348"/>
      <c r="S64" s="348"/>
      <c r="T64" s="348"/>
      <c r="U64" s="348"/>
      <c r="V64" s="348"/>
      <c r="W64" s="348"/>
      <c r="X64" s="348"/>
      <c r="Y64" s="348"/>
      <c r="Z64" s="348"/>
      <c r="AA64" s="348"/>
      <c r="AB64" s="348"/>
      <c r="AC64" s="348"/>
      <c r="AD64" s="348"/>
    </row>
    <row r="65" spans="2:48" ht="18.75" customHeight="1">
      <c r="B65" s="348" t="str">
        <f t="shared" ref="B65" si="7">AG65</f>
        <v>CÔNG TY CỔ PHẦN VIỄN THÔNG DI ĐỘNG TOÀN CẦU</v>
      </c>
      <c r="C65" s="348"/>
      <c r="D65" s="348"/>
      <c r="E65" s="348"/>
      <c r="F65" s="348"/>
      <c r="G65" s="348"/>
      <c r="H65" s="349" t="str">
        <f>AI65</f>
        <v>TB1</v>
      </c>
      <c r="I65" s="349"/>
      <c r="J65" s="349"/>
      <c r="K65" s="349"/>
      <c r="L65" s="350">
        <v>1</v>
      </c>
      <c r="M65" s="350"/>
      <c r="N65" s="392" t="str">
        <f t="shared" ref="N65" si="8">AL65</f>
        <v>4/4/4</v>
      </c>
      <c r="O65" s="392"/>
      <c r="P65" s="392"/>
      <c r="Q65" s="348" t="str">
        <f t="shared" ref="Q65" si="9">IF(L65=3,AO65&amp;"W/ "&amp;AP65&amp;"W/ "&amp;AQ65&amp;"W",IF(L65=2,AO65&amp;"W/ "&amp;AP65&amp;"W",AO65&amp;"W"))</f>
        <v>20W</v>
      </c>
      <c r="R65" s="348"/>
      <c r="S65" s="348"/>
      <c r="T65" s="348"/>
      <c r="U65" s="348"/>
      <c r="V65" s="348" t="str">
        <f>IF(AS65="900 &amp; 1800","900MHz &amp; 1800MHz",IF(AS65="900 &amp; 2100","900MHz &amp; 2100MHz",IF(AS65="1800 &amp; 2100","1800MHz &amp; 2100MHz",AS65&amp;"MHz")))</f>
        <v>1800MHz &amp; 2100MHz</v>
      </c>
      <c r="W65" s="348"/>
      <c r="X65" s="348"/>
      <c r="Y65" s="348">
        <f>AT65</f>
        <v>15</v>
      </c>
      <c r="Z65" s="348"/>
      <c r="AA65" s="348"/>
      <c r="AB65" s="348"/>
      <c r="AC65" s="348"/>
      <c r="AD65" s="348"/>
      <c r="AG65" s="81" t="s">
        <v>132</v>
      </c>
      <c r="AI65" s="81" t="s">
        <v>114</v>
      </c>
      <c r="AJ65" s="81"/>
      <c r="AL65" s="85" t="s">
        <v>96</v>
      </c>
      <c r="AO65" s="69">
        <v>20</v>
      </c>
      <c r="AP65" s="69">
        <v>30</v>
      </c>
      <c r="AQ65" s="69">
        <v>40</v>
      </c>
      <c r="AS65" s="69" t="s">
        <v>183</v>
      </c>
      <c r="AT65" s="69">
        <v>15</v>
      </c>
      <c r="AU65" s="69">
        <v>16</v>
      </c>
      <c r="AV65" s="69">
        <v>17</v>
      </c>
    </row>
    <row r="66" spans="2:48" ht="18.75" customHeight="1">
      <c r="B66" s="348"/>
      <c r="C66" s="348"/>
      <c r="D66" s="348"/>
      <c r="E66" s="348"/>
      <c r="F66" s="348"/>
      <c r="G66" s="348"/>
      <c r="H66" s="349"/>
      <c r="I66" s="349"/>
      <c r="J66" s="349"/>
      <c r="K66" s="349"/>
      <c r="L66" s="350"/>
      <c r="M66" s="350"/>
      <c r="N66" s="392"/>
      <c r="O66" s="392"/>
      <c r="P66" s="392"/>
      <c r="Q66" s="348"/>
      <c r="R66" s="348"/>
      <c r="S66" s="348"/>
      <c r="T66" s="348"/>
      <c r="U66" s="348"/>
      <c r="V66" s="348"/>
      <c r="W66" s="348"/>
      <c r="X66" s="348"/>
      <c r="Y66" s="348"/>
      <c r="Z66" s="348"/>
      <c r="AA66" s="348"/>
      <c r="AB66" s="348"/>
      <c r="AC66" s="348"/>
      <c r="AD66" s="348"/>
    </row>
    <row r="67" spans="2:48" ht="18.75" customHeight="1">
      <c r="B67" s="348"/>
      <c r="C67" s="348"/>
      <c r="D67" s="348"/>
      <c r="E67" s="348"/>
      <c r="F67" s="348"/>
      <c r="G67" s="348"/>
      <c r="H67" s="349"/>
      <c r="I67" s="349"/>
      <c r="J67" s="349"/>
      <c r="K67" s="349"/>
      <c r="L67" s="350"/>
      <c r="M67" s="350"/>
      <c r="N67" s="392"/>
      <c r="O67" s="392"/>
      <c r="P67" s="392"/>
      <c r="Q67" s="348"/>
      <c r="R67" s="348"/>
      <c r="S67" s="348"/>
      <c r="T67" s="348"/>
      <c r="U67" s="348"/>
      <c r="V67" s="348"/>
      <c r="W67" s="348"/>
      <c r="X67" s="348"/>
      <c r="Y67" s="348"/>
      <c r="Z67" s="348"/>
      <c r="AA67" s="348"/>
      <c r="AB67" s="348"/>
      <c r="AC67" s="348"/>
      <c r="AD67" s="348"/>
    </row>
    <row r="68" spans="2:48" ht="18.75" customHeight="1">
      <c r="B68" s="348"/>
      <c r="C68" s="348"/>
      <c r="D68" s="348"/>
      <c r="E68" s="348"/>
      <c r="F68" s="348"/>
      <c r="G68" s="348"/>
      <c r="H68" s="349"/>
      <c r="I68" s="349"/>
      <c r="J68" s="349"/>
      <c r="K68" s="349"/>
      <c r="L68" s="350"/>
      <c r="M68" s="350"/>
      <c r="N68" s="392"/>
      <c r="O68" s="392"/>
      <c r="P68" s="392"/>
      <c r="Q68" s="348"/>
      <c r="R68" s="348"/>
      <c r="S68" s="348"/>
      <c r="T68" s="348"/>
      <c r="U68" s="348"/>
      <c r="V68" s="348"/>
      <c r="W68" s="348"/>
      <c r="X68" s="348"/>
      <c r="Y68" s="348"/>
      <c r="Z68" s="348"/>
      <c r="AA68" s="348"/>
      <c r="AB68" s="348"/>
      <c r="AC68" s="348"/>
      <c r="AD68" s="348"/>
    </row>
    <row r="69" spans="2:48" ht="18.75" customHeight="1">
      <c r="C69" s="96"/>
      <c r="D69" s="96"/>
      <c r="E69" s="96"/>
      <c r="F69" s="96"/>
      <c r="G69" s="96"/>
      <c r="H69" s="96"/>
      <c r="I69" s="96"/>
      <c r="J69" s="96"/>
      <c r="K69" s="96"/>
      <c r="L69" s="96"/>
      <c r="M69" s="96"/>
      <c r="N69" s="96"/>
      <c r="O69" s="96"/>
      <c r="P69" s="96"/>
      <c r="Q69" s="96"/>
      <c r="R69" s="96"/>
      <c r="S69" s="96"/>
      <c r="T69" s="96"/>
      <c r="U69" s="96"/>
      <c r="V69" s="96"/>
      <c r="W69" s="96"/>
      <c r="X69" s="96"/>
      <c r="Y69" s="96"/>
      <c r="Z69" s="96"/>
      <c r="AA69" s="96"/>
      <c r="AB69" s="96"/>
      <c r="AC69" s="96"/>
      <c r="AD69" s="96"/>
    </row>
    <row r="70" spans="2:48" ht="18.75" customHeight="1">
      <c r="C70" s="96"/>
      <c r="D70" s="96"/>
      <c r="E70" s="96"/>
      <c r="F70" s="96"/>
      <c r="G70" s="96"/>
      <c r="H70" s="96"/>
      <c r="I70" s="96"/>
      <c r="J70" s="96"/>
      <c r="K70" s="96"/>
      <c r="L70" s="96"/>
      <c r="M70" s="96"/>
      <c r="N70" s="96"/>
      <c r="O70" s="96"/>
      <c r="P70" s="96"/>
      <c r="Q70" s="96"/>
      <c r="R70" s="96"/>
      <c r="S70" s="96"/>
      <c r="T70" s="96"/>
      <c r="U70" s="96"/>
      <c r="V70" s="96"/>
      <c r="W70" s="96"/>
      <c r="X70" s="96"/>
      <c r="Y70" s="96"/>
      <c r="Z70" s="96"/>
      <c r="AA70" s="96"/>
      <c r="AB70" s="96"/>
      <c r="AC70" s="96"/>
      <c r="AD70" s="96"/>
    </row>
    <row r="71" spans="2:48" ht="18.75" customHeight="1">
      <c r="C71" s="96"/>
      <c r="D71" s="96"/>
      <c r="E71" s="96"/>
      <c r="F71" s="96"/>
      <c r="G71" s="96"/>
      <c r="H71" s="96"/>
      <c r="I71" s="96"/>
      <c r="J71" s="96"/>
      <c r="K71" s="96"/>
      <c r="L71" s="96"/>
      <c r="M71" s="96"/>
      <c r="N71" s="96"/>
      <c r="O71" s="96"/>
      <c r="P71" s="96"/>
      <c r="Q71" s="96"/>
      <c r="R71" s="96"/>
      <c r="S71" s="96"/>
      <c r="T71" s="96"/>
      <c r="U71" s="96"/>
      <c r="V71" s="96"/>
      <c r="W71" s="96"/>
      <c r="X71" s="96"/>
      <c r="Y71" s="96"/>
      <c r="Z71" s="96"/>
      <c r="AA71" s="96"/>
      <c r="AB71" s="96"/>
      <c r="AC71" s="96"/>
      <c r="AD71" s="96"/>
    </row>
    <row r="72" spans="2:48" ht="18.75" customHeight="1">
      <c r="C72" s="96"/>
      <c r="D72" s="96"/>
      <c r="E72" s="96"/>
      <c r="F72" s="96"/>
      <c r="G72" s="96"/>
      <c r="H72" s="96"/>
      <c r="I72" s="96"/>
      <c r="J72" s="96"/>
      <c r="K72" s="96"/>
      <c r="L72" s="96"/>
      <c r="M72" s="96"/>
      <c r="N72" s="96"/>
      <c r="O72" s="96"/>
      <c r="P72" s="96"/>
      <c r="Q72" s="96"/>
      <c r="R72" s="96"/>
      <c r="S72" s="96"/>
      <c r="T72" s="96"/>
      <c r="U72" s="96"/>
      <c r="V72" s="96"/>
      <c r="W72" s="96"/>
      <c r="X72" s="96"/>
      <c r="Y72" s="96"/>
      <c r="Z72" s="96"/>
      <c r="AA72" s="96"/>
      <c r="AB72" s="96"/>
      <c r="AC72" s="96"/>
      <c r="AD72" s="96"/>
    </row>
    <row r="73" spans="2:48" ht="18.75" customHeight="1">
      <c r="C73" s="96"/>
      <c r="D73" s="96"/>
      <c r="E73" s="96"/>
      <c r="F73" s="96"/>
      <c r="G73" s="96"/>
      <c r="H73" s="96"/>
      <c r="I73" s="96"/>
      <c r="J73" s="96"/>
      <c r="K73" s="96"/>
      <c r="L73" s="96"/>
      <c r="M73" s="96"/>
      <c r="N73" s="96"/>
      <c r="O73" s="96"/>
      <c r="P73" s="96"/>
      <c r="Q73" s="96"/>
      <c r="R73" s="96"/>
      <c r="S73" s="96"/>
      <c r="T73" s="96"/>
      <c r="U73" s="96"/>
      <c r="V73" s="96"/>
      <c r="W73" s="96"/>
      <c r="X73" s="96"/>
      <c r="Y73" s="96"/>
      <c r="Z73" s="96"/>
      <c r="AA73" s="96"/>
      <c r="AB73" s="96"/>
      <c r="AC73" s="96"/>
      <c r="AD73" s="96"/>
    </row>
    <row r="74" spans="2:48" ht="18.75" customHeight="1">
      <c r="C74" s="96"/>
      <c r="D74" s="96"/>
      <c r="E74" s="96"/>
      <c r="F74" s="96"/>
      <c r="G74" s="96"/>
      <c r="H74" s="96"/>
      <c r="I74" s="96"/>
      <c r="J74" s="96"/>
      <c r="K74" s="96"/>
      <c r="L74" s="96"/>
      <c r="M74" s="96"/>
      <c r="N74" s="96"/>
      <c r="O74" s="96"/>
      <c r="P74" s="96"/>
      <c r="Q74" s="96"/>
      <c r="R74" s="96"/>
      <c r="S74" s="96"/>
      <c r="T74" s="96"/>
      <c r="U74" s="96"/>
      <c r="V74" s="96"/>
      <c r="W74" s="96"/>
      <c r="X74" s="96"/>
      <c r="Y74" s="96"/>
      <c r="Z74" s="96"/>
      <c r="AA74" s="96"/>
      <c r="AB74" s="96"/>
      <c r="AC74" s="96"/>
      <c r="AD74" s="96"/>
    </row>
    <row r="75" spans="2:48" ht="18.75" customHeight="1">
      <c r="C75" s="96"/>
      <c r="D75" s="96"/>
      <c r="E75" s="96"/>
      <c r="F75" s="96"/>
      <c r="G75" s="96"/>
      <c r="H75" s="96"/>
      <c r="I75" s="96"/>
      <c r="J75" s="96"/>
      <c r="K75" s="96"/>
      <c r="L75" s="96"/>
      <c r="M75" s="96"/>
      <c r="N75" s="96"/>
      <c r="O75" s="96"/>
      <c r="P75" s="96"/>
      <c r="Q75" s="96"/>
      <c r="R75" s="96"/>
      <c r="S75" s="96"/>
      <c r="T75" s="96"/>
      <c r="U75" s="96"/>
      <c r="V75" s="96"/>
      <c r="W75" s="96"/>
      <c r="X75" s="96"/>
      <c r="Y75" s="96"/>
      <c r="Z75" s="96"/>
      <c r="AA75" s="96"/>
      <c r="AB75" s="96"/>
      <c r="AC75" s="96"/>
      <c r="AD75" s="96"/>
    </row>
    <row r="76" spans="2:48" ht="18.75" customHeight="1">
      <c r="C76" s="96"/>
      <c r="D76" s="96"/>
      <c r="E76" s="96"/>
      <c r="F76" s="96"/>
      <c r="G76" s="96"/>
      <c r="H76" s="96"/>
      <c r="I76" s="96"/>
      <c r="J76" s="96"/>
      <c r="K76" s="96"/>
      <c r="L76" s="96"/>
      <c r="M76" s="96"/>
      <c r="N76" s="96"/>
      <c r="O76" s="96"/>
      <c r="P76" s="96"/>
      <c r="Q76" s="96"/>
      <c r="R76" s="96"/>
      <c r="S76" s="96"/>
      <c r="T76" s="96"/>
      <c r="U76" s="96"/>
      <c r="V76" s="96"/>
      <c r="W76" s="96"/>
      <c r="X76" s="96"/>
      <c r="Y76" s="96"/>
      <c r="Z76" s="96"/>
      <c r="AA76" s="96"/>
      <c r="AB76" s="96"/>
      <c r="AC76" s="96"/>
      <c r="AD76" s="96"/>
    </row>
    <row r="77" spans="2:48" ht="18.75" customHeight="1">
      <c r="C77" s="96"/>
      <c r="D77" s="96"/>
      <c r="E77" s="96"/>
      <c r="F77" s="96"/>
      <c r="G77" s="96"/>
      <c r="H77" s="96"/>
      <c r="I77" s="96"/>
      <c r="J77" s="96"/>
      <c r="K77" s="96"/>
      <c r="L77" s="96"/>
      <c r="M77" s="96"/>
      <c r="N77" s="96"/>
      <c r="O77" s="96"/>
      <c r="P77" s="96"/>
      <c r="Q77" s="96"/>
      <c r="R77" s="96"/>
      <c r="S77" s="96"/>
      <c r="T77" s="96"/>
      <c r="U77" s="96"/>
      <c r="V77" s="96"/>
      <c r="W77" s="96"/>
      <c r="X77" s="96"/>
      <c r="Y77" s="96"/>
      <c r="Z77" s="96"/>
      <c r="AA77" s="96"/>
      <c r="AB77" s="96"/>
      <c r="AC77" s="96"/>
      <c r="AD77" s="96"/>
    </row>
    <row r="78" spans="2:48" ht="18.75" customHeight="1">
      <c r="C78" s="96"/>
      <c r="D78" s="96"/>
      <c r="E78" s="96"/>
      <c r="F78" s="96"/>
      <c r="G78" s="96"/>
      <c r="H78" s="96"/>
      <c r="I78" s="96"/>
      <c r="J78" s="96"/>
      <c r="K78" s="96"/>
      <c r="L78" s="96"/>
      <c r="M78" s="96"/>
      <c r="N78" s="96"/>
      <c r="O78" s="96"/>
      <c r="P78" s="96"/>
      <c r="Q78" s="96"/>
      <c r="R78" s="96"/>
      <c r="S78" s="96"/>
      <c r="T78" s="96"/>
      <c r="U78" s="96"/>
      <c r="V78" s="96"/>
      <c r="W78" s="96"/>
      <c r="X78" s="96"/>
      <c r="Y78" s="96"/>
      <c r="Z78" s="96"/>
      <c r="AA78" s="96"/>
      <c r="AB78" s="96"/>
      <c r="AC78" s="96"/>
      <c r="AD78" s="96"/>
    </row>
    <row r="79" spans="2:48" ht="18.75" customHeight="1">
      <c r="C79" s="96"/>
      <c r="D79" s="96"/>
      <c r="E79" s="96"/>
      <c r="F79" s="96"/>
      <c r="G79" s="96"/>
      <c r="H79" s="96"/>
      <c r="I79" s="96"/>
      <c r="J79" s="96"/>
      <c r="K79" s="96"/>
      <c r="L79" s="96"/>
      <c r="M79" s="96"/>
      <c r="N79" s="96"/>
      <c r="O79" s="96"/>
      <c r="P79" s="96"/>
      <c r="Q79" s="96"/>
      <c r="R79" s="96"/>
      <c r="S79" s="96"/>
      <c r="T79" s="96"/>
      <c r="U79" s="96"/>
      <c r="V79" s="96"/>
      <c r="W79" s="96"/>
      <c r="X79" s="96"/>
      <c r="Y79" s="96"/>
      <c r="Z79" s="96"/>
      <c r="AA79" s="96"/>
      <c r="AB79" s="96"/>
      <c r="AC79" s="96"/>
      <c r="AD79" s="96"/>
    </row>
    <row r="80" spans="2:48" ht="18.75" customHeight="1">
      <c r="C80" s="96"/>
      <c r="D80" s="96"/>
      <c r="E80" s="96"/>
      <c r="F80" s="96"/>
      <c r="G80" s="96"/>
      <c r="H80" s="96"/>
      <c r="I80" s="96"/>
      <c r="J80" s="96"/>
      <c r="K80" s="96"/>
      <c r="L80" s="96"/>
      <c r="M80" s="96"/>
      <c r="N80" s="96"/>
      <c r="O80" s="96"/>
      <c r="P80" s="96"/>
      <c r="Q80" s="96"/>
      <c r="R80" s="96"/>
      <c r="S80" s="96"/>
      <c r="T80" s="96"/>
      <c r="U80" s="96"/>
      <c r="V80" s="96"/>
      <c r="W80" s="96"/>
      <c r="X80" s="96"/>
      <c r="Y80" s="96"/>
      <c r="Z80" s="96"/>
      <c r="AA80" s="96"/>
      <c r="AB80" s="96"/>
      <c r="AC80" s="96"/>
      <c r="AD80" s="96"/>
    </row>
    <row r="81" spans="3:30" ht="18.75" customHeight="1">
      <c r="C81" s="96"/>
      <c r="D81" s="96"/>
      <c r="E81" s="96"/>
      <c r="F81" s="96"/>
      <c r="G81" s="96"/>
      <c r="H81" s="96"/>
      <c r="I81" s="96"/>
      <c r="J81" s="96"/>
      <c r="K81" s="96"/>
      <c r="L81" s="96"/>
      <c r="M81" s="96"/>
      <c r="N81" s="96"/>
      <c r="O81" s="96"/>
      <c r="P81" s="96"/>
      <c r="Q81" s="96"/>
      <c r="R81" s="96"/>
      <c r="S81" s="96"/>
      <c r="T81" s="96"/>
      <c r="U81" s="96"/>
      <c r="V81" s="96"/>
      <c r="W81" s="96"/>
      <c r="X81" s="96"/>
      <c r="Y81" s="96"/>
      <c r="Z81" s="96"/>
      <c r="AA81" s="96"/>
      <c r="AB81" s="96"/>
      <c r="AC81" s="96"/>
      <c r="AD81" s="96"/>
    </row>
    <row r="82" spans="3:30" ht="18.75" customHeight="1">
      <c r="C82" s="96"/>
      <c r="D82" s="96"/>
      <c r="E82" s="96"/>
      <c r="F82" s="96"/>
      <c r="G82" s="96"/>
      <c r="H82" s="96"/>
      <c r="I82" s="96"/>
      <c r="J82" s="96"/>
      <c r="K82" s="96"/>
      <c r="L82" s="96"/>
      <c r="M82" s="96"/>
      <c r="N82" s="96"/>
      <c r="O82" s="96"/>
      <c r="P82" s="96"/>
      <c r="Q82" s="96"/>
      <c r="R82" s="96"/>
      <c r="S82" s="96"/>
      <c r="T82" s="96"/>
      <c r="U82" s="96"/>
      <c r="V82" s="96"/>
      <c r="W82" s="96"/>
      <c r="X82" s="96"/>
      <c r="Y82" s="96"/>
      <c r="Z82" s="96"/>
      <c r="AA82" s="96"/>
      <c r="AB82" s="96"/>
      <c r="AC82" s="96"/>
      <c r="AD82" s="96"/>
    </row>
    <row r="83" spans="3:30" ht="18.75" customHeight="1">
      <c r="C83" s="96"/>
      <c r="D83" s="96"/>
      <c r="E83" s="96"/>
      <c r="F83" s="96"/>
      <c r="G83" s="96"/>
      <c r="H83" s="96"/>
      <c r="I83" s="96"/>
      <c r="J83" s="96"/>
      <c r="K83" s="96"/>
      <c r="L83" s="96"/>
      <c r="M83" s="96"/>
      <c r="N83" s="96"/>
      <c r="O83" s="96"/>
      <c r="P83" s="96"/>
      <c r="Q83" s="96"/>
      <c r="R83" s="96"/>
      <c r="S83" s="96"/>
      <c r="T83" s="96"/>
      <c r="U83" s="96"/>
      <c r="V83" s="96"/>
      <c r="W83" s="96"/>
      <c r="X83" s="96"/>
      <c r="Y83" s="96"/>
      <c r="Z83" s="96"/>
      <c r="AA83" s="96"/>
      <c r="AB83" s="96"/>
      <c r="AC83" s="96"/>
      <c r="AD83" s="96"/>
    </row>
    <row r="84" spans="3:30" ht="18.75" customHeight="1">
      <c r="C84" s="96"/>
      <c r="D84" s="96"/>
      <c r="E84" s="96"/>
      <c r="F84" s="96"/>
      <c r="G84" s="96"/>
      <c r="H84" s="96"/>
      <c r="I84" s="96"/>
      <c r="J84" s="96"/>
      <c r="K84" s="96"/>
      <c r="L84" s="96"/>
      <c r="M84" s="96"/>
      <c r="N84" s="96"/>
      <c r="O84" s="96"/>
      <c r="P84" s="96"/>
      <c r="Q84" s="96"/>
      <c r="R84" s="96"/>
      <c r="S84" s="96"/>
      <c r="T84" s="96"/>
      <c r="U84" s="96"/>
      <c r="V84" s="96"/>
      <c r="W84" s="96"/>
      <c r="X84" s="96"/>
      <c r="Y84" s="96"/>
      <c r="Z84" s="96"/>
      <c r="AA84" s="96"/>
      <c r="AB84" s="96"/>
      <c r="AC84" s="96"/>
      <c r="AD84" s="96"/>
    </row>
    <row r="85" spans="3:30" ht="18.75" customHeight="1">
      <c r="C85" s="96"/>
      <c r="D85" s="96"/>
      <c r="E85" s="96"/>
      <c r="F85" s="96"/>
      <c r="G85" s="96"/>
      <c r="H85" s="96"/>
      <c r="I85" s="96"/>
      <c r="J85" s="96"/>
      <c r="K85" s="96"/>
      <c r="L85" s="96"/>
      <c r="M85" s="96"/>
      <c r="N85" s="96"/>
      <c r="O85" s="96"/>
      <c r="P85" s="96"/>
      <c r="Q85" s="96"/>
      <c r="R85" s="96"/>
      <c r="S85" s="96"/>
      <c r="T85" s="96"/>
      <c r="U85" s="96"/>
      <c r="V85" s="96"/>
      <c r="W85" s="96"/>
      <c r="X85" s="96"/>
      <c r="Y85" s="96"/>
      <c r="Z85" s="96"/>
      <c r="AA85" s="96"/>
      <c r="AB85" s="96"/>
      <c r="AC85" s="96"/>
      <c r="AD85" s="96"/>
    </row>
    <row r="86" spans="3:30" ht="18.75" customHeight="1">
      <c r="C86" s="96"/>
      <c r="D86" s="96"/>
      <c r="E86" s="96"/>
      <c r="F86" s="96"/>
      <c r="G86" s="96"/>
      <c r="H86" s="96"/>
      <c r="I86" s="96"/>
      <c r="J86" s="96"/>
      <c r="K86" s="96"/>
      <c r="L86" s="96"/>
      <c r="M86" s="96"/>
      <c r="N86" s="96"/>
      <c r="O86" s="96"/>
      <c r="P86" s="96"/>
      <c r="Q86" s="96"/>
      <c r="R86" s="96"/>
      <c r="S86" s="96"/>
      <c r="T86" s="96"/>
      <c r="U86" s="96"/>
      <c r="V86" s="96"/>
      <c r="W86" s="96"/>
      <c r="X86" s="96"/>
      <c r="Y86" s="96"/>
      <c r="Z86" s="96"/>
      <c r="AA86" s="96"/>
      <c r="AB86" s="96"/>
      <c r="AC86" s="96"/>
      <c r="AD86" s="96"/>
    </row>
    <row r="87" spans="3:30" ht="18.75" customHeight="1">
      <c r="C87" s="96"/>
      <c r="D87" s="96"/>
      <c r="E87" s="96"/>
      <c r="F87" s="96"/>
      <c r="G87" s="96"/>
      <c r="H87" s="96"/>
      <c r="I87" s="96"/>
      <c r="J87" s="96"/>
      <c r="K87" s="96"/>
      <c r="L87" s="96"/>
      <c r="M87" s="96"/>
      <c r="N87" s="96"/>
      <c r="O87" s="96"/>
      <c r="P87" s="96"/>
      <c r="Q87" s="96"/>
      <c r="R87" s="96"/>
      <c r="S87" s="96"/>
      <c r="T87" s="96"/>
      <c r="U87" s="96"/>
      <c r="V87" s="96"/>
      <c r="W87" s="96"/>
      <c r="X87" s="96"/>
      <c r="Y87" s="96"/>
      <c r="Z87" s="96"/>
      <c r="AA87" s="96"/>
      <c r="AB87" s="96"/>
      <c r="AC87" s="96"/>
      <c r="AD87" s="96"/>
    </row>
    <row r="88" spans="3:30" ht="18.75" customHeight="1">
      <c r="C88" s="96"/>
      <c r="D88" s="96"/>
      <c r="E88" s="96"/>
      <c r="F88" s="96"/>
      <c r="G88" s="96"/>
      <c r="H88" s="96"/>
      <c r="I88" s="96"/>
      <c r="J88" s="96"/>
      <c r="K88" s="96"/>
      <c r="L88" s="96"/>
      <c r="M88" s="96"/>
      <c r="N88" s="96"/>
      <c r="O88" s="96"/>
      <c r="P88" s="96"/>
      <c r="Q88" s="96"/>
      <c r="R88" s="96"/>
      <c r="S88" s="96"/>
      <c r="T88" s="96"/>
      <c r="U88" s="96"/>
      <c r="V88" s="96"/>
      <c r="W88" s="96"/>
      <c r="X88" s="96"/>
      <c r="Y88" s="96"/>
      <c r="Z88" s="96"/>
      <c r="AA88" s="96"/>
      <c r="AB88" s="96"/>
      <c r="AC88" s="96"/>
      <c r="AD88" s="96"/>
    </row>
    <row r="89" spans="3:30" ht="18.75" customHeight="1">
      <c r="C89" s="96"/>
      <c r="D89" s="96"/>
      <c r="E89" s="96"/>
      <c r="F89" s="96"/>
      <c r="G89" s="96"/>
      <c r="H89" s="96"/>
      <c r="I89" s="96"/>
      <c r="J89" s="96"/>
      <c r="K89" s="96"/>
      <c r="L89" s="96"/>
      <c r="M89" s="96"/>
      <c r="N89" s="96"/>
      <c r="O89" s="96"/>
      <c r="P89" s="96"/>
      <c r="Q89" s="96"/>
      <c r="R89" s="96"/>
      <c r="S89" s="96"/>
      <c r="T89" s="96"/>
      <c r="U89" s="96"/>
      <c r="V89" s="96"/>
      <c r="W89" s="96"/>
      <c r="X89" s="96"/>
      <c r="Y89" s="96"/>
      <c r="Z89" s="96"/>
      <c r="AA89" s="96"/>
      <c r="AB89" s="96"/>
      <c r="AC89" s="96"/>
      <c r="AD89" s="96"/>
    </row>
    <row r="90" spans="3:30" ht="18.75" customHeight="1">
      <c r="C90" s="96"/>
      <c r="D90" s="96"/>
      <c r="E90" s="96"/>
      <c r="F90" s="96"/>
      <c r="G90" s="96"/>
      <c r="H90" s="96"/>
      <c r="I90" s="96"/>
      <c r="J90" s="96"/>
      <c r="K90" s="96"/>
      <c r="L90" s="96"/>
      <c r="M90" s="96"/>
      <c r="N90" s="96"/>
      <c r="O90" s="96"/>
      <c r="P90" s="96"/>
      <c r="Q90" s="96"/>
      <c r="R90" s="96"/>
      <c r="S90" s="96"/>
      <c r="T90" s="96"/>
      <c r="U90" s="96"/>
      <c r="V90" s="96"/>
      <c r="W90" s="96"/>
      <c r="X90" s="96"/>
      <c r="Y90" s="96"/>
      <c r="Z90" s="96"/>
      <c r="AA90" s="96"/>
      <c r="AB90" s="96"/>
      <c r="AC90" s="96"/>
      <c r="AD90" s="96"/>
    </row>
    <row r="91" spans="3:30" ht="18.75" customHeight="1">
      <c r="C91" s="96"/>
      <c r="D91" s="96"/>
      <c r="E91" s="96"/>
      <c r="F91" s="96"/>
      <c r="G91" s="96"/>
      <c r="H91" s="96"/>
      <c r="I91" s="96"/>
      <c r="J91" s="96"/>
      <c r="K91" s="96"/>
      <c r="L91" s="96"/>
      <c r="M91" s="96"/>
      <c r="N91" s="96"/>
      <c r="O91" s="96"/>
      <c r="P91" s="96"/>
      <c r="Q91" s="96"/>
      <c r="R91" s="96"/>
      <c r="S91" s="96"/>
      <c r="T91" s="96"/>
      <c r="U91" s="96"/>
      <c r="V91" s="96"/>
      <c r="W91" s="96"/>
      <c r="X91" s="96"/>
      <c r="Y91" s="96"/>
      <c r="Z91" s="96"/>
      <c r="AA91" s="96"/>
      <c r="AB91" s="96"/>
      <c r="AC91" s="96"/>
      <c r="AD91" s="96"/>
    </row>
    <row r="92" spans="3:30">
      <c r="C92" s="96"/>
      <c r="D92" s="96"/>
      <c r="E92" s="96"/>
      <c r="F92" s="96"/>
      <c r="G92" s="96"/>
      <c r="H92" s="96"/>
      <c r="I92" s="96"/>
      <c r="J92" s="96"/>
      <c r="K92" s="96"/>
      <c r="L92" s="96"/>
      <c r="M92" s="96"/>
      <c r="N92" s="96"/>
      <c r="O92" s="96"/>
      <c r="P92" s="96"/>
      <c r="Q92" s="96"/>
      <c r="R92" s="96"/>
      <c r="S92" s="96"/>
      <c r="T92" s="96"/>
      <c r="U92" s="96"/>
      <c r="V92" s="96"/>
      <c r="W92" s="96"/>
      <c r="X92" s="96"/>
      <c r="Y92" s="96"/>
      <c r="Z92" s="96"/>
      <c r="AA92" s="96"/>
      <c r="AB92" s="96"/>
      <c r="AC92" s="96"/>
      <c r="AD92" s="96"/>
    </row>
    <row r="93" spans="3:30">
      <c r="C93" s="96"/>
      <c r="D93" s="96"/>
      <c r="E93" s="96"/>
      <c r="F93" s="96"/>
      <c r="G93" s="96"/>
      <c r="H93" s="96"/>
      <c r="I93" s="96"/>
      <c r="J93" s="96"/>
      <c r="K93" s="96"/>
      <c r="L93" s="96"/>
      <c r="M93" s="96"/>
      <c r="N93" s="96"/>
      <c r="O93" s="96"/>
      <c r="P93" s="96"/>
      <c r="Q93" s="96"/>
      <c r="R93" s="96"/>
      <c r="S93" s="96"/>
      <c r="T93" s="96"/>
      <c r="U93" s="96"/>
      <c r="V93" s="96"/>
      <c r="W93" s="96"/>
      <c r="X93" s="96"/>
      <c r="Y93" s="96"/>
      <c r="Z93" s="96"/>
      <c r="AA93" s="96"/>
      <c r="AB93" s="96"/>
      <c r="AC93" s="96"/>
      <c r="AD93" s="96"/>
    </row>
    <row r="94" spans="3:30">
      <c r="C94" s="96"/>
      <c r="D94" s="96"/>
      <c r="E94" s="96"/>
      <c r="F94" s="96"/>
      <c r="G94" s="96"/>
      <c r="H94" s="96"/>
      <c r="I94" s="96"/>
      <c r="J94" s="96"/>
      <c r="K94" s="96"/>
      <c r="L94" s="96"/>
      <c r="M94" s="96"/>
      <c r="N94" s="96"/>
      <c r="O94" s="96"/>
      <c r="P94" s="96"/>
      <c r="Q94" s="96"/>
      <c r="R94" s="96"/>
      <c r="S94" s="96"/>
      <c r="T94" s="96"/>
      <c r="U94" s="96"/>
      <c r="V94" s="96"/>
      <c r="W94" s="96"/>
      <c r="X94" s="96"/>
      <c r="Y94" s="96"/>
      <c r="Z94" s="96"/>
      <c r="AA94" s="96"/>
      <c r="AB94" s="96"/>
      <c r="AC94" s="96"/>
      <c r="AD94" s="96"/>
    </row>
    <row r="95" spans="3:30">
      <c r="C95" s="96"/>
      <c r="D95" s="96"/>
      <c r="E95" s="96"/>
      <c r="F95" s="96"/>
      <c r="G95" s="96"/>
      <c r="H95" s="96"/>
      <c r="I95" s="96"/>
      <c r="J95" s="96"/>
      <c r="K95" s="96"/>
      <c r="L95" s="96"/>
      <c r="M95" s="96"/>
      <c r="N95" s="96"/>
      <c r="O95" s="96"/>
      <c r="P95" s="96"/>
      <c r="Q95" s="96"/>
      <c r="R95" s="96"/>
      <c r="S95" s="96"/>
      <c r="T95" s="96"/>
      <c r="U95" s="96"/>
      <c r="V95" s="96"/>
      <c r="W95" s="96"/>
      <c r="X95" s="96"/>
      <c r="Y95" s="96"/>
      <c r="Z95" s="96"/>
      <c r="AA95" s="96"/>
      <c r="AB95" s="96"/>
      <c r="AC95" s="96"/>
      <c r="AD95" s="96"/>
    </row>
    <row r="96" spans="3:30">
      <c r="C96" s="96"/>
      <c r="D96" s="96"/>
      <c r="E96" s="96"/>
      <c r="F96" s="96"/>
      <c r="G96" s="96"/>
      <c r="H96" s="96"/>
      <c r="I96" s="96"/>
      <c r="J96" s="96"/>
      <c r="K96" s="96"/>
      <c r="L96" s="96"/>
      <c r="M96" s="96"/>
      <c r="N96" s="96"/>
      <c r="O96" s="96"/>
      <c r="P96" s="96"/>
      <c r="Q96" s="96"/>
      <c r="R96" s="96"/>
      <c r="S96" s="96"/>
      <c r="T96" s="96"/>
      <c r="U96" s="96"/>
      <c r="V96" s="96"/>
      <c r="W96" s="96"/>
      <c r="X96" s="96"/>
      <c r="Y96" s="96"/>
      <c r="Z96" s="96"/>
      <c r="AA96" s="96"/>
      <c r="AB96" s="96"/>
      <c r="AC96" s="96"/>
      <c r="AD96" s="96"/>
    </row>
    <row r="97" spans="3:30">
      <c r="C97" s="96"/>
      <c r="D97" s="96"/>
      <c r="E97" s="96"/>
      <c r="F97" s="96"/>
      <c r="G97" s="96"/>
      <c r="H97" s="96"/>
      <c r="I97" s="96"/>
      <c r="J97" s="96"/>
      <c r="K97" s="96"/>
      <c r="L97" s="96"/>
      <c r="M97" s="96"/>
      <c r="N97" s="96"/>
      <c r="O97" s="96"/>
      <c r="P97" s="96"/>
      <c r="Q97" s="96"/>
      <c r="R97" s="96"/>
      <c r="S97" s="96"/>
      <c r="T97" s="96"/>
      <c r="U97" s="96"/>
      <c r="V97" s="96"/>
      <c r="W97" s="96"/>
      <c r="X97" s="96"/>
      <c r="Y97" s="96"/>
      <c r="Z97" s="96"/>
      <c r="AA97" s="96"/>
      <c r="AB97" s="96"/>
      <c r="AC97" s="96"/>
      <c r="AD97" s="96"/>
    </row>
    <row r="98" spans="3:30">
      <c r="C98" s="96"/>
      <c r="D98" s="96"/>
      <c r="E98" s="96"/>
      <c r="F98" s="96"/>
      <c r="G98" s="96"/>
      <c r="H98" s="96"/>
      <c r="I98" s="96"/>
      <c r="J98" s="96"/>
      <c r="K98" s="96"/>
      <c r="L98" s="96"/>
      <c r="M98" s="96"/>
      <c r="N98" s="96"/>
      <c r="O98" s="96"/>
      <c r="P98" s="96"/>
      <c r="Q98" s="96"/>
      <c r="R98" s="96"/>
      <c r="S98" s="96"/>
      <c r="T98" s="96"/>
      <c r="U98" s="96"/>
      <c r="V98" s="96"/>
      <c r="W98" s="96"/>
      <c r="X98" s="96"/>
      <c r="Y98" s="96"/>
      <c r="Z98" s="96"/>
      <c r="AA98" s="96"/>
      <c r="AB98" s="96"/>
      <c r="AC98" s="96"/>
      <c r="AD98" s="96"/>
    </row>
  </sheetData>
  <mergeCells count="104">
    <mergeCell ref="Y24:AD24"/>
    <mergeCell ref="C32:AD33"/>
    <mergeCell ref="B1:M1"/>
    <mergeCell ref="P1:AD1"/>
    <mergeCell ref="P2:AD2"/>
    <mergeCell ref="T35:AE35"/>
    <mergeCell ref="T41:AE41"/>
    <mergeCell ref="C18:L18"/>
    <mergeCell ref="M18:AD18"/>
    <mergeCell ref="C2:L2"/>
    <mergeCell ref="C6:AD6"/>
    <mergeCell ref="C7:AD7"/>
    <mergeCell ref="C9:AD9"/>
    <mergeCell ref="C11:AD11"/>
    <mergeCell ref="C12:AD12"/>
    <mergeCell ref="C15:AD15"/>
    <mergeCell ref="C19:L19"/>
    <mergeCell ref="M19:AD19"/>
    <mergeCell ref="M26:R26"/>
    <mergeCell ref="C24:L24"/>
    <mergeCell ref="Y23:AD23"/>
    <mergeCell ref="S21:X21"/>
    <mergeCell ref="Y21:AD21"/>
    <mergeCell ref="M22:R22"/>
    <mergeCell ref="I36:M36"/>
    <mergeCell ref="I35:N35"/>
    <mergeCell ref="I34:N34"/>
    <mergeCell ref="C34:G34"/>
    <mergeCell ref="C37:G37"/>
    <mergeCell ref="I37:M37"/>
    <mergeCell ref="B43:G48"/>
    <mergeCell ref="Y45:AD48"/>
    <mergeCell ref="C26:L26"/>
    <mergeCell ref="C28:AD29"/>
    <mergeCell ref="Y65:AD68"/>
    <mergeCell ref="B49:G52"/>
    <mergeCell ref="B53:G56"/>
    <mergeCell ref="B57:G60"/>
    <mergeCell ref="B61:G64"/>
    <mergeCell ref="B65:G68"/>
    <mergeCell ref="H65:K68"/>
    <mergeCell ref="H61:K64"/>
    <mergeCell ref="N61:P64"/>
    <mergeCell ref="Q61:U64"/>
    <mergeCell ref="V61:X64"/>
    <mergeCell ref="L65:M68"/>
    <mergeCell ref="N65:P68"/>
    <mergeCell ref="Q65:U68"/>
    <mergeCell ref="V65:X68"/>
    <mergeCell ref="L61:M64"/>
    <mergeCell ref="Y49:AD52"/>
    <mergeCell ref="Y53:AD56"/>
    <mergeCell ref="N49:P52"/>
    <mergeCell ref="N53:P56"/>
    <mergeCell ref="Q53:U56"/>
    <mergeCell ref="V53:X56"/>
    <mergeCell ref="H49:K52"/>
    <mergeCell ref="Q49:U52"/>
    <mergeCell ref="Y57:AD60"/>
    <mergeCell ref="V49:X52"/>
    <mergeCell ref="Y61:AD64"/>
    <mergeCell ref="H57:K60"/>
    <mergeCell ref="L57:M60"/>
    <mergeCell ref="N57:P60"/>
    <mergeCell ref="Q57:U60"/>
    <mergeCell ref="V57:X60"/>
    <mergeCell ref="L49:M52"/>
    <mergeCell ref="H53:K56"/>
    <mergeCell ref="L53:M56"/>
    <mergeCell ref="C23:L23"/>
    <mergeCell ref="T34:AE34"/>
    <mergeCell ref="C27:AA27"/>
    <mergeCell ref="C30:AD31"/>
    <mergeCell ref="T40:AE40"/>
    <mergeCell ref="H43:AD44"/>
    <mergeCell ref="H45:K48"/>
    <mergeCell ref="V45:X48"/>
    <mergeCell ref="L45:M48"/>
    <mergeCell ref="M23:R23"/>
    <mergeCell ref="S23:X23"/>
    <mergeCell ref="S26:X26"/>
    <mergeCell ref="Y25:AD25"/>
    <mergeCell ref="Y26:AD26"/>
    <mergeCell ref="M24:R24"/>
    <mergeCell ref="M25:R25"/>
    <mergeCell ref="S24:X24"/>
    <mergeCell ref="S25:X25"/>
    <mergeCell ref="N45:P48"/>
    <mergeCell ref="Q45:U48"/>
    <mergeCell ref="C35:G35"/>
    <mergeCell ref="T39:AE39"/>
    <mergeCell ref="C25:L25"/>
    <mergeCell ref="C36:G36"/>
    <mergeCell ref="C20:AD20"/>
    <mergeCell ref="C16:L16"/>
    <mergeCell ref="M16:AD16"/>
    <mergeCell ref="C17:L17"/>
    <mergeCell ref="M17:AD17"/>
    <mergeCell ref="AG16:AW16"/>
    <mergeCell ref="M21:R21"/>
    <mergeCell ref="S22:X22"/>
    <mergeCell ref="C22:L22"/>
    <mergeCell ref="C21:L21"/>
    <mergeCell ref="Y22:AD22"/>
  </mergeCells>
  <pageMargins left="0" right="0" top="0.59055118110236227" bottom="0.47244094488188981" header="0" footer="0"/>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B1:AX98"/>
  <sheetViews>
    <sheetView view="pageLayout" topLeftCell="A28" workbookViewId="0">
      <selection activeCell="C28" sqref="C28:AF29"/>
    </sheetView>
  </sheetViews>
  <sheetFormatPr defaultColWidth="9.140625" defaultRowHeight="12.75"/>
  <cols>
    <col min="1" max="30" width="3" style="69" customWidth="1"/>
    <col min="31" max="31" width="3" style="96" customWidth="1"/>
    <col min="32" max="33" width="3" style="69" customWidth="1"/>
    <col min="34" max="123" width="3.140625" style="69" customWidth="1"/>
    <col min="124" max="16384" width="9.140625" style="69"/>
  </cols>
  <sheetData>
    <row r="1" spans="2:47" ht="19.7" customHeight="1">
      <c r="B1" s="370" t="s">
        <v>80</v>
      </c>
      <c r="C1" s="370"/>
      <c r="D1" s="370"/>
      <c r="E1" s="370"/>
      <c r="F1" s="370"/>
      <c r="G1" s="370"/>
      <c r="H1" s="370"/>
      <c r="I1" s="370"/>
      <c r="J1" s="370"/>
      <c r="K1" s="370"/>
      <c r="L1" s="370"/>
      <c r="M1" s="370"/>
      <c r="N1" s="370"/>
      <c r="O1" s="70"/>
      <c r="P1" s="351" t="s">
        <v>156</v>
      </c>
      <c r="Q1" s="351"/>
      <c r="R1" s="351"/>
      <c r="S1" s="351"/>
      <c r="T1" s="351"/>
      <c r="U1" s="351"/>
      <c r="V1" s="351"/>
      <c r="W1" s="351"/>
      <c r="X1" s="351"/>
      <c r="Y1" s="351"/>
      <c r="Z1" s="351"/>
      <c r="AA1" s="351"/>
      <c r="AB1" s="351"/>
      <c r="AC1" s="351"/>
      <c r="AD1" s="351"/>
      <c r="AE1" s="351"/>
    </row>
    <row r="2" spans="2:47" ht="19.7" customHeight="1">
      <c r="C2" s="370" t="s">
        <v>82</v>
      </c>
      <c r="D2" s="370"/>
      <c r="E2" s="370"/>
      <c r="F2" s="370"/>
      <c r="G2" s="370"/>
      <c r="H2" s="370"/>
      <c r="I2" s="370"/>
      <c r="J2" s="370"/>
      <c r="K2" s="370"/>
      <c r="L2" s="370"/>
      <c r="M2" s="370"/>
      <c r="N2" s="136"/>
      <c r="O2" s="70"/>
      <c r="P2" s="371" t="s">
        <v>152</v>
      </c>
      <c r="Q2" s="371"/>
      <c r="R2" s="371"/>
      <c r="S2" s="371"/>
      <c r="T2" s="371"/>
      <c r="U2" s="371"/>
      <c r="V2" s="371"/>
      <c r="W2" s="371"/>
      <c r="X2" s="371"/>
      <c r="Y2" s="371"/>
      <c r="Z2" s="371"/>
      <c r="AA2" s="371"/>
      <c r="AB2" s="371"/>
      <c r="AC2" s="371"/>
      <c r="AD2" s="371"/>
      <c r="AE2" s="371"/>
    </row>
    <row r="3" spans="2:47" ht="8.4499999999999993" customHeight="1">
      <c r="C3" s="134"/>
      <c r="D3" s="134"/>
      <c r="E3" s="77"/>
      <c r="F3" s="77"/>
      <c r="G3" s="77"/>
      <c r="H3" s="77"/>
      <c r="I3" s="77"/>
      <c r="J3" s="77"/>
      <c r="K3" s="134"/>
      <c r="L3" s="133"/>
      <c r="M3" s="134"/>
      <c r="N3" s="134"/>
      <c r="O3" s="134"/>
      <c r="P3" s="134"/>
      <c r="Q3" s="77"/>
      <c r="R3" s="77"/>
      <c r="S3" s="138"/>
      <c r="T3" s="138"/>
      <c r="U3" s="138"/>
      <c r="V3" s="138"/>
      <c r="W3" s="138"/>
      <c r="X3" s="138"/>
      <c r="Y3" s="138"/>
      <c r="Z3" s="138"/>
      <c r="AA3" s="138"/>
      <c r="AB3" s="140"/>
      <c r="AC3" s="70"/>
      <c r="AD3" s="70"/>
      <c r="AE3" s="139"/>
    </row>
    <row r="4" spans="2:47" ht="2.25" customHeight="1">
      <c r="C4" s="75"/>
      <c r="D4" s="75"/>
      <c r="E4" s="76"/>
      <c r="F4" s="76"/>
      <c r="G4" s="76"/>
      <c r="H4" s="76"/>
      <c r="I4" s="76"/>
      <c r="J4" s="76"/>
      <c r="K4" s="76"/>
      <c r="L4" s="77"/>
      <c r="M4" s="77"/>
      <c r="N4" s="77"/>
      <c r="O4" s="77"/>
      <c r="P4" s="76"/>
      <c r="Q4" s="136"/>
      <c r="R4" s="136"/>
      <c r="S4" s="136"/>
      <c r="T4" s="136"/>
      <c r="U4" s="136"/>
      <c r="V4" s="136"/>
      <c r="W4" s="136"/>
      <c r="X4" s="136"/>
      <c r="Y4" s="136"/>
      <c r="Z4" s="136"/>
      <c r="AA4" s="136"/>
      <c r="AB4" s="136"/>
      <c r="AC4" s="136"/>
      <c r="AD4" s="136"/>
      <c r="AE4" s="139"/>
    </row>
    <row r="5" spans="2:47" ht="1.5" hidden="1" customHeight="1">
      <c r="C5" s="137"/>
      <c r="D5" s="137"/>
      <c r="E5" s="134"/>
      <c r="F5" s="134"/>
      <c r="G5" s="134"/>
      <c r="H5" s="134"/>
      <c r="I5" s="134"/>
      <c r="J5" s="134"/>
      <c r="K5" s="134"/>
      <c r="L5" s="134"/>
      <c r="M5" s="134"/>
      <c r="N5" s="134"/>
      <c r="O5" s="134"/>
      <c r="P5" s="134"/>
      <c r="Q5" s="134"/>
      <c r="R5" s="134"/>
      <c r="S5" s="134"/>
      <c r="T5" s="134"/>
      <c r="U5" s="134"/>
      <c r="V5" s="134"/>
      <c r="W5" s="134"/>
      <c r="X5" s="134"/>
      <c r="Y5" s="134"/>
      <c r="Z5" s="134"/>
      <c r="AA5" s="134"/>
      <c r="AB5" s="70"/>
      <c r="AC5" s="70"/>
      <c r="AD5" s="70"/>
      <c r="AE5" s="139"/>
    </row>
    <row r="6" spans="2:47" ht="19.7" customHeight="1">
      <c r="C6" s="363" t="s">
        <v>83</v>
      </c>
      <c r="D6" s="363"/>
      <c r="E6" s="363"/>
      <c r="F6" s="363"/>
      <c r="G6" s="363"/>
      <c r="H6" s="363"/>
      <c r="I6" s="363"/>
      <c r="J6" s="363"/>
      <c r="K6" s="363"/>
      <c r="L6" s="363"/>
      <c r="M6" s="363"/>
      <c r="N6" s="363"/>
      <c r="O6" s="363"/>
      <c r="P6" s="363"/>
      <c r="Q6" s="363"/>
      <c r="R6" s="363"/>
      <c r="S6" s="363"/>
      <c r="T6" s="363"/>
      <c r="U6" s="363"/>
      <c r="V6" s="363"/>
      <c r="W6" s="363"/>
      <c r="X6" s="363"/>
      <c r="Y6" s="363"/>
      <c r="Z6" s="363"/>
      <c r="AA6" s="363"/>
      <c r="AB6" s="363"/>
      <c r="AC6" s="363"/>
      <c r="AD6" s="363"/>
      <c r="AE6" s="363"/>
    </row>
    <row r="7" spans="2:47" ht="19.7" customHeight="1">
      <c r="C7" s="363" t="s">
        <v>84</v>
      </c>
      <c r="D7" s="363"/>
      <c r="E7" s="363"/>
      <c r="F7" s="363"/>
      <c r="G7" s="363"/>
      <c r="H7" s="363"/>
      <c r="I7" s="363"/>
      <c r="J7" s="363"/>
      <c r="K7" s="363"/>
      <c r="L7" s="363"/>
      <c r="M7" s="363"/>
      <c r="N7" s="363"/>
      <c r="O7" s="363"/>
      <c r="P7" s="363"/>
      <c r="Q7" s="363"/>
      <c r="R7" s="363"/>
      <c r="S7" s="363"/>
      <c r="T7" s="363"/>
      <c r="U7" s="363"/>
      <c r="V7" s="363"/>
      <c r="W7" s="363"/>
      <c r="X7" s="363"/>
      <c r="Y7" s="363"/>
      <c r="Z7" s="363"/>
      <c r="AA7" s="363"/>
      <c r="AB7" s="363"/>
      <c r="AC7" s="363"/>
      <c r="AD7" s="363"/>
      <c r="AE7" s="363"/>
    </row>
    <row r="8" spans="2:47" ht="9" customHeight="1">
      <c r="C8" s="133"/>
      <c r="D8" s="134"/>
      <c r="E8" s="134"/>
      <c r="F8" s="134"/>
      <c r="G8" s="134"/>
      <c r="H8" s="134"/>
      <c r="I8" s="134"/>
      <c r="J8" s="134"/>
      <c r="K8" s="134"/>
      <c r="L8" s="134"/>
      <c r="M8" s="134"/>
      <c r="N8" s="134"/>
      <c r="O8" s="134"/>
      <c r="P8" s="134"/>
      <c r="Q8" s="134"/>
      <c r="R8" s="134"/>
      <c r="S8" s="134"/>
      <c r="T8" s="134"/>
      <c r="U8" s="134"/>
      <c r="V8" s="134"/>
      <c r="W8" s="134"/>
      <c r="X8" s="134"/>
      <c r="Y8" s="134"/>
      <c r="Z8" s="134"/>
      <c r="AA8" s="134"/>
      <c r="AB8" s="70"/>
      <c r="AC8" s="70"/>
      <c r="AD8" s="70"/>
      <c r="AE8" s="139"/>
    </row>
    <row r="9" spans="2:47" ht="19.7" customHeight="1">
      <c r="C9" s="371" t="str">
        <f>"Số: "&amp;AI9</f>
        <v>Số: B08600120811TG05</v>
      </c>
      <c r="D9" s="371"/>
      <c r="E9" s="371"/>
      <c r="F9" s="371"/>
      <c r="G9" s="371"/>
      <c r="H9" s="371"/>
      <c r="I9" s="371"/>
      <c r="J9" s="371"/>
      <c r="K9" s="371"/>
      <c r="L9" s="371"/>
      <c r="M9" s="371"/>
      <c r="N9" s="371"/>
      <c r="O9" s="371"/>
      <c r="P9" s="371"/>
      <c r="Q9" s="371"/>
      <c r="R9" s="371"/>
      <c r="S9" s="371"/>
      <c r="T9" s="371"/>
      <c r="U9" s="371"/>
      <c r="V9" s="371"/>
      <c r="W9" s="371"/>
      <c r="X9" s="371"/>
      <c r="Y9" s="371"/>
      <c r="Z9" s="371"/>
      <c r="AA9" s="371"/>
      <c r="AB9" s="371"/>
      <c r="AC9" s="371"/>
      <c r="AD9" s="371"/>
      <c r="AE9" s="371"/>
      <c r="AI9" s="81" t="s">
        <v>189</v>
      </c>
    </row>
    <row r="10" spans="2:47" ht="6" customHeight="1">
      <c r="C10" s="135"/>
      <c r="D10" s="134"/>
      <c r="E10" s="134"/>
      <c r="F10" s="134"/>
      <c r="G10" s="134"/>
      <c r="H10" s="134"/>
      <c r="I10" s="134"/>
      <c r="J10" s="134"/>
      <c r="K10" s="134"/>
      <c r="L10" s="134"/>
      <c r="M10" s="134"/>
      <c r="N10" s="134"/>
      <c r="O10" s="134"/>
      <c r="P10" s="134"/>
      <c r="Q10" s="134"/>
      <c r="R10" s="134"/>
      <c r="S10" s="134"/>
      <c r="T10" s="134"/>
      <c r="U10" s="134"/>
      <c r="V10" s="134"/>
      <c r="W10" s="134"/>
      <c r="X10" s="134"/>
      <c r="Y10" s="134"/>
      <c r="Z10" s="134"/>
      <c r="AA10" s="134"/>
      <c r="AB10" s="70"/>
      <c r="AC10" s="70"/>
      <c r="AD10" s="70"/>
      <c r="AE10" s="139"/>
    </row>
    <row r="11" spans="2:47" ht="19.7" customHeight="1">
      <c r="C11" s="363" t="s">
        <v>85</v>
      </c>
      <c r="D11" s="363"/>
      <c r="E11" s="363"/>
      <c r="F11" s="363"/>
      <c r="G11" s="363"/>
      <c r="H11" s="363"/>
      <c r="I11" s="363"/>
      <c r="J11" s="363"/>
      <c r="K11" s="363"/>
      <c r="L11" s="363"/>
      <c r="M11" s="363"/>
      <c r="N11" s="363"/>
      <c r="O11" s="363"/>
      <c r="P11" s="363"/>
      <c r="Q11" s="363"/>
      <c r="R11" s="363"/>
      <c r="S11" s="363"/>
      <c r="T11" s="363"/>
      <c r="U11" s="363"/>
      <c r="V11" s="363"/>
      <c r="W11" s="363"/>
      <c r="X11" s="363"/>
      <c r="Y11" s="363"/>
      <c r="Z11" s="363"/>
      <c r="AA11" s="363"/>
      <c r="AB11" s="363"/>
      <c r="AC11" s="363"/>
      <c r="AD11" s="363"/>
      <c r="AE11" s="363"/>
    </row>
    <row r="12" spans="2:47" ht="19.7" customHeight="1">
      <c r="C12" s="363" t="s">
        <v>86</v>
      </c>
      <c r="D12" s="363"/>
      <c r="E12" s="363"/>
      <c r="F12" s="363"/>
      <c r="G12" s="363"/>
      <c r="H12" s="363"/>
      <c r="I12" s="363"/>
      <c r="J12" s="363"/>
      <c r="K12" s="363"/>
      <c r="L12" s="363"/>
      <c r="M12" s="363"/>
      <c r="N12" s="363"/>
      <c r="O12" s="363"/>
      <c r="P12" s="363"/>
      <c r="Q12" s="363"/>
      <c r="R12" s="363"/>
      <c r="S12" s="363"/>
      <c r="T12" s="363"/>
      <c r="U12" s="363"/>
      <c r="V12" s="363"/>
      <c r="W12" s="363"/>
      <c r="X12" s="363"/>
      <c r="Y12" s="363"/>
      <c r="Z12" s="363"/>
      <c r="AA12" s="363"/>
      <c r="AB12" s="363"/>
      <c r="AC12" s="363"/>
      <c r="AD12" s="363"/>
      <c r="AE12" s="363"/>
    </row>
    <row r="13" spans="2:47" ht="6.75" customHeight="1">
      <c r="C13" s="102"/>
      <c r="D13" s="72"/>
      <c r="E13" s="72"/>
      <c r="F13" s="72"/>
      <c r="G13" s="72"/>
      <c r="H13" s="72"/>
      <c r="I13" s="72"/>
      <c r="J13" s="72"/>
      <c r="K13" s="72"/>
      <c r="L13" s="72"/>
      <c r="M13" s="72"/>
      <c r="N13" s="72"/>
      <c r="O13" s="72"/>
      <c r="P13" s="72"/>
      <c r="Q13" s="72"/>
      <c r="R13" s="72"/>
      <c r="S13" s="72"/>
      <c r="T13" s="72"/>
      <c r="U13" s="72"/>
      <c r="V13" s="72"/>
      <c r="W13" s="72"/>
      <c r="X13" s="72"/>
      <c r="Y13" s="72"/>
      <c r="Z13" s="72"/>
      <c r="AA13" s="72"/>
    </row>
    <row r="14" spans="2:47" ht="2.25" hidden="1" customHeight="1">
      <c r="C14" s="80"/>
      <c r="D14" s="72"/>
      <c r="E14" s="72"/>
      <c r="F14" s="72"/>
      <c r="G14" s="72"/>
      <c r="H14" s="72"/>
      <c r="I14" s="72"/>
      <c r="J14" s="72"/>
      <c r="K14" s="72"/>
      <c r="L14" s="72"/>
      <c r="M14" s="72"/>
      <c r="N14" s="72"/>
      <c r="O14" s="72"/>
      <c r="P14" s="72"/>
      <c r="Q14" s="72"/>
      <c r="R14" s="72"/>
      <c r="S14" s="72"/>
      <c r="T14" s="72"/>
      <c r="U14" s="72"/>
      <c r="V14" s="72"/>
      <c r="W14" s="72"/>
      <c r="X14" s="72"/>
      <c r="Y14" s="72"/>
      <c r="Z14" s="72"/>
      <c r="AA14" s="72"/>
    </row>
    <row r="15" spans="2:47" ht="22.5" customHeight="1">
      <c r="C15" s="422" t="s">
        <v>84</v>
      </c>
      <c r="D15" s="422"/>
      <c r="E15" s="422"/>
      <c r="F15" s="422"/>
      <c r="G15" s="422"/>
      <c r="H15" s="422"/>
      <c r="I15" s="422"/>
      <c r="J15" s="422"/>
      <c r="K15" s="422"/>
      <c r="L15" s="422"/>
      <c r="M15" s="422"/>
      <c r="N15" s="422"/>
      <c r="O15" s="422"/>
      <c r="P15" s="422"/>
      <c r="Q15" s="422"/>
      <c r="R15" s="422"/>
      <c r="S15" s="422"/>
      <c r="T15" s="422"/>
      <c r="U15" s="422"/>
      <c r="V15" s="422"/>
      <c r="W15" s="422"/>
      <c r="X15" s="422"/>
      <c r="Y15" s="422"/>
      <c r="Z15" s="422"/>
      <c r="AA15" s="422"/>
      <c r="AB15" s="422"/>
      <c r="AC15" s="422"/>
      <c r="AD15" s="422"/>
      <c r="AE15" s="422"/>
      <c r="AF15" s="422"/>
      <c r="AG15" s="101"/>
      <c r="AH15" s="101"/>
      <c r="AI15" s="83">
        <v>1</v>
      </c>
      <c r="AJ15" s="83"/>
      <c r="AK15" s="83"/>
      <c r="AL15" s="83"/>
      <c r="AM15" s="83">
        <v>2</v>
      </c>
      <c r="AN15" s="83"/>
      <c r="AO15" s="83"/>
      <c r="AP15" s="83"/>
      <c r="AQ15" s="83">
        <v>3</v>
      </c>
      <c r="AU15" s="69">
        <v>4</v>
      </c>
    </row>
    <row r="16" spans="2:47" ht="38.25" customHeight="1">
      <c r="C16" s="406" t="s">
        <v>24</v>
      </c>
      <c r="D16" s="407"/>
      <c r="E16" s="407"/>
      <c r="F16" s="407"/>
      <c r="G16" s="407"/>
      <c r="H16" s="407"/>
      <c r="I16" s="407"/>
      <c r="J16" s="407"/>
      <c r="K16" s="407"/>
      <c r="L16" s="408"/>
      <c r="M16" s="409" t="str">
        <f>AI16</f>
        <v>Ấp Bàu Trâu, xã Phước Thạnh, huyện Củ Chi, thành phố Hồ Chí Minh.</v>
      </c>
      <c r="N16" s="410"/>
      <c r="O16" s="410"/>
      <c r="P16" s="410"/>
      <c r="Q16" s="410"/>
      <c r="R16" s="410"/>
      <c r="S16" s="410"/>
      <c r="T16" s="410"/>
      <c r="U16" s="410"/>
      <c r="V16" s="410"/>
      <c r="W16" s="410"/>
      <c r="X16" s="410"/>
      <c r="Y16" s="410"/>
      <c r="Z16" s="410"/>
      <c r="AA16" s="410"/>
      <c r="AB16" s="410"/>
      <c r="AC16" s="410"/>
      <c r="AD16" s="410"/>
      <c r="AE16" s="410"/>
      <c r="AF16" s="411"/>
      <c r="AG16" s="107"/>
      <c r="AH16" s="107"/>
      <c r="AI16" s="84" t="s">
        <v>87</v>
      </c>
    </row>
    <row r="17" spans="3:49" ht="22.5" customHeight="1">
      <c r="C17" s="429" t="s">
        <v>17</v>
      </c>
      <c r="D17" s="430"/>
      <c r="E17" s="430"/>
      <c r="F17" s="430"/>
      <c r="G17" s="430"/>
      <c r="H17" s="430"/>
      <c r="I17" s="430"/>
      <c r="J17" s="430"/>
      <c r="K17" s="430"/>
      <c r="L17" s="431"/>
      <c r="M17" s="426" t="str">
        <f>IF(AG17="","",AG17)</f>
        <v/>
      </c>
      <c r="N17" s="427"/>
      <c r="O17" s="427"/>
      <c r="P17" s="427"/>
      <c r="Q17" s="427"/>
      <c r="R17" s="427"/>
      <c r="S17" s="427"/>
      <c r="T17" s="427"/>
      <c r="U17" s="427"/>
      <c r="V17" s="427"/>
      <c r="W17" s="427"/>
      <c r="X17" s="427"/>
      <c r="Y17" s="427"/>
      <c r="Z17" s="427"/>
      <c r="AA17" s="427"/>
      <c r="AB17" s="427"/>
      <c r="AC17" s="427"/>
      <c r="AD17" s="427"/>
      <c r="AE17" s="427"/>
      <c r="AF17" s="428"/>
      <c r="AG17" s="107"/>
      <c r="AH17" s="107"/>
    </row>
    <row r="18" spans="3:49" ht="31.35" customHeight="1">
      <c r="C18" s="436" t="s">
        <v>9</v>
      </c>
      <c r="D18" s="437"/>
      <c r="E18" s="437"/>
      <c r="F18" s="437"/>
      <c r="G18" s="437"/>
      <c r="H18" s="437"/>
      <c r="I18" s="437"/>
      <c r="J18" s="437"/>
      <c r="K18" s="437"/>
      <c r="L18" s="437"/>
      <c r="M18" s="416" t="str">
        <f>AI18</f>
        <v>CÔNG TY CỔ PHẦN VIỄN THÔNG DI ĐỘNG TOÀN CẦU</v>
      </c>
      <c r="N18" s="416"/>
      <c r="O18" s="416"/>
      <c r="P18" s="416"/>
      <c r="Q18" s="416"/>
      <c r="R18" s="416"/>
      <c r="S18" s="416"/>
      <c r="T18" s="416"/>
      <c r="U18" s="416"/>
      <c r="V18" s="416"/>
      <c r="W18" s="416"/>
      <c r="X18" s="416"/>
      <c r="Y18" s="416"/>
      <c r="Z18" s="416"/>
      <c r="AA18" s="416"/>
      <c r="AB18" s="416"/>
      <c r="AC18" s="416"/>
      <c r="AD18" s="416"/>
      <c r="AE18" s="416"/>
      <c r="AF18" s="416"/>
      <c r="AG18" s="107"/>
      <c r="AH18" s="107"/>
      <c r="AI18" s="81" t="s">
        <v>132</v>
      </c>
    </row>
    <row r="19" spans="3:49" ht="31.35" customHeight="1">
      <c r="C19" s="436" t="s">
        <v>16</v>
      </c>
      <c r="D19" s="437"/>
      <c r="E19" s="437"/>
      <c r="F19" s="437"/>
      <c r="G19" s="437"/>
      <c r="H19" s="437"/>
      <c r="I19" s="437"/>
      <c r="J19" s="437"/>
      <c r="K19" s="437"/>
      <c r="L19" s="437"/>
      <c r="M19" s="416" t="str">
        <f>AI19</f>
        <v>CÔNG TY CỔ PHẦN VIỄN THÔNG DI ĐỘNG TOÀN CẦU</v>
      </c>
      <c r="N19" s="416"/>
      <c r="O19" s="416"/>
      <c r="P19" s="416"/>
      <c r="Q19" s="416"/>
      <c r="R19" s="416"/>
      <c r="S19" s="416"/>
      <c r="T19" s="416"/>
      <c r="U19" s="416"/>
      <c r="V19" s="416"/>
      <c r="W19" s="416"/>
      <c r="X19" s="416"/>
      <c r="Y19" s="416"/>
      <c r="Z19" s="416"/>
      <c r="AA19" s="416"/>
      <c r="AB19" s="416"/>
      <c r="AC19" s="416"/>
      <c r="AD19" s="416"/>
      <c r="AE19" s="416"/>
      <c r="AF19" s="416"/>
      <c r="AG19" s="107"/>
      <c r="AH19" s="107"/>
      <c r="AI19" s="81" t="s">
        <v>132</v>
      </c>
    </row>
    <row r="20" spans="3:49" ht="18.75" customHeight="1">
      <c r="C20" s="403" t="s">
        <v>88</v>
      </c>
      <c r="D20" s="404"/>
      <c r="E20" s="404"/>
      <c r="F20" s="404"/>
      <c r="G20" s="404"/>
      <c r="H20" s="404"/>
      <c r="I20" s="404"/>
      <c r="J20" s="404"/>
      <c r="K20" s="404"/>
      <c r="L20" s="404"/>
      <c r="M20" s="404"/>
      <c r="N20" s="404"/>
      <c r="O20" s="404"/>
      <c r="P20" s="404"/>
      <c r="Q20" s="404"/>
      <c r="R20" s="404"/>
      <c r="S20" s="404"/>
      <c r="T20" s="404"/>
      <c r="U20" s="404"/>
      <c r="V20" s="404"/>
      <c r="W20" s="404"/>
      <c r="X20" s="404"/>
      <c r="Y20" s="404"/>
      <c r="Z20" s="404"/>
      <c r="AA20" s="404"/>
      <c r="AB20" s="404"/>
      <c r="AC20" s="404"/>
      <c r="AD20" s="404"/>
      <c r="AE20" s="404"/>
      <c r="AF20" s="405"/>
      <c r="AG20" s="108"/>
      <c r="AH20" s="108"/>
    </row>
    <row r="21" spans="3:49" ht="45.2" customHeight="1">
      <c r="C21" s="420" t="s">
        <v>89</v>
      </c>
      <c r="D21" s="420"/>
      <c r="E21" s="420"/>
      <c r="F21" s="420"/>
      <c r="G21" s="420"/>
      <c r="H21" s="420"/>
      <c r="I21" s="420"/>
      <c r="J21" s="420"/>
      <c r="K21" s="420"/>
      <c r="L21" s="420"/>
      <c r="M21" s="416" t="str">
        <f t="shared" ref="M21:M23" si="0">AI21</f>
        <v>A</v>
      </c>
      <c r="N21" s="416"/>
      <c r="O21" s="416"/>
      <c r="P21" s="416"/>
      <c r="Q21" s="416"/>
      <c r="R21" s="416" t="str">
        <f t="shared" ref="R21:R23" si="1">AM21</f>
        <v>B</v>
      </c>
      <c r="S21" s="416"/>
      <c r="T21" s="416"/>
      <c r="U21" s="416"/>
      <c r="V21" s="416"/>
      <c r="W21" s="416" t="str">
        <f>AQ21</f>
        <v>C</v>
      </c>
      <c r="X21" s="416"/>
      <c r="Y21" s="416"/>
      <c r="Z21" s="416"/>
      <c r="AA21" s="416"/>
      <c r="AB21" s="416" t="str">
        <f>AU21</f>
        <v>D</v>
      </c>
      <c r="AC21" s="416"/>
      <c r="AD21" s="416"/>
      <c r="AE21" s="416"/>
      <c r="AF21" s="416"/>
      <c r="AG21" s="101"/>
      <c r="AH21" s="101"/>
      <c r="AI21" s="81" t="s">
        <v>90</v>
      </c>
      <c r="AM21" s="81" t="s">
        <v>91</v>
      </c>
      <c r="AQ21" s="81" t="s">
        <v>92</v>
      </c>
      <c r="AU21" s="81" t="s">
        <v>93</v>
      </c>
    </row>
    <row r="22" spans="3:49" ht="17.100000000000001" customHeight="1">
      <c r="C22" s="420" t="s">
        <v>94</v>
      </c>
      <c r="D22" s="420"/>
      <c r="E22" s="420"/>
      <c r="F22" s="420"/>
      <c r="G22" s="420"/>
      <c r="H22" s="420"/>
      <c r="I22" s="420"/>
      <c r="J22" s="420"/>
      <c r="K22" s="420"/>
      <c r="L22" s="420"/>
      <c r="M22" s="416">
        <f>AI22</f>
        <v>3</v>
      </c>
      <c r="N22" s="416"/>
      <c r="O22" s="416"/>
      <c r="P22" s="416"/>
      <c r="Q22" s="416"/>
      <c r="R22" s="416">
        <f>AM22</f>
        <v>3</v>
      </c>
      <c r="S22" s="416"/>
      <c r="T22" s="416"/>
      <c r="U22" s="416"/>
      <c r="V22" s="416"/>
      <c r="W22" s="416">
        <f>AQ22</f>
        <v>3</v>
      </c>
      <c r="X22" s="416"/>
      <c r="Y22" s="416"/>
      <c r="Z22" s="416"/>
      <c r="AA22" s="416"/>
      <c r="AB22" s="416">
        <f>AU22</f>
        <v>1</v>
      </c>
      <c r="AC22" s="416"/>
      <c r="AD22" s="416"/>
      <c r="AE22" s="416"/>
      <c r="AF22" s="416"/>
      <c r="AG22" s="101"/>
      <c r="AH22" s="101"/>
      <c r="AI22" s="83">
        <v>3</v>
      </c>
      <c r="AJ22" s="83"/>
      <c r="AK22" s="83"/>
      <c r="AL22" s="83"/>
      <c r="AM22" s="83">
        <v>3</v>
      </c>
      <c r="AN22" s="83"/>
      <c r="AO22" s="83"/>
      <c r="AP22" s="83"/>
      <c r="AQ22" s="83">
        <v>3</v>
      </c>
      <c r="AU22" s="69">
        <v>1</v>
      </c>
    </row>
    <row r="23" spans="3:49" ht="17.100000000000001" customHeight="1">
      <c r="C23" s="420" t="s">
        <v>95</v>
      </c>
      <c r="D23" s="420"/>
      <c r="E23" s="420"/>
      <c r="F23" s="420"/>
      <c r="G23" s="420"/>
      <c r="H23" s="420"/>
      <c r="I23" s="420"/>
      <c r="J23" s="420"/>
      <c r="K23" s="420"/>
      <c r="L23" s="420"/>
      <c r="M23" s="432" t="str">
        <f t="shared" si="0"/>
        <v>4/4/4</v>
      </c>
      <c r="N23" s="432"/>
      <c r="O23" s="432"/>
      <c r="P23" s="432"/>
      <c r="Q23" s="432"/>
      <c r="R23" s="432" t="str">
        <f t="shared" si="1"/>
        <v>2/2/2</v>
      </c>
      <c r="S23" s="432"/>
      <c r="T23" s="432"/>
      <c r="U23" s="432"/>
      <c r="V23" s="432"/>
      <c r="W23" s="434" t="str">
        <f>AQ23</f>
        <v>5/5/5</v>
      </c>
      <c r="X23" s="432"/>
      <c r="Y23" s="432"/>
      <c r="Z23" s="432"/>
      <c r="AA23" s="432"/>
      <c r="AB23" s="434" t="str">
        <f>AU23</f>
        <v>4/2/4</v>
      </c>
      <c r="AC23" s="432"/>
      <c r="AD23" s="432"/>
      <c r="AE23" s="432"/>
      <c r="AF23" s="432"/>
      <c r="AI23" s="85" t="s">
        <v>96</v>
      </c>
      <c r="AJ23" s="86"/>
      <c r="AK23" s="86"/>
      <c r="AL23" s="86"/>
      <c r="AM23" s="85" t="s">
        <v>97</v>
      </c>
      <c r="AN23" s="86"/>
      <c r="AO23" s="86"/>
      <c r="AP23" s="86"/>
      <c r="AQ23" s="85" t="s">
        <v>98</v>
      </c>
      <c r="AR23" s="86"/>
      <c r="AS23" s="86"/>
      <c r="AT23" s="86"/>
      <c r="AU23" s="85" t="s">
        <v>99</v>
      </c>
    </row>
    <row r="24" spans="3:49" ht="31.35" customHeight="1">
      <c r="C24" s="420" t="s">
        <v>133</v>
      </c>
      <c r="D24" s="420"/>
      <c r="E24" s="420"/>
      <c r="F24" s="420"/>
      <c r="G24" s="420"/>
      <c r="H24" s="420"/>
      <c r="I24" s="420"/>
      <c r="J24" s="420"/>
      <c r="K24" s="420"/>
      <c r="L24" s="420"/>
      <c r="M24" s="432" t="str">
        <f>IF(M22=4,AI24&amp;"W/ "&amp;AJ24&amp;"W/ "&amp;AK24&amp;"W/ "&amp;AL24&amp;"W",IF(M22=3,AI24&amp;"W/ "&amp;AJ24&amp;"W/ "&amp;AK24&amp;"W",IF(M22=2,AI24&amp;"W/ "&amp;AJ24&amp;"W",AI24&amp;"W")))</f>
        <v>100,45W/ 100,69W/ 100,69W</v>
      </c>
      <c r="N24" s="432"/>
      <c r="O24" s="432"/>
      <c r="P24" s="432"/>
      <c r="Q24" s="432"/>
      <c r="R24" s="432" t="str">
        <f>IF(R22=4,AM24&amp;"W/ "&amp;AN24&amp;"W/ "&amp;AO24&amp;"W/ "&amp;AP24&amp;"W",IF(R22=3,AM24&amp;"W/ "&amp;AN24&amp;"W/ "&amp;AO24&amp;"W",IF(R22=2,AM24&amp;"W/ "&amp;AN24&amp;"W",AM24&amp;"W")))</f>
        <v>40W/ 40W/ 40W</v>
      </c>
      <c r="S24" s="432"/>
      <c r="T24" s="432"/>
      <c r="U24" s="432"/>
      <c r="V24" s="432"/>
      <c r="W24" s="432" t="str">
        <f>IF(W22=4,AQ24&amp;"W/ "&amp;AR24&amp;"W/ "&amp;AS24&amp;"W/ "&amp;AT24&amp;"W",IF(W22=3,AQ24&amp;"W/ "&amp;AR24&amp;"W/ "&amp;AS24&amp;"W",IF(W22=2,AQ24&amp;"W/ "&amp;AR24&amp;"W",AQ24&amp;"W")))</f>
        <v>60W/ 60W/ 60W</v>
      </c>
      <c r="X24" s="432"/>
      <c r="Y24" s="432"/>
      <c r="Z24" s="432"/>
      <c r="AA24" s="432"/>
      <c r="AB24" s="432" t="str">
        <f>IF(AB22=3,AU24&amp;"W/ "&amp;AV24&amp;"W/ "&amp;AW24&amp;"W",IF(AB22=2,AU24&amp;"W/ "&amp;AV24&amp;"W",AW24&amp;"W"))</f>
        <v>80W</v>
      </c>
      <c r="AC24" s="432"/>
      <c r="AD24" s="432"/>
      <c r="AE24" s="432"/>
      <c r="AF24" s="432"/>
      <c r="AI24" s="69" t="s">
        <v>157</v>
      </c>
      <c r="AJ24" s="69" t="s">
        <v>160</v>
      </c>
      <c r="AK24" s="69">
        <v>100.69</v>
      </c>
      <c r="AM24" s="69">
        <v>40</v>
      </c>
      <c r="AN24" s="69">
        <v>40</v>
      </c>
      <c r="AO24" s="69">
        <v>40</v>
      </c>
      <c r="AQ24" s="69">
        <v>60</v>
      </c>
      <c r="AR24" s="69">
        <v>60</v>
      </c>
      <c r="AS24" s="69">
        <v>60</v>
      </c>
      <c r="AU24" s="69">
        <v>80</v>
      </c>
      <c r="AV24" s="69">
        <v>80</v>
      </c>
      <c r="AW24" s="69">
        <v>80</v>
      </c>
    </row>
    <row r="25" spans="3:49" ht="31.35" customHeight="1">
      <c r="C25" s="420" t="s">
        <v>100</v>
      </c>
      <c r="D25" s="420"/>
      <c r="E25" s="420"/>
      <c r="F25" s="420"/>
      <c r="G25" s="420"/>
      <c r="H25" s="420"/>
      <c r="I25" s="420"/>
      <c r="J25" s="420"/>
      <c r="K25" s="420"/>
      <c r="L25" s="420"/>
      <c r="M25" s="432" t="str">
        <f>IF(AI25="900 &amp; 1800","900MHz &amp; 1800MHz",IF(AI25="900 &amp; 2100","900MHz &amp; 2100MHz",AI25&amp;"MHz"))</f>
        <v>900MHz</v>
      </c>
      <c r="N25" s="432"/>
      <c r="O25" s="432"/>
      <c r="P25" s="432"/>
      <c r="Q25" s="432"/>
      <c r="R25" s="432" t="str">
        <f>IF(AM25="900 &amp; 1800","900MHz &amp; 1800MHz",IF(AM25="900 &amp; 2100","900MHz &amp; 2100MHz",AM25&amp;"MHz"))</f>
        <v>1800MHz</v>
      </c>
      <c r="S25" s="432"/>
      <c r="T25" s="432"/>
      <c r="U25" s="432"/>
      <c r="V25" s="432"/>
      <c r="W25" s="432" t="str">
        <f>IF(AQ25="900 &amp; 1800","900MHz &amp; 1800MHz",IF(AQ25="900 &amp; 2100","900MHz &amp; 2100MHz",AQ25&amp;"MHz"))</f>
        <v>2100MHz</v>
      </c>
      <c r="X25" s="432"/>
      <c r="Y25" s="432"/>
      <c r="Z25" s="432"/>
      <c r="AA25" s="432"/>
      <c r="AB25" s="432" t="str">
        <f>IF(AU25="900 &amp; 1800","900MHz &amp; 1800MHz",IF(AU25="900 &amp; 2100","900MHz &amp; 2100MHz",AU25&amp;"MHz"))</f>
        <v>900;1800MHz</v>
      </c>
      <c r="AC25" s="432"/>
      <c r="AD25" s="432"/>
      <c r="AE25" s="432"/>
      <c r="AF25" s="432"/>
      <c r="AI25" s="69">
        <v>900</v>
      </c>
      <c r="AM25" s="69">
        <v>1800</v>
      </c>
      <c r="AQ25" s="69">
        <v>2100</v>
      </c>
      <c r="AU25" s="81" t="s">
        <v>101</v>
      </c>
    </row>
    <row r="26" spans="3:49" ht="31.35" customHeight="1">
      <c r="C26" s="420" t="s">
        <v>147</v>
      </c>
      <c r="D26" s="420"/>
      <c r="E26" s="420"/>
      <c r="F26" s="420"/>
      <c r="G26" s="420"/>
      <c r="H26" s="420"/>
      <c r="I26" s="420"/>
      <c r="J26" s="420"/>
      <c r="K26" s="420"/>
      <c r="L26" s="420"/>
      <c r="M26" s="432">
        <f>AI26</f>
        <v>15</v>
      </c>
      <c r="N26" s="432"/>
      <c r="O26" s="432"/>
      <c r="P26" s="432"/>
      <c r="Q26" s="432"/>
      <c r="R26" s="432">
        <f>AM26</f>
        <v>16</v>
      </c>
      <c r="S26" s="432"/>
      <c r="T26" s="432"/>
      <c r="U26" s="432"/>
      <c r="V26" s="432"/>
      <c r="W26" s="432">
        <f>AQ26</f>
        <v>17</v>
      </c>
      <c r="X26" s="432"/>
      <c r="Y26" s="432"/>
      <c r="Z26" s="432"/>
      <c r="AA26" s="432"/>
      <c r="AB26" s="432">
        <f>AU26</f>
        <v>18</v>
      </c>
      <c r="AC26" s="432"/>
      <c r="AD26" s="432"/>
      <c r="AE26" s="432"/>
      <c r="AF26" s="432"/>
      <c r="AI26" s="69">
        <v>15</v>
      </c>
      <c r="AJ26" s="69">
        <v>15</v>
      </c>
      <c r="AK26" s="69">
        <v>15</v>
      </c>
      <c r="AM26" s="69">
        <v>16</v>
      </c>
      <c r="AN26" s="69">
        <v>16</v>
      </c>
      <c r="AO26" s="69">
        <v>16</v>
      </c>
      <c r="AQ26" s="69">
        <v>17</v>
      </c>
      <c r="AR26" s="69">
        <v>17</v>
      </c>
      <c r="AS26" s="69">
        <v>17</v>
      </c>
      <c r="AU26" s="69">
        <v>18</v>
      </c>
      <c r="AV26" s="69">
        <v>18</v>
      </c>
      <c r="AW26" s="69">
        <v>18</v>
      </c>
    </row>
    <row r="27" spans="3:49" ht="21.75" customHeight="1">
      <c r="C27" s="435" t="s">
        <v>102</v>
      </c>
      <c r="D27" s="435"/>
      <c r="E27" s="435"/>
      <c r="F27" s="435"/>
      <c r="G27" s="435"/>
      <c r="H27" s="435"/>
      <c r="I27" s="435"/>
      <c r="J27" s="435"/>
      <c r="K27" s="435"/>
      <c r="L27" s="435"/>
      <c r="M27" s="435"/>
      <c r="N27" s="435"/>
      <c r="O27" s="435"/>
      <c r="P27" s="435"/>
      <c r="Q27" s="435"/>
      <c r="R27" s="435"/>
      <c r="S27" s="435"/>
      <c r="T27" s="435"/>
      <c r="U27" s="435"/>
      <c r="V27" s="435"/>
      <c r="W27" s="435"/>
      <c r="X27" s="435"/>
      <c r="Y27" s="435"/>
      <c r="Z27" s="435"/>
      <c r="AA27" s="435"/>
      <c r="AB27" s="87"/>
      <c r="AC27" s="87"/>
      <c r="AD27" s="87"/>
    </row>
    <row r="28" spans="3:49" ht="27" customHeight="1">
      <c r="C28" s="390" t="str">
        <f>IF(AI29=1,CONCATENATE(AQ29,ABS(AI28)," m."),IF(AI29=2,AQ28))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20 m.</v>
      </c>
      <c r="D28" s="390"/>
      <c r="E28" s="390"/>
      <c r="F28" s="390"/>
      <c r="G28" s="390"/>
      <c r="H28" s="390"/>
      <c r="I28" s="390"/>
      <c r="J28" s="390"/>
      <c r="K28" s="390"/>
      <c r="L28" s="390"/>
      <c r="M28" s="390"/>
      <c r="N28" s="390"/>
      <c r="O28" s="390"/>
      <c r="P28" s="390"/>
      <c r="Q28" s="390"/>
      <c r="R28" s="390"/>
      <c r="S28" s="390"/>
      <c r="T28" s="390"/>
      <c r="U28" s="390"/>
      <c r="V28" s="390"/>
      <c r="W28" s="390"/>
      <c r="X28" s="390"/>
      <c r="Y28" s="390"/>
      <c r="Z28" s="390"/>
      <c r="AA28" s="390"/>
      <c r="AB28" s="390"/>
      <c r="AC28" s="390"/>
      <c r="AD28" s="390"/>
      <c r="AE28" s="390"/>
      <c r="AF28" s="390"/>
      <c r="AI28" s="69">
        <v>20</v>
      </c>
      <c r="AQ28" s="69" t="s">
        <v>234</v>
      </c>
    </row>
    <row r="29" spans="3:49" ht="27" customHeight="1">
      <c r="C29" s="390"/>
      <c r="D29" s="390"/>
      <c r="E29" s="390"/>
      <c r="F29" s="390"/>
      <c r="G29" s="390"/>
      <c r="H29" s="390"/>
      <c r="I29" s="390"/>
      <c r="J29" s="390"/>
      <c r="K29" s="390"/>
      <c r="L29" s="390"/>
      <c r="M29" s="390"/>
      <c r="N29" s="390"/>
      <c r="O29" s="390"/>
      <c r="P29" s="390"/>
      <c r="Q29" s="390"/>
      <c r="R29" s="390"/>
      <c r="S29" s="390"/>
      <c r="T29" s="390"/>
      <c r="U29" s="390"/>
      <c r="V29" s="390"/>
      <c r="W29" s="390"/>
      <c r="X29" s="390"/>
      <c r="Y29" s="390"/>
      <c r="Z29" s="390"/>
      <c r="AA29" s="390"/>
      <c r="AB29" s="390"/>
      <c r="AC29" s="390"/>
      <c r="AD29" s="390"/>
      <c r="AE29" s="390"/>
      <c r="AF29" s="390"/>
      <c r="AI29" s="69">
        <v>1</v>
      </c>
      <c r="AQ29" s="69" t="str">
        <f>CONCATENATE(AR29,AS29,AT29)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R29" s="69" t="s">
        <v>236</v>
      </c>
      <c r="AS29" s="69" t="str">
        <f>IF(AI28&gt;=0," cao hơn "," thấp hơn ")</f>
        <v xml:space="preserve"> cao hơn </v>
      </c>
      <c r="AT29" s="69" t="s">
        <v>237</v>
      </c>
    </row>
    <row r="30" spans="3:49" ht="16.5" customHeight="1">
      <c r="C30" s="380" t="str">
        <f>IF(AI31=1,AQ31,AQ30)</f>
        <v>Trạm gốc điện thoại di động mặt đất công cộng này có mức an toàn phơi nhiễm trường điện từ tuân thủ quy chuẩn kỹ thuật trên.</v>
      </c>
      <c r="D30" s="380"/>
      <c r="E30" s="380"/>
      <c r="F30" s="380"/>
      <c r="G30" s="380"/>
      <c r="H30" s="380"/>
      <c r="I30" s="380"/>
      <c r="J30" s="380"/>
      <c r="K30" s="380"/>
      <c r="L30" s="380"/>
      <c r="M30" s="380"/>
      <c r="N30" s="380"/>
      <c r="O30" s="380"/>
      <c r="P30" s="380"/>
      <c r="Q30" s="380"/>
      <c r="R30" s="380"/>
      <c r="S30" s="380"/>
      <c r="T30" s="380"/>
      <c r="U30" s="380"/>
      <c r="V30" s="380"/>
      <c r="W30" s="380"/>
      <c r="X30" s="380"/>
      <c r="Y30" s="380"/>
      <c r="Z30" s="380"/>
      <c r="AA30" s="380"/>
      <c r="AB30" s="380"/>
      <c r="AC30" s="380"/>
      <c r="AD30" s="380"/>
      <c r="AE30" s="380"/>
      <c r="AF30" s="380"/>
      <c r="AI30" s="69">
        <v>20</v>
      </c>
      <c r="AQ30" s="69" t="s">
        <v>148</v>
      </c>
    </row>
    <row r="31" spans="3:49" ht="16.5" customHeight="1">
      <c r="C31" s="380"/>
      <c r="D31" s="380"/>
      <c r="E31" s="380"/>
      <c r="F31" s="380"/>
      <c r="G31" s="380"/>
      <c r="H31" s="380"/>
      <c r="I31" s="380"/>
      <c r="J31" s="380"/>
      <c r="K31" s="380"/>
      <c r="L31" s="380"/>
      <c r="M31" s="380"/>
      <c r="N31" s="380"/>
      <c r="O31" s="380"/>
      <c r="P31" s="380"/>
      <c r="Q31" s="380"/>
      <c r="R31" s="380"/>
      <c r="S31" s="380"/>
      <c r="T31" s="380"/>
      <c r="U31" s="380"/>
      <c r="V31" s="380"/>
      <c r="W31" s="380"/>
      <c r="X31" s="380"/>
      <c r="Y31" s="380"/>
      <c r="Z31" s="380"/>
      <c r="AA31" s="380"/>
      <c r="AB31" s="380"/>
      <c r="AC31" s="380"/>
      <c r="AD31" s="380"/>
      <c r="AE31" s="380"/>
      <c r="AF31" s="380"/>
      <c r="AI31" s="69">
        <v>2</v>
      </c>
      <c r="AQ31" s="141" t="str">
        <f>"Giới hạn an toàn: là khoảng chiều cao trên cột anten tính từ điểm có độ cao "&amp;AI30 &amp;"m so với mặt đất trở lên."</f>
        <v>Giới hạn an toàn: là khoảng chiều cao trên cột anten tính từ điểm có độ cao 20m so với mặt đất trở lên.</v>
      </c>
    </row>
    <row r="32" spans="3:49" ht="17.100000000000001" customHeight="1">
      <c r="C32" s="391" t="s">
        <v>148</v>
      </c>
      <c r="D32" s="391"/>
      <c r="E32" s="391"/>
      <c r="F32" s="391"/>
      <c r="G32" s="391"/>
      <c r="H32" s="391"/>
      <c r="I32" s="391"/>
      <c r="J32" s="391"/>
      <c r="K32" s="391"/>
      <c r="L32" s="391"/>
      <c r="M32" s="391"/>
      <c r="N32" s="391"/>
      <c r="O32" s="391"/>
      <c r="P32" s="391"/>
      <c r="Q32" s="391"/>
      <c r="R32" s="391"/>
      <c r="S32" s="391"/>
      <c r="T32" s="391"/>
      <c r="U32" s="391"/>
      <c r="V32" s="391"/>
      <c r="W32" s="391"/>
      <c r="X32" s="391"/>
      <c r="Y32" s="391"/>
      <c r="Z32" s="391"/>
      <c r="AA32" s="391"/>
      <c r="AB32" s="391"/>
      <c r="AC32" s="391"/>
      <c r="AD32" s="391"/>
      <c r="AE32" s="391"/>
      <c r="AF32" s="391"/>
    </row>
    <row r="33" spans="2:50" ht="17.100000000000001" customHeight="1">
      <c r="C33" s="391"/>
      <c r="D33" s="391"/>
      <c r="E33" s="391"/>
      <c r="F33" s="391"/>
      <c r="G33" s="391"/>
      <c r="H33" s="391"/>
      <c r="I33" s="391"/>
      <c r="J33" s="391"/>
      <c r="K33" s="391"/>
      <c r="L33" s="391"/>
      <c r="M33" s="391"/>
      <c r="N33" s="391"/>
      <c r="O33" s="391"/>
      <c r="P33" s="391"/>
      <c r="Q33" s="391"/>
      <c r="R33" s="391"/>
      <c r="S33" s="391"/>
      <c r="T33" s="391"/>
      <c r="U33" s="391"/>
      <c r="V33" s="391"/>
      <c r="W33" s="391"/>
      <c r="X33" s="391"/>
      <c r="Y33" s="391"/>
      <c r="Z33" s="391"/>
      <c r="AA33" s="391"/>
      <c r="AB33" s="391"/>
      <c r="AC33" s="391"/>
      <c r="AD33" s="391"/>
      <c r="AE33" s="391"/>
      <c r="AF33" s="391"/>
    </row>
    <row r="34" spans="2:50" ht="17.100000000000001" customHeight="1">
      <c r="C34" s="357"/>
      <c r="D34" s="357"/>
      <c r="E34" s="357"/>
      <c r="F34" s="357"/>
      <c r="G34" s="357"/>
      <c r="H34" s="87"/>
      <c r="I34" s="358"/>
      <c r="J34" s="358"/>
      <c r="K34" s="358"/>
      <c r="L34" s="358"/>
      <c r="M34" s="358"/>
      <c r="N34" s="358"/>
      <c r="O34" s="358"/>
      <c r="P34" s="88"/>
      <c r="Q34" s="88"/>
      <c r="R34" s="88"/>
      <c r="S34" s="88"/>
      <c r="T34" s="352" t="str">
        <f>IF(AI41=0,AO34,IF(AI41=1,AK34,AS34))</f>
        <v>KT. GIÁM ĐỐC</v>
      </c>
      <c r="U34" s="352"/>
      <c r="V34" s="352"/>
      <c r="W34" s="352"/>
      <c r="X34" s="352"/>
      <c r="Y34" s="352"/>
      <c r="Z34" s="352"/>
      <c r="AA34" s="352"/>
      <c r="AB34" s="352"/>
      <c r="AC34" s="352"/>
      <c r="AD34" s="352"/>
      <c r="AE34" s="352"/>
      <c r="AF34" s="352"/>
      <c r="AK34" s="69" t="s">
        <v>103</v>
      </c>
      <c r="AO34" s="69" t="s">
        <v>187</v>
      </c>
      <c r="AS34" s="69" t="s">
        <v>186</v>
      </c>
    </row>
    <row r="35" spans="2:50" ht="17.100000000000001" customHeight="1">
      <c r="C35" s="353" t="s">
        <v>104</v>
      </c>
      <c r="D35" s="353"/>
      <c r="E35" s="353"/>
      <c r="F35" s="353"/>
      <c r="G35" s="353"/>
      <c r="H35" s="91" t="s">
        <v>105</v>
      </c>
      <c r="I35" s="355" t="s">
        <v>106</v>
      </c>
      <c r="J35" s="355"/>
      <c r="K35" s="355"/>
      <c r="L35" s="355"/>
      <c r="M35" s="355"/>
      <c r="N35" s="355"/>
      <c r="O35" s="355"/>
      <c r="P35" s="90"/>
      <c r="Q35" s="87"/>
      <c r="R35" s="87"/>
      <c r="S35" s="87"/>
      <c r="T35" s="352" t="str">
        <f>IF(AI41=0,AO35,IF(AI41=1,"",AS35))</f>
        <v>PHÓ GIÁM ĐỐC</v>
      </c>
      <c r="U35" s="352"/>
      <c r="V35" s="352"/>
      <c r="W35" s="352"/>
      <c r="X35" s="352"/>
      <c r="Y35" s="352"/>
      <c r="Z35" s="352"/>
      <c r="AA35" s="352"/>
      <c r="AB35" s="352"/>
      <c r="AC35" s="352"/>
      <c r="AD35" s="352"/>
      <c r="AE35" s="352"/>
      <c r="AF35" s="352"/>
      <c r="AO35" s="69" t="s">
        <v>184</v>
      </c>
      <c r="AS35" s="69" t="s">
        <v>135</v>
      </c>
    </row>
    <row r="36" spans="2:50" ht="17.100000000000001" customHeight="1">
      <c r="C36" s="353" t="s">
        <v>107</v>
      </c>
      <c r="D36" s="353"/>
      <c r="E36" s="353"/>
      <c r="F36" s="353"/>
      <c r="G36" s="353"/>
      <c r="H36" s="91" t="s">
        <v>105</v>
      </c>
      <c r="I36" s="354">
        <f>AI36</f>
        <v>40806</v>
      </c>
      <c r="J36" s="355"/>
      <c r="K36" s="355"/>
      <c r="L36" s="355"/>
      <c r="M36" s="355"/>
      <c r="N36" s="92"/>
      <c r="O36" s="92"/>
      <c r="P36" s="92"/>
      <c r="Q36" s="87"/>
      <c r="R36" s="87"/>
      <c r="S36" s="87"/>
      <c r="T36" s="87"/>
      <c r="U36" s="87"/>
      <c r="V36" s="87"/>
      <c r="W36" s="87"/>
      <c r="X36" s="87"/>
      <c r="Y36" s="87"/>
      <c r="Z36" s="87"/>
      <c r="AA36" s="87"/>
      <c r="AB36" s="87"/>
      <c r="AC36" s="87"/>
      <c r="AD36" s="87"/>
      <c r="AG36" s="93"/>
      <c r="AI36" s="93">
        <v>40806</v>
      </c>
    </row>
    <row r="37" spans="2:50" ht="17.100000000000001" customHeight="1">
      <c r="C37" s="353" t="s">
        <v>108</v>
      </c>
      <c r="D37" s="353"/>
      <c r="E37" s="353"/>
      <c r="F37" s="353"/>
      <c r="G37" s="353"/>
      <c r="H37" s="91" t="s">
        <v>105</v>
      </c>
      <c r="I37" s="354">
        <f>AI37</f>
        <v>42633</v>
      </c>
      <c r="J37" s="355"/>
      <c r="K37" s="355"/>
      <c r="L37" s="355"/>
      <c r="M37" s="355"/>
      <c r="N37" s="92"/>
      <c r="O37" s="92"/>
      <c r="P37" s="92"/>
      <c r="Q37" s="87"/>
      <c r="R37" s="87"/>
      <c r="S37" s="87"/>
      <c r="T37" s="87"/>
      <c r="U37" s="87"/>
      <c r="V37" s="87"/>
      <c r="W37" s="87"/>
      <c r="X37" s="87"/>
      <c r="Y37" s="87"/>
      <c r="Z37" s="87"/>
      <c r="AA37" s="87"/>
      <c r="AB37" s="87"/>
      <c r="AC37" s="87"/>
      <c r="AD37" s="87"/>
      <c r="AG37" s="93"/>
      <c r="AI37" s="93">
        <v>42633</v>
      </c>
    </row>
    <row r="38" spans="2:50" ht="17.100000000000001" customHeight="1">
      <c r="C38" s="94"/>
      <c r="D38" s="94"/>
      <c r="E38" s="94"/>
      <c r="F38" s="79"/>
      <c r="G38" s="72"/>
      <c r="H38" s="72"/>
      <c r="I38" s="72"/>
      <c r="J38" s="72"/>
      <c r="K38" s="72"/>
      <c r="L38" s="72"/>
      <c r="M38" s="72"/>
      <c r="N38" s="72"/>
      <c r="O38" s="72"/>
      <c r="P38" s="72"/>
      <c r="Q38" s="72"/>
      <c r="R38" s="72"/>
      <c r="S38" s="72"/>
      <c r="T38" s="72"/>
      <c r="U38" s="72"/>
      <c r="V38" s="72"/>
      <c r="W38" s="72"/>
      <c r="X38" s="72"/>
      <c r="Y38" s="72"/>
      <c r="Z38" s="72"/>
      <c r="AA38" s="72"/>
      <c r="AB38" s="87"/>
      <c r="AC38" s="87"/>
      <c r="AD38" s="87"/>
    </row>
    <row r="39" spans="2:50" ht="17.100000000000001" customHeight="1">
      <c r="C39" s="94"/>
      <c r="D39" s="94"/>
      <c r="E39" s="94"/>
      <c r="F39" s="79"/>
      <c r="G39" s="72"/>
      <c r="H39" s="72"/>
      <c r="I39" s="72"/>
      <c r="J39" s="72"/>
      <c r="K39" s="72"/>
      <c r="L39" s="72"/>
      <c r="M39" s="72"/>
      <c r="N39" s="72"/>
      <c r="O39" s="72"/>
      <c r="P39" s="72"/>
      <c r="Q39" s="72"/>
      <c r="R39" s="72"/>
      <c r="S39" s="72"/>
      <c r="T39" s="72"/>
      <c r="U39" s="72"/>
      <c r="V39" s="72"/>
      <c r="W39" s="72"/>
      <c r="X39" s="72"/>
      <c r="Y39" s="72"/>
      <c r="Z39" s="72"/>
      <c r="AA39" s="72"/>
      <c r="AB39" s="87"/>
      <c r="AC39" s="87"/>
      <c r="AD39" s="87"/>
    </row>
    <row r="40" spans="2:50" ht="17.100000000000001" customHeight="1">
      <c r="C40" s="94"/>
      <c r="D40" s="94"/>
      <c r="E40" s="94"/>
      <c r="F40" s="79"/>
      <c r="G40" s="72"/>
      <c r="H40" s="72"/>
      <c r="I40" s="72"/>
      <c r="J40" s="72"/>
      <c r="K40" s="72"/>
      <c r="L40" s="72"/>
      <c r="M40" s="72"/>
      <c r="N40" s="72"/>
      <c r="O40" s="72"/>
      <c r="P40" s="88"/>
      <c r="Q40" s="88"/>
      <c r="R40" s="88"/>
      <c r="S40" s="88"/>
      <c r="T40" s="351"/>
      <c r="U40" s="351"/>
      <c r="V40" s="351"/>
      <c r="W40" s="351"/>
      <c r="X40" s="351"/>
      <c r="Y40" s="351"/>
      <c r="Z40" s="351"/>
      <c r="AA40" s="351"/>
      <c r="AB40" s="351"/>
      <c r="AC40" s="351"/>
      <c r="AD40" s="351"/>
      <c r="AE40" s="351"/>
    </row>
    <row r="41" spans="2:50" ht="17.100000000000001" customHeight="1">
      <c r="C41" s="94"/>
      <c r="D41" s="94"/>
      <c r="E41" s="94"/>
      <c r="F41" s="79"/>
      <c r="G41" s="72"/>
      <c r="H41" s="72"/>
      <c r="I41" s="72"/>
      <c r="J41" s="72"/>
      <c r="K41" s="72"/>
      <c r="L41" s="72"/>
      <c r="M41" s="72"/>
      <c r="N41" s="72"/>
      <c r="O41" s="72"/>
      <c r="P41" s="72"/>
      <c r="Q41" s="72"/>
      <c r="R41" s="72"/>
      <c r="S41" s="72"/>
      <c r="T41" s="351" t="str">
        <f>IF(AI41=0,AO41,IF(AI41=1,AK41,AT41))</f>
        <v>Trần Công Khanh</v>
      </c>
      <c r="U41" s="351"/>
      <c r="V41" s="351"/>
      <c r="W41" s="351"/>
      <c r="X41" s="351"/>
      <c r="Y41" s="351"/>
      <c r="Z41" s="351"/>
      <c r="AA41" s="351"/>
      <c r="AB41" s="351"/>
      <c r="AC41" s="351"/>
      <c r="AD41" s="351"/>
      <c r="AE41" s="351"/>
      <c r="AF41" s="351"/>
      <c r="AI41" s="69">
        <v>0</v>
      </c>
      <c r="AK41" s="69" t="s">
        <v>109</v>
      </c>
      <c r="AO41" s="69" t="s">
        <v>185</v>
      </c>
      <c r="AT41" s="69" t="s">
        <v>131</v>
      </c>
    </row>
    <row r="42" spans="2:50" ht="17.25" customHeight="1">
      <c r="C42" s="74"/>
      <c r="D42" s="74"/>
      <c r="E42" s="74"/>
      <c r="F42" s="74"/>
      <c r="G42" s="74"/>
      <c r="H42" s="74"/>
      <c r="I42" s="74"/>
      <c r="J42" s="74"/>
      <c r="K42" s="74"/>
      <c r="L42" s="74"/>
      <c r="M42" s="74"/>
      <c r="N42" s="74"/>
      <c r="O42" s="74"/>
      <c r="P42" s="74"/>
      <c r="Q42" s="74"/>
      <c r="R42" s="74"/>
      <c r="S42" s="74"/>
      <c r="T42" s="74"/>
      <c r="U42" s="74"/>
      <c r="V42" s="74"/>
      <c r="W42" s="74"/>
      <c r="X42" s="74"/>
      <c r="Y42" s="74"/>
      <c r="Z42" s="74"/>
      <c r="AA42" s="74"/>
      <c r="AB42" s="95"/>
      <c r="AC42" s="95"/>
      <c r="AD42" s="95"/>
    </row>
    <row r="43" spans="2:50" ht="16.5" customHeight="1">
      <c r="B43" s="393" t="s">
        <v>110</v>
      </c>
      <c r="C43" s="393"/>
      <c r="D43" s="393"/>
      <c r="E43" s="393"/>
      <c r="F43" s="393"/>
      <c r="G43" s="393"/>
      <c r="H43" s="394" t="s">
        <v>88</v>
      </c>
      <c r="I43" s="394"/>
      <c r="J43" s="394"/>
      <c r="K43" s="394"/>
      <c r="L43" s="394"/>
      <c r="M43" s="394"/>
      <c r="N43" s="394"/>
      <c r="O43" s="394"/>
      <c r="P43" s="394"/>
      <c r="Q43" s="394"/>
      <c r="R43" s="394"/>
      <c r="S43" s="394"/>
      <c r="T43" s="394"/>
      <c r="U43" s="394"/>
      <c r="V43" s="394"/>
      <c r="W43" s="394"/>
      <c r="X43" s="394"/>
      <c r="Y43" s="394"/>
      <c r="Z43" s="394"/>
      <c r="AA43" s="394"/>
      <c r="AB43" s="394"/>
      <c r="AC43" s="394"/>
      <c r="AD43" s="394"/>
      <c r="AE43" s="394"/>
      <c r="AF43" s="394"/>
    </row>
    <row r="44" spans="2:50" ht="16.5" customHeight="1">
      <c r="B44" s="393"/>
      <c r="C44" s="393"/>
      <c r="D44" s="393"/>
      <c r="E44" s="393"/>
      <c r="F44" s="393"/>
      <c r="G44" s="393"/>
      <c r="H44" s="394"/>
      <c r="I44" s="394"/>
      <c r="J44" s="394"/>
      <c r="K44" s="394"/>
      <c r="L44" s="394"/>
      <c r="M44" s="394"/>
      <c r="N44" s="394"/>
      <c r="O44" s="394"/>
      <c r="P44" s="394"/>
      <c r="Q44" s="394"/>
      <c r="R44" s="394"/>
      <c r="S44" s="394"/>
      <c r="T44" s="394"/>
      <c r="U44" s="394"/>
      <c r="V44" s="394"/>
      <c r="W44" s="394"/>
      <c r="X44" s="394"/>
      <c r="Y44" s="394"/>
      <c r="Z44" s="394"/>
      <c r="AA44" s="394"/>
      <c r="AB44" s="394"/>
      <c r="AC44" s="394"/>
      <c r="AD44" s="394"/>
      <c r="AE44" s="394"/>
      <c r="AF44" s="394"/>
    </row>
    <row r="45" spans="2:50" ht="16.5" customHeight="1">
      <c r="B45" s="393"/>
      <c r="C45" s="393"/>
      <c r="D45" s="393"/>
      <c r="E45" s="393"/>
      <c r="F45" s="393"/>
      <c r="G45" s="393"/>
      <c r="H45" s="348" t="s">
        <v>3</v>
      </c>
      <c r="I45" s="348"/>
      <c r="J45" s="348"/>
      <c r="K45" s="348"/>
      <c r="L45" s="348" t="s">
        <v>4</v>
      </c>
      <c r="M45" s="348"/>
      <c r="N45" s="348"/>
      <c r="O45" s="348" t="s">
        <v>111</v>
      </c>
      <c r="P45" s="348"/>
      <c r="Q45" s="348"/>
      <c r="R45" s="348" t="s">
        <v>6</v>
      </c>
      <c r="S45" s="348"/>
      <c r="T45" s="348"/>
      <c r="U45" s="348"/>
      <c r="V45" s="348"/>
      <c r="W45" s="348" t="s">
        <v>112</v>
      </c>
      <c r="X45" s="348"/>
      <c r="Y45" s="348"/>
      <c r="Z45" s="348"/>
      <c r="AA45" s="348" t="s">
        <v>113</v>
      </c>
      <c r="AB45" s="348"/>
      <c r="AC45" s="348"/>
      <c r="AD45" s="348"/>
      <c r="AE45" s="348"/>
      <c r="AF45" s="348"/>
    </row>
    <row r="46" spans="2:50" ht="16.5" customHeight="1">
      <c r="B46" s="393"/>
      <c r="C46" s="393"/>
      <c r="D46" s="393"/>
      <c r="E46" s="393"/>
      <c r="F46" s="393"/>
      <c r="G46" s="393"/>
      <c r="H46" s="348"/>
      <c r="I46" s="348"/>
      <c r="J46" s="348"/>
      <c r="K46" s="348"/>
      <c r="L46" s="348"/>
      <c r="M46" s="348"/>
      <c r="N46" s="348"/>
      <c r="O46" s="348"/>
      <c r="P46" s="348"/>
      <c r="Q46" s="348"/>
      <c r="R46" s="348"/>
      <c r="S46" s="348"/>
      <c r="T46" s="348"/>
      <c r="U46" s="348"/>
      <c r="V46" s="348"/>
      <c r="W46" s="348"/>
      <c r="X46" s="348"/>
      <c r="Y46" s="348"/>
      <c r="Z46" s="348"/>
      <c r="AA46" s="348"/>
      <c r="AB46" s="348"/>
      <c r="AC46" s="348"/>
      <c r="AD46" s="348"/>
      <c r="AE46" s="348"/>
      <c r="AF46" s="348"/>
    </row>
    <row r="47" spans="2:50" ht="16.5" customHeight="1">
      <c r="B47" s="393"/>
      <c r="C47" s="393"/>
      <c r="D47" s="393"/>
      <c r="E47" s="393"/>
      <c r="F47" s="393"/>
      <c r="G47" s="393"/>
      <c r="H47" s="348"/>
      <c r="I47" s="348"/>
      <c r="J47" s="348"/>
      <c r="K47" s="348"/>
      <c r="L47" s="348"/>
      <c r="M47" s="348"/>
      <c r="N47" s="348"/>
      <c r="O47" s="348"/>
      <c r="P47" s="348"/>
      <c r="Q47" s="348"/>
      <c r="R47" s="348"/>
      <c r="S47" s="348"/>
      <c r="T47" s="348"/>
      <c r="U47" s="348"/>
      <c r="V47" s="348"/>
      <c r="W47" s="348"/>
      <c r="X47" s="348"/>
      <c r="Y47" s="348"/>
      <c r="Z47" s="348"/>
      <c r="AA47" s="348"/>
      <c r="AB47" s="348"/>
      <c r="AC47" s="348"/>
      <c r="AD47" s="348"/>
      <c r="AE47" s="348"/>
      <c r="AF47" s="348"/>
    </row>
    <row r="48" spans="2:50" ht="16.5" customHeight="1">
      <c r="B48" s="393"/>
      <c r="C48" s="393"/>
      <c r="D48" s="393"/>
      <c r="E48" s="393"/>
      <c r="F48" s="393"/>
      <c r="G48" s="393"/>
      <c r="H48" s="348"/>
      <c r="I48" s="348"/>
      <c r="J48" s="348"/>
      <c r="K48" s="348"/>
      <c r="L48" s="348"/>
      <c r="M48" s="348"/>
      <c r="N48" s="348"/>
      <c r="O48" s="348"/>
      <c r="P48" s="348"/>
      <c r="Q48" s="348"/>
      <c r="R48" s="348"/>
      <c r="S48" s="348"/>
      <c r="T48" s="348"/>
      <c r="U48" s="348"/>
      <c r="V48" s="348"/>
      <c r="W48" s="348"/>
      <c r="X48" s="348"/>
      <c r="Y48" s="348"/>
      <c r="Z48" s="348"/>
      <c r="AA48" s="348"/>
      <c r="AB48" s="348"/>
      <c r="AC48" s="348"/>
      <c r="AD48" s="348"/>
      <c r="AE48" s="348"/>
      <c r="AF48" s="348"/>
      <c r="AI48" s="69">
        <v>35</v>
      </c>
      <c r="AK48" s="69">
        <v>37</v>
      </c>
      <c r="AN48" s="69">
        <v>40</v>
      </c>
      <c r="AQ48" s="69">
        <v>43</v>
      </c>
      <c r="AR48" s="69">
        <v>44</v>
      </c>
      <c r="AS48" s="69">
        <v>45</v>
      </c>
      <c r="AT48" s="69">
        <v>46</v>
      </c>
      <c r="AU48" s="69">
        <v>47</v>
      </c>
      <c r="AV48" s="69">
        <v>48</v>
      </c>
      <c r="AW48" s="69">
        <v>49</v>
      </c>
      <c r="AX48" s="69">
        <v>50</v>
      </c>
    </row>
    <row r="49" spans="2:48" ht="18.75" customHeight="1">
      <c r="B49" s="348" t="str">
        <f>AI49</f>
        <v>CÔNG TY CỔ PHẦN VIỄN THÔNG DI ĐỘNG TOÀN CẦU</v>
      </c>
      <c r="C49" s="348"/>
      <c r="D49" s="348"/>
      <c r="E49" s="348"/>
      <c r="F49" s="348"/>
      <c r="G49" s="348"/>
      <c r="H49" s="349" t="str">
        <f>AK49</f>
        <v>TB1</v>
      </c>
      <c r="I49" s="349"/>
      <c r="J49" s="349"/>
      <c r="K49" s="349"/>
      <c r="L49" s="350">
        <v>1</v>
      </c>
      <c r="M49" s="350"/>
      <c r="N49" s="350"/>
      <c r="O49" s="392" t="str">
        <f>AN49</f>
        <v>4/4/4</v>
      </c>
      <c r="P49" s="433"/>
      <c r="Q49" s="433"/>
      <c r="R49" s="348" t="str">
        <f>IF(L49=3,AQ49&amp;"W/ "&amp;AR49&amp;"W/ "&amp;AS49&amp;"W",IF(L49=2,AQ49&amp;"W/ "&amp;AR49&amp;"W",AQ49&amp;"W"))</f>
        <v>20W</v>
      </c>
      <c r="S49" s="348"/>
      <c r="T49" s="348"/>
      <c r="U49" s="348"/>
      <c r="V49" s="348"/>
      <c r="W49" s="348" t="str">
        <f>IF(AU49="900 &amp; 1800","900MHz &amp; 1800MHz",IF(AU49="900 &amp; 2100","900MHz &amp; 2100MHz",IF(AU49="1800 &amp; 2100","1800MHz &amp; 2100MHz",AU49&amp;"MHz")))</f>
        <v>900MHz</v>
      </c>
      <c r="X49" s="348"/>
      <c r="Y49" s="348"/>
      <c r="Z49" s="348"/>
      <c r="AA49" s="348">
        <f>AV49</f>
        <v>15</v>
      </c>
      <c r="AB49" s="348"/>
      <c r="AC49" s="348"/>
      <c r="AD49" s="348"/>
      <c r="AE49" s="348"/>
      <c r="AF49" s="348"/>
      <c r="AI49" s="81" t="s">
        <v>132</v>
      </c>
      <c r="AK49" s="81" t="s">
        <v>114</v>
      </c>
      <c r="AL49" s="81"/>
      <c r="AN49" s="85" t="s">
        <v>96</v>
      </c>
      <c r="AQ49" s="69">
        <v>20</v>
      </c>
      <c r="AR49" s="69">
        <v>30</v>
      </c>
      <c r="AS49" s="69">
        <v>40</v>
      </c>
      <c r="AU49" s="69">
        <v>900</v>
      </c>
      <c r="AV49" s="69">
        <v>15</v>
      </c>
    </row>
    <row r="50" spans="2:48" ht="18.75" customHeight="1">
      <c r="B50" s="348"/>
      <c r="C50" s="348"/>
      <c r="D50" s="348"/>
      <c r="E50" s="348"/>
      <c r="F50" s="348"/>
      <c r="G50" s="348"/>
      <c r="H50" s="349"/>
      <c r="I50" s="349"/>
      <c r="J50" s="349"/>
      <c r="K50" s="349"/>
      <c r="L50" s="350"/>
      <c r="M50" s="350"/>
      <c r="N50" s="350"/>
      <c r="O50" s="433"/>
      <c r="P50" s="433"/>
      <c r="Q50" s="433"/>
      <c r="R50" s="348"/>
      <c r="S50" s="348"/>
      <c r="T50" s="348"/>
      <c r="U50" s="348"/>
      <c r="V50" s="348"/>
      <c r="W50" s="348"/>
      <c r="X50" s="348"/>
      <c r="Y50" s="348"/>
      <c r="Z50" s="348"/>
      <c r="AA50" s="348"/>
      <c r="AB50" s="348"/>
      <c r="AC50" s="348"/>
      <c r="AD50" s="348"/>
      <c r="AE50" s="348"/>
      <c r="AF50" s="348"/>
    </row>
    <row r="51" spans="2:48" ht="18.75" customHeight="1">
      <c r="B51" s="348"/>
      <c r="C51" s="348"/>
      <c r="D51" s="348"/>
      <c r="E51" s="348"/>
      <c r="F51" s="348"/>
      <c r="G51" s="348"/>
      <c r="H51" s="349"/>
      <c r="I51" s="349"/>
      <c r="J51" s="349"/>
      <c r="K51" s="349"/>
      <c r="L51" s="350"/>
      <c r="M51" s="350"/>
      <c r="N51" s="350"/>
      <c r="O51" s="433"/>
      <c r="P51" s="433"/>
      <c r="Q51" s="433"/>
      <c r="R51" s="348"/>
      <c r="S51" s="348"/>
      <c r="T51" s="348"/>
      <c r="U51" s="348"/>
      <c r="V51" s="348"/>
      <c r="W51" s="348"/>
      <c r="X51" s="348"/>
      <c r="Y51" s="348"/>
      <c r="Z51" s="348"/>
      <c r="AA51" s="348"/>
      <c r="AB51" s="348"/>
      <c r="AC51" s="348"/>
      <c r="AD51" s="348"/>
      <c r="AE51" s="348"/>
      <c r="AF51" s="348"/>
    </row>
    <row r="52" spans="2:48" ht="18.75" customHeight="1">
      <c r="B52" s="348"/>
      <c r="C52" s="348"/>
      <c r="D52" s="348"/>
      <c r="E52" s="348"/>
      <c r="F52" s="348"/>
      <c r="G52" s="348"/>
      <c r="H52" s="349"/>
      <c r="I52" s="349"/>
      <c r="J52" s="349"/>
      <c r="K52" s="349"/>
      <c r="L52" s="350"/>
      <c r="M52" s="350"/>
      <c r="N52" s="350"/>
      <c r="O52" s="433"/>
      <c r="P52" s="433"/>
      <c r="Q52" s="433"/>
      <c r="R52" s="348"/>
      <c r="S52" s="348"/>
      <c r="T52" s="348"/>
      <c r="U52" s="348"/>
      <c r="V52" s="348"/>
      <c r="W52" s="348"/>
      <c r="X52" s="348"/>
      <c r="Y52" s="348"/>
      <c r="Z52" s="348"/>
      <c r="AA52" s="348"/>
      <c r="AB52" s="348"/>
      <c r="AC52" s="348"/>
      <c r="AD52" s="348"/>
      <c r="AE52" s="348"/>
      <c r="AF52" s="348"/>
    </row>
    <row r="53" spans="2:48" ht="18.75" customHeight="1">
      <c r="B53" s="348" t="str">
        <f t="shared" ref="B53" si="2">AI53</f>
        <v>CÔNG TY CỔ PHẦN VIỄN THÔNG DI ĐỘNG TOÀN CẦU</v>
      </c>
      <c r="C53" s="348"/>
      <c r="D53" s="348"/>
      <c r="E53" s="348"/>
      <c r="F53" s="348"/>
      <c r="G53" s="348"/>
      <c r="H53" s="349" t="str">
        <f>AK53</f>
        <v>TB2</v>
      </c>
      <c r="I53" s="349"/>
      <c r="J53" s="349"/>
      <c r="K53" s="349"/>
      <c r="L53" s="350">
        <v>2</v>
      </c>
      <c r="M53" s="350"/>
      <c r="N53" s="350"/>
      <c r="O53" s="392" t="str">
        <f>AN53</f>
        <v>4/4/4</v>
      </c>
      <c r="P53" s="433"/>
      <c r="Q53" s="433"/>
      <c r="R53" s="348" t="str">
        <f t="shared" ref="R53" si="3">IF(L53=3,AQ53&amp;"W/ "&amp;AR53&amp;"W/ "&amp;AS53&amp;"W",IF(L53=2,AQ53&amp;"W/ "&amp;AR53&amp;"W",AQ53&amp;"W"))</f>
        <v>30W/ 40W</v>
      </c>
      <c r="S53" s="348"/>
      <c r="T53" s="348"/>
      <c r="U53" s="348"/>
      <c r="V53" s="348"/>
      <c r="W53" s="348" t="str">
        <f>IF(AU53="900 &amp; 1800","900MHz &amp; 1800MHz",IF(AU53="900 &amp; 2100","900MHz &amp; 2100MHz",IF(AU53="1800 &amp; 2100","1800MHz &amp; 2100MHz",AU53&amp;"MHz")))</f>
        <v>1800MHz</v>
      </c>
      <c r="X53" s="348"/>
      <c r="Y53" s="348"/>
      <c r="Z53" s="348"/>
      <c r="AA53" s="348">
        <f>AV53</f>
        <v>15</v>
      </c>
      <c r="AB53" s="348"/>
      <c r="AC53" s="348"/>
      <c r="AD53" s="348"/>
      <c r="AE53" s="348"/>
      <c r="AF53" s="348"/>
      <c r="AI53" s="81" t="s">
        <v>132</v>
      </c>
      <c r="AK53" s="81" t="s">
        <v>115</v>
      </c>
      <c r="AL53" s="81"/>
      <c r="AN53" s="85" t="s">
        <v>96</v>
      </c>
      <c r="AQ53" s="69">
        <v>30</v>
      </c>
      <c r="AR53" s="69">
        <v>40</v>
      </c>
      <c r="AS53" s="69">
        <v>40</v>
      </c>
      <c r="AU53" s="69">
        <v>1800</v>
      </c>
      <c r="AV53" s="69">
        <v>15</v>
      </c>
    </row>
    <row r="54" spans="2:48" ht="18.75" customHeight="1">
      <c r="B54" s="348"/>
      <c r="C54" s="348"/>
      <c r="D54" s="348"/>
      <c r="E54" s="348"/>
      <c r="F54" s="348"/>
      <c r="G54" s="348"/>
      <c r="H54" s="349"/>
      <c r="I54" s="349"/>
      <c r="J54" s="349"/>
      <c r="K54" s="349"/>
      <c r="L54" s="350"/>
      <c r="M54" s="350"/>
      <c r="N54" s="350"/>
      <c r="O54" s="433"/>
      <c r="P54" s="433"/>
      <c r="Q54" s="433"/>
      <c r="R54" s="348"/>
      <c r="S54" s="348"/>
      <c r="T54" s="348"/>
      <c r="U54" s="348"/>
      <c r="V54" s="348"/>
      <c r="W54" s="348"/>
      <c r="X54" s="348"/>
      <c r="Y54" s="348"/>
      <c r="Z54" s="348"/>
      <c r="AA54" s="348"/>
      <c r="AB54" s="348"/>
      <c r="AC54" s="348"/>
      <c r="AD54" s="348"/>
      <c r="AE54" s="348"/>
      <c r="AF54" s="348"/>
    </row>
    <row r="55" spans="2:48" ht="18.75" customHeight="1">
      <c r="B55" s="348"/>
      <c r="C55" s="348"/>
      <c r="D55" s="348"/>
      <c r="E55" s="348"/>
      <c r="F55" s="348"/>
      <c r="G55" s="348"/>
      <c r="H55" s="349"/>
      <c r="I55" s="349"/>
      <c r="J55" s="349"/>
      <c r="K55" s="349"/>
      <c r="L55" s="350"/>
      <c r="M55" s="350"/>
      <c r="N55" s="350"/>
      <c r="O55" s="433"/>
      <c r="P55" s="433"/>
      <c r="Q55" s="433"/>
      <c r="R55" s="348"/>
      <c r="S55" s="348"/>
      <c r="T55" s="348"/>
      <c r="U55" s="348"/>
      <c r="V55" s="348"/>
      <c r="W55" s="348"/>
      <c r="X55" s="348"/>
      <c r="Y55" s="348"/>
      <c r="Z55" s="348"/>
      <c r="AA55" s="348"/>
      <c r="AB55" s="348"/>
      <c r="AC55" s="348"/>
      <c r="AD55" s="348"/>
      <c r="AE55" s="348"/>
      <c r="AF55" s="348"/>
    </row>
    <row r="56" spans="2:48" ht="18.75" customHeight="1">
      <c r="B56" s="348"/>
      <c r="C56" s="348"/>
      <c r="D56" s="348"/>
      <c r="E56" s="348"/>
      <c r="F56" s="348"/>
      <c r="G56" s="348"/>
      <c r="H56" s="349"/>
      <c r="I56" s="349"/>
      <c r="J56" s="349"/>
      <c r="K56" s="349"/>
      <c r="L56" s="350"/>
      <c r="M56" s="350"/>
      <c r="N56" s="350"/>
      <c r="O56" s="433"/>
      <c r="P56" s="433"/>
      <c r="Q56" s="433"/>
      <c r="R56" s="348"/>
      <c r="S56" s="348"/>
      <c r="T56" s="348"/>
      <c r="U56" s="348"/>
      <c r="V56" s="348"/>
      <c r="W56" s="348"/>
      <c r="X56" s="348"/>
      <c r="Y56" s="348"/>
      <c r="Z56" s="348"/>
      <c r="AA56" s="348"/>
      <c r="AB56" s="348"/>
      <c r="AC56" s="348"/>
      <c r="AD56" s="348"/>
      <c r="AE56" s="348"/>
      <c r="AF56" s="348"/>
    </row>
    <row r="57" spans="2:48" ht="18.75" customHeight="1">
      <c r="B57" s="348" t="str">
        <f t="shared" ref="B57" si="4">AI57</f>
        <v>CÔNG TY CỔ PHẦN VIỄN THÔNG DI ĐỘNG TOÀN CẦU</v>
      </c>
      <c r="C57" s="348"/>
      <c r="D57" s="348"/>
      <c r="E57" s="348"/>
      <c r="F57" s="348"/>
      <c r="G57" s="348"/>
      <c r="H57" s="349" t="str">
        <f>AK57</f>
        <v>TB2</v>
      </c>
      <c r="I57" s="349"/>
      <c r="J57" s="349"/>
      <c r="K57" s="349"/>
      <c r="L57" s="350">
        <v>3</v>
      </c>
      <c r="M57" s="350"/>
      <c r="N57" s="350"/>
      <c r="O57" s="392" t="str">
        <f t="shared" ref="O57" si="5">AN57</f>
        <v>4/4/4</v>
      </c>
      <c r="P57" s="433"/>
      <c r="Q57" s="433"/>
      <c r="R57" s="348" t="str">
        <f t="shared" ref="R57" si="6">IF(L57=3,AQ57&amp;"W/ "&amp;AR57&amp;"W/ "&amp;AS57&amp;"W",IF(L57=2,AQ57&amp;"W/ "&amp;AR57&amp;"W",AQ57&amp;"W"))</f>
        <v>30W/ 40W/ 40W</v>
      </c>
      <c r="S57" s="348"/>
      <c r="T57" s="348"/>
      <c r="U57" s="348"/>
      <c r="V57" s="348"/>
      <c r="W57" s="348" t="str">
        <f>IF(AU57="900 &amp; 1800","900MHz &amp; 1800MHz",IF(AU57="900 &amp; 2100","900MHz &amp; 2100MHz",IF(AU57="1800 &amp; 2100","1800MHz &amp; 2100MHz",AU57&amp;"MHz")))</f>
        <v>9000 &amp; 1800MHz</v>
      </c>
      <c r="X57" s="348"/>
      <c r="Y57" s="348"/>
      <c r="Z57" s="348"/>
      <c r="AA57" s="348">
        <f>AV57</f>
        <v>15</v>
      </c>
      <c r="AB57" s="348"/>
      <c r="AC57" s="348"/>
      <c r="AD57" s="348"/>
      <c r="AE57" s="348"/>
      <c r="AF57" s="348"/>
      <c r="AI57" s="81" t="s">
        <v>132</v>
      </c>
      <c r="AK57" s="81" t="s">
        <v>115</v>
      </c>
      <c r="AL57" s="81"/>
      <c r="AN57" s="85" t="s">
        <v>96</v>
      </c>
      <c r="AQ57" s="69">
        <v>30</v>
      </c>
      <c r="AR57" s="69">
        <v>40</v>
      </c>
      <c r="AS57" s="69">
        <v>40</v>
      </c>
      <c r="AU57" s="69" t="s">
        <v>181</v>
      </c>
      <c r="AV57" s="69">
        <v>15</v>
      </c>
    </row>
    <row r="58" spans="2:48" ht="18.75" customHeight="1">
      <c r="B58" s="348"/>
      <c r="C58" s="348"/>
      <c r="D58" s="348"/>
      <c r="E58" s="348"/>
      <c r="F58" s="348"/>
      <c r="G58" s="348"/>
      <c r="H58" s="349"/>
      <c r="I58" s="349"/>
      <c r="J58" s="349"/>
      <c r="K58" s="349"/>
      <c r="L58" s="350"/>
      <c r="M58" s="350"/>
      <c r="N58" s="350"/>
      <c r="O58" s="433"/>
      <c r="P58" s="433"/>
      <c r="Q58" s="433"/>
      <c r="R58" s="348"/>
      <c r="S58" s="348"/>
      <c r="T58" s="348"/>
      <c r="U58" s="348"/>
      <c r="V58" s="348"/>
      <c r="W58" s="348"/>
      <c r="X58" s="348"/>
      <c r="Y58" s="348"/>
      <c r="Z58" s="348"/>
      <c r="AA58" s="348"/>
      <c r="AB58" s="348"/>
      <c r="AC58" s="348"/>
      <c r="AD58" s="348"/>
      <c r="AE58" s="348"/>
      <c r="AF58" s="348"/>
    </row>
    <row r="59" spans="2:48" ht="18.75" customHeight="1">
      <c r="B59" s="348"/>
      <c r="C59" s="348"/>
      <c r="D59" s="348"/>
      <c r="E59" s="348"/>
      <c r="F59" s="348"/>
      <c r="G59" s="348"/>
      <c r="H59" s="349"/>
      <c r="I59" s="349"/>
      <c r="J59" s="349"/>
      <c r="K59" s="349"/>
      <c r="L59" s="350"/>
      <c r="M59" s="350"/>
      <c r="N59" s="350"/>
      <c r="O59" s="433"/>
      <c r="P59" s="433"/>
      <c r="Q59" s="433"/>
      <c r="R59" s="348"/>
      <c r="S59" s="348"/>
      <c r="T59" s="348"/>
      <c r="U59" s="348"/>
      <c r="V59" s="348"/>
      <c r="W59" s="348"/>
      <c r="X59" s="348"/>
      <c r="Y59" s="348"/>
      <c r="Z59" s="348"/>
      <c r="AA59" s="348"/>
      <c r="AB59" s="348"/>
      <c r="AC59" s="348"/>
      <c r="AD59" s="348"/>
      <c r="AE59" s="348"/>
      <c r="AF59" s="348"/>
    </row>
    <row r="60" spans="2:48" ht="18.75" customHeight="1">
      <c r="B60" s="348"/>
      <c r="C60" s="348"/>
      <c r="D60" s="348"/>
      <c r="E60" s="348"/>
      <c r="F60" s="348"/>
      <c r="G60" s="348"/>
      <c r="H60" s="349"/>
      <c r="I60" s="349"/>
      <c r="J60" s="349"/>
      <c r="K60" s="349"/>
      <c r="L60" s="350"/>
      <c r="M60" s="350"/>
      <c r="N60" s="350"/>
      <c r="O60" s="433"/>
      <c r="P60" s="433"/>
      <c r="Q60" s="433"/>
      <c r="R60" s="348"/>
      <c r="S60" s="348"/>
      <c r="T60" s="348"/>
      <c r="U60" s="348"/>
      <c r="V60" s="348"/>
      <c r="W60" s="348"/>
      <c r="X60" s="348"/>
      <c r="Y60" s="348"/>
      <c r="Z60" s="348"/>
      <c r="AA60" s="348"/>
      <c r="AB60" s="348"/>
      <c r="AC60" s="348"/>
      <c r="AD60" s="348"/>
      <c r="AE60" s="348"/>
      <c r="AF60" s="348"/>
    </row>
    <row r="61" spans="2:48" ht="18.75" customHeight="1">
      <c r="B61" s="348" t="str">
        <f t="shared" ref="B61" si="7">AI61</f>
        <v>CÔNG TY CỔ PHẦN VIỄN THÔNG DI ĐỘNG TOÀN CẦU</v>
      </c>
      <c r="C61" s="348"/>
      <c r="D61" s="348"/>
      <c r="E61" s="348"/>
      <c r="F61" s="348"/>
      <c r="G61" s="348"/>
      <c r="H61" s="349" t="str">
        <f>AK61</f>
        <v>TB2</v>
      </c>
      <c r="I61" s="349"/>
      <c r="J61" s="349"/>
      <c r="K61" s="349"/>
      <c r="L61" s="350">
        <v>2</v>
      </c>
      <c r="M61" s="350"/>
      <c r="N61" s="350"/>
      <c r="O61" s="392" t="str">
        <f t="shared" ref="O61" si="8">AN61</f>
        <v>4/4/4</v>
      </c>
      <c r="P61" s="433"/>
      <c r="Q61" s="433"/>
      <c r="R61" s="348" t="str">
        <f>IF(L61=3,AQ61&amp;"W/ "&amp;AR61&amp;"W/ "&amp;AS61&amp;"W",IF(L61=2,AQ61&amp;"W/ "&amp;AR61&amp;"W",AQ61&amp;"W"))</f>
        <v>30W/ 40W</v>
      </c>
      <c r="S61" s="348"/>
      <c r="T61" s="348"/>
      <c r="U61" s="348"/>
      <c r="V61" s="348"/>
      <c r="W61" s="348" t="str">
        <f>IF(AU61="900 &amp; 1800","900MHz &amp; 1800MHz",IF(AU61="900 &amp; 2100","900MHz &amp; 2100MHz",IF(AU61="1800 &amp; 2100","1800MHz &amp; 2100MHz",AU61&amp;"MHz")))</f>
        <v>9000 &amp; 2100MHz</v>
      </c>
      <c r="X61" s="348"/>
      <c r="Y61" s="348"/>
      <c r="Z61" s="348"/>
      <c r="AA61" s="348">
        <f>AV61</f>
        <v>15</v>
      </c>
      <c r="AB61" s="348"/>
      <c r="AC61" s="348"/>
      <c r="AD61" s="348"/>
      <c r="AE61" s="348"/>
      <c r="AF61" s="348"/>
      <c r="AI61" s="81" t="s">
        <v>132</v>
      </c>
      <c r="AK61" s="81" t="s">
        <v>115</v>
      </c>
      <c r="AL61" s="81"/>
      <c r="AN61" s="85" t="s">
        <v>96</v>
      </c>
      <c r="AQ61" s="69">
        <v>30</v>
      </c>
      <c r="AR61" s="69">
        <v>40</v>
      </c>
      <c r="AS61" s="69">
        <v>40</v>
      </c>
      <c r="AU61" s="69" t="s">
        <v>182</v>
      </c>
      <c r="AV61" s="69">
        <v>15</v>
      </c>
    </row>
    <row r="62" spans="2:48" ht="18.75" customHeight="1">
      <c r="B62" s="348"/>
      <c r="C62" s="348"/>
      <c r="D62" s="348"/>
      <c r="E62" s="348"/>
      <c r="F62" s="348"/>
      <c r="G62" s="348"/>
      <c r="H62" s="349"/>
      <c r="I62" s="349"/>
      <c r="J62" s="349"/>
      <c r="K62" s="349"/>
      <c r="L62" s="350"/>
      <c r="M62" s="350"/>
      <c r="N62" s="350"/>
      <c r="O62" s="433"/>
      <c r="P62" s="433"/>
      <c r="Q62" s="433"/>
      <c r="R62" s="348"/>
      <c r="S62" s="348"/>
      <c r="T62" s="348"/>
      <c r="U62" s="348"/>
      <c r="V62" s="348"/>
      <c r="W62" s="348"/>
      <c r="X62" s="348"/>
      <c r="Y62" s="348"/>
      <c r="Z62" s="348"/>
      <c r="AA62" s="348"/>
      <c r="AB62" s="348"/>
      <c r="AC62" s="348"/>
      <c r="AD62" s="348"/>
      <c r="AE62" s="348"/>
      <c r="AF62" s="348"/>
    </row>
    <row r="63" spans="2:48" ht="18.75" customHeight="1">
      <c r="B63" s="348"/>
      <c r="C63" s="348"/>
      <c r="D63" s="348"/>
      <c r="E63" s="348"/>
      <c r="F63" s="348"/>
      <c r="G63" s="348"/>
      <c r="H63" s="349"/>
      <c r="I63" s="349"/>
      <c r="J63" s="349"/>
      <c r="K63" s="349"/>
      <c r="L63" s="350"/>
      <c r="M63" s="350"/>
      <c r="N63" s="350"/>
      <c r="O63" s="433"/>
      <c r="P63" s="433"/>
      <c r="Q63" s="433"/>
      <c r="R63" s="348"/>
      <c r="S63" s="348"/>
      <c r="T63" s="348"/>
      <c r="U63" s="348"/>
      <c r="V63" s="348"/>
      <c r="W63" s="348"/>
      <c r="X63" s="348"/>
      <c r="Y63" s="348"/>
      <c r="Z63" s="348"/>
      <c r="AA63" s="348"/>
      <c r="AB63" s="348"/>
      <c r="AC63" s="348"/>
      <c r="AD63" s="348"/>
      <c r="AE63" s="348"/>
      <c r="AF63" s="348"/>
    </row>
    <row r="64" spans="2:48" ht="18.75" customHeight="1">
      <c r="B64" s="348"/>
      <c r="C64" s="348"/>
      <c r="D64" s="348"/>
      <c r="E64" s="348"/>
      <c r="F64" s="348"/>
      <c r="G64" s="348"/>
      <c r="H64" s="349"/>
      <c r="I64" s="349"/>
      <c r="J64" s="349"/>
      <c r="K64" s="349"/>
      <c r="L64" s="350"/>
      <c r="M64" s="350"/>
      <c r="N64" s="350"/>
      <c r="O64" s="433"/>
      <c r="P64" s="433"/>
      <c r="Q64" s="433"/>
      <c r="R64" s="348"/>
      <c r="S64" s="348"/>
      <c r="T64" s="348"/>
      <c r="U64" s="348"/>
      <c r="V64" s="348"/>
      <c r="W64" s="348"/>
      <c r="X64" s="348"/>
      <c r="Y64" s="348"/>
      <c r="Z64" s="348"/>
      <c r="AA64" s="348"/>
      <c r="AB64" s="348"/>
      <c r="AC64" s="348"/>
      <c r="AD64" s="348"/>
      <c r="AE64" s="348"/>
      <c r="AF64" s="348"/>
    </row>
    <row r="65" spans="2:50" ht="18.75" customHeight="1">
      <c r="B65" s="348" t="str">
        <f t="shared" ref="B65" si="9">AI65</f>
        <v>CÔNG TY CỔ PHẦN VIỄN THÔNG DI ĐỘNG TOÀN CẦU</v>
      </c>
      <c r="C65" s="348"/>
      <c r="D65" s="348"/>
      <c r="E65" s="348"/>
      <c r="F65" s="348"/>
      <c r="G65" s="348"/>
      <c r="H65" s="349" t="str">
        <f>AK65</f>
        <v>TB2</v>
      </c>
      <c r="I65" s="349"/>
      <c r="J65" s="349"/>
      <c r="K65" s="349"/>
      <c r="L65" s="350">
        <v>1</v>
      </c>
      <c r="M65" s="350"/>
      <c r="N65" s="350"/>
      <c r="O65" s="392" t="str">
        <f t="shared" ref="O65" si="10">AN65</f>
        <v>4/4/4</v>
      </c>
      <c r="P65" s="433"/>
      <c r="Q65" s="433"/>
      <c r="R65" s="348" t="str">
        <f t="shared" ref="R65" si="11">IF(L65=3,AQ65&amp;"W/ "&amp;AR65&amp;"W/ "&amp;AS65&amp;"W",IF(L65=2,AQ65&amp;"W/ "&amp;AR65&amp;"W",AQ65&amp;"W"))</f>
        <v>30W</v>
      </c>
      <c r="S65" s="348"/>
      <c r="T65" s="348"/>
      <c r="U65" s="348"/>
      <c r="V65" s="348"/>
      <c r="W65" s="348" t="str">
        <f>IF(AU65="900 &amp; 1800","900MHz &amp; 1800MHz",IF(AU65="900 &amp; 2100","900MHz &amp; 2100MHz",IF(AU65="1800 &amp; 2100","1800MHz &amp; 2100MHz",AU65&amp;"MHz")))</f>
        <v>1800MHz &amp; 2100MHz</v>
      </c>
      <c r="X65" s="348"/>
      <c r="Y65" s="348"/>
      <c r="Z65" s="348"/>
      <c r="AA65" s="348">
        <f>AV65</f>
        <v>15</v>
      </c>
      <c r="AB65" s="348"/>
      <c r="AC65" s="348"/>
      <c r="AD65" s="348"/>
      <c r="AE65" s="348"/>
      <c r="AF65" s="348"/>
      <c r="AI65" s="81" t="s">
        <v>132</v>
      </c>
      <c r="AK65" s="81" t="s">
        <v>115</v>
      </c>
      <c r="AL65" s="81"/>
      <c r="AN65" s="85" t="s">
        <v>96</v>
      </c>
      <c r="AQ65" s="69">
        <v>30</v>
      </c>
      <c r="AR65" s="69">
        <v>40</v>
      </c>
      <c r="AS65" s="69">
        <v>40</v>
      </c>
      <c r="AU65" s="69" t="s">
        <v>183</v>
      </c>
      <c r="AV65" s="69">
        <v>15</v>
      </c>
      <c r="AW65" s="69">
        <v>16</v>
      </c>
      <c r="AX65" s="69">
        <v>17</v>
      </c>
    </row>
    <row r="66" spans="2:50" ht="18.75" customHeight="1">
      <c r="B66" s="348"/>
      <c r="C66" s="348"/>
      <c r="D66" s="348"/>
      <c r="E66" s="348"/>
      <c r="F66" s="348"/>
      <c r="G66" s="348"/>
      <c r="H66" s="349"/>
      <c r="I66" s="349"/>
      <c r="J66" s="349"/>
      <c r="K66" s="349"/>
      <c r="L66" s="350"/>
      <c r="M66" s="350"/>
      <c r="N66" s="350"/>
      <c r="O66" s="433"/>
      <c r="P66" s="433"/>
      <c r="Q66" s="433"/>
      <c r="R66" s="348"/>
      <c r="S66" s="348"/>
      <c r="T66" s="348"/>
      <c r="U66" s="348"/>
      <c r="V66" s="348"/>
      <c r="W66" s="348"/>
      <c r="X66" s="348"/>
      <c r="Y66" s="348"/>
      <c r="Z66" s="348"/>
      <c r="AA66" s="348"/>
      <c r="AB66" s="348"/>
      <c r="AC66" s="348"/>
      <c r="AD66" s="348"/>
      <c r="AE66" s="348"/>
      <c r="AF66" s="348"/>
    </row>
    <row r="67" spans="2:50" ht="18.75" customHeight="1">
      <c r="B67" s="348"/>
      <c r="C67" s="348"/>
      <c r="D67" s="348"/>
      <c r="E67" s="348"/>
      <c r="F67" s="348"/>
      <c r="G67" s="348"/>
      <c r="H67" s="349"/>
      <c r="I67" s="349"/>
      <c r="J67" s="349"/>
      <c r="K67" s="349"/>
      <c r="L67" s="350"/>
      <c r="M67" s="350"/>
      <c r="N67" s="350"/>
      <c r="O67" s="433"/>
      <c r="P67" s="433"/>
      <c r="Q67" s="433"/>
      <c r="R67" s="348"/>
      <c r="S67" s="348"/>
      <c r="T67" s="348"/>
      <c r="U67" s="348"/>
      <c r="V67" s="348"/>
      <c r="W67" s="348"/>
      <c r="X67" s="348"/>
      <c r="Y67" s="348"/>
      <c r="Z67" s="348"/>
      <c r="AA67" s="348"/>
      <c r="AB67" s="348"/>
      <c r="AC67" s="348"/>
      <c r="AD67" s="348"/>
      <c r="AE67" s="348"/>
      <c r="AF67" s="348"/>
    </row>
    <row r="68" spans="2:50" ht="18.75" customHeight="1">
      <c r="B68" s="348"/>
      <c r="C68" s="348"/>
      <c r="D68" s="348"/>
      <c r="E68" s="348"/>
      <c r="F68" s="348"/>
      <c r="G68" s="348"/>
      <c r="H68" s="349"/>
      <c r="I68" s="349"/>
      <c r="J68" s="349"/>
      <c r="K68" s="349"/>
      <c r="L68" s="350"/>
      <c r="M68" s="350"/>
      <c r="N68" s="350"/>
      <c r="O68" s="433"/>
      <c r="P68" s="433"/>
      <c r="Q68" s="433"/>
      <c r="R68" s="348"/>
      <c r="S68" s="348"/>
      <c r="T68" s="348"/>
      <c r="U68" s="348"/>
      <c r="V68" s="348"/>
      <c r="W68" s="348"/>
      <c r="X68" s="348"/>
      <c r="Y68" s="348"/>
      <c r="Z68" s="348"/>
      <c r="AA68" s="348"/>
      <c r="AB68" s="348"/>
      <c r="AC68" s="348"/>
      <c r="AD68" s="348"/>
      <c r="AE68" s="348"/>
      <c r="AF68" s="348"/>
    </row>
    <row r="69" spans="2:50" ht="18.75" customHeight="1">
      <c r="C69" s="96"/>
      <c r="D69" s="96"/>
      <c r="E69" s="96"/>
      <c r="F69" s="96"/>
      <c r="G69" s="96"/>
      <c r="H69" s="96"/>
      <c r="I69" s="96"/>
      <c r="J69" s="96"/>
      <c r="K69" s="96"/>
      <c r="L69" s="96"/>
      <c r="M69" s="96"/>
      <c r="N69" s="96"/>
      <c r="O69" s="96"/>
      <c r="P69" s="96"/>
      <c r="Q69" s="96"/>
      <c r="R69" s="96"/>
      <c r="S69" s="96"/>
      <c r="T69" s="96"/>
      <c r="U69" s="96"/>
      <c r="V69" s="96"/>
      <c r="W69" s="96"/>
      <c r="X69" s="96"/>
      <c r="Y69" s="96"/>
      <c r="Z69" s="96"/>
      <c r="AA69" s="96"/>
      <c r="AB69" s="96"/>
      <c r="AC69" s="96"/>
      <c r="AD69" s="96"/>
    </row>
    <row r="70" spans="2:50" ht="18.75" customHeight="1">
      <c r="C70" s="96"/>
      <c r="D70" s="96"/>
      <c r="E70" s="96"/>
      <c r="F70" s="96"/>
      <c r="G70" s="96"/>
      <c r="H70" s="96"/>
      <c r="I70" s="96"/>
      <c r="J70" s="96"/>
      <c r="K70" s="96"/>
      <c r="L70" s="96"/>
      <c r="M70" s="96"/>
      <c r="N70" s="96"/>
      <c r="O70" s="96"/>
      <c r="P70" s="96"/>
      <c r="Q70" s="96"/>
      <c r="R70" s="96"/>
      <c r="S70" s="96"/>
      <c r="T70" s="96"/>
      <c r="U70" s="96"/>
      <c r="V70" s="96"/>
      <c r="W70" s="96"/>
      <c r="X70" s="96"/>
      <c r="Y70" s="96"/>
      <c r="Z70" s="96"/>
      <c r="AA70" s="96"/>
      <c r="AB70" s="96"/>
      <c r="AC70" s="96"/>
      <c r="AD70" s="96"/>
    </row>
    <row r="71" spans="2:50" ht="18.75" customHeight="1">
      <c r="C71" s="96"/>
      <c r="D71" s="96"/>
      <c r="E71" s="96"/>
      <c r="F71" s="96"/>
      <c r="G71" s="96"/>
      <c r="H71" s="96"/>
      <c r="I71" s="96"/>
      <c r="J71" s="96"/>
      <c r="K71" s="96"/>
      <c r="L71" s="96"/>
      <c r="M71" s="96"/>
      <c r="N71" s="96"/>
      <c r="O71" s="96"/>
      <c r="P71" s="96"/>
      <c r="Q71" s="96"/>
      <c r="R71" s="96"/>
      <c r="S71" s="96"/>
      <c r="T71" s="96"/>
      <c r="U71" s="96"/>
      <c r="V71" s="96"/>
      <c r="W71" s="96"/>
      <c r="X71" s="96"/>
      <c r="Y71" s="96"/>
      <c r="Z71" s="96"/>
      <c r="AA71" s="96"/>
      <c r="AB71" s="96"/>
      <c r="AC71" s="96"/>
      <c r="AD71" s="96"/>
    </row>
    <row r="72" spans="2:50" ht="18.75" customHeight="1">
      <c r="C72" s="96"/>
      <c r="D72" s="96"/>
      <c r="E72" s="96"/>
      <c r="F72" s="96"/>
      <c r="G72" s="96"/>
      <c r="H72" s="96"/>
      <c r="I72" s="96"/>
      <c r="J72" s="96"/>
      <c r="K72" s="96"/>
      <c r="L72" s="96"/>
      <c r="M72" s="96"/>
      <c r="N72" s="96"/>
      <c r="O72" s="96"/>
      <c r="P72" s="96"/>
      <c r="Q72" s="96"/>
      <c r="R72" s="96"/>
      <c r="S72" s="96"/>
      <c r="T72" s="96"/>
      <c r="U72" s="96"/>
      <c r="V72" s="96"/>
      <c r="W72" s="96"/>
      <c r="X72" s="96"/>
      <c r="Y72" s="96"/>
      <c r="Z72" s="96"/>
      <c r="AA72" s="96"/>
      <c r="AB72" s="96"/>
      <c r="AC72" s="96"/>
      <c r="AD72" s="96"/>
    </row>
    <row r="73" spans="2:50" ht="18.75" customHeight="1">
      <c r="C73" s="96"/>
      <c r="D73" s="96"/>
      <c r="E73" s="96"/>
      <c r="F73" s="96"/>
      <c r="G73" s="96"/>
      <c r="H73" s="96"/>
      <c r="I73" s="96"/>
      <c r="J73" s="96"/>
      <c r="K73" s="96"/>
      <c r="L73" s="96"/>
      <c r="M73" s="96"/>
      <c r="N73" s="96"/>
      <c r="O73" s="96"/>
      <c r="P73" s="96"/>
      <c r="Q73" s="96"/>
      <c r="R73" s="96"/>
      <c r="S73" s="96"/>
      <c r="T73" s="96"/>
      <c r="U73" s="96"/>
      <c r="V73" s="96"/>
      <c r="W73" s="96"/>
      <c r="X73" s="96"/>
      <c r="Y73" s="96"/>
      <c r="Z73" s="96"/>
      <c r="AA73" s="96"/>
      <c r="AB73" s="96"/>
      <c r="AC73" s="96"/>
      <c r="AD73" s="96"/>
    </row>
    <row r="74" spans="2:50" ht="18.75" customHeight="1">
      <c r="C74" s="96"/>
      <c r="D74" s="96"/>
      <c r="E74" s="96"/>
      <c r="F74" s="96"/>
      <c r="G74" s="96"/>
      <c r="H74" s="96"/>
      <c r="I74" s="96"/>
      <c r="J74" s="96"/>
      <c r="K74" s="96"/>
      <c r="L74" s="96"/>
      <c r="M74" s="96"/>
      <c r="N74" s="96"/>
      <c r="O74" s="96"/>
      <c r="P74" s="96"/>
      <c r="Q74" s="96"/>
      <c r="R74" s="96"/>
      <c r="S74" s="96"/>
      <c r="T74" s="96"/>
      <c r="U74" s="96"/>
      <c r="V74" s="96"/>
      <c r="W74" s="96"/>
      <c r="X74" s="96"/>
      <c r="Y74" s="96"/>
      <c r="Z74" s="96"/>
      <c r="AA74" s="96"/>
      <c r="AB74" s="96"/>
      <c r="AC74" s="96"/>
      <c r="AD74" s="96"/>
    </row>
    <row r="75" spans="2:50" ht="18.75" customHeight="1">
      <c r="C75" s="96"/>
      <c r="D75" s="96"/>
      <c r="E75" s="96"/>
      <c r="F75" s="96"/>
      <c r="G75" s="96"/>
      <c r="H75" s="96"/>
      <c r="I75" s="96"/>
      <c r="J75" s="96"/>
      <c r="K75" s="96"/>
      <c r="L75" s="96"/>
      <c r="M75" s="96"/>
      <c r="N75" s="96"/>
      <c r="O75" s="96"/>
      <c r="P75" s="96"/>
      <c r="Q75" s="96"/>
      <c r="R75" s="96"/>
      <c r="S75" s="96"/>
      <c r="T75" s="96"/>
      <c r="U75" s="96"/>
      <c r="V75" s="96"/>
      <c r="W75" s="96"/>
      <c r="X75" s="96"/>
      <c r="Y75" s="96"/>
      <c r="Z75" s="96"/>
      <c r="AA75" s="96"/>
      <c r="AB75" s="96"/>
      <c r="AC75" s="96"/>
      <c r="AD75" s="96"/>
    </row>
    <row r="76" spans="2:50" ht="18.75" customHeight="1">
      <c r="C76" s="96"/>
      <c r="D76" s="96"/>
      <c r="E76" s="96"/>
      <c r="F76" s="96"/>
      <c r="G76" s="96"/>
      <c r="H76" s="96"/>
      <c r="I76" s="96"/>
      <c r="J76" s="96"/>
      <c r="K76" s="96"/>
      <c r="L76" s="96"/>
      <c r="M76" s="96"/>
      <c r="N76" s="96"/>
      <c r="O76" s="96"/>
      <c r="P76" s="96"/>
      <c r="Q76" s="96"/>
      <c r="R76" s="96"/>
      <c r="S76" s="96"/>
      <c r="T76" s="96"/>
      <c r="U76" s="96"/>
      <c r="V76" s="96"/>
      <c r="W76" s="96"/>
      <c r="X76" s="96"/>
      <c r="Y76" s="96"/>
      <c r="Z76" s="96"/>
      <c r="AA76" s="96"/>
      <c r="AB76" s="96"/>
      <c r="AC76" s="96"/>
      <c r="AD76" s="96"/>
    </row>
    <row r="77" spans="2:50" ht="18.75" customHeight="1">
      <c r="C77" s="96"/>
      <c r="D77" s="96"/>
      <c r="E77" s="96"/>
      <c r="F77" s="96"/>
      <c r="G77" s="96"/>
      <c r="H77" s="96"/>
      <c r="I77" s="96"/>
      <c r="J77" s="96"/>
      <c r="K77" s="96"/>
      <c r="L77" s="96"/>
      <c r="M77" s="96"/>
      <c r="N77" s="96"/>
      <c r="O77" s="96"/>
      <c r="P77" s="96"/>
      <c r="Q77" s="96"/>
      <c r="R77" s="96"/>
      <c r="S77" s="96"/>
      <c r="T77" s="96"/>
      <c r="U77" s="96"/>
      <c r="V77" s="96"/>
      <c r="W77" s="96"/>
      <c r="X77" s="96"/>
      <c r="Y77" s="96"/>
      <c r="Z77" s="96"/>
      <c r="AA77" s="96"/>
      <c r="AB77" s="96"/>
      <c r="AC77" s="96"/>
      <c r="AD77" s="96"/>
    </row>
    <row r="78" spans="2:50" ht="18.75" customHeight="1">
      <c r="C78" s="96"/>
      <c r="D78" s="96"/>
      <c r="E78" s="96"/>
      <c r="F78" s="96"/>
      <c r="G78" s="96"/>
      <c r="H78" s="96"/>
      <c r="I78" s="96"/>
      <c r="J78" s="96"/>
      <c r="K78" s="96"/>
      <c r="L78" s="96"/>
      <c r="M78" s="96"/>
      <c r="N78" s="96"/>
      <c r="O78" s="96"/>
      <c r="P78" s="96"/>
      <c r="Q78" s="96"/>
      <c r="R78" s="96"/>
      <c r="S78" s="96"/>
      <c r="T78" s="96"/>
      <c r="U78" s="96"/>
      <c r="V78" s="96"/>
      <c r="W78" s="96"/>
      <c r="X78" s="96"/>
      <c r="Y78" s="96"/>
      <c r="Z78" s="96"/>
      <c r="AA78" s="96"/>
      <c r="AB78" s="96"/>
      <c r="AC78" s="96"/>
      <c r="AD78" s="96"/>
    </row>
    <row r="79" spans="2:50" ht="18.75" customHeight="1">
      <c r="C79" s="96"/>
      <c r="D79" s="96"/>
      <c r="E79" s="96"/>
      <c r="F79" s="96"/>
      <c r="G79" s="96"/>
      <c r="H79" s="96"/>
      <c r="I79" s="96"/>
      <c r="J79" s="96"/>
      <c r="K79" s="96"/>
      <c r="L79" s="96"/>
      <c r="M79" s="96"/>
      <c r="N79" s="96"/>
      <c r="O79" s="96"/>
      <c r="P79" s="96"/>
      <c r="Q79" s="96"/>
      <c r="R79" s="96"/>
      <c r="S79" s="96"/>
      <c r="T79" s="96"/>
      <c r="U79" s="96"/>
      <c r="V79" s="96"/>
      <c r="W79" s="96"/>
      <c r="X79" s="96"/>
      <c r="Y79" s="96"/>
      <c r="Z79" s="96"/>
      <c r="AA79" s="96"/>
      <c r="AB79" s="96"/>
      <c r="AC79" s="96"/>
      <c r="AD79" s="96"/>
    </row>
    <row r="80" spans="2:50" ht="18.75" customHeight="1">
      <c r="C80" s="96"/>
      <c r="D80" s="96"/>
      <c r="E80" s="96"/>
      <c r="F80" s="96"/>
      <c r="G80" s="96"/>
      <c r="H80" s="96"/>
      <c r="I80" s="96"/>
      <c r="J80" s="96"/>
      <c r="K80" s="96"/>
      <c r="L80" s="96"/>
      <c r="M80" s="96"/>
      <c r="N80" s="96"/>
      <c r="O80" s="96"/>
      <c r="P80" s="96"/>
      <c r="Q80" s="96"/>
      <c r="R80" s="96"/>
      <c r="S80" s="96"/>
      <c r="T80" s="96"/>
      <c r="U80" s="96"/>
      <c r="V80" s="96"/>
      <c r="W80" s="96"/>
      <c r="X80" s="96"/>
      <c r="Y80" s="96"/>
      <c r="Z80" s="96"/>
      <c r="AA80" s="96"/>
      <c r="AB80" s="96"/>
      <c r="AC80" s="96"/>
      <c r="AD80" s="96"/>
    </row>
    <row r="81" spans="3:30" ht="18.75" customHeight="1">
      <c r="C81" s="96"/>
      <c r="D81" s="96"/>
      <c r="E81" s="96"/>
      <c r="F81" s="96"/>
      <c r="G81" s="96"/>
      <c r="H81" s="96"/>
      <c r="I81" s="96"/>
      <c r="J81" s="96"/>
      <c r="K81" s="96"/>
      <c r="L81" s="96"/>
      <c r="M81" s="96"/>
      <c r="N81" s="96"/>
      <c r="O81" s="96"/>
      <c r="P81" s="96"/>
      <c r="Q81" s="96"/>
      <c r="R81" s="96"/>
      <c r="S81" s="96"/>
      <c r="T81" s="96"/>
      <c r="U81" s="96"/>
      <c r="V81" s="96"/>
      <c r="W81" s="96"/>
      <c r="X81" s="96"/>
      <c r="Y81" s="96"/>
      <c r="Z81" s="96"/>
      <c r="AA81" s="96"/>
      <c r="AB81" s="96"/>
      <c r="AC81" s="96"/>
      <c r="AD81" s="96"/>
    </row>
    <row r="82" spans="3:30" ht="18.75" customHeight="1">
      <c r="C82" s="96"/>
      <c r="D82" s="96"/>
      <c r="E82" s="96"/>
      <c r="F82" s="96"/>
      <c r="G82" s="96"/>
      <c r="H82" s="96"/>
      <c r="I82" s="96"/>
      <c r="J82" s="96"/>
      <c r="K82" s="96"/>
      <c r="L82" s="96"/>
      <c r="M82" s="96"/>
      <c r="N82" s="96"/>
      <c r="O82" s="96"/>
      <c r="P82" s="96"/>
      <c r="Q82" s="96"/>
      <c r="R82" s="96"/>
      <c r="S82" s="96"/>
      <c r="T82" s="96"/>
      <c r="U82" s="96"/>
      <c r="V82" s="96"/>
      <c r="W82" s="96"/>
      <c r="X82" s="96"/>
      <c r="Y82" s="96"/>
      <c r="Z82" s="96"/>
      <c r="AA82" s="96"/>
      <c r="AB82" s="96"/>
      <c r="AC82" s="96"/>
      <c r="AD82" s="96"/>
    </row>
    <row r="83" spans="3:30" ht="18.75" customHeight="1">
      <c r="C83" s="96"/>
      <c r="D83" s="96"/>
      <c r="E83" s="96"/>
      <c r="F83" s="96"/>
      <c r="G83" s="96"/>
      <c r="H83" s="96"/>
      <c r="I83" s="96"/>
      <c r="J83" s="96"/>
      <c r="K83" s="96"/>
      <c r="L83" s="96"/>
      <c r="M83" s="96"/>
      <c r="N83" s="96"/>
      <c r="O83" s="96"/>
      <c r="P83" s="96"/>
      <c r="Q83" s="96"/>
      <c r="R83" s="96"/>
      <c r="S83" s="96"/>
      <c r="T83" s="96"/>
      <c r="U83" s="96"/>
      <c r="V83" s="96"/>
      <c r="W83" s="96"/>
      <c r="X83" s="96"/>
      <c r="Y83" s="96"/>
      <c r="Z83" s="96"/>
      <c r="AA83" s="96"/>
      <c r="AB83" s="96"/>
      <c r="AC83" s="96"/>
      <c r="AD83" s="96"/>
    </row>
    <row r="84" spans="3:30" ht="18.75" customHeight="1">
      <c r="C84" s="96"/>
      <c r="D84" s="96"/>
      <c r="E84" s="96"/>
      <c r="F84" s="96"/>
      <c r="G84" s="96"/>
      <c r="H84" s="96"/>
      <c r="I84" s="96"/>
      <c r="J84" s="96"/>
      <c r="K84" s="96"/>
      <c r="L84" s="96"/>
      <c r="M84" s="96"/>
      <c r="N84" s="96"/>
      <c r="O84" s="96"/>
      <c r="P84" s="96"/>
      <c r="Q84" s="96"/>
      <c r="R84" s="96"/>
      <c r="S84" s="96"/>
      <c r="T84" s="96"/>
      <c r="U84" s="96"/>
      <c r="V84" s="96"/>
      <c r="W84" s="96"/>
      <c r="X84" s="96"/>
      <c r="Y84" s="96"/>
      <c r="Z84" s="96"/>
      <c r="AA84" s="96"/>
      <c r="AB84" s="96"/>
      <c r="AC84" s="96"/>
      <c r="AD84" s="96"/>
    </row>
    <row r="85" spans="3:30" ht="18.75" customHeight="1">
      <c r="C85" s="96"/>
      <c r="D85" s="96"/>
      <c r="E85" s="96"/>
      <c r="F85" s="96"/>
      <c r="G85" s="96"/>
      <c r="H85" s="96"/>
      <c r="I85" s="96"/>
      <c r="J85" s="96"/>
      <c r="K85" s="96"/>
      <c r="L85" s="96"/>
      <c r="M85" s="96"/>
      <c r="N85" s="96"/>
      <c r="O85" s="96"/>
      <c r="P85" s="96"/>
      <c r="Q85" s="96"/>
      <c r="R85" s="96"/>
      <c r="S85" s="96"/>
      <c r="T85" s="96"/>
      <c r="U85" s="96"/>
      <c r="V85" s="96"/>
      <c r="W85" s="96"/>
      <c r="X85" s="96"/>
      <c r="Y85" s="96"/>
      <c r="Z85" s="96"/>
      <c r="AA85" s="96"/>
      <c r="AB85" s="96"/>
      <c r="AC85" s="96"/>
      <c r="AD85" s="96"/>
    </row>
    <row r="86" spans="3:30" ht="18.75" customHeight="1">
      <c r="C86" s="96"/>
      <c r="D86" s="96"/>
      <c r="E86" s="96"/>
      <c r="F86" s="96"/>
      <c r="G86" s="96"/>
      <c r="H86" s="96"/>
      <c r="I86" s="96"/>
      <c r="J86" s="96"/>
      <c r="K86" s="96"/>
      <c r="L86" s="96"/>
      <c r="M86" s="96"/>
      <c r="N86" s="96"/>
      <c r="O86" s="96"/>
      <c r="P86" s="96"/>
      <c r="Q86" s="96"/>
      <c r="R86" s="96"/>
      <c r="S86" s="96"/>
      <c r="T86" s="96"/>
      <c r="U86" s="96"/>
      <c r="V86" s="96"/>
      <c r="W86" s="96"/>
      <c r="X86" s="96"/>
      <c r="Y86" s="96"/>
      <c r="Z86" s="96"/>
      <c r="AA86" s="96"/>
      <c r="AB86" s="96"/>
      <c r="AC86" s="96"/>
      <c r="AD86" s="96"/>
    </row>
    <row r="87" spans="3:30" ht="18.75" customHeight="1">
      <c r="C87" s="96"/>
      <c r="D87" s="96"/>
      <c r="E87" s="96"/>
      <c r="F87" s="96"/>
      <c r="G87" s="96"/>
      <c r="H87" s="96"/>
      <c r="I87" s="96"/>
      <c r="J87" s="96"/>
      <c r="K87" s="96"/>
      <c r="L87" s="96"/>
      <c r="M87" s="96"/>
      <c r="N87" s="96"/>
      <c r="O87" s="96"/>
      <c r="P87" s="96"/>
      <c r="Q87" s="96"/>
      <c r="R87" s="96"/>
      <c r="S87" s="96"/>
      <c r="T87" s="96"/>
      <c r="U87" s="96"/>
      <c r="V87" s="96"/>
      <c r="W87" s="96"/>
      <c r="X87" s="96"/>
      <c r="Y87" s="96"/>
      <c r="Z87" s="96"/>
      <c r="AA87" s="96"/>
      <c r="AB87" s="96"/>
      <c r="AC87" s="96"/>
      <c r="AD87" s="96"/>
    </row>
    <row r="88" spans="3:30" ht="18.75" customHeight="1">
      <c r="C88" s="96"/>
      <c r="D88" s="96"/>
      <c r="E88" s="96"/>
      <c r="F88" s="96"/>
      <c r="G88" s="96"/>
      <c r="H88" s="96"/>
      <c r="I88" s="96"/>
      <c r="J88" s="96"/>
      <c r="K88" s="96"/>
      <c r="L88" s="96"/>
      <c r="M88" s="96"/>
      <c r="N88" s="96"/>
      <c r="O88" s="96"/>
      <c r="P88" s="96"/>
      <c r="Q88" s="96"/>
      <c r="R88" s="96"/>
      <c r="S88" s="96"/>
      <c r="T88" s="96"/>
      <c r="U88" s="96"/>
      <c r="V88" s="96"/>
      <c r="W88" s="96"/>
      <c r="X88" s="96"/>
      <c r="Y88" s="96"/>
      <c r="Z88" s="96"/>
      <c r="AA88" s="96"/>
      <c r="AB88" s="96"/>
      <c r="AC88" s="96"/>
      <c r="AD88" s="96"/>
    </row>
    <row r="89" spans="3:30" ht="18.75" customHeight="1">
      <c r="C89" s="96"/>
      <c r="D89" s="96"/>
      <c r="E89" s="96"/>
      <c r="F89" s="96"/>
      <c r="G89" s="96"/>
      <c r="H89" s="96"/>
      <c r="I89" s="96"/>
      <c r="J89" s="96"/>
      <c r="K89" s="96"/>
      <c r="L89" s="96"/>
      <c r="M89" s="96"/>
      <c r="N89" s="96"/>
      <c r="O89" s="96"/>
      <c r="P89" s="96"/>
      <c r="Q89" s="96"/>
      <c r="R89" s="96"/>
      <c r="S89" s="96"/>
      <c r="T89" s="96"/>
      <c r="U89" s="96"/>
      <c r="V89" s="96"/>
      <c r="W89" s="96"/>
      <c r="X89" s="96"/>
      <c r="Y89" s="96"/>
      <c r="Z89" s="96"/>
      <c r="AA89" s="96"/>
      <c r="AB89" s="96"/>
      <c r="AC89" s="96"/>
      <c r="AD89" s="96"/>
    </row>
    <row r="90" spans="3:30" ht="18.75" customHeight="1">
      <c r="C90" s="96"/>
      <c r="D90" s="96"/>
      <c r="E90" s="96"/>
      <c r="F90" s="96"/>
      <c r="G90" s="96"/>
      <c r="H90" s="96"/>
      <c r="I90" s="96"/>
      <c r="J90" s="96"/>
      <c r="K90" s="96"/>
      <c r="L90" s="96"/>
      <c r="M90" s="96"/>
      <c r="N90" s="96"/>
      <c r="O90" s="96"/>
      <c r="P90" s="96"/>
      <c r="Q90" s="96"/>
      <c r="R90" s="96"/>
      <c r="S90" s="96"/>
      <c r="T90" s="96"/>
      <c r="U90" s="96"/>
      <c r="V90" s="96"/>
      <c r="W90" s="96"/>
      <c r="X90" s="96"/>
      <c r="Y90" s="96"/>
      <c r="Z90" s="96"/>
      <c r="AA90" s="96"/>
      <c r="AB90" s="96"/>
      <c r="AC90" s="96"/>
      <c r="AD90" s="96"/>
    </row>
    <row r="91" spans="3:30" ht="18.75" customHeight="1">
      <c r="C91" s="96"/>
      <c r="D91" s="96"/>
      <c r="E91" s="96"/>
      <c r="F91" s="96"/>
      <c r="G91" s="96"/>
      <c r="H91" s="96"/>
      <c r="I91" s="96"/>
      <c r="J91" s="96"/>
      <c r="K91" s="96"/>
      <c r="L91" s="96"/>
      <c r="M91" s="96"/>
      <c r="N91" s="96"/>
      <c r="O91" s="96"/>
      <c r="P91" s="96"/>
      <c r="Q91" s="96"/>
      <c r="R91" s="96"/>
      <c r="S91" s="96"/>
      <c r="T91" s="96"/>
      <c r="U91" s="96"/>
      <c r="V91" s="96"/>
      <c r="W91" s="96"/>
      <c r="X91" s="96"/>
      <c r="Y91" s="96"/>
      <c r="Z91" s="96"/>
      <c r="AA91" s="96"/>
      <c r="AB91" s="96"/>
      <c r="AC91" s="96"/>
      <c r="AD91" s="96"/>
    </row>
    <row r="92" spans="3:30">
      <c r="C92" s="96"/>
      <c r="D92" s="96"/>
      <c r="E92" s="96"/>
      <c r="F92" s="96"/>
      <c r="G92" s="96"/>
      <c r="H92" s="96"/>
      <c r="I92" s="96"/>
      <c r="J92" s="96"/>
      <c r="K92" s="96"/>
      <c r="L92" s="96"/>
      <c r="M92" s="96"/>
      <c r="N92" s="96"/>
      <c r="O92" s="96"/>
      <c r="P92" s="96"/>
      <c r="Q92" s="96"/>
      <c r="R92" s="96"/>
      <c r="S92" s="96"/>
      <c r="T92" s="96"/>
      <c r="U92" s="96"/>
      <c r="V92" s="96"/>
      <c r="W92" s="96"/>
      <c r="X92" s="96"/>
      <c r="Y92" s="96"/>
      <c r="Z92" s="96"/>
      <c r="AA92" s="96"/>
      <c r="AB92" s="96"/>
      <c r="AC92" s="96"/>
      <c r="AD92" s="96"/>
    </row>
    <row r="93" spans="3:30">
      <c r="C93" s="96"/>
      <c r="D93" s="96"/>
      <c r="E93" s="96"/>
      <c r="F93" s="96"/>
      <c r="G93" s="96"/>
      <c r="H93" s="96"/>
      <c r="I93" s="96"/>
      <c r="J93" s="96"/>
      <c r="K93" s="96"/>
      <c r="L93" s="96"/>
      <c r="M93" s="96"/>
      <c r="N93" s="96"/>
      <c r="O93" s="96"/>
      <c r="P93" s="96"/>
      <c r="Q93" s="96"/>
      <c r="R93" s="96"/>
      <c r="S93" s="96"/>
      <c r="T93" s="96"/>
      <c r="U93" s="96"/>
      <c r="V93" s="96"/>
      <c r="W93" s="96"/>
      <c r="X93" s="96"/>
      <c r="Y93" s="96"/>
      <c r="Z93" s="96"/>
      <c r="AA93" s="96"/>
      <c r="AB93" s="96"/>
      <c r="AC93" s="96"/>
      <c r="AD93" s="96"/>
    </row>
    <row r="94" spans="3:30">
      <c r="C94" s="96"/>
      <c r="D94" s="96"/>
      <c r="E94" s="96"/>
      <c r="F94" s="96"/>
      <c r="G94" s="96"/>
      <c r="H94" s="96"/>
      <c r="I94" s="96"/>
      <c r="J94" s="96"/>
      <c r="K94" s="96"/>
      <c r="L94" s="96"/>
      <c r="M94" s="96"/>
      <c r="N94" s="96"/>
      <c r="O94" s="96"/>
      <c r="P94" s="96"/>
      <c r="Q94" s="96"/>
      <c r="R94" s="96"/>
      <c r="S94" s="96"/>
      <c r="T94" s="96"/>
      <c r="U94" s="96"/>
      <c r="V94" s="96"/>
      <c r="W94" s="96"/>
      <c r="X94" s="96"/>
      <c r="Y94" s="96"/>
      <c r="Z94" s="96"/>
      <c r="AA94" s="96"/>
      <c r="AB94" s="96"/>
      <c r="AC94" s="96"/>
      <c r="AD94" s="96"/>
    </row>
    <row r="95" spans="3:30">
      <c r="C95" s="96"/>
      <c r="D95" s="96"/>
      <c r="E95" s="96"/>
      <c r="F95" s="96"/>
      <c r="G95" s="96"/>
      <c r="H95" s="96"/>
      <c r="I95" s="96"/>
      <c r="J95" s="96"/>
      <c r="K95" s="96"/>
      <c r="L95" s="96"/>
      <c r="M95" s="96"/>
      <c r="N95" s="96"/>
      <c r="O95" s="96"/>
      <c r="P95" s="96"/>
      <c r="Q95" s="96"/>
      <c r="R95" s="96"/>
      <c r="S95" s="96"/>
      <c r="T95" s="96"/>
      <c r="U95" s="96"/>
      <c r="V95" s="96"/>
      <c r="W95" s="96"/>
      <c r="X95" s="96"/>
      <c r="Y95" s="96"/>
      <c r="Z95" s="96"/>
      <c r="AA95" s="96"/>
      <c r="AB95" s="96"/>
      <c r="AC95" s="96"/>
      <c r="AD95" s="96"/>
    </row>
    <row r="96" spans="3:30">
      <c r="C96" s="96"/>
      <c r="D96" s="96"/>
      <c r="E96" s="96"/>
      <c r="F96" s="96"/>
      <c r="G96" s="96"/>
      <c r="H96" s="96"/>
      <c r="I96" s="96"/>
      <c r="J96" s="96"/>
      <c r="K96" s="96"/>
      <c r="L96" s="96"/>
      <c r="M96" s="96"/>
      <c r="N96" s="96"/>
      <c r="O96" s="96"/>
      <c r="P96" s="96"/>
      <c r="Q96" s="96"/>
      <c r="R96" s="96"/>
      <c r="S96" s="96"/>
      <c r="T96" s="96"/>
      <c r="U96" s="96"/>
      <c r="V96" s="96"/>
      <c r="W96" s="96"/>
      <c r="X96" s="96"/>
      <c r="Y96" s="96"/>
      <c r="Z96" s="96"/>
      <c r="AA96" s="96"/>
      <c r="AB96" s="96"/>
      <c r="AC96" s="96"/>
      <c r="AD96" s="96"/>
    </row>
    <row r="97" spans="3:30">
      <c r="C97" s="96"/>
      <c r="D97" s="96"/>
      <c r="E97" s="96"/>
      <c r="F97" s="96"/>
      <c r="G97" s="96"/>
      <c r="H97" s="96"/>
      <c r="I97" s="96"/>
      <c r="J97" s="96"/>
      <c r="K97" s="96"/>
      <c r="L97" s="96"/>
      <c r="M97" s="96"/>
      <c r="N97" s="96"/>
      <c r="O97" s="96"/>
      <c r="P97" s="96"/>
      <c r="Q97" s="96"/>
      <c r="R97" s="96"/>
      <c r="S97" s="96"/>
      <c r="T97" s="96"/>
      <c r="U97" s="96"/>
      <c r="V97" s="96"/>
      <c r="W97" s="96"/>
      <c r="X97" s="96"/>
      <c r="Y97" s="96"/>
      <c r="Z97" s="96"/>
      <c r="AA97" s="96"/>
      <c r="AB97" s="96"/>
      <c r="AC97" s="96"/>
      <c r="AD97" s="96"/>
    </row>
    <row r="98" spans="3:30">
      <c r="C98" s="96"/>
      <c r="D98" s="96"/>
      <c r="E98" s="96"/>
      <c r="F98" s="96"/>
      <c r="G98" s="96"/>
      <c r="H98" s="96"/>
      <c r="I98" s="96"/>
      <c r="J98" s="96"/>
      <c r="K98" s="96"/>
      <c r="L98" s="96"/>
      <c r="M98" s="96"/>
      <c r="N98" s="96"/>
      <c r="O98" s="96"/>
      <c r="P98" s="96"/>
      <c r="Q98" s="96"/>
      <c r="R98" s="96"/>
      <c r="S98" s="96"/>
      <c r="T98" s="96"/>
      <c r="U98" s="96"/>
      <c r="V98" s="96"/>
      <c r="W98" s="96"/>
      <c r="X98" s="96"/>
      <c r="Y98" s="96"/>
      <c r="Z98" s="96"/>
      <c r="AA98" s="96"/>
      <c r="AB98" s="96"/>
      <c r="AC98" s="96"/>
      <c r="AD98" s="96"/>
    </row>
  </sheetData>
  <mergeCells count="108">
    <mergeCell ref="C2:M2"/>
    <mergeCell ref="B1:N1"/>
    <mergeCell ref="P1:AE1"/>
    <mergeCell ref="P2:AE2"/>
    <mergeCell ref="C6:AE6"/>
    <mergeCell ref="C7:AE7"/>
    <mergeCell ref="C24:L24"/>
    <mergeCell ref="C25:L25"/>
    <mergeCell ref="C22:L22"/>
    <mergeCell ref="C23:L23"/>
    <mergeCell ref="C19:L19"/>
    <mergeCell ref="C21:L21"/>
    <mergeCell ref="W21:AA21"/>
    <mergeCell ref="M19:AF19"/>
    <mergeCell ref="C9:AE9"/>
    <mergeCell ref="C11:AE11"/>
    <mergeCell ref="C12:AE12"/>
    <mergeCell ref="AB21:AF21"/>
    <mergeCell ref="M22:Q22"/>
    <mergeCell ref="R22:V22"/>
    <mergeCell ref="W22:AA22"/>
    <mergeCell ref="AB22:AF22"/>
    <mergeCell ref="C18:L18"/>
    <mergeCell ref="C15:AF15"/>
    <mergeCell ref="M18:AF18"/>
    <mergeCell ref="B43:G48"/>
    <mergeCell ref="B49:G52"/>
    <mergeCell ref="H49:K52"/>
    <mergeCell ref="H45:K48"/>
    <mergeCell ref="C32:AF33"/>
    <mergeCell ref="C26:L26"/>
    <mergeCell ref="C27:AA27"/>
    <mergeCell ref="C30:AF31"/>
    <mergeCell ref="W26:AA26"/>
    <mergeCell ref="I34:O34"/>
    <mergeCell ref="AA45:AF48"/>
    <mergeCell ref="L45:N48"/>
    <mergeCell ref="O45:Q48"/>
    <mergeCell ref="R45:V48"/>
    <mergeCell ref="W45:Z48"/>
    <mergeCell ref="L49:N52"/>
    <mergeCell ref="O49:Q52"/>
    <mergeCell ref="C35:G35"/>
    <mergeCell ref="C36:G36"/>
    <mergeCell ref="C34:G34"/>
    <mergeCell ref="H43:AF44"/>
    <mergeCell ref="R24:V24"/>
    <mergeCell ref="R25:V25"/>
    <mergeCell ref="R26:V26"/>
    <mergeCell ref="W24:AA24"/>
    <mergeCell ref="W25:AA25"/>
    <mergeCell ref="M21:Q21"/>
    <mergeCell ref="R21:V21"/>
    <mergeCell ref="I36:M36"/>
    <mergeCell ref="C37:G37"/>
    <mergeCell ref="I37:M37"/>
    <mergeCell ref="T35:AF35"/>
    <mergeCell ref="M23:Q23"/>
    <mergeCell ref="M24:Q24"/>
    <mergeCell ref="M25:Q25"/>
    <mergeCell ref="R23:V23"/>
    <mergeCell ref="W23:AA23"/>
    <mergeCell ref="AB23:AF23"/>
    <mergeCell ref="AB25:AF25"/>
    <mergeCell ref="I35:O35"/>
    <mergeCell ref="AB26:AF26"/>
    <mergeCell ref="M26:Q26"/>
    <mergeCell ref="T34:AF34"/>
    <mergeCell ref="C28:AF29"/>
    <mergeCell ref="T40:AE40"/>
    <mergeCell ref="T41:AF41"/>
    <mergeCell ref="AA61:AF64"/>
    <mergeCell ref="AA65:AF68"/>
    <mergeCell ref="O57:Q60"/>
    <mergeCell ref="O61:Q64"/>
    <mergeCell ref="O65:Q68"/>
    <mergeCell ref="R49:V52"/>
    <mergeCell ref="R53:V56"/>
    <mergeCell ref="R57:V60"/>
    <mergeCell ref="R61:V64"/>
    <mergeCell ref="R65:V68"/>
    <mergeCell ref="O53:Q56"/>
    <mergeCell ref="AA49:AF52"/>
    <mergeCell ref="W49:Z52"/>
    <mergeCell ref="C20:AF20"/>
    <mergeCell ref="C16:L16"/>
    <mergeCell ref="M16:AF16"/>
    <mergeCell ref="C17:L17"/>
    <mergeCell ref="M17:AF17"/>
    <mergeCell ref="B53:G56"/>
    <mergeCell ref="B57:G60"/>
    <mergeCell ref="B61:G64"/>
    <mergeCell ref="B65:G68"/>
    <mergeCell ref="W53:Z56"/>
    <mergeCell ref="W57:Z60"/>
    <mergeCell ref="W61:Z64"/>
    <mergeCell ref="W65:Z68"/>
    <mergeCell ref="H65:K68"/>
    <mergeCell ref="L65:N68"/>
    <mergeCell ref="H61:K64"/>
    <mergeCell ref="L57:N60"/>
    <mergeCell ref="L61:N64"/>
    <mergeCell ref="H57:K60"/>
    <mergeCell ref="H53:K56"/>
    <mergeCell ref="L53:N56"/>
    <mergeCell ref="AA53:AF56"/>
    <mergeCell ref="AA57:AF60"/>
    <mergeCell ref="AB24:AF24"/>
  </mergeCells>
  <pageMargins left="0" right="0" top="0.59055118110236227" bottom="0.47244094488188981" header="0" footer="0"/>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6</vt:i4>
      </vt:variant>
    </vt:vector>
  </HeadingPairs>
  <TitlesOfParts>
    <vt:vector size="30" baseType="lpstr">
      <vt:lpstr>Hướng dẫn</vt:lpstr>
      <vt:lpstr>InCaseOf</vt:lpstr>
      <vt:lpstr>Lab</vt:lpstr>
      <vt:lpstr>City</vt:lpstr>
      <vt:lpstr>Operator</vt:lpstr>
      <vt:lpstr>Applicant</vt:lpstr>
      <vt:lpstr>Profile</vt:lpstr>
      <vt:lpstr>BTS</vt:lpstr>
      <vt:lpstr>Tonghop</vt:lpstr>
      <vt:lpstr>Detail</vt:lpstr>
      <vt:lpstr>DSCAP</vt:lpstr>
      <vt:lpstr>MauGCN</vt:lpstr>
      <vt:lpstr>Tonghop_old</vt:lpstr>
      <vt:lpstr>Temp</vt:lpstr>
      <vt:lpstr>Certificate</vt:lpstr>
      <vt:lpstr>DSCAP_Old</vt:lpstr>
      <vt:lpstr>DS CAP</vt:lpstr>
      <vt:lpstr>LP</vt:lpstr>
      <vt:lpstr>DS1</vt:lpstr>
      <vt:lpstr>DS2</vt:lpstr>
      <vt:lpstr>GCN1</vt:lpstr>
      <vt:lpstr>GCN2</vt:lpstr>
      <vt:lpstr>GCN3</vt:lpstr>
      <vt:lpstr>GCN4</vt:lpstr>
      <vt:lpstr>Operators</vt:lpstr>
      <vt:lpstr>'GCN1'!Print_Area</vt:lpstr>
      <vt:lpstr>'GCN2'!Print_Area</vt:lpstr>
      <vt:lpstr>'GCN3'!Print_Area</vt:lpstr>
      <vt:lpstr>'GCN4'!Print_Area</vt:lpstr>
      <vt:lpstr>LP!Print_Area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dc:creator>
  <cp:lastModifiedBy>Dell</cp:lastModifiedBy>
  <cp:lastPrinted>2017-08-31T04:40:47Z</cp:lastPrinted>
  <dcterms:created xsi:type="dcterms:W3CDTF">2006-09-16T00:00:00Z</dcterms:created>
  <dcterms:modified xsi:type="dcterms:W3CDTF">2019-02-25T03:09:10Z</dcterms:modified>
</cp:coreProperties>
</file>