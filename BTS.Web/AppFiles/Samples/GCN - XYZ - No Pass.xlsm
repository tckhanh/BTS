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683" activeTab="2"/>
  </bookViews>
  <sheets>
    <sheet name="Hướng dẫn" sheetId="26" r:id="rId1"/>
    <sheet name="Temp" sheetId="2" r:id="rId2"/>
    <sheet name="Tonghop" sheetId="4" r:id="rId3"/>
    <sheet name="DSCAP" sheetId="5" r:id="rId4"/>
    <sheet name="LP" sheetId="1" r:id="rId5"/>
    <sheet name="DS1" sheetId="3" r:id="rId6"/>
    <sheet name="DS2" sheetId="6" r:id="rId7"/>
    <sheet name="GCN1" sheetId="27" r:id="rId8"/>
    <sheet name="GCN2" sheetId="8" r:id="rId9"/>
    <sheet name="GCN3" sheetId="28" r:id="rId10"/>
    <sheet name="GCN4" sheetId="29" r:id="rId11"/>
  </sheets>
  <functionGroups builtInGroupCount="18"/>
  <externalReferences>
    <externalReference r:id="rId12"/>
    <externalReference r:id="rId13"/>
    <externalReference r:id="rId14"/>
    <externalReference r:id="rId15"/>
  </externalReferences>
  <definedNames>
    <definedName name="_xlnm._FilterDatabase" localSheetId="3" hidden="1">DSCAP!$A$1:$EJ$2</definedName>
    <definedName name="_xlnm._FilterDatabase" localSheetId="1" hidden="1">Temp!$A$1:$EN$2</definedName>
    <definedName name="_xlnm._FilterDatabase" localSheetId="2" hidden="1">Tonghop!$A$1:$AE$1</definedName>
    <definedName name="AntName">[1]Params!$A$2:$A$10</definedName>
    <definedName name="AntType">[2]Thamso!$B$2:$B$10</definedName>
    <definedName name="CH">[3]Data!$BB$3:$BB$23</definedName>
    <definedName name="loaitu">[4]Params!$H$15:$H$20</definedName>
    <definedName name="NV">[3]Drawing!$ED$1:$EL$1</definedName>
    <definedName name="_xlnm.Print_Area" localSheetId="7">'GCN1'!$A$1:$AE$82</definedName>
    <definedName name="_xlnm.Print_Area" localSheetId="8">'GCN2'!$A$1:$AE$82</definedName>
    <definedName name="_xlnm.Print_Area" localSheetId="9">'GCN3'!$A$1:$AE$82</definedName>
    <definedName name="_xlnm.Print_Area" localSheetId="10">'GCN4'!$A$1:$AG$82</definedName>
    <definedName name="_xlnm.Print_Area" localSheetId="4">LP!$A$1:$Z$34</definedName>
  </definedNames>
  <calcPr calcId="162913" refMode="R1C1"/>
</workbook>
</file>

<file path=xl/calcChain.xml><?xml version="1.0" encoding="utf-8"?>
<calcChain xmlns="http://schemas.openxmlformats.org/spreadsheetml/2006/main">
  <c r="EB2" i="2" l="1"/>
  <c r="EA2" i="2"/>
  <c r="EC2" i="2" l="1"/>
  <c r="E5" i="3"/>
  <c r="H5" i="3"/>
  <c r="M5" i="3"/>
  <c r="EJ2" i="2" l="1"/>
  <c r="ED2" i="2" l="1"/>
  <c r="CS2" i="5" l="1"/>
  <c r="DG2" i="5"/>
  <c r="CE2" i="5"/>
  <c r="R2" i="5" l="1"/>
  <c r="BQ2" i="5" l="1"/>
  <c r="BA2" i="5"/>
  <c r="AK2" i="5"/>
  <c r="AS29" i="29" l="1"/>
  <c r="AQ29" i="29"/>
  <c r="C28" i="29" s="1"/>
  <c r="AQ29" i="28"/>
  <c r="AO29" i="28" s="1"/>
  <c r="C28" i="28" s="1"/>
  <c r="AQ29" i="8"/>
  <c r="AO29" i="8" s="1"/>
  <c r="C28" i="8" s="1"/>
  <c r="AQ29" i="27"/>
  <c r="AO29" i="27" s="1"/>
  <c r="C28" i="27" s="1"/>
  <c r="I36" i="29" l="1"/>
  <c r="AO31" i="27"/>
  <c r="C30" i="27"/>
  <c r="AO31" i="28"/>
  <c r="C30" i="28" s="1"/>
  <c r="AO31" i="8"/>
  <c r="C30" i="8"/>
  <c r="M17" i="29" l="1"/>
  <c r="M17" i="28"/>
  <c r="M17" i="8"/>
  <c r="M17" i="27"/>
  <c r="EH2" i="2" l="1"/>
  <c r="EI2" i="2"/>
  <c r="M16" i="28" l="1"/>
  <c r="DV2" i="5"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T5" i="6"/>
  <c r="O5" i="6"/>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BL2" i="5" l="1"/>
  <c r="AV2" i="5"/>
  <c r="AF2" i="5"/>
  <c r="AB22" i="29"/>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DJ2" i="5" l="1"/>
  <c r="AF4" i="1" l="1"/>
  <c r="S2" i="5" l="1"/>
  <c r="DU2" i="5" l="1"/>
  <c r="AG4" i="1"/>
  <c r="AH4" i="1"/>
  <c r="N4" i="1" l="1"/>
  <c r="E2" i="2"/>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K2" i="2" l="1"/>
  <c r="Z2" i="2" s="1"/>
  <c r="R17" i="1"/>
  <c r="U17" i="1" s="1"/>
  <c r="U18" i="1" s="1"/>
  <c r="AD18" i="1" s="1"/>
  <c r="L2" i="2"/>
  <c r="AA2" i="2" s="1"/>
  <c r="J2" i="2"/>
  <c r="Y2" i="2" s="1"/>
  <c r="V2" i="2"/>
  <c r="AK2" i="2" s="1"/>
  <c r="U2" i="2"/>
  <c r="EG2" i="2"/>
  <c r="EF2" i="2"/>
  <c r="EE2" i="2"/>
  <c r="W2" i="2"/>
  <c r="AL2" i="2" s="1"/>
  <c r="Q2" i="2"/>
  <c r="M2" i="2" s="1"/>
  <c r="D2" i="2"/>
  <c r="C2" i="2"/>
  <c r="B2" i="2"/>
  <c r="A2" i="2"/>
  <c r="A2" i="5"/>
  <c r="P2" i="5"/>
  <c r="CA2" i="5"/>
  <c r="CO2" i="5"/>
  <c r="DC2" i="5"/>
  <c r="DL2" i="5"/>
  <c r="DM2" i="5"/>
  <c r="DN2" i="5"/>
  <c r="DO2" i="5"/>
  <c r="DP2" i="5"/>
  <c r="DS2" i="5"/>
  <c r="DT2" i="5"/>
  <c r="DW2" i="5"/>
  <c r="N2" i="5" l="1"/>
  <c r="DB2" i="2"/>
  <c r="B19" i="1"/>
  <c r="AO2" i="2"/>
  <c r="R2" i="2"/>
  <c r="S2" i="2"/>
  <c r="T2" i="2"/>
  <c r="AT2" i="2"/>
  <c r="BK2" i="2" s="1"/>
  <c r="AP2" i="2"/>
  <c r="AS2" i="2"/>
  <c r="AN2" i="2"/>
  <c r="N2" i="2"/>
  <c r="AF2" i="2"/>
  <c r="AB2" i="2" s="1"/>
  <c r="AJ2" i="2"/>
  <c r="P2" i="2"/>
  <c r="O2" i="2"/>
  <c r="DQ2" i="5"/>
  <c r="AY2" i="2" l="1"/>
  <c r="BN2" i="2" s="1"/>
  <c r="AX2" i="2"/>
  <c r="BM2" i="2" s="1"/>
  <c r="AZ2" i="2"/>
  <c r="BO2" i="2" s="1"/>
  <c r="AR2" i="2"/>
  <c r="BI2" i="2" s="1"/>
  <c r="AI2" i="2"/>
  <c r="AH2" i="2"/>
  <c r="AG2" i="2"/>
  <c r="DK2" i="5"/>
  <c r="EG2" i="5"/>
  <c r="EH2" i="5"/>
  <c r="BJ2" i="2"/>
  <c r="BY2" i="2" s="1"/>
  <c r="AC2" i="2"/>
  <c r="BZ2" i="2"/>
  <c r="AQ2" i="2"/>
  <c r="AE2" i="2"/>
  <c r="AD2" i="2"/>
  <c r="EF2" i="5" l="1"/>
  <c r="EI2" i="5"/>
  <c r="BX2" i="2"/>
  <c r="BH2" i="2"/>
  <c r="BF2" i="2"/>
  <c r="BG2" i="2"/>
  <c r="CC2" i="2"/>
  <c r="CM2" i="2" s="1"/>
  <c r="CB2" i="2"/>
  <c r="CL2" i="2" s="1"/>
  <c r="CD2" i="2"/>
  <c r="CN2" i="2" s="1"/>
  <c r="CH2" i="2"/>
  <c r="CF2" i="2"/>
  <c r="CG2" i="2"/>
  <c r="CX2" i="2" s="1"/>
  <c r="BE2" i="2"/>
  <c r="BA2" i="2" s="1"/>
  <c r="BU2" i="2" l="1"/>
  <c r="BV2" i="2"/>
  <c r="BW2" i="2"/>
  <c r="DA2" i="2"/>
  <c r="DM2" i="2"/>
  <c r="CY2" i="2"/>
  <c r="DN2" i="2" s="1"/>
  <c r="DC2" i="2"/>
  <c r="CW2" i="2"/>
  <c r="BD2" i="2"/>
  <c r="BT2" i="2"/>
  <c r="BS2" i="2" s="1"/>
  <c r="BC2" i="2"/>
  <c r="BB2" i="2"/>
  <c r="DL2" i="2" l="1"/>
  <c r="CU2" i="2"/>
  <c r="CV2" i="2"/>
  <c r="CT2" i="2"/>
  <c r="CE2" i="2"/>
  <c r="BQ2" i="2"/>
  <c r="BP2" i="2"/>
  <c r="BR2" i="2"/>
  <c r="DK2" i="2" l="1"/>
  <c r="DI2" i="2"/>
  <c r="DJ2" i="2"/>
  <c r="CS2" i="2"/>
  <c r="DH2" i="2" s="1"/>
  <c r="CO2" i="2" l="1"/>
  <c r="CQ2" i="2"/>
  <c r="CR2" i="2"/>
  <c r="CP2" i="2"/>
  <c r="DG2" i="2" l="1"/>
  <c r="DE2" i="2"/>
  <c r="DF2" i="2"/>
  <c r="DD2" i="2"/>
</calcChain>
</file>

<file path=xl/comments1.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<sst xmlns="http://schemas.openxmlformats.org/spreadsheetml/2006/main" count="4859" uniqueCount="1540">
  <si>
    <t>STT</t>
  </si>
  <si>
    <t>Tỉnh/TP</t>
  </si>
  <si>
    <t>Ngày đo kiểm</t>
  </si>
  <si>
    <t>Chủng loại thiết bị phát</t>
  </si>
  <si>
    <t>Số anten phát</t>
  </si>
  <si>
    <t>Số máy phát, thu-phát (số sóng mang)</t>
  </si>
  <si>
    <t>Tổng công suất phát từng anten</t>
  </si>
  <si>
    <t>Dải tần hoạt động</t>
  </si>
  <si>
    <t>Chủng loại anten</t>
  </si>
  <si>
    <t>Doanh nghiệp đề nghị kiểm định</t>
  </si>
  <si>
    <t>Địa điểm lắp đặt thực tế</t>
  </si>
  <si>
    <t>Kinh độ (Long)</t>
  </si>
  <si>
    <t>Vĩ độ (Lat)</t>
  </si>
  <si>
    <t>Số lượng trạm gốc</t>
  </si>
  <si>
    <t>Số BBKĐ</t>
  </si>
  <si>
    <t>Ngày kí BBKĐ</t>
  </si>
  <si>
    <t>Doanh nghiệp cung cấp dịch vụ</t>
  </si>
  <si>
    <t>Mã trạm gốc</t>
  </si>
  <si>
    <t>Trường hợp kiểm định</t>
  </si>
  <si>
    <t>Doanh nghiệp</t>
  </si>
  <si>
    <t>Cấp GCN</t>
  </si>
  <si>
    <t>Giới hạn an toàn</t>
  </si>
  <si>
    <t>Số quản lý</t>
  </si>
  <si>
    <t>Số hồ sơ</t>
  </si>
  <si>
    <t>Địa điểm lắp đặt</t>
  </si>
  <si>
    <t>Số biên bản kiểm định</t>
  </si>
  <si>
    <t>Ngày cấp BBKĐ</t>
  </si>
  <si>
    <t>Ngày kiểm định</t>
  </si>
  <si>
    <t>Số Giấy CN</t>
  </si>
  <si>
    <t>Số GCN</t>
  </si>
  <si>
    <t>DDMMYY</t>
  </si>
  <si>
    <t>PPTL</t>
  </si>
  <si>
    <t>Ngày cấp</t>
  </si>
  <si>
    <t>Ngày hết hạn</t>
  </si>
  <si>
    <t>Ban hành</t>
  </si>
  <si>
    <t>Hết hạn</t>
  </si>
  <si>
    <t>Giới hạn an toàn</t>
  </si>
  <si>
    <t>Tên doanh nghiệp</t>
  </si>
  <si>
    <t>Loại thiết bị</t>
  </si>
  <si>
    <t>Số Anten phát</t>
  </si>
  <si>
    <t>Số máy phát Anten 1</t>
  </si>
  <si>
    <t>Số máy phát Anten 2</t>
  </si>
  <si>
    <t>Số máy phát Anten 3</t>
  </si>
  <si>
    <t>Cấu hình máy phát</t>
  </si>
  <si>
    <t>Tổng công suất phát Anten 1</t>
  </si>
  <si>
    <t>Tổng công suất phát Anten 2</t>
  </si>
  <si>
    <t>Tổng công suất phát Anten 3</t>
  </si>
  <si>
    <t>Cấu hình tổng công suất</t>
  </si>
  <si>
    <t>Độ cao từng anten</t>
  </si>
  <si>
    <t>Tên doanh nghiệp 1</t>
  </si>
  <si>
    <t>Tên doanh nghiệp 2</t>
  </si>
  <si>
    <t>Tên doanh nghiệp 3</t>
  </si>
  <si>
    <t>Tên doanh nghiệp 4</t>
  </si>
  <si>
    <t>Tên doanh nghiệp 5</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</si>
  <si>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</si>
  <si>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</si>
  <si>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</si>
  <si>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</si>
  <si>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</si>
  <si>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</si>
  <si>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</si>
  <si>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Số lượng trạm chung</t>
  </si>
  <si>
    <t>Ghi chú</t>
  </si>
  <si>
    <t>Kiểm tra tỉnh</t>
  </si>
  <si>
    <t>Kiểm tra ngày cấp CNKĐ</t>
  </si>
  <si>
    <t>Kiểm tra số lượng công trình</t>
  </si>
  <si>
    <t>Kiểm tra thứ tự công trình</t>
  </si>
  <si>
    <t>Số thông báo lệ phí cấp giấy</t>
  </si>
  <si>
    <t>Doanh nghiệp đề nghị kiểm định</t>
  </si>
  <si>
    <t>Doanh nghiệp cung cấp dịch vụ</t>
  </si>
  <si>
    <t>Yes</t>
  </si>
  <si>
    <t>Độ cao giới hạn an toàn</t>
  </si>
  <si>
    <t>Doanh nghiệp (1)</t>
  </si>
  <si>
    <t>Mã trạm gốc (1)</t>
  </si>
  <si>
    <t>CS Anten 1</t>
  </si>
  <si>
    <t>CS Anten 2</t>
  </si>
  <si>
    <t>CS Anten 3</t>
  </si>
  <si>
    <t>CH Anten 1</t>
  </si>
  <si>
    <t>CH Anten 2</t>
  </si>
  <si>
    <t>CH Anten 3</t>
  </si>
  <si>
    <t>Độ cao anten</t>
  </si>
  <si>
    <t>Doanh nghiệp (2)</t>
  </si>
  <si>
    <t>Mã trạm gốc (2)</t>
  </si>
  <si>
    <t>DN (3)</t>
  </si>
  <si>
    <t>MT (3)</t>
  </si>
  <si>
    <t>CS phát từng anten</t>
  </si>
  <si>
    <t>A1</t>
  </si>
  <si>
    <t>A2</t>
  </si>
  <si>
    <t>A3</t>
  </si>
  <si>
    <t>A4</t>
  </si>
  <si>
    <t>DN (4)</t>
  </si>
  <si>
    <t>SAT</t>
  </si>
  <si>
    <t>Số máy phát, thu-phát</t>
  </si>
  <si>
    <t>A5</t>
  </si>
  <si>
    <t>MT (4)</t>
  </si>
  <si>
    <t>DN (5)</t>
  </si>
  <si>
    <t>MT (5)</t>
  </si>
  <si>
    <t>A6</t>
  </si>
  <si>
    <t>DN (6)</t>
  </si>
  <si>
    <t>MT (6)</t>
  </si>
  <si>
    <t>Tổng số trạm là:</t>
  </si>
  <si>
    <t>Số trạm cấp là:</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</si>
  <si>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</si>
  <si>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</si>
  <si>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</si>
  <si>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</si>
  <si>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</si>
  <si>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</si>
  <si>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</si>
  <si>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</si>
  <si>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</si>
  <si>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</si>
  <si>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</si>
  <si>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</si>
  <si>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</si>
  <si>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</si>
  <si>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</si>
  <si>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</si>
  <si>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</si>
  <si>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</si>
  <si>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</si>
  <si>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</si>
  <si>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</si>
  <si>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</si>
  <si>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</si>
  <si>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</si>
  <si>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</si>
  <si>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</si>
  <si>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</si>
  <si>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</si>
  <si>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</si>
  <si>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</si>
  <si>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</si>
  <si>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</si>
  <si>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</si>
  <si>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</si>
  <si>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</si>
  <si>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</si>
  <si>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</si>
  <si>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</si>
  <si>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</si>
  <si>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</si>
  <si>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</si>
  <si>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</si>
  <si>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</si>
  <si>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</si>
  <si>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</si>
  <si>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</si>
  <si>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</si>
  <si>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</si>
  <si>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</si>
  <si>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</si>
  <si>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</si>
  <si>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</si>
  <si>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</si>
  <si>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</si>
  <si>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</si>
  <si>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</si>
  <si>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</si>
  <si>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</si>
  <si>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</si>
  <si>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</si>
  <si>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</si>
  <si>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</si>
  <si>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</si>
  <si>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</si>
  <si>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</si>
  <si>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</si>
  <si>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</si>
  <si>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</si>
  <si>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</si>
  <si>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</si>
  <si>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</si>
  <si>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</si>
  <si>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Ghi chú (không cấp giấy CNKĐ)</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</si>
  <si>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</si>
  <si>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</si>
  <si>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</si>
  <si>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</si>
  <si>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</si>
  <si>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</si>
  <si>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</si>
  <si>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</si>
  <si>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</si>
  <si>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</si>
  <si>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Số máy phát Anten 4</t>
  </si>
  <si>
    <t>Tổng công suất phát Anten 4</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</si>
  <si>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</si>
  <si>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</si>
  <si>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</si>
  <si>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</si>
  <si>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</si>
  <si>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</si>
  <si>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</si>
  <si>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</si>
  <si>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</si>
  <si>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</si>
  <si>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 xml:space="preserve">Ghi chú </t>
  </si>
  <si>
    <t>DS GCN không cấp</t>
  </si>
  <si>
    <t>Có mặt sau hay không? (dùng để sort)</t>
  </si>
  <si>
    <t>Slct tổng</t>
  </si>
  <si>
    <t>Số lượng ct mặt sau</t>
  </si>
  <si>
    <t>Mức thu
(đồng)</t>
  </si>
  <si>
    <t>Kiểm tra ngày cấp BBKĐ</t>
  </si>
  <si>
    <t>900 &amp; 1800</t>
  </si>
  <si>
    <t>9000 &amp; 1800</t>
  </si>
  <si>
    <t>9000 &amp; 2100</t>
  </si>
  <si>
    <t>1800 &amp; 2100</t>
  </si>
  <si>
    <t>PHÓ GIÁM ĐỐC</t>
  </si>
  <si>
    <t>Trần Công Khanh</t>
  </si>
  <si>
    <t>TUQ. GIÁM ĐỐC</t>
  </si>
  <si>
    <t>KT. GIÁM ĐỐC</t>
  </si>
  <si>
    <t>-    GĐTT (để báo cáo);</t>
  </si>
  <si>
    <t>B08600120811TG05</t>
  </si>
  <si>
    <t>Sort be-af</t>
  </si>
  <si>
    <t>CH1</t>
  </si>
  <si>
    <t>CH2</t>
  </si>
  <si>
    <t>CH3</t>
  </si>
  <si>
    <t>CH4</t>
  </si>
  <si>
    <t>Tt CH</t>
  </si>
  <si>
    <t>CS1</t>
  </si>
  <si>
    <t>CS2</t>
  </si>
  <si>
    <t>CS3</t>
  </si>
  <si>
    <t>CS4</t>
  </si>
  <si>
    <t>Tt CS</t>
  </si>
  <si>
    <t>Toạ độ</t>
  </si>
  <si>
    <t>IF(RC[-10]=1;TEXT(RC[-4];"#,00")&amp;"W";IF(RC[-10]=2;TEXT(RC[-4];"#,00")&amp;"W/"&amp;TEXT(RC[-3];"#,00")&amp;"W";IF(RC[-10]=3;TEXT(RC[-4];"#,00")&amp;"W/"&amp;TEXT(RC[-3];"#,00")&amp;"W/"&amp;TEXT(RC[-2];"#,00")&amp;"W";IF(RC[-10]=4;TEXT(RC[-4];"#,00")&amp;"W/"&amp;TEXT(RC[-3];"#,00")&amp;"W/"&amp;TEXT(RC[-2];"#,00")&amp;"W/"&amp;TEXT(RC[-1];"#,00")&amp;"W";""))))</t>
  </si>
  <si>
    <t>IF(RC[-5]=1;RC[-4];IF(RC[-5]=2;RC[-4]&amp;"/"&amp;RC[-3];IF(RC[-5]=3;RC[-4]&amp;"/"&amp;RC[-3]&amp;"/"&amp;RC[-2];IF(RC[-5]=4;RC[-4]&amp;"/"&amp;RC[-3]&amp;"/"&amp;RC[-2]&amp;"/"&amp;RC[-1];""))))</t>
  </si>
  <si>
    <t>TG05</t>
  </si>
  <si>
    <t>Số lượng ct</t>
  </si>
  <si>
    <t>Tỉnh/ Thành phố</t>
  </si>
  <si>
    <t>Mã trạm gốc 2</t>
  </si>
  <si>
    <t>Mã trạm gốc 3</t>
  </si>
  <si>
    <t>Mã trạm gốc 4</t>
  </si>
  <si>
    <t>Mã trạm gốc 5</t>
  </si>
  <si>
    <t>Mã trạm gốc 1</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</si>
  <si>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</si>
  <si>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</si>
  <si>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</si>
  <si>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</si>
  <si>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Chương trình hỗ trợ xuất giấy báo lệ phí và GCN đối với dữ liệu từ sheet "TH" của chương trình tạo BBKĐ</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</si>
  <si>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</si>
  <si>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</si>
  <si>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</si>
  <si>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</si>
  <si>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</si>
  <si>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38</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</si>
  <si>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</si>
  <si>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</si>
  <si>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</si>
  <si>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</si>
  <si>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</si>
  <si>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</si>
  <si>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</si>
  <si>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11/07/2014</t>
  </si>
  <si>
    <t>3511.0.1068040.00000</t>
  </si>
  <si>
    <t>Số lượng
trạm gốc</t>
  </si>
  <si>
    <t>Hiệu độ cao</t>
  </si>
  <si>
    <t>Trong khoảng cách 100m tính từ điểm bất kỳ nào thuộc chân cột anten của trạm gốc không có công trình xây dựng trong đó có người sinh sống, làm việc.</t>
  </si>
  <si>
    <t>KT bán kính 100m</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</si>
  <si>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</si>
  <si>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</si>
  <si>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</si>
  <si>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4</t>
  </si>
  <si>
    <t>G900</t>
  </si>
  <si>
    <t>Cột lắp dưới đất?</t>
  </si>
  <si>
    <t>Cột lắp dưới đất</t>
  </si>
  <si>
    <t>Lắp dưới đất</t>
  </si>
  <si>
    <t>Số 1096, đường Lạc Long Quân, phường 8, quận Tân Bình, thành phố Hồ Chí Minh.</t>
  </si>
  <si>
    <t>Hồ Chí Minh</t>
  </si>
  <si>
    <t>106,65108</t>
  </si>
  <si>
    <t>10,78513</t>
  </si>
  <si>
    <t>00413/2017/PTN-KĐ</t>
  </si>
  <si>
    <t>No</t>
  </si>
  <si>
    <t>Không</t>
  </si>
  <si>
    <t>Số 49/64A, đường Trần Kế Xương, phường 7, quận Phú Nhuận, thành phố Hồ Chí Minh.</t>
  </si>
  <si>
    <t>00459/2017/PTN-KĐ</t>
  </si>
  <si>
    <t>0m</t>
  </si>
  <si>
    <t>HTB028</t>
  </si>
  <si>
    <t>ERICSSON RBS 2216</t>
  </si>
  <si>
    <t>22,5m/ 22,5m/ 22,5m</t>
  </si>
  <si>
    <t>60</t>
  </si>
  <si>
    <t>Anten 6 ngõ vào</t>
  </si>
  <si>
    <t>01/12/2017</t>
  </si>
  <si>
    <t>01/12/2022</t>
  </si>
  <si>
    <t>106,69076;10,79916</t>
  </si>
  <si>
    <t>B00410011217TG05</t>
  </si>
  <si>
    <t>TRUNG TÂM ĐO KIỂM VÀ SỬA CHỮA THIẾT BỊ VIỄN THÔNG MOBIFONE ‑ CHI NHÁNH TỔNG CÔNG TY VIỄN THÔNG MOBIFONE</t>
  </si>
  <si>
    <t>HPN039</t>
  </si>
  <si>
    <t>Thông tin gửi kèm Công văn gửi doanh nghiệp</t>
  </si>
  <si>
    <t>Số HS</t>
  </si>
  <si>
    <t>Số Kết quả đo kiểm định</t>
  </si>
  <si>
    <t>Đo phơi nhiễm</t>
  </si>
  <si>
    <t>Đơn vị dùng chung cơ sở hạ tầng</t>
  </si>
  <si>
    <t>Số GCN dự kiến</t>
  </si>
  <si>
    <t>00129/2018/PTN-KĐ</t>
  </si>
  <si>
    <t>Thông tin gửi kèm Báo cáo</t>
  </si>
  <si>
    <t>Đo Phơi Nhiễm</t>
  </si>
  <si>
    <t>Độ cao công trình trong 100m</t>
  </si>
  <si>
    <t>Độ cao anten thấp nhất tới mặt đất</t>
  </si>
  <si>
    <t>Nhà cao nhất trong BK 100m</t>
  </si>
  <si>
    <t>TRUNG TÂM HẠ TẦNG MẠNG MIỀN NAM - CHI NHÁNH TỔNG CÔNG TY HẠ TẦNG MẠNG</t>
  </si>
  <si>
    <t>TỔNG CÔNG TY HẠ TẦNG MẠNG</t>
  </si>
  <si>
    <t>Số 204, đường Huỳnh Văn Cù, phường Chánh Mỹ, thành phố Thủ Dầu Một, tỉnh Bình Dương.</t>
  </si>
  <si>
    <t>Bình Dương</t>
  </si>
  <si>
    <t>106,647723</t>
  </si>
  <si>
    <t>10,991285</t>
  </si>
  <si>
    <t>K00458221018D005</t>
  </si>
  <si>
    <t>TỔNG CÔNG TY HẠ TẦNG MẠNG/TỔNG CÔNG TY HẠ TẦNG MẠNG/TỔNG CÔNG TY HẠ TẦNG MẠNG</t>
  </si>
  <si>
    <t>BDGTDM002;BDGTDM002;BDGTDM002</t>
  </si>
  <si>
    <t>MOTOROLA HORIZON II MACRO;ERICSSON RBS 6601;NSN FLEXI MULTIRADIO 10 (FHED)</t>
  </si>
  <si>
    <t>4/4/4;2/2/2;1/1/1</t>
  </si>
  <si>
    <t>20W/20W/20W;60W/60W/60W;160W/160W/160W</t>
  </si>
  <si>
    <t>G900/U2100/L1800</t>
  </si>
  <si>
    <t>36m/ 36m/ 36m;36m/ 36m/ 36m;36m/ 36m/ 36m</t>
  </si>
  <si>
    <t>FX-X-CG-00T-900;S-Wave EW/EW/EW-65-18DV2/12I-F-64K-VN;S-Wave EW/EW/EW-65-18DV2/12I-F-64K-VN</t>
  </si>
  <si>
    <t>Có</t>
  </si>
  <si>
    <t>Giấy kiểm định còn thời hạn 1/2022</t>
  </si>
  <si>
    <t>Số 10, đường Đinh Bộ Lĩnh, phường Phú Cường, thành phố Thủ Dầu Một, tỉnh Bình Dương.</t>
  </si>
  <si>
    <t>106,651585</t>
  </si>
  <si>
    <t>10,979697</t>
  </si>
  <si>
    <t>K00459221018D005</t>
  </si>
  <si>
    <t>TỔNG CÔNG TY HẠ TẦNG MẠNG/TỔNG CÔNG TY HẠ TẦNG MẠNG/TỔNG CÔNG TY HẠ TẦNG MẠNG/TỔNG CÔNG TY HẠ TẦNG MẠNG</t>
  </si>
  <si>
    <t>BDGTDM003;BDGTDM003;BDGTDM003;BDGTDM003</t>
  </si>
  <si>
    <t>MOTOROLA HORIZON II MACRO;MOTOROLA HORIZON II MACRO;ERICSSON RBS 3418;NSN FLEXI MULTIRADIO 10 (FHED)</t>
  </si>
  <si>
    <t>2/2/4;2/4/2;2/2/2;1/1/1</t>
  </si>
  <si>
    <t>20W/20W/20W;16W/16W/16W;60W/60W/60W;160W/160W/160W</t>
  </si>
  <si>
    <t>G900/G1800/U2100/L1800</t>
  </si>
  <si>
    <t>45m/ 45m/ 45m;45m/ 45m/ 45m;34m/ 34m/ 34m;34m/ 34m/ 34m</t>
  </si>
  <si>
    <t>FX-X-CG-00T-900;FX-X-CDG-06T-DB-1800;S-Wave EW/EW/EW-65-18DV2/12I-F-64K-VN;S-Wave EW/EW/EW-65-18DV2/12I-F-64K-VN</t>
  </si>
  <si>
    <t>Giấy kiểm định còn thời hạn 5/2023</t>
  </si>
  <si>
    <t>Số 117, đường Phan Đình Giót, phường Chánh Nghĩa, thành phố Thủ Dầu Một, tỉnh Bình Dương.</t>
  </si>
  <si>
    <t>106,660063</t>
  </si>
  <si>
    <t>10,97715</t>
  </si>
  <si>
    <t>K00460221018D005</t>
  </si>
  <si>
    <t>BDGTDM004;BDGTDM004;BDGTDM004</t>
  </si>
  <si>
    <t>MOTOROLA HORIZON II MACRO;ERICSSON RBS 3418;NSN FLEXI MULTIRADIO 10 (FHED)</t>
  </si>
  <si>
    <t>35m/ 35m/ 35m;28m/ 28m/ 28m;28m/ 28m/ 28m</t>
  </si>
  <si>
    <t>Số 47, đường Hoàng Văn Thụ, khu dân cư Chánh Nghĩa, phường Chánh Nghĩa, thành phố Thủ Dầu Một, tỉnh Bình Dương.</t>
  </si>
  <si>
    <t>106,665231</t>
  </si>
  <si>
    <t>10,975973</t>
  </si>
  <si>
    <t>K00461221018D005</t>
  </si>
  <si>
    <t>BDGTDM007;BDGTDM007;BDGTDM007</t>
  </si>
  <si>
    <t>3/3/3;2/2/2;1/1/1</t>
  </si>
  <si>
    <t>16W/16W/16W;60W/60W/60W;160W/160W/160W</t>
  </si>
  <si>
    <t>G1800/U2100/L1800</t>
  </si>
  <si>
    <t>27m/ 27m/ 27m;25m/ 25m/ 25m;25m/ 25m/ 25m</t>
  </si>
  <si>
    <t>FX-X-CDG-06T-DB-1800;S-Wave EW/EW/EW-65-18DV2/12I-F-64K-VN;S-Wave EW/EW/EW-65-18DV2/12I-F-64K-VN</t>
  </si>
  <si>
    <t>26</t>
  </si>
  <si>
    <t>Số 74, đường Bùi Quốc Khánh, phường Chánh Nghĩa, thành phố Thủ Dầu Một, tỉnh Bình Dương.</t>
  </si>
  <si>
    <t>106,66202</t>
  </si>
  <si>
    <t>10,9625</t>
  </si>
  <si>
    <t>K00462221018D005</t>
  </si>
  <si>
    <t>BDGTDM013;BDGTDM013;BDGTDM013</t>
  </si>
  <si>
    <t>MOTOROLA HORIZON II MACRO;ERICSSON RBS 3206;NSN FLEXI MULTIRADIO 10 (FHED)</t>
  </si>
  <si>
    <t>2/2/2;2/2/2;1/1/1</t>
  </si>
  <si>
    <t>20W/20W/20W;40W/40W/40W;160W/160W/160W</t>
  </si>
  <si>
    <t>47m/ 47m/ 47m;35m/ 35m/ 35m;35m/ 35m/ 35m</t>
  </si>
  <si>
    <t>Giấy kiểm định còn thời hạn 05/2023</t>
  </si>
  <si>
    <t>Số 104/6, đường Bàu Bàng, phường Chánh Nghĩa, thành phố Thủ Dầu Một, tỉnh Bình Dương.</t>
  </si>
  <si>
    <t>106,656244</t>
  </si>
  <si>
    <t>10,973269</t>
  </si>
  <si>
    <t>K00463221018D005</t>
  </si>
  <si>
    <t>BDGTDM014;BDGTDM014;BDGTDM014</t>
  </si>
  <si>
    <t>33m/ 33m/ 33m;26m/ 26m/ 26m;26m/ 26m/ 26m</t>
  </si>
  <si>
    <t>Số 3, đường Chùa Hội Khánh, phường Phú Cường, thành phố Thủ Dầu Một, tỉnh Bình Dương.</t>
  </si>
  <si>
    <t>106,658003</t>
  </si>
  <si>
    <t>10,981745</t>
  </si>
  <si>
    <t>K00464221018D005</t>
  </si>
  <si>
    <t>BDGTDM017;BDGTDM017;BDGTDM017</t>
  </si>
  <si>
    <t>27m/ 27m/ 27m;24m/ 24m/ 24m;24m/ 24m/ 24m</t>
  </si>
  <si>
    <t>Số 54-D2, khu dân cư Phú Hòa, phường Phú Hòa, thành phố Thủ Dầu Một, tỉnh Bình Dương.</t>
  </si>
  <si>
    <t>106,67883</t>
  </si>
  <si>
    <t>10,97394</t>
  </si>
  <si>
    <t>K00465221018D005</t>
  </si>
  <si>
    <t>BDGTDM022;BDGTDM022;BDGTDM022</t>
  </si>
  <si>
    <t>28m/ 28m/ 28m;30m/ 30m/ 30m;30m/ 30m/ 30m</t>
  </si>
  <si>
    <t>Số 37, khu 8, đường Hoàng Hoa Thám, phường Hiệp Thành, thành phố Thủ Dầu Một, tỉnh Bình Dương.</t>
  </si>
  <si>
    <t>106,663203</t>
  </si>
  <si>
    <t>10,99383</t>
  </si>
  <si>
    <t>K00466231018D005</t>
  </si>
  <si>
    <t>BDGTDM025;BDGTDM025;BDGTDM025;BDGTDM025</t>
  </si>
  <si>
    <t>2/2/2;2/2/2;2/2/2;1/1/1</t>
  </si>
  <si>
    <t>37m/ 37m/ 37m;34m/ 34m/ 34m;34m/ 34m/ 34m;34m/ 34m/ 34m</t>
  </si>
  <si>
    <t>Số 108/15, đường 30 Tháng 4, khu phố 2, phường Phú Hòa, thành phố Thủ Dầu Một, tỉnh Bình Dương.</t>
  </si>
  <si>
    <t>106,671208</t>
  </si>
  <si>
    <t>10,97728</t>
  </si>
  <si>
    <t>K00476241018D005</t>
  </si>
  <si>
    <t>BDGTDM036;BDGTDM036;BDGTDM036</t>
  </si>
  <si>
    <t>2/4/4;2/2/2;1/1/1</t>
  </si>
  <si>
    <t>23m/ 23m/ 23m;28,5m/ 28,5m/ 28,5m;28m/ 28m/ 28m</t>
  </si>
  <si>
    <t>Số 6A, đường Nguyễn Văn Tiết, phường Hiệp Thành, thành phố Thủ Dầu Một, tỉnh Bình Dương.</t>
  </si>
  <si>
    <t>106,653223</t>
  </si>
  <si>
    <t>10,987938</t>
  </si>
  <si>
    <t>K00468231018D005</t>
  </si>
  <si>
    <t>BDGTDM045;BDGTDM045;BDGTDM045</t>
  </si>
  <si>
    <t>28m/ 28m/ 28m;27m/ 27m/ 27m;27m/ 27m/ 27m</t>
  </si>
  <si>
    <t>Số 238, đường Nguyễn Văn Tiết, phường Phú Cường, thành phố Thủ Dầu Một, tỉnh Bình Dương.</t>
  </si>
  <si>
    <t>106,648572</t>
  </si>
  <si>
    <t>10,985478</t>
  </si>
  <si>
    <t>K00469231018D005</t>
  </si>
  <si>
    <t>BDGTDM046;BDGTDM046;BDGTDM046</t>
  </si>
  <si>
    <t>2/2/4;2/2/2;1/1/1</t>
  </si>
  <si>
    <t>29m/ 29m/ 29m;24m/ 24m/ 24m;24m/ 24m/ 24m</t>
  </si>
  <si>
    <t>Số 2/40/11, đường Trần Bình Trọng, khu 2, phường Phú Thọ, thành phố Thủ Dầu Một, tỉnh Bình Dương.</t>
  </si>
  <si>
    <t>106,67613</t>
  </si>
  <si>
    <t>10,96864</t>
  </si>
  <si>
    <t>K00470231018D005</t>
  </si>
  <si>
    <t>BDGTDM052;BDGTDM052;BDGTDM052</t>
  </si>
  <si>
    <t>35m/ 35m/ 35m;32m/ 32m/ 32m;32m/ 32m/ 32m</t>
  </si>
  <si>
    <t>Số 138A, đường Cách Mạng Tháng Tám, phường Chánh Nghĩa, thành phố Thủ Dầu Một, tỉnh Bình Dương.</t>
  </si>
  <si>
    <t>106,660135</t>
  </si>
  <si>
    <t>10,970218</t>
  </si>
  <si>
    <t>K00471231018D005</t>
  </si>
  <si>
    <t>BDGTDM055;BDGTDM055;BDGTDM055</t>
  </si>
  <si>
    <t>25m/ 25m/ 25m;22m/ 22m/ 22m;22m/ 22m/ 22m</t>
  </si>
  <si>
    <t>Giấy kiểm định còn thời hạn 01/2022</t>
  </si>
  <si>
    <t>Số 311/10, đường 30 Tháng 4, khu phố 4, phường Phú Thọ, thành phố Thủ Dầu Một, tỉnh Bình Dương.</t>
  </si>
  <si>
    <t>106,66878</t>
  </si>
  <si>
    <t>10,96429</t>
  </si>
  <si>
    <t>K00472231018D005</t>
  </si>
  <si>
    <t>BDGTDM059;BDGTDM059;BDGTDM059</t>
  </si>
  <si>
    <t>36m/ 36m/ 36m;31m/ 31m/ 31m;31m/ 31m/ 31m</t>
  </si>
  <si>
    <t>Số 23/9, đường Lê Thị Trung, tổ 12, khu 2, phường Phú Lợi, thành phố Thủ Dầu Một, tỉnh Bình Dương.</t>
  </si>
  <si>
    <t>106,672396</t>
  </si>
  <si>
    <t>10,987665</t>
  </si>
  <si>
    <t>K00473231018D005</t>
  </si>
  <si>
    <t>BDGTDM060;BDGTDM060;BDGTDM060</t>
  </si>
  <si>
    <t>33m/ 33m/ 33m;27m/ 27m/ 27m;27m/ 27m/ 27m</t>
  </si>
  <si>
    <t>Số 326, đại lộ Bình Dương, phường Phú Hòa, thành phố Thủ Dầu Một, tỉnh Bình Dương.</t>
  </si>
  <si>
    <t>106,667217</t>
  </si>
  <si>
    <t>10,981656</t>
  </si>
  <si>
    <t>K00477241018D005</t>
  </si>
  <si>
    <t>BDGTDM065;BDGTDM065;BDGTDM065;BDGTDM065</t>
  </si>
  <si>
    <t>4/4/4;4/4/4;2/2/2;1/1/1</t>
  </si>
  <si>
    <t>27m/ 27m/ 27m;27m/ 27m/ 27m;24m/ 24m/ 24m;24m/ 24m/ 24m</t>
  </si>
  <si>
    <t>30</t>
  </si>
  <si>
    <t>Số 39/15, khu phố 6, phường Chánh Nghĩa, thành phố Thủ Dầu Một, tỉnh Bình Dương.</t>
  </si>
  <si>
    <t>106,65801</t>
  </si>
  <si>
    <t>10,96536</t>
  </si>
  <si>
    <t>K00474241018D005</t>
  </si>
  <si>
    <t>BDGTDM072;BDGTDM072;BDGTDM072</t>
  </si>
  <si>
    <t>25m/ 25m/ 25m;26,5m/ 26,5m/ 26,5m;26,5m/ 26,5m/ 26,5m</t>
  </si>
  <si>
    <t>Số 6, đường số 4, phường Chánh Nghĩa, thành phố Thủ Dầu Một, tỉnh Bình Dương.</t>
  </si>
  <si>
    <t>106,66745</t>
  </si>
  <si>
    <t>10,96977</t>
  </si>
  <si>
    <t>K00467231018D005</t>
  </si>
  <si>
    <t>BDGTDM074;BDGTDM074;BDGTDM074</t>
  </si>
  <si>
    <t>35m/ 35m/ 35m;31m/ 31m/ 31m;31m/ 31m/ 31m</t>
  </si>
  <si>
    <t>Khu phố 6, khu dân cư Hiệp Thành, phường Hiệp Thành, thành phố Thủ Dầu Một, tỉnh Bình Dương.</t>
  </si>
  <si>
    <t>106,653737</t>
  </si>
  <si>
    <t>11,00281</t>
  </si>
  <si>
    <t>K00475241018D005</t>
  </si>
  <si>
    <t>BDGTDM083;BDGTDM083;BDGTDM083</t>
  </si>
  <si>
    <t>2/3/2;2/2/2;1/1/1</t>
  </si>
  <si>
    <t>29m/ 29m/ 29m;29m/ 29m/ 29m;29m/ 29m/ 29m</t>
  </si>
  <si>
    <t>Bưu điện Hiệp Thành, khóm đầu lộ 1, đường Cao Văn Lầu, phường Nhà Mát, thành phố Bạc Liêu, tỉnh Bạc Liêu.</t>
  </si>
  <si>
    <t>Bạc Liêu</t>
  </si>
  <si>
    <t>105,735799</t>
  </si>
  <si>
    <t>9,230595</t>
  </si>
  <si>
    <t>K00645151118D005</t>
  </si>
  <si>
    <t>BLUBLI016;BLUBLI016;BLUBLI016</t>
  </si>
  <si>
    <t>HUAWEI BTS3012;NSN FLEXI MULTIRADIO 10 (FRGY);NSN FLEXI MULTIRADIO 10 (FHED)</t>
  </si>
  <si>
    <t>2/4/2;2/2/2;1/1/1</t>
  </si>
  <si>
    <t>60W/60W/60W;120W/120W/120W;160W/160W/160W</t>
  </si>
  <si>
    <t>36m/ 36m/ 36m;37m/ 37m/ 37m;37m/ 37m/ 37m</t>
  </si>
  <si>
    <t>Agisson DX-806-960-65-18i-0F;S-Wave EW/EW/EW-65-18DV2/12I-F-64K-VN;S-Wave EW/EW/EW-65-18DV2/12I-F-64K-VN</t>
  </si>
  <si>
    <t>Số 233B/7, khóm Nhà Mát, phường Nhà Mát, thành phố Bạc Liêu, tỉnh Bạc Liêu.</t>
  </si>
  <si>
    <t>105,742008</t>
  </si>
  <si>
    <t>9,209651</t>
  </si>
  <si>
    <t>K00646151118D005</t>
  </si>
  <si>
    <t>BLUBLI020;BLUBLI020;BLUBLI020;BLUBLI020</t>
  </si>
  <si>
    <t>HUAWEI BTS3900;HUAWEI BTS3900;NSN FLEXI MULTIRADIO 10 (FRGY);NSN FLEXI MULTIRADIO 10 (FHED)</t>
  </si>
  <si>
    <t>4/3/4;4/4/4;2/2/2;1/1/1</t>
  </si>
  <si>
    <t>71W/71W/71W;63W/63W/63W;120W/120W/120W;160W/160W/160W</t>
  </si>
  <si>
    <t>33m/ 33m/ 33m;24m/ 24m/ 24m;32m/ 32m/ 32m;32m/ 32m/ 32m</t>
  </si>
  <si>
    <t>Agisson DX-806-960-65-18i-0F;Agisson DX-1710-2170-65-18i-0F;S-Wave EW/EW/EW-65-18DV2/12I-F-64K-VN;S-Wave EW/EW/EW-65-18DV2/12I-F-64K-VN</t>
  </si>
  <si>
    <t>Số 400, ấp Anh Dũng, xã An Thạnh, huyện Đông Hải, tỉnh Bạc Liêu.</t>
  </si>
  <si>
    <t>105,342446</t>
  </si>
  <si>
    <t>9,154612</t>
  </si>
  <si>
    <t>K00661111118D005</t>
  </si>
  <si>
    <t>BLUDHA011;BLUDHA011;BLUDHA011</t>
  </si>
  <si>
    <t>HUAWEI BTS3900;NSN FLEXI MULTIRADIO 10 (FRGY);NSN FLEXI MULTIRADIO 10 (FHED)</t>
  </si>
  <si>
    <t>71W/71W/71W;120W/120W/120W;160W/160W/160W</t>
  </si>
  <si>
    <t>30m/ 30m/ 30m;34m/ 34m/ 34m;34m/ 34m/ 34m</t>
  </si>
  <si>
    <t>Bưu điện Kinh Tư, ấp Diêm Điền, xã Long Điền Tây, huyện Đông Hải, tỉnh Bạc Liêu.</t>
  </si>
  <si>
    <t>105,490601</t>
  </si>
  <si>
    <t>9,13307</t>
  </si>
  <si>
    <t>K00648151118D005</t>
  </si>
  <si>
    <t>BLUDHA014;BLUDHA014;BLUDHA014;BLUDHA014</t>
  </si>
  <si>
    <t>4/4/4;4/3/4;2/2/2;1/1/1</t>
  </si>
  <si>
    <t>36m/ 36m/ 36m;35m/ 35m/ 35m;33m/ 33m/ 33m;33m/ 33m/ 33m</t>
  </si>
  <si>
    <t>Đài viễn thông Long Điền Đông, ấp Bửu 2, xã Long Điền Đông, huyện Đông Hải, tỉnh Bạc Liêu.</t>
  </si>
  <si>
    <t>105,52916</t>
  </si>
  <si>
    <t>9,154648</t>
  </si>
  <si>
    <t>K00659151118D005</t>
  </si>
  <si>
    <t>BLUDHA016;BLUDHA016;BLUDHA016;BLUDHA016</t>
  </si>
  <si>
    <t>4/4/4;4;2/2/2;1/1/1</t>
  </si>
  <si>
    <t>71W/71W/71W;63W;120W/120W/120W;160W/160W/160W</t>
  </si>
  <si>
    <t>33m/ 33m/ 33m;32m;34m/ 34m/ 34m;34m/ 34m/ 34m</t>
  </si>
  <si>
    <t>Bưu điện Mỹ Điền, ấp Mỹ Điền, xã Long Điền Đông A, huyện Đông Hải, tỉnh Bạc Liêu.</t>
  </si>
  <si>
    <t>105,538191</t>
  </si>
  <si>
    <t>9,216562</t>
  </si>
  <si>
    <t>K00660161118D005</t>
  </si>
  <si>
    <t>BLUDHA018;BLUDHA018;BLUDHA018;BLUDHA018</t>
  </si>
  <si>
    <t>36m/ 36m/ 36m;37m;37m/ 37m/ 37m;37m/ 37m/ 37m</t>
  </si>
  <si>
    <t>Ấp Ba Mếm, xã An Trạch, huyện Đông Hải, tỉnh Bạc Liêu.</t>
  </si>
  <si>
    <t>105,37475</t>
  </si>
  <si>
    <t>9,189566</t>
  </si>
  <si>
    <t>K00662111118D005</t>
  </si>
  <si>
    <t>BLUDHA023;BLUDHA023;BLUDHA023</t>
  </si>
  <si>
    <t>33m/ 33m/ 33m;33m/ 33m/ 33m;33m/ 33m/ 33m</t>
  </si>
  <si>
    <t>Ấp 18, xã Phong Tân, thị xã Giá Rai, tỉnh Bạc Liêu.</t>
  </si>
  <si>
    <t>105,444055</t>
  </si>
  <si>
    <t>9,263925</t>
  </si>
  <si>
    <t>K00657111118D005</t>
  </si>
  <si>
    <t>BLUGRA001;BLUGRA001;BLUGRA001</t>
  </si>
  <si>
    <t>4/4/3;2/2/2;1/1/1</t>
  </si>
  <si>
    <t>33m/ 33m/ 33m;36m/ 36m/ 36m;36m/ 36m/ 36m</t>
  </si>
  <si>
    <t>Bưu điện Cây Gừa, quốc lộ 1A, ấp Khúc Tréo, xã Tân Phong, thị xã Giá Rai, tỉnh Bạc Liêu.</t>
  </si>
  <si>
    <t>105,366725</t>
  </si>
  <si>
    <t>9,211241</t>
  </si>
  <si>
    <t>K00641121118D005</t>
  </si>
  <si>
    <t>BLUGRA003;BLUGRA003;BLUGRA003;BLUGRA003</t>
  </si>
  <si>
    <t>4/4/4;3/4/4;2/2/2;1/1/1</t>
  </si>
  <si>
    <t>36m/ 36m/ 36m;36m/ 36m/ 36m;36m/ 36m/ 36m;36m/ 36m/ 36m</t>
  </si>
  <si>
    <t>Số 376, quốc lộ 1A, phường 1, thị xã Giá Rai, tỉnh Bạc Liêu.</t>
  </si>
  <si>
    <t>105,45279</t>
  </si>
  <si>
    <t>9,237039</t>
  </si>
  <si>
    <t>K00636121118D005</t>
  </si>
  <si>
    <t>BLUGRA004;BLUGRA004;BLUGRA004;BLUGRA004</t>
  </si>
  <si>
    <t>47m/ 47m/ 47m;40m/ 40m/ 40m;28m/ 28m/ 28m;28m/ 28m/ 28m</t>
  </si>
  <si>
    <t>Bưu điện Hộ Phòng, phường Hộ Phòng, thị xã Giá Rai, tỉnh Bạc Liêu.</t>
  </si>
  <si>
    <t>105,419739</t>
  </si>
  <si>
    <t>9,227491</t>
  </si>
  <si>
    <t>K00637121118D005</t>
  </si>
  <si>
    <t>BLUGRA008;BLUGRA008;BLUGRA008;BLUGRA008</t>
  </si>
  <si>
    <t>28m/ 28m/ 28m;27m/ 27m/ 27m;34m/ 34m/ 34m;34m/ 34m/ 34m</t>
  </si>
  <si>
    <t>Ấp 3, xã Phong Thạnh A, thị xã Giá Rai, tỉnh Bạc Liêu.</t>
  </si>
  <si>
    <t>105,386398</t>
  </si>
  <si>
    <t>9,249287</t>
  </si>
  <si>
    <t>K00658111118D005</t>
  </si>
  <si>
    <t>BLUGRA010;BLUGRA010;BLUGRA010</t>
  </si>
  <si>
    <t>3/2/2;2/2/2;1/1/1</t>
  </si>
  <si>
    <t>Bưu điện Láng Trâm, ấp Xóm Mới, xã Tân Thạnh, thị xã Giá Rai, tỉnh Bạc Liêu.</t>
  </si>
  <si>
    <t>105,280562</t>
  </si>
  <si>
    <t>9,176042</t>
  </si>
  <si>
    <t>K00642121118D005</t>
  </si>
  <si>
    <t>BLUGRA014;BLUGRA014;BLUGRA014;BLUGRA014</t>
  </si>
  <si>
    <t>36m/ 36m/ 36m;22m/ 22m/ 22m;37m/ 37m/ 37m;37m/ 37m/ 37m</t>
  </si>
  <si>
    <t>Bưu điện Láng Tròn, khóm 2, phường Láng Tròn, thị xã Giá Rai, tỉnh Bạc Liêu.</t>
  </si>
  <si>
    <t>105,513544</t>
  </si>
  <si>
    <t>9,251754</t>
  </si>
  <si>
    <t>K00643151118D005</t>
  </si>
  <si>
    <t>BLUGRA015;BLUGRA015;BLUGRA015;BLUGRA015</t>
  </si>
  <si>
    <t>36m/ 36m/ 36m;26m/ 26m/ 26m;35m/ 35m/ 35m;35m/ 35m/ 35m</t>
  </si>
  <si>
    <t>Bưu điện Phong Tân, ấp 16A, xã Phong Tân, thị xã Giá Rai, tỉnh Bạc Liêu.</t>
  </si>
  <si>
    <t>105,462142</t>
  </si>
  <si>
    <t>9,288274</t>
  </si>
  <si>
    <t>K00655111118D005</t>
  </si>
  <si>
    <t>BLUGRA020;BLUGRA020;BLUGRA020</t>
  </si>
  <si>
    <t>Ấp 21, xã Phong Tân, thị xã Giá Rai, tỉnh Bạc Liêu.</t>
  </si>
  <si>
    <t>105,411762</t>
  </si>
  <si>
    <t>9,333078</t>
  </si>
  <si>
    <t>K00656111118D005</t>
  </si>
  <si>
    <t>BLUGRA024;BLUGRA024;BLUGRA024</t>
  </si>
  <si>
    <t>32m/ 32m/ 32m;36m/ 36m/ 36m;36m/ 36m/ 36m</t>
  </si>
  <si>
    <t>Ấp 2, xã Tân Phong, thị xã Giá Rai, tỉnh Bạc Liêu.</t>
  </si>
  <si>
    <t>105,39764</t>
  </si>
  <si>
    <t>9,223019</t>
  </si>
  <si>
    <t>K00644111118D005</t>
  </si>
  <si>
    <t>BLUGRA025;BLUGRA025;BLUGRA025;BLUGRA025</t>
  </si>
  <si>
    <t>2/4/4;3/3/3;2/2/2;1/1/1</t>
  </si>
  <si>
    <t>33m/ 33m/ 33m;34m/ 34m/ 34m;34m/ 34m/ 34m;34m/ 34m/ 34m</t>
  </si>
  <si>
    <t>14</t>
  </si>
  <si>
    <t>Bưu cục Xóm Lung, khóm 1, phường Láng Tròn, thị xã Giá Rai, tỉnh Bạc Liêu.</t>
  </si>
  <si>
    <t>105,542963</t>
  </si>
  <si>
    <t>9,258883</t>
  </si>
  <si>
    <t>K00652151118D005</t>
  </si>
  <si>
    <t>BLUGRA028;BLUGRA028;BLUGRA028;BLUGRA028</t>
  </si>
  <si>
    <t>7</t>
  </si>
  <si>
    <t>Ấp 10B, xã Tân Phong, thị xã Giá Rai, tỉnh Bạc Liêu.</t>
  </si>
  <si>
    <t>105,31547</t>
  </si>
  <si>
    <t>9,21567</t>
  </si>
  <si>
    <t>K00664161118D005</t>
  </si>
  <si>
    <t>BLUGRA033;BLUGRA033;BLUGRA033</t>
  </si>
  <si>
    <t>39m/ 39m/ 39m;37m/ 37m/ 37m;37m/ 37m/ 37m</t>
  </si>
  <si>
    <t>Bưu điện Cái Cùng, ấp Vĩnh Lạc, xã Vĩnh Thịnh, huyện Hòa Bình, tỉnh Bạc Liêu.</t>
  </si>
  <si>
    <t>105,576147</t>
  </si>
  <si>
    <t>9,159991</t>
  </si>
  <si>
    <t>K00647151118D005</t>
  </si>
  <si>
    <t>BLUHBI004;BLUHBI004;BLUHBI004;BLUHBI004</t>
  </si>
  <si>
    <t>36m/ 36m/ 36m;30m/ 30m/ 30m;34m/ 34m/ 34m;34m/ 34m/ 34m</t>
  </si>
  <si>
    <t>Bưu điện Cầu số 2, ấp 15, xã Vĩnh Mỹ B, huyện Hòa Bình, tỉnh Bạc Liêu.</t>
  </si>
  <si>
    <t>105,587687</t>
  </si>
  <si>
    <t>9,270128</t>
  </si>
  <si>
    <t>K00640151118D005</t>
  </si>
  <si>
    <t>BLUHBI007;BLUHBI007;BLUHBI007;BLUHBI007</t>
  </si>
  <si>
    <t>36m/ 36m/ 36m;37m/ 37m/ 37m;37m/ 37m/ 37m;37m/ 37m/ 37m</t>
  </si>
  <si>
    <t>Bưu điện Hòa Bình, ấp A, thị trấn Hòa Bình, huyện Hòa Bình, tỉnh Bạc Liêu.</t>
  </si>
  <si>
    <t>105,627282</t>
  </si>
  <si>
    <t>9,282866</t>
  </si>
  <si>
    <t>K00635141118D005</t>
  </si>
  <si>
    <t>BLUHBI017;BLUHBI017;BLUHBI017;BLUHBI017</t>
  </si>
  <si>
    <t>3/4/4;2/4/4;2/2/2;1/1/1</t>
  </si>
  <si>
    <t>36m/ 36m/ 36m;27m/ 27m/ 27m;37m/ 37m/ 37m;37m/ 37m/ 37m</t>
  </si>
  <si>
    <t>Bưu điện Vĩnh Mỹ A, ấp Xóm Lới B, xã Vĩnh Mỹ A, huyện Hòa Bình, tỉnh Bạc Liêu.</t>
  </si>
  <si>
    <t>105,59412</t>
  </si>
  <si>
    <t>9,253924</t>
  </si>
  <si>
    <t>K00653151118D005</t>
  </si>
  <si>
    <t>BLUHBI021;BLUHBI021;BLUHBI021</t>
  </si>
  <si>
    <t>Bưu cục Chủ Chí, ấp 2A, xã Phong Thạnh Tây B, huyện Phước Long, tỉnh Bạc Liêu.</t>
  </si>
  <si>
    <t>105,318778</t>
  </si>
  <si>
    <t>9,303843</t>
  </si>
  <si>
    <t>K00650101118D005</t>
  </si>
  <si>
    <t>BLUPLO002;BLUPLO002;BLUPLO002;BLUPLO002</t>
  </si>
  <si>
    <t>3/3/4;4/4/4;2/2/2;1/1/1</t>
  </si>
  <si>
    <t>39m/ 39m/ 39m;30m/ 30m/ 30m;40m/ 40m/ 40m;40m/ 40m/ 40m</t>
  </si>
  <si>
    <t>Bưu điện Phó Sinh, ấp Phước Hành, xã Phước Long, huyện Phước Long, tỉnh Bạc Liêu.</t>
  </si>
  <si>
    <t>105,392814</t>
  </si>
  <si>
    <t>9,373468</t>
  </si>
  <si>
    <t>K00649101118D005</t>
  </si>
  <si>
    <t>BLUPLO009;BLUPLO009;BLUPLO009;BLUPLO009</t>
  </si>
  <si>
    <t>3/3/3;4/4/4;2/2/2;1/1/1</t>
  </si>
  <si>
    <t>39m/ 39m/ 39m;24m/ 24m/ 24m;40m/ 40m/ 40m;40m/ 40m/ 40m</t>
  </si>
  <si>
    <t>Bưu cục Trưởng Tòa, ấp Vĩnh Hòa, xã Vĩnh Thanh, huyện Phước Long, tỉnh Bạc Liêu.</t>
  </si>
  <si>
    <t>105,520026</t>
  </si>
  <si>
    <t>9,358279</t>
  </si>
  <si>
    <t>K00651151118D005</t>
  </si>
  <si>
    <t>BLUPLO015;BLUPLO015;BLUPLO015;BLUPLO015</t>
  </si>
  <si>
    <t>4/4/3;4/4/4;2/2/2;1/1/1</t>
  </si>
  <si>
    <t>36m/ 36m/ 36m;32m/ 32m/ 32m;34m/ 34m/ 34m;34m/ 34m/ 34m</t>
  </si>
  <si>
    <t>Bưu điện Thoàn, ấp Phước Thạnh, xã Phước Long, huyện Phước Long, tỉnh Bạc Liêu.</t>
  </si>
  <si>
    <t>105,429462</t>
  </si>
  <si>
    <t>9,408905</t>
  </si>
  <si>
    <t>K00654101118D005</t>
  </si>
  <si>
    <t>BLUPLO020;BLUPLO020;BLUPLO020</t>
  </si>
  <si>
    <t>Đài viễn thông Cái Tràm, ấp Cái Tràm, xã Long Thạnh, huyện Vĩnh Lợi, tỉnh Bạc Liêu.</t>
  </si>
  <si>
    <t>105,658185</t>
  </si>
  <si>
    <t>9,290058</t>
  </si>
  <si>
    <t>K00638141118D005</t>
  </si>
  <si>
    <t>BLUVLO003;BLUVLO003;BLUVLO003</t>
  </si>
  <si>
    <t>Bưu điện Cầu Sập, ấp Phước Thạnh, xã Long Thạnh, huyện Vĩnh Lợi, tỉnh Bạc Liêu.</t>
  </si>
  <si>
    <t>105,682041</t>
  </si>
  <si>
    <t>9,296268</t>
  </si>
  <si>
    <t>K00639141118D005</t>
  </si>
  <si>
    <t>BLUVLO004;BLUVLO004;BLUVLO004;BLUVLO004</t>
  </si>
  <si>
    <t>4/4/4;4/2/4;2/2/2;1/1/1</t>
  </si>
  <si>
    <t>36m/ 36m/ 36m;35m/ 35m/ 35m;37m/ 37m/ 37m;37m/ 37m/ 37m</t>
  </si>
  <si>
    <t>Ấp Năm Căn, xã Hưng Thành, huyện Vĩnh Lợi, tỉnh Bạc Liêu.</t>
  </si>
  <si>
    <t>105,81796</t>
  </si>
  <si>
    <t>9,346795</t>
  </si>
  <si>
    <t>K00663161118D005</t>
  </si>
  <si>
    <t>BLUVLO018;BLUVLO018;BLUVLO018;BLUVLO018</t>
  </si>
  <si>
    <t>HUAWEI DBS3900;HUAWEI DBS3900;NSN FLEXI MULTIRADIO 10 (FRGY);NSN FLEXI MULTIRADIO 10 (FHED)</t>
  </si>
  <si>
    <t>2/4/2;4;2/2/2;1/1/1</t>
  </si>
  <si>
    <t>40W/15W/40W;15W;120W/120W/120W;160W/160W/160W</t>
  </si>
  <si>
    <t>36m/ 36m/ 36m;36m;36m/ 36m/ 36m;36m/ 36m/ 36m</t>
  </si>
  <si>
    <t>Agisson DX-806-960-65-18i-0F;S-Wave 0809/U/U-65-17/18/18DV8;S-Wave EW/EW/EW-65-18DV2/12I-F-64K-VN;S-Wave EW/EW/EW-65-18DV2/12I-F-64K-VN</t>
  </si>
  <si>
    <t>Có 1 card G1800 cell C</t>
  </si>
  <si>
    <t>Bưu điện Đông Xoài, quốc lộ 14, phường Tân Phú, thị xã Đồng Xoài, tỉnh Bình Phước.</t>
  </si>
  <si>
    <t>Bình Phước</t>
  </si>
  <si>
    <t>106,900599</t>
  </si>
  <si>
    <t>11,53822</t>
  </si>
  <si>
    <t>K00483041118D005</t>
  </si>
  <si>
    <t>BPCDXO008;BPCDXO008;BPCDXO008;BPCDXO008</t>
  </si>
  <si>
    <t>MOTOROLA HORIZON II MACRO;MOTOROLA HORIZON II MACRO;NSN FLEXI MULTIRADIO 10 (FRGY);NSN FLEXI MULTIRADIO 10 (FHED)</t>
  </si>
  <si>
    <t>4/4/4/4;4/4;2/2/2;1/1/1</t>
  </si>
  <si>
    <t>20W/20W/20W/20W;16W/16W;120W/120W/120W;160W/160W/160W</t>
  </si>
  <si>
    <t>47m/ 47m/ 47m/ 0m;47m/ 47m;38m/ 38m/ 38m;38m/ 38m/ 38m</t>
  </si>
  <si>
    <t>Đại lộ Hùng Vương, khu phố Tân Bình, phường Tân Bình, thị xã Đồng Xoài, tỉnh Bình Phước.</t>
  </si>
  <si>
    <t>106,892054</t>
  </si>
  <si>
    <t>11,532009</t>
  </si>
  <si>
    <t>K00486041118D005</t>
  </si>
  <si>
    <t>BPCDXO010;BPCDXO010;BPCDXO010</t>
  </si>
  <si>
    <t>MOTOROLA HORIZON II MACRO;NSN FLEXI MULTIRADIO 10 (FRGY);NSN FLEXI MULTIRADIO 10 (FHED)</t>
  </si>
  <si>
    <t>16W/16W/16W;120W/120W/120W;160W/160W/160W</t>
  </si>
  <si>
    <t>39m/ 39m/ 39m;36m/ 36m/ 36m;36m/ 36m/ 36m</t>
  </si>
  <si>
    <t>Khu phố Phú Cường, phường Tân Phú, thị xã Đồng Xoài, tỉnh Bình Phước.</t>
  </si>
  <si>
    <t>106,876123</t>
  </si>
  <si>
    <t>11,534211</t>
  </si>
  <si>
    <t>K00487041118D005</t>
  </si>
  <si>
    <t>BPCDXO015;BPCDXO015;BPCDXO015</t>
  </si>
  <si>
    <t>20W/20W/20W;120W/120W/120W;160W/160W/160W</t>
  </si>
  <si>
    <t>39m/ 39m/ 39m;38m/ 38m/ 38m;38m/ 38m/ 38m</t>
  </si>
  <si>
    <t>Tổ 2, khu phố Phú Thịnh, phường Tân Phú, thị xã Đồng Xoài, tỉnh Bình Phước.</t>
  </si>
  <si>
    <t>106,894041</t>
  </si>
  <si>
    <t>11,543228</t>
  </si>
  <si>
    <t>K00485041118D005</t>
  </si>
  <si>
    <t>BPCDXO037;BPCDXO037;BPCDXO037</t>
  </si>
  <si>
    <t>32m/ 32m/ 32m;32m/ 32m/ 32m;32m/ 32m/ 32m</t>
  </si>
  <si>
    <t>Vòng hồ Suối Cam, khu phố Phú Lộc, phường Tân Phú, thị xã Đồng Xoài, tỉnh Bình Phước.</t>
  </si>
  <si>
    <t>106,887025</t>
  </si>
  <si>
    <t>11,546673</t>
  </si>
  <si>
    <t>K00484041118D005</t>
  </si>
  <si>
    <t>BPCDXO057;BPCDXO057;BPCDXO057</t>
  </si>
  <si>
    <t>23m/ 23m/ 23m;23m/ 23m/ 23m;23m/ 23m/ 23m</t>
  </si>
  <si>
    <t>Số 300, ấp Cây Tràm, xã Đình Bình, thành phố Cà Mau, tỉnh Cà Mau.</t>
  </si>
  <si>
    <t>Cà Mau</t>
  </si>
  <si>
    <t>105,249892</t>
  </si>
  <si>
    <t>9,162335</t>
  </si>
  <si>
    <t>K00679111118D005</t>
  </si>
  <si>
    <t>CMUCMA025;CMUCMA025;CMUCMA025</t>
  </si>
  <si>
    <t>3/3/4;2/2/2;1/1/1</t>
  </si>
  <si>
    <t>63W/63W/63W;120W/120W/120W;160W/160W/160W</t>
  </si>
  <si>
    <t>Agisson DX-1710-2170-65-18i-0F;S-Wave EW/EW/EW-65-18DV2/12I-F-64K-VN;S-Wave EW/EW/EW-65-18DV2/12I-F-64K-VN</t>
  </si>
  <si>
    <t>Đường Huỳnh Thúc Kháng, khu 8, phường 7, thành phố Cà Mau, tỉnh Cà Mau.</t>
  </si>
  <si>
    <t>105,165289</t>
  </si>
  <si>
    <t>9,146529</t>
  </si>
  <si>
    <t>K00682131118D005</t>
  </si>
  <si>
    <t>CMUCMA077;CMUCMA077;CMUCMA077</t>
  </si>
  <si>
    <t>3/4/4;2/2/2;1/1/1</t>
  </si>
  <si>
    <t>27m/ 27m/ 27m;37m/ 37m/ 37m;37m/ 37m/ 37m</t>
  </si>
  <si>
    <t>Bưu điện Tân Thành, quốc lộ 1A, khóm 9, phường 6, thành phố Cà Mau, tỉnh Cà Mau.</t>
  </si>
  <si>
    <t>105,209674</t>
  </si>
  <si>
    <t>9,168184</t>
  </si>
  <si>
    <t>K00674111118D005</t>
  </si>
  <si>
    <t>CMUCMA079;CMUCMA079;CMUCMA079</t>
  </si>
  <si>
    <t>40m/ 40m/ 40m;35m/ 35m/ 35m;35m/ 35m/ 35m</t>
  </si>
  <si>
    <t>Ấp Ông Muộn, xã Lý Văn Lâm, thành phố Cà Mau, tỉnh Cà Mau.</t>
  </si>
  <si>
    <t>105,103921</t>
  </si>
  <si>
    <t>9,156593</t>
  </si>
  <si>
    <t>K00683131118D005</t>
  </si>
  <si>
    <t>CMUCMA101;CMUCMA101;CMUCMA101</t>
  </si>
  <si>
    <t>Ấp Hưng Thành, xã Phú Hưng, huyện Cái Nước, tỉnh Cà Mau.</t>
  </si>
  <si>
    <t>105,066066</t>
  </si>
  <si>
    <t>9,080964</t>
  </si>
  <si>
    <t>K00675151118D005</t>
  </si>
  <si>
    <t>CMUCNU006;CMUCNU006;CMUCNU006;CMUCNU006</t>
  </si>
  <si>
    <t>4/2/2;2;2/2/2;1/1/1</t>
  </si>
  <si>
    <t>42m/ 42m/ 42m;42m;33m/ 33m/ 33m;33m/ 33m/ 33m</t>
  </si>
  <si>
    <t>Cell B GSM phát thêm card 1800</t>
  </si>
  <si>
    <t>Ấp Bá Huê, xã Tân Duyệt, huyện Đầm Dơi, tỉnh Cà Mau.</t>
  </si>
  <si>
    <t>105,18853</t>
  </si>
  <si>
    <t>8,951312</t>
  </si>
  <si>
    <t>K00681131118D005</t>
  </si>
  <si>
    <t>CMUDDO003;CMUDDO003;CMUDDO003</t>
  </si>
  <si>
    <t>33m/ 33m/ 33m;30m/ 30m/ 30m;30m/ 30m/ 30m</t>
  </si>
  <si>
    <t>Số 59, ấp Khai Hoang Vàm, xã Quách Phẩm, huyện Đầm Dơi, tỉnh Cà Mau.</t>
  </si>
  <si>
    <t>105,107279</t>
  </si>
  <si>
    <t>8,860155</t>
  </si>
  <si>
    <t>K00691141118D005</t>
  </si>
  <si>
    <t>CMUDDO020;CMUDDO020;CMUDDO020;CMUDDO020</t>
  </si>
  <si>
    <t>36m/ 36m/ 36m;33m/ 33m/ 33m;33m/ 33m/ 33m;33m/ 33m/ 33m</t>
  </si>
  <si>
    <t>Ấp Thành Vọng, xã Tân Trung, huyện Đầm Dơi, tỉnh Cà Mau.</t>
  </si>
  <si>
    <t>105,167368</t>
  </si>
  <si>
    <t>9,052258</t>
  </si>
  <si>
    <t>K00676131118D005</t>
  </si>
  <si>
    <t>CMUDDO026;CMUDDO026;CMUDDO026</t>
  </si>
  <si>
    <t>Ấp Tân Điền, xã Tân Hải, huyện Phú Tân, tỉnh Cà Mau.</t>
  </si>
  <si>
    <t>104,814633</t>
  </si>
  <si>
    <t>8,933018</t>
  </si>
  <si>
    <t>K00687171118D005</t>
  </si>
  <si>
    <t>CMUPTA002;CMUPTA002;CMUPTA002;CMUPTA002</t>
  </si>
  <si>
    <t>71W/71W/71W;71W/71W/71W;120W/120W/120W;160W/160W/160W</t>
  </si>
  <si>
    <t>G900/G900/U2100/L1800</t>
  </si>
  <si>
    <t>39m/ 39m/ 39m;30m/ 35m/ 30m;38m/ 38m/ 38m;38m/ 38m/ 38m</t>
  </si>
  <si>
    <t>Agisson DX-806-960-65-18i-0F;Agisson DX-806-960-65-18i-0F;S-Wave EW/EW/EW-65-18DV2/12I-F-64K-VN;S-Wave EW/EW/EW-65-18DV2/12I-F-64K-VN</t>
  </si>
  <si>
    <t>VNP sử dụng 6 antenna G900</t>
  </si>
  <si>
    <t>Ấp Luân Môn, xã Phú Mỹ, huyện Phú Tân, tỉnh Cà Mau.</t>
  </si>
  <si>
    <t>104,91217</t>
  </si>
  <si>
    <t>8,9527</t>
  </si>
  <si>
    <t>K00686151118D005</t>
  </si>
  <si>
    <t>CMUPTA015;CMUPTA015;CMUPTA015</t>
  </si>
  <si>
    <t>35m/ 35m/ 35m;33m/ 33m/ 33m;33m/ 33m/ 33m</t>
  </si>
  <si>
    <t>Ấp Đường Cầy, xã Phú Tân, huyện Phú Tân, tỉnh Cà Mau.</t>
  </si>
  <si>
    <t>104,876175</t>
  </si>
  <si>
    <t>8,946604</t>
  </si>
  <si>
    <t>K00685131118D005</t>
  </si>
  <si>
    <t>CMUPTA021;CMUPTA021;CMUPTA021;CMUPTA021</t>
  </si>
  <si>
    <t>4/4/4;3;2/2/2;1/1/1</t>
  </si>
  <si>
    <t>33m/ 33m/ 33m;33m;29m/ 29m/ 29m;29m/ 29m/ 29m</t>
  </si>
  <si>
    <t>Cell C phát G1800</t>
  </si>
  <si>
    <t>Đường Nguyễn Việt Khái, thị trấn Cái Đôi Vàm, huyện Phú Tân, tỉnh Cà Mau.</t>
  </si>
  <si>
    <t>104,825339</t>
  </si>
  <si>
    <t>8,852783</t>
  </si>
  <si>
    <t>K00696141118D005</t>
  </si>
  <si>
    <t>TỔNG CÔNG TY HẠ TẦNG MẠNG/TỔNG CÔNG TY HẠ TẦNG MẠNG</t>
  </si>
  <si>
    <t>CMUPTA028;CMUPTA028</t>
  </si>
  <si>
    <t>NSN FLEXI MULTIRADIO 10 (FRGY);NSN FLEXI MULTIRADIO 10 (FHED)</t>
  </si>
  <si>
    <t>2/2/2;1/1/1</t>
  </si>
  <si>
    <t>120W/120W/120W;160W/160W/160W</t>
  </si>
  <si>
    <t>U2100/L1800</t>
  </si>
  <si>
    <t>36m/ 36m/ 36m;36m/ 36m/ 36m</t>
  </si>
  <si>
    <t>S-Wave EW/EW/EW-65-18DV2/12I-F-64K-VN;S-Wave EW/EW/EW-65-18DV2/12I-F-64K-VN</t>
  </si>
  <si>
    <t>Ấp Cái Sắn Vàm, xã Biển Bạch Đông, huyện Thới Bình, tỉnh Cà Mau.</t>
  </si>
  <si>
    <t>105,071645</t>
  </si>
  <si>
    <t>9,381671</t>
  </si>
  <si>
    <t>K00688101118D005</t>
  </si>
  <si>
    <t>CMUTBI003;CMUTBI003;CMUTBI003</t>
  </si>
  <si>
    <t>HUAWEI DBS3900;NSN FLEXI MULTIRADIO 10 (FRGY);NSN FLEXI MULTIRADIO 10 (FHED)</t>
  </si>
  <si>
    <t>15W/15W/15W;120W/120W/120W;160W/160W/160W</t>
  </si>
  <si>
    <t>32m/ 32m/ 32m;37m/ 37m/ 37m;37m/ 37m/ 37m</t>
  </si>
  <si>
    <t>Ấp Sông Cái, xã Biển Bạch Đông, huyện Thới Bình, tỉnh Cà Mau.</t>
  </si>
  <si>
    <t>105,057067</t>
  </si>
  <si>
    <t>9,419813</t>
  </si>
  <si>
    <t>K00693101118D005</t>
  </si>
  <si>
    <t>CMUTBI013;CMUTBI013;CMUTBI013</t>
  </si>
  <si>
    <t>33m/ 33m/ 33m;37m/ 37m/ 37m;37m/ 37m/ 37m</t>
  </si>
  <si>
    <t>Khóm 3, thị trấn Thới Bình, huyện Thới Bình, tỉnh Cà Mau.</t>
  </si>
  <si>
    <t>105,091929</t>
  </si>
  <si>
    <t>9,341942</t>
  </si>
  <si>
    <t>K00690101118D005</t>
  </si>
  <si>
    <t>CMUTBI022;CMUTBI022;CMUTBI022</t>
  </si>
  <si>
    <t>35m/ 35m/ 35m;35m/ 35m/ 35m;35m/ 35m/ 35m</t>
  </si>
  <si>
    <t>Số 219, ấp Cái Bát, xã Hồ Thị Kỷ, huyện Thới Bình, tỉnh Cà Mau.</t>
  </si>
  <si>
    <t>105,148416</t>
  </si>
  <si>
    <t>9,273902</t>
  </si>
  <si>
    <t>K00678131118D005</t>
  </si>
  <si>
    <t>CMUTBI028;CMUTBI028;CMUTBI028</t>
  </si>
  <si>
    <t>36m/ 36m/ 36m;34m/ 34m/ 34m;34m/ 34m/ 34m</t>
  </si>
  <si>
    <t>Ấp Tân Lợi, xã Phong Lạc, huyện Trần Văn Thời, tỉnh Cà Mau.</t>
  </si>
  <si>
    <t>104,936411</t>
  </si>
  <si>
    <t>9,007268</t>
  </si>
  <si>
    <t>K00689141118D005</t>
  </si>
  <si>
    <t>CMUTVT007;CMUTVT007;CMUTVT007</t>
  </si>
  <si>
    <t>42m/ 42m/ 42m;39m/ 39m/ 39m;39m/ 39m/ 39m</t>
  </si>
  <si>
    <t>Ấp Rạch Cùi, xã Khánh Bình, huyện Trần Văn Thời, tỉnh Cà Mau.</t>
  </si>
  <si>
    <t>105,038833</t>
  </si>
  <si>
    <t>9,120866</t>
  </si>
  <si>
    <t>K00684151118D005</t>
  </si>
  <si>
    <t>CMUTVT008;CMUTVT008;CMUTVT008</t>
  </si>
  <si>
    <t>36m/ 36m/ 36m;40m/ 40m/ 40m;40m/ 40m/ 40m</t>
  </si>
  <si>
    <t>Khóm 6, thị trấn Sông Đốc, huyện Trần Văn Thời, tỉnh Cà Mau.</t>
  </si>
  <si>
    <t>104,815345</t>
  </si>
  <si>
    <t>9,029136</t>
  </si>
  <si>
    <t>K00680151118D005</t>
  </si>
  <si>
    <t>CMUTVT020;CMUTVT020;CMUTVT020;CMUTVT020</t>
  </si>
  <si>
    <t>33m/ 33m/ 33m;33m/ 33m/ 33m;35m/ 35m/ 35m;35m/ 35m/ 35m</t>
  </si>
  <si>
    <t>Ấp Tân Thành, xã Phong Lạc, huyện Trần Văn Thời, tỉnh Cà Mau.</t>
  </si>
  <si>
    <t>104,962402</t>
  </si>
  <si>
    <t>9,042684</t>
  </si>
  <si>
    <t>K00692141118D005</t>
  </si>
  <si>
    <t>CMUTVT034;CMUTVT034;CMUTVT034</t>
  </si>
  <si>
    <t>36m/ 36m/ 36m;33m/ 33m/ 33m;33m/ 33m/ 33m</t>
  </si>
  <si>
    <t>Trung tâm viễn thông Trần Văn Thời, Khóm 9, thị trấn Trần Văn Thời, huyện Trần Văn Thời, tỉnh Cà Mau.</t>
  </si>
  <si>
    <t>104,967088</t>
  </si>
  <si>
    <t>9,072703</t>
  </si>
  <si>
    <t>K00673151118D005</t>
  </si>
  <si>
    <t>CMUTVT035;CMUTVT035;CMUTVT035;CMUTVT035</t>
  </si>
  <si>
    <t>47m/ 47m/ 47m;47m/ 47m/ 47m;45m/ 45m/ 45m;45m/ 45m/ 45m</t>
  </si>
  <si>
    <t>Bưu điện Khánh Hội, ấp 3, xã Khánh Hội, huyện U Minh, tỉnh Cà Mau.</t>
  </si>
  <si>
    <t>104,833781</t>
  </si>
  <si>
    <t>9,345424</t>
  </si>
  <si>
    <t>K00677101118D005</t>
  </si>
  <si>
    <t>CMUUMI009;CMUUMI009;CMUUMI009</t>
  </si>
  <si>
    <t>39m/ 39m/ 39m;33m/ 33m/ 33m;33m/ 33m/ 33m</t>
  </si>
  <si>
    <t>Âp 7, xã Khánh Hòa, huyện U Minh, tỉnh Cà Mau.</t>
  </si>
  <si>
    <t>104,882948</t>
  </si>
  <si>
    <t>9,415423</t>
  </si>
  <si>
    <t>K00694101118D005</t>
  </si>
  <si>
    <t>CMUUMI027;CMUUMI027;CMUUMI027</t>
  </si>
  <si>
    <t>34m/ 34m/ 34m;35m/ 35m/ 35m;35m/ 35m/ 35m</t>
  </si>
  <si>
    <t>Âp 8, xã Nguyễn Phích, huyện U Minh, tỉnh Cà Mau.</t>
  </si>
  <si>
    <t>105,043217</t>
  </si>
  <si>
    <t>9,274942</t>
  </si>
  <si>
    <t>K00695111118D005</t>
  </si>
  <si>
    <t>CMUUMI028;CMUUMI028;CMUUMI028</t>
  </si>
  <si>
    <t>Số 191, tổ 11, khu phố 5A, phường Long Bình, thành phố Biên Hòa, tỉnh Đồng Nai.</t>
  </si>
  <si>
    <t>Đồng Nai</t>
  </si>
  <si>
    <t>106,877016</t>
  </si>
  <si>
    <t>10,940689</t>
  </si>
  <si>
    <t>K00495261018D005</t>
  </si>
  <si>
    <t>DNIBHO017;DNIBHO017;DNIBHO017</t>
  </si>
  <si>
    <t>27m/ 27m/ 27m;28m/ 28m/ 28m;28m/ 28m/ 28m</t>
  </si>
  <si>
    <t>Số 29, lô 3, khu phố 11, phường An Bình, thành phố Biên Hòa, tỉnh Đồng Nai.</t>
  </si>
  <si>
    <t>106,878388</t>
  </si>
  <si>
    <t>10,926298</t>
  </si>
  <si>
    <t>K00496251018D005</t>
  </si>
  <si>
    <t>DNIBHO025;DNIBHO025;DNIBHO025</t>
  </si>
  <si>
    <t>31m/ 31m/ 31m;31m/ 31m/ 31m;29m/ 29m/ 29m</t>
  </si>
  <si>
    <t>Ngã tư đường số 3A và đường số 17A, phường Long Bình, thành phố Biên Hòa, tỉnh Đồng Nai.</t>
  </si>
  <si>
    <t>106,872146</t>
  </si>
  <si>
    <t>10,924411</t>
  </si>
  <si>
    <t>K00497261018D005</t>
  </si>
  <si>
    <t>DNIBHO027;DNIBHO027;DNIBHO027</t>
  </si>
  <si>
    <t>29m/ 29m/ 29m;30m/ 30m/ 30m;30m/ 30m/ 30m</t>
  </si>
  <si>
    <t>Số 160, khu phố 4, phường Bình Đa, thành phố Biên Hòa, tỉnh Đồng Nai.</t>
  </si>
  <si>
    <t>106,859201</t>
  </si>
  <si>
    <t>10,938364</t>
  </si>
  <si>
    <t>K00498261018D005</t>
  </si>
  <si>
    <t>DNIBHO033;DNIBHO033;DNIBHO033</t>
  </si>
  <si>
    <t>16W/16W/16W;40W/40W/40W;160W/160W/160W</t>
  </si>
  <si>
    <t>26m/ 26m/ 26m;26m/ 26m/ 26m;26m/ 26m/ 26m</t>
  </si>
  <si>
    <t>Số 16, tổ 8, khu phố 3, phường An Bình, thành phố Biên Hòa, tỉnh Đồng Nai.</t>
  </si>
  <si>
    <t>106,858699</t>
  </si>
  <si>
    <t>10,927754</t>
  </si>
  <si>
    <t>K00499261018D005</t>
  </si>
  <si>
    <t>DNIBHO034;DNIBHO034;DNIBHO034</t>
  </si>
  <si>
    <t>25m/ 25m/ 25m;30m/ 30m/ 30m;30m/ 30m/ 30m</t>
  </si>
  <si>
    <t>Số 16, tổ 17B, khu phố 2, phường Bình Đa, thành phố Biên Hòa, tỉnh Đồng Nai.</t>
  </si>
  <si>
    <t>106,863856</t>
  </si>
  <si>
    <t>10,934564</t>
  </si>
  <si>
    <t>K00500291018D005</t>
  </si>
  <si>
    <t>DNIBHO035;DNIBHO035;DNIBHO035</t>
  </si>
  <si>
    <t>Số 123, khu phố 12, phường An Bình, thành phố Biên Hòa, tỉnh Đồng Nai.</t>
  </si>
  <si>
    <t>106,857212</t>
  </si>
  <si>
    <t>10,932798</t>
  </si>
  <si>
    <t>K00501291018D005</t>
  </si>
  <si>
    <t>DNIBHO036;DNIBHO036;DNIBHO036</t>
  </si>
  <si>
    <t>4/4/2/4;2/2/2;1/1/1</t>
  </si>
  <si>
    <t>16W/16W/16W/16W;40W/40W/40W;160W/160W/160W</t>
  </si>
  <si>
    <t>34m/ 34m/ 34m/ 34m;28m/ 28m/ 28m;28m/ 28m/ 28m</t>
  </si>
  <si>
    <t xml:space="preserve">G1800 có 4 sector </t>
  </si>
  <si>
    <t>Lô 1, khu công nghiệp Biên Hòa, phường An Bình, thành phố Biên Hòa, tỉnh Đồng Nai.</t>
  </si>
  <si>
    <t>106,870294</t>
  </si>
  <si>
    <t>10,936126</t>
  </si>
  <si>
    <t>K00502251018D005</t>
  </si>
  <si>
    <t>DNIBHO057;DNIBHO057;DNIBHO057</t>
  </si>
  <si>
    <t>39m/ 39m/ 39m;40m/ 40m/ 40m;40m/ 40m/ 40m</t>
  </si>
  <si>
    <t>Đường số 3A, khu công nghiệp Biên Hòa Đồng Nai 2, phường Long Bình, thành phố Biên Hòa, tỉnh Đồng Nai.</t>
  </si>
  <si>
    <t>106,864515</t>
  </si>
  <si>
    <t>10,915053</t>
  </si>
  <si>
    <t>K00503291018D005</t>
  </si>
  <si>
    <t>DNIBHO058;DNIBHO058;DNIBHO058</t>
  </si>
  <si>
    <t>27m/ 27m/ 27m;23m/ 23m/ 23m;23m/ 23m/ 23m</t>
  </si>
  <si>
    <t>Số 1/89, tổ 2, khu phố 3, phường Tam Hòa, thành phố Biên Hòa, tỉnh Đồng Nai.</t>
  </si>
  <si>
    <t>106,869249</t>
  </si>
  <si>
    <t>10,94912</t>
  </si>
  <si>
    <t>K00504291018D005</t>
  </si>
  <si>
    <t>DNIBHO061;DNIBHO061;DNIBHO061;DNIBHO061</t>
  </si>
  <si>
    <t>4/4/4;2/4/4;2/2/2;1/1/1</t>
  </si>
  <si>
    <t>26m/ 26m/ 26m;26m/ 26m/ 26m;24m/ 24m/ 24m;24m/ 24m/ 24m</t>
  </si>
  <si>
    <t>Số 5/8, khu phố 6, phường Tam Hiệp, thành phố Biên Hòa, tỉnh Đồng Nai.</t>
  </si>
  <si>
    <t>106,856945</t>
  </si>
  <si>
    <t>10,956122</t>
  </si>
  <si>
    <t>K00505291018D005</t>
  </si>
  <si>
    <t>DNIBHO063;DNIBHO063;DNIBHO063</t>
  </si>
  <si>
    <t>25m/ 25m/ 25m;23m/ 23m/ 23m;23m/ 23m/ 23m</t>
  </si>
  <si>
    <t>Số 26A, tổ 8, khu phố 6, phường Long Bình, thành phố Biên Hòa, tỉnh Đồng Nai.</t>
  </si>
  <si>
    <t>106,874838</t>
  </si>
  <si>
    <t>10,934046</t>
  </si>
  <si>
    <t>K00506291018D005</t>
  </si>
  <si>
    <t>DNIBHO069;DNIBHO069;DNIBHO069</t>
  </si>
  <si>
    <t>4/4/2;2/2/2;1/1/1</t>
  </si>
  <si>
    <t>Số 87, tổ 1, khu phố 4, phường Long Bình, thành phố Biên Hòa, tỉnh Đồng Nai.</t>
  </si>
  <si>
    <t>106,869482</t>
  </si>
  <si>
    <t>10,941443</t>
  </si>
  <si>
    <t>K00507291018D005</t>
  </si>
  <si>
    <t>DNIBHO084;DNIBHO084;DNIBHO084</t>
  </si>
  <si>
    <t>25m/ 25m/ 25m;21m/ 21m/ 21m;21m/ 21m/ 21m</t>
  </si>
  <si>
    <t>Số 26/20, đường Phạm Văn Thuận, khu phố 1, phường Tam Hiệp, thành phố Biên Hòa, tỉnh Đồng Nai.</t>
  </si>
  <si>
    <t>106,857067</t>
  </si>
  <si>
    <t>10,946279</t>
  </si>
  <si>
    <t>K00508291018D005</t>
  </si>
  <si>
    <t>DNIBHO085;DNIBHO085;DNIBHO085</t>
  </si>
  <si>
    <t>28m/ 28m/ 28m;25m/ 25m/ 25m;25m/ 25m/ 25m</t>
  </si>
  <si>
    <t>Số 43/39, lô D, khu phố 5, phường Tam Hiệp, thành phố Biên Hòa, tỉnh Đồng Nai.</t>
  </si>
  <si>
    <t>106,858713</t>
  </si>
  <si>
    <t>10,951033</t>
  </si>
  <si>
    <t>K00509291018D005</t>
  </si>
  <si>
    <t>DNIBHO087;DNIBHO087;DNIBHO087</t>
  </si>
  <si>
    <t>4/2/4;2/2/2;1/1/1</t>
  </si>
  <si>
    <t>25m/ 25m/ 25m;26m/ 26m/ 26m;26m/ 26m/ 26m</t>
  </si>
  <si>
    <t>Số 340, đường Phạm Văn Thuận, khu phố 4, phường Tam Hiệp, thành phố Biên Hòa, tỉnh Đồng Nai.</t>
  </si>
  <si>
    <t>106,860936</t>
  </si>
  <si>
    <t>10,942523</t>
  </si>
  <si>
    <t>K00510291018D005</t>
  </si>
  <si>
    <t>DNIBHO088;DNIBHO088;DNIBHO088</t>
  </si>
  <si>
    <t>26m/ 26m/ 26m;23m/ 23m/ 23m;23m/ 23m/ 23m</t>
  </si>
  <si>
    <t>Số 112B/1, khu phố 1, phường Bình Đa, thành phố Biên Hòa, tỉnh Đồng Nai.</t>
  </si>
  <si>
    <t>106,864553</t>
  </si>
  <si>
    <t>10,939636</t>
  </si>
  <si>
    <t>K00511291018D005</t>
  </si>
  <si>
    <t>DNIBHO089;DNIBHO089;DNIBHO089</t>
  </si>
  <si>
    <t>24m/ 24m/ 24m;21m/ 21m/ 21m;21m/ 21m/ 21m</t>
  </si>
  <si>
    <t>Số 41A/17, khu phố 2, phường Tam Hòa, thành phố Biên Hòa, tỉnh Đồng Nai.</t>
  </si>
  <si>
    <t>106,863696</t>
  </si>
  <si>
    <t>10,945361</t>
  </si>
  <si>
    <t>K00512291018D005</t>
  </si>
  <si>
    <t>DNIBHO090;DNIBHO090;DNIBHO090</t>
  </si>
  <si>
    <t>25m/ 25m/ 25m;19m/ 19m/ 19m;25m/ 25m/ 25m</t>
  </si>
  <si>
    <t>Số 508/22, khu phố 3, phường Tam Hiệp, thành phố Biên Hòa, tỉnh Đồng Nai.</t>
  </si>
  <si>
    <t>106,858431</t>
  </si>
  <si>
    <t>10,959235</t>
  </si>
  <si>
    <t>K00513291018D005</t>
  </si>
  <si>
    <t>DNIBHO098;DNIBHO098;DNIBHO098</t>
  </si>
  <si>
    <t>29m/ 29m/ 29m;26m/ 26m/ 26m;26m/ 26m/ 26m</t>
  </si>
  <si>
    <t>Khu công nghiệp AMATA, khu phố 3, phường Long Bình, thành phố Biên Hòa, tỉnh Đồng Nai.</t>
  </si>
  <si>
    <t>106,872765</t>
  </si>
  <si>
    <t>10,943899</t>
  </si>
  <si>
    <t>K00489261018D005</t>
  </si>
  <si>
    <t>DNIBHO147;DNIBHO147;DNIBHO147</t>
  </si>
  <si>
    <t>Số 24/4, khu phố 3, phường An Bình, thành phố Biên Hòa, tỉnh Đồng Nai.</t>
  </si>
  <si>
    <t>106,863678</t>
  </si>
  <si>
    <t>10,929679</t>
  </si>
  <si>
    <t>K00490261018D005</t>
  </si>
  <si>
    <t>DNIBHO150;DNIBHO150;DNIBHO150</t>
  </si>
  <si>
    <t>Số 51, đường Đoàn Văn Cự, khu phố 6, phường Tam Hiệp, thành phố Biên Hòa, tỉnh Đồng Nai.</t>
  </si>
  <si>
    <t>106,862458</t>
  </si>
  <si>
    <t>10,949193</t>
  </si>
  <si>
    <t>K00491261018D005</t>
  </si>
  <si>
    <t>DNIBHO156;DNIBHO156;DNIBHO156</t>
  </si>
  <si>
    <t>19m/ 19m/ 19m;19m/ 19m/ 19m;19m/ 19m/ 19m</t>
  </si>
  <si>
    <t>Số 368, đường Đồng Khởi, khu phố 3, phường Tân Hiệp, thành phố Biên Hòa, tỉnh Đồng Nai.</t>
  </si>
  <si>
    <t>106,86211</t>
  </si>
  <si>
    <t>10,956765</t>
  </si>
  <si>
    <t>K00492251018D005</t>
  </si>
  <si>
    <t>DNIBHO162;DNIBHO162;DNIBHO162</t>
  </si>
  <si>
    <t>Đường số 7, phường An Bình, thành phố Biên Hòa, tỉnh Đồng Nai.</t>
  </si>
  <si>
    <t>106,862669</t>
  </si>
  <si>
    <t>10,920864</t>
  </si>
  <si>
    <t>K00493261018D005</t>
  </si>
  <si>
    <t>DNIBHO171;DNIBHO171;DNIBHO171</t>
  </si>
  <si>
    <t>Tổ 15, khu phố 5, phường Long Bình, thành phố Biên Hòa, tỉnh Đồng Nai.</t>
  </si>
  <si>
    <t>106,87301</t>
  </si>
  <si>
    <t>10,939655</t>
  </si>
  <si>
    <t>K00494261018D005</t>
  </si>
  <si>
    <t>DNIBHO172;DNIBHO172;DNIBHO172</t>
  </si>
  <si>
    <t>29m/ 29m/ 29m;25m/ 25m/ 25m;25m/ 25m/ 25m</t>
  </si>
  <si>
    <t>Bưu cục An Biên, khu phố 2, thị trấn Thứ Ba, huyện An Biên, tỉnh Kiên Giang.</t>
  </si>
  <si>
    <t>Kiên Giang</t>
  </si>
  <si>
    <t>105,061714</t>
  </si>
  <si>
    <t>9,812855</t>
  </si>
  <si>
    <t>K00769091118D005</t>
  </si>
  <si>
    <t>KGGABI001;KGGABI001;KGGABI001;KGGABI001</t>
  </si>
  <si>
    <t>47m/ 47m/ 47m;43m/ 43m/ 43m;37m/ 37m/ 37m;37m/ 37m/ 37m</t>
  </si>
  <si>
    <t>Ấp Sáu Đình, xã Nam Thái, huyện An Biên, tỉnh Kiên Giang.</t>
  </si>
  <si>
    <t>104,984195</t>
  </si>
  <si>
    <t>9,831465</t>
  </si>
  <si>
    <t>K00776101118D005</t>
  </si>
  <si>
    <t>KGGABI008;KGGABI008;KGGABI008</t>
  </si>
  <si>
    <t>Bưu điện Thứ 7, ấp 7 Xáng, xã Đông Hòa, huyện An Biên, tỉnh Kiên Giang.</t>
  </si>
  <si>
    <t>105,000563</t>
  </si>
  <si>
    <t>9,756132</t>
  </si>
  <si>
    <t>K00778101118D005</t>
  </si>
  <si>
    <t>KGGABI011;KGGABI011;KGGABI011;KGGABI011</t>
  </si>
  <si>
    <t>3/3/3;4/2/4;2/2/2;1/1/1</t>
  </si>
  <si>
    <t>36m/ 36m/ 39m;27m/ 27m/ 27m;33m/ 33m/ 33m;33m/ 33m/ 33m</t>
  </si>
  <si>
    <t>Ấp Kênh Dài, xã Tây Yên, huyện An Biên, tỉnh Kiên Giang.</t>
  </si>
  <si>
    <t>105,069778</t>
  </si>
  <si>
    <t>9,930639</t>
  </si>
  <si>
    <t>K00779101118D005</t>
  </si>
  <si>
    <t>KGGABI013;KGGABI013;KGGABI013;KGGABI013</t>
  </si>
  <si>
    <t>2/2/2/2;2/2;2/2/2;1/1/1</t>
  </si>
  <si>
    <t>71W/71W/71W/71W;63W/63W;120W/120W/120W;160W/160W/160W</t>
  </si>
  <si>
    <t>39m/ 39m/ 39m/ 39m;40m/ 40m;36m/ 36m/ 36m;36m/ 36m/ 36m</t>
  </si>
  <si>
    <t>VNP có 4 antenna G900</t>
  </si>
  <si>
    <t>Bưu điện Đông Hưng A, ấp Rọ Ghe, xã Đông Hưng A, huyện An Minh, tỉnh Kiên Giang.</t>
  </si>
  <si>
    <t>104,880885</t>
  </si>
  <si>
    <t>9,679327</t>
  </si>
  <si>
    <t>K00771091118D005</t>
  </si>
  <si>
    <t>KGGAMI003;KGGAMI003;KGGAMI003</t>
  </si>
  <si>
    <t>Ấp Mương Đào A, xã Vĩnh Khánh, huyện An Minh, tỉnh Kiên Giang.</t>
  </si>
  <si>
    <t>104,864726</t>
  </si>
  <si>
    <t>9,606873</t>
  </si>
  <si>
    <t>K00775091118D005</t>
  </si>
  <si>
    <t>KGGAMI007;KGGAMI007;KGGAMI007;KGGAMI007</t>
  </si>
  <si>
    <t>36m/ 36m/ 36m;37m/ 37m/ 37m;40m/ 40m/ 40m;40m/ 40m/ 40m</t>
  </si>
  <si>
    <t>Ấp Xẻo Nhàu A, xã Tân Thanh, huyện An Minh, tỉnh Kiên Giang.</t>
  </si>
  <si>
    <t>104,873667</t>
  </si>
  <si>
    <t>9,741034</t>
  </si>
  <si>
    <t>K00783111118D005</t>
  </si>
  <si>
    <t>KGGAMI019;KGGAMI019;KGGAMI019;KGGAMI019</t>
  </si>
  <si>
    <t>2/3/3;2/4/2;2/2/2;1/1/1</t>
  </si>
  <si>
    <t>31m/ 31m/ 31m;32m/ 32m/ 32m;29m/ 29m/ 29m;29m/ 29m/ 29m</t>
  </si>
  <si>
    <t>Ấp Kim Qui B, xã Vân Khánh, huyện An Minh, tỉnh Kiên Giang.</t>
  </si>
  <si>
    <t>104,845782</t>
  </si>
  <si>
    <t>9,570413</t>
  </si>
  <si>
    <t>K00768091118D005</t>
  </si>
  <si>
    <t>KGGAMI028;KGGAMI028;KGGAMI028</t>
  </si>
  <si>
    <t>39m/ 39m/ 60m;37m/ 37m/ 37m;37m/ 37m/ 37m</t>
  </si>
  <si>
    <t>Bưu cục Minh Lương, số 39, quốc lộ 61, thị trấn Minh Lương, huyện Châu Thành, tỉnh Kiên Giang.</t>
  </si>
  <si>
    <t>105,157528</t>
  </si>
  <si>
    <t>9,907421</t>
  </si>
  <si>
    <t>K00772091118D005</t>
  </si>
  <si>
    <t>KGGCTH009;KGGCTH009;KGGCTH009;KGGCTH009</t>
  </si>
  <si>
    <t>47m/ 47m/ 47m;36m/ 36m/ 36m;47m/ 47m/ 47m;47m/ 47m/ 47m</t>
  </si>
  <si>
    <t>Tổ 5, ấp Hòa Thuận, xã Vĩnh Hòa Hiệp, huyện Châu Thành, tỉnh Kiên Giang.</t>
  </si>
  <si>
    <t>105,148521</t>
  </si>
  <si>
    <t>9,923092</t>
  </si>
  <si>
    <t>K00773091118D005</t>
  </si>
  <si>
    <t>KGGCTH011;KGGCTH011;KGGCTH011</t>
  </si>
  <si>
    <t>39m/ 39m/ 39m;39m/ 39m/ 39m;39m/ 39m/ 39m</t>
  </si>
  <si>
    <t>Bưu điện Mông Thọ B, số 303, quốc lộ 80, ấp Phước Minh, xã Mong Thọ B, huyện Châu Thành, tỉnh Kiên Giang.</t>
  </si>
  <si>
    <t>105,170647</t>
  </si>
  <si>
    <t>9,99999</t>
  </si>
  <si>
    <t>K00774091118D005</t>
  </si>
  <si>
    <t>KGGCTH012;KGGCTH012;KGGCTH012</t>
  </si>
  <si>
    <t>Ấp An Bình, xã Bình An, huyện Châu Thành, tỉnh Kiên Giang.</t>
  </si>
  <si>
    <t>105,131266</t>
  </si>
  <si>
    <t>9,876135</t>
  </si>
  <si>
    <t>K00777101118D005</t>
  </si>
  <si>
    <t>KGGCTH014;KGGCTH014;KGGCTH014;KGGCTH014</t>
  </si>
  <si>
    <t>HUAWEI BTS3012;HUAWEI BTS3012;NSN FLEXI MULTIRADIO 10 (FRGY);NSN FLEXI MULTIRADIO 10 (FHED)</t>
  </si>
  <si>
    <t>4/2/4;3/3/3;2/2/2;1/1/1</t>
  </si>
  <si>
    <t>60W/60W/60W;60W/60W/60W;120W/120W/120W;160W/160W/160W</t>
  </si>
  <si>
    <t>47m/ 47m/ 47m;43m/ 43m/ 43m;36m/ 36m/ 36m;36m/ 36m/ 36m</t>
  </si>
  <si>
    <t>Ngã ba Ba Hòn, khu phố Kiên Tân, thị trấn Kiên Lương, huyện Kiên Lương, tỉnh Kiên Giang.</t>
  </si>
  <si>
    <t>104,590287</t>
  </si>
  <si>
    <t>10,247449</t>
  </si>
  <si>
    <t>K00770091118D005</t>
  </si>
  <si>
    <t>KGGKLU002;KGGKLU002;KGGKLU002;KGGKLU002</t>
  </si>
  <si>
    <t>3/2/3;4/4/4;2/2/2;1/1/1</t>
  </si>
  <si>
    <t>59m/ 59m/ 59m;51m/ 51m/ 51m;37m/ 37m/ 37m;40m/ 40m/ 40m</t>
  </si>
  <si>
    <t>Ấp Minh Thành, xã Minh Thuận, huyện U Minh Thượng, tỉnh Kiên Giang.</t>
  </si>
  <si>
    <t>105,147976</t>
  </si>
  <si>
    <t>9,506477</t>
  </si>
  <si>
    <t>K00780101118D005</t>
  </si>
  <si>
    <t>KGGUMT017;KGGUMT017;KGGUMT017</t>
  </si>
  <si>
    <t>35m/ 35m/ 35m;42m/ 42m/ 42m;42m/ 42m/ 42m</t>
  </si>
  <si>
    <t>Ấp Canh Điền, xã Vĩnh Phong, huyện Vĩnh Thuận, tỉnh Kiên Giang.</t>
  </si>
  <si>
    <t>105,27316</t>
  </si>
  <si>
    <t>9,422732</t>
  </si>
  <si>
    <t>K00781111118D005</t>
  </si>
  <si>
    <t>KGGVTH012;KGGVTH012;KGGVTH012;KGGVTH012</t>
  </si>
  <si>
    <t>2/2/2;2;2/2/2;1/1/1</t>
  </si>
  <si>
    <t>36m/ 36m/ 36m;37,5m;34m/ 34m/ 34m;34m/ 34m/ 34m</t>
  </si>
  <si>
    <t>Trung tâm viễn thông Vĩnh Thuận, thị trấn Vĩnh Thuận, huyện Vĩnh Thuận, tỉnh Kiên Giang.</t>
  </si>
  <si>
    <t>105,259196</t>
  </si>
  <si>
    <t>9,510436</t>
  </si>
  <si>
    <t>K00782111118D005</t>
  </si>
  <si>
    <t>KGGVTH014;KGGVTH014;KGGVTH014;KGGVTH014</t>
  </si>
  <si>
    <t>47m/ 47m/ 47m;37m/ 37m/ 37m;39m/ 39m/ 39m;39m/ 39m/ 39m</t>
  </si>
  <si>
    <t>Số 48, đường Bùi Thị Xuân, phường 2, thành phố Đà Lạt, tỉnh Lâm Đồng.</t>
  </si>
  <si>
    <t>Lâm Đồng</t>
  </si>
  <si>
    <t>108,439773</t>
  </si>
  <si>
    <t>11,945704</t>
  </si>
  <si>
    <t>K00625311018D005</t>
  </si>
  <si>
    <t>LDGDLA001;LDGDLA001;LDGDLA001</t>
  </si>
  <si>
    <t>32m/ 32m/ 32m;26m/ 26m/ 26m;26m/ 26m/ 26m</t>
  </si>
  <si>
    <t>Số 146, đường Cổ Loa, phường 2, thành phố Đà Lạt, tỉnh Lâm Đồng.</t>
  </si>
  <si>
    <t>108,434618</t>
  </si>
  <si>
    <t>11,955595</t>
  </si>
  <si>
    <t>K00606311018D005</t>
  </si>
  <si>
    <t>LDGDLA004;LDGDLA004;LDGDLA004</t>
  </si>
  <si>
    <t>23m/ 23m/ 23m;20m/ 20m/ 20m;20m/ 20m/ 20m</t>
  </si>
  <si>
    <t>Bưu điện Đà Lạt, số 8, đường Trần Phú, phường 13, thành phố Đà Lạt, tỉnh Lâm Đồng.</t>
  </si>
  <si>
    <t>108,438628</t>
  </si>
  <si>
    <t>11,937424</t>
  </si>
  <si>
    <t>K00607311018D005</t>
  </si>
  <si>
    <t>LDGDLA005;LDGDLA005;LDGDLA005</t>
  </si>
  <si>
    <t>43m/ 43m/ 43m;41m/ 41m/ 41m;41m/ 41m/ 41m</t>
  </si>
  <si>
    <t>Số 29L, đường Phan Bội Châu, phường 1, thành phố Đà Lạt, tỉnh Lâm Đồng.</t>
  </si>
  <si>
    <t>108,439169</t>
  </si>
  <si>
    <t>11,943743</t>
  </si>
  <si>
    <t>K00608311018D005</t>
  </si>
  <si>
    <t>LDGDLA011;LDGDLA011;LDGDLA011</t>
  </si>
  <si>
    <t>Số 2L, đường Lý Tự Trọng, phường 1, thành phố Đà Lạt, tỉnh Lâm Đồng.</t>
  </si>
  <si>
    <t>108,438081</t>
  </si>
  <si>
    <t>11,947041</t>
  </si>
  <si>
    <t>K00609301018D005</t>
  </si>
  <si>
    <t>LDGDLA013;LDGDLA013;LDGDLA013;LDGDLA013</t>
  </si>
  <si>
    <t>20W/20W/20W;16W/16W/16W;120W/120W/120W;160W/160W/160W</t>
  </si>
  <si>
    <t>32m/ 32m/ 32m;32m/ 32m/ 32m;42m/ 42m/ 42m;42m/ 42m/ 42m</t>
  </si>
  <si>
    <t>Số 5/10, đường Hải Thượng, phường 5, thành phố Đà Lạt, tỉnh Lâm Đồng.</t>
  </si>
  <si>
    <t>108,430445</t>
  </si>
  <si>
    <t>11,943566</t>
  </si>
  <si>
    <t>K00610301018D005</t>
  </si>
  <si>
    <t>LDGDLA015;LDGDLA015;LDGDLA015;LDGDLA015</t>
  </si>
  <si>
    <t>4/4/4;2/4/2;2/2/2;1/1/1</t>
  </si>
  <si>
    <t>22m/ 22m/ 22m;22m/ 22m/ 22m;22m/ 22m/ 22m;22m/ 22m/ 22m</t>
  </si>
  <si>
    <t>Đường Hàn Thuyên, phường 5, thành phố Đà Lạt, tỉnh Lâm Đồng.</t>
  </si>
  <si>
    <t>108,42427</t>
  </si>
  <si>
    <t>11,946151</t>
  </si>
  <si>
    <t>K00619311018D005</t>
  </si>
  <si>
    <t>LDGDLA017;LDGDLA017;LDGDLA017</t>
  </si>
  <si>
    <t>Số 39, đường Ngô Quyền, phường 6, thành phố Đà Lạt, tỉnh Lâm Đồng.</t>
  </si>
  <si>
    <t>108,428635</t>
  </si>
  <si>
    <t>11,95496</t>
  </si>
  <si>
    <t>K00614301018D005</t>
  </si>
  <si>
    <t>LDGDLA021;LDGDLA021;LDGDLA021</t>
  </si>
  <si>
    <t>21m/ 21m/ 21m;20m/ 20m/ 20m;20m/ 20m/ 20m</t>
  </si>
  <si>
    <t>Số 26C, đường Yersin, phường 10, thành phố Đà Lạt, tỉnh Lâm Đồng.</t>
  </si>
  <si>
    <t>108,450566</t>
  </si>
  <si>
    <t>11,943369</t>
  </si>
  <si>
    <t>K00615301018D005</t>
  </si>
  <si>
    <t>LDGDLA024;LDGDLA024;LDGDLA024</t>
  </si>
  <si>
    <t>24m/ 24m/ 24m;27m/ 27m/ 27m;27m/ 27m/ 27m</t>
  </si>
  <si>
    <t>Số 10, đường Trạng Trình, phường 9, thành phố Đà Lạt, tỉnh Lâm Đồng.</t>
  </si>
  <si>
    <t>108,454044</t>
  </si>
  <si>
    <t>11,95075</t>
  </si>
  <si>
    <t>K00616301018D005</t>
  </si>
  <si>
    <t>LDGDLA025;LDGDLA025;LDGDLA025;LDGDLA025</t>
  </si>
  <si>
    <t>28m/ 28m/ 28m;28m/ 28m/ 28m;36m/ 36m/ 36m;36m/ 36m/ 36m</t>
  </si>
  <si>
    <t>Số 276, đường Bùi Thị Xuân, phường 2, thành phố Đà Lạt, tỉnh Lâm Đồng.</t>
  </si>
  <si>
    <t>108,441125</t>
  </si>
  <si>
    <t>11,95359</t>
  </si>
  <si>
    <t>K00617311018D005</t>
  </si>
  <si>
    <t>LDGDLA026;LDGDLA026;LDGDLA026</t>
  </si>
  <si>
    <t>Số 111, đường Phan Đình Phùng, phường 2, thành phố Đà Lạt, tỉnh Lâm Đồng.</t>
  </si>
  <si>
    <t>108,434162</t>
  </si>
  <si>
    <t>11,944635</t>
  </si>
  <si>
    <t>K00618311018D005</t>
  </si>
  <si>
    <t>LDGDLA027;LDGDLA027;LDGDLA027</t>
  </si>
  <si>
    <t>30m/ 30m/ 30m;26m/ 26m/ 26m;26m/ 26m/ 26m</t>
  </si>
  <si>
    <t>Số 405, đường Nguyên Tử Lực, phường 8, thành phố Đà Lạt, tỉnh Lâm Đồng.</t>
  </si>
  <si>
    <t>108,450027</t>
  </si>
  <si>
    <t>11,956325</t>
  </si>
  <si>
    <t>K00620311018D005</t>
  </si>
  <si>
    <t>LDGDLA039;LDGDLA039;LDGDLA039</t>
  </si>
  <si>
    <t>Số 276, đường Phan Đình Phùng, phường 2, thành phố Đà Lạt, tỉnh Lâm Đồng.</t>
  </si>
  <si>
    <t>108,434252</t>
  </si>
  <si>
    <t>11,950618</t>
  </si>
  <si>
    <t>K00621311018D005</t>
  </si>
  <si>
    <t>LDGDLA040;LDGDLA040;LDGDLA040</t>
  </si>
  <si>
    <t>Số 4A, đường Nguyễn Chí Thanh, phường 1, thành phố Đà Lạt, tỉnh Lâm Đồng.</t>
  </si>
  <si>
    <t>108,435956</t>
  </si>
  <si>
    <t>11,942096</t>
  </si>
  <si>
    <t>K00622311018D005</t>
  </si>
  <si>
    <t>LDGDLA046;LDGDLA046;LDGDLA046</t>
  </si>
  <si>
    <t>18</t>
  </si>
  <si>
    <t>Số 24, đường Phù Đổng Thiên Vương, phường 8, thành phố Đà Lạt, tỉnh Lâm Đồng.</t>
  </si>
  <si>
    <t>108,442995</t>
  </si>
  <si>
    <t>11,95827</t>
  </si>
  <si>
    <t>K00623311018D005</t>
  </si>
  <si>
    <t>LDGDLA047;LDGDLA047;LDGDLA047</t>
  </si>
  <si>
    <t>30m/ 30m/ 30m;30m/ 30m/ 30m;30m/ 30m/ 30m</t>
  </si>
  <si>
    <t>Số 4/23, đường Trần Phú, phường 3, thành phố Đà Lạt, tỉnh Lâm Đồng.</t>
  </si>
  <si>
    <t>108,433996</t>
  </si>
  <si>
    <t>11,936174</t>
  </si>
  <si>
    <t>K00624311018D005</t>
  </si>
  <si>
    <t>LDGDLA055;LDGDLA055;LDGDLA055</t>
  </si>
  <si>
    <t>34m/ 34m/ 34m;34m/ 34m/ 34m;34m/ 34m/ 34m</t>
  </si>
  <si>
    <t>Số 42, đường Hồ Tùng Mậu, phường 3, thành phố Đà Lạt, tỉnh Lâm Đồng.</t>
  </si>
  <si>
    <t>108,444987</t>
  </si>
  <si>
    <t>11,936883</t>
  </si>
  <si>
    <t>K00611301018D005</t>
  </si>
  <si>
    <t>LDGDLA063;LDGDLA063;LDGDLA063;LDGDLA063</t>
  </si>
  <si>
    <t>2/4/4;4;2/2/2;1/1/1</t>
  </si>
  <si>
    <t>20W/20W/20W;16W;120W/120W/120W;160W/160W/160W</t>
  </si>
  <si>
    <t>20m/ 20m/ 20m;20m;23m/ 23m/ 23m;23m/ 23m/ 23m</t>
  </si>
  <si>
    <t>Số 21, đường Thi Sách, phường 6, thành phố Đà Lạt, tỉnh Lâm Đồng.</t>
  </si>
  <si>
    <t>108,431504</t>
  </si>
  <si>
    <t>11,948064</t>
  </si>
  <si>
    <t>K00612301018D005</t>
  </si>
  <si>
    <t>LDGDLA065;LDGDLA065;LDGDLA065</t>
  </si>
  <si>
    <t>Số 9, lô A3, khu quy hoạch Yersin, phường 10, thành phố Đà Lạt, tỉnh Lâm Đồng.</t>
  </si>
  <si>
    <t>108,450603</t>
  </si>
  <si>
    <t>11,940394</t>
  </si>
  <si>
    <t>K00613301018D005</t>
  </si>
  <si>
    <t>LDGDLA073;LDGDLA073;LDGDLA073</t>
  </si>
  <si>
    <t>Trạm viễn thông Thạnh Phú, quốc lộ 1A, ấp khu 1, xã Thạnh Phú, huyện Mỹ Xuyên, tỉnh Sóc Trăng.</t>
  </si>
  <si>
    <t>Sóc Trăng</t>
  </si>
  <si>
    <t>105,848428</t>
  </si>
  <si>
    <t>9,498688</t>
  </si>
  <si>
    <t>K00807171118D005</t>
  </si>
  <si>
    <t>STGMXU015;STGMXU015;STGMXU015;STGMXU015</t>
  </si>
  <si>
    <t>60W/60W/60W;60W;120W/120W/120W;160W/160W/160W</t>
  </si>
  <si>
    <t>Kathrein 739630;Agisson DX-1710-2170-65-18i-0F;S-Wave EW/EW/EW-65-18DV2/12I-F-64K-VN;S-Wave EW/EW/EW-65-18DV2/12I-F-64K-VN</t>
  </si>
  <si>
    <t>Có 1 card G1800 cell A</t>
  </si>
  <si>
    <t>Trạm viễn thông Thạnh Quới, quốc lộ 1A, ấp Đai Sô, xã Thạnh Quới, huyện Mỹ Xuyên, tỉnh Sóc Trăng.</t>
  </si>
  <si>
    <t>105,798954</t>
  </si>
  <si>
    <t>9,457159</t>
  </si>
  <si>
    <t>K00808171118D005</t>
  </si>
  <si>
    <t>STGMXU017;STGMXU017;STGMXU017</t>
  </si>
  <si>
    <t>2/2/2/2;2/2/2;1/1/1</t>
  </si>
  <si>
    <t>60W/60W/60W/60W;120W/120W/120W;160W/160W/160W</t>
  </si>
  <si>
    <t>36m/ 36m/ 36m/ 36m;35m/ 35m/ 35m;35m/ 35m/ 35m</t>
  </si>
  <si>
    <t>Kathrein 739630;S-Wave EW/EW/EW-65-18DV2/12I-F-64K-VN;S-Wave EW/EW/EW-65-18DV2/12I-F-64K-VN</t>
  </si>
  <si>
    <t>Trung tâm viễn thông Thạnh Trị, ấp Huỳnh Thu, phường Khánh Hòa, thị xã Vĩnh Châu, tỉnh Sóc Trăng.</t>
  </si>
  <si>
    <t>105,747155</t>
  </si>
  <si>
    <t>9,429877</t>
  </si>
  <si>
    <t>K00806171118D005</t>
  </si>
  <si>
    <t>STGTTR009;STGTTR009;STGTTR009;STGTTR009</t>
  </si>
  <si>
    <t>38m/ 38m/ 38m;41m/ 41m/ 41m;36m/ 36m/ 36m;36m/ 36m/ 36m</t>
  </si>
  <si>
    <t>11</t>
  </si>
  <si>
    <t>Bưu điện Khánh Hòa, khu phố Huỳnh Thu, phường Khánh Hòa, thị xã Vĩnh Châu, tỉnh Sóc Trăng.</t>
  </si>
  <si>
    <t>105,997986</t>
  </si>
  <si>
    <t>9,424656</t>
  </si>
  <si>
    <t>K00809171118D005</t>
  </si>
  <si>
    <t>STGVCH008;STGVCH008;STGVCH008</t>
  </si>
  <si>
    <t>33m/ 33m/ 33m/ 33m;32m/ 32m/ 32m;32m/ 32m/ 32m</t>
  </si>
  <si>
    <t>Thửa đất số 282, tờ bản đồ số 2, khu phố 4, phường 4, thành phố Tây Ninh, tỉnh Tây Ninh.</t>
  </si>
  <si>
    <t>Tây Ninh</t>
  </si>
  <si>
    <t>106,111286</t>
  </si>
  <si>
    <t>11,301443</t>
  </si>
  <si>
    <t>K00626011118D005</t>
  </si>
  <si>
    <t>TNHTNI010;TNHTNI010;TNHTNI010</t>
  </si>
  <si>
    <t>31m/ 31m/ 31m;42m/ 42m/ 42m;42m/ 42m/ 42m</t>
  </si>
  <si>
    <t>Số 32, hẻm 59, đường Cách Mạng Tháng 8, khu phố 2, phường 3, thành phố Tây Ninh, tỉnh Tây Ninh.</t>
  </si>
  <si>
    <t>106,111033</t>
  </si>
  <si>
    <t>11,310108</t>
  </si>
  <si>
    <t>K00628011118D005</t>
  </si>
  <si>
    <t>TNHTNI018;TNHTNI018;TNHTNI018</t>
  </si>
  <si>
    <t>2/4/4;2/2/1;1/1/1</t>
  </si>
  <si>
    <t>35m/ 35m/ 35m;41m/ 41m/ 41m;41m/ 41m/ 41m</t>
  </si>
  <si>
    <t>Thửa đất số 118, tờ bản đồ số 55, khu phố 4, phường 3, thành phố Tây Ninh, tỉnh Tây Ninh.</t>
  </si>
  <si>
    <t>106,102114</t>
  </si>
  <si>
    <t>11,304419</t>
  </si>
  <si>
    <t>K00627011118D005</t>
  </si>
  <si>
    <t>TNHTNI033;TNHTNI033;TNHTNI033</t>
  </si>
  <si>
    <t>Số 109, hẻm 5, đường Huỳnh Tấn Phát, khu phố Hiệp Bình, phường Hiệp Ninh, thành phố Tây Ninh, tỉnh Tây Ninh.</t>
  </si>
  <si>
    <t>106,119554</t>
  </si>
  <si>
    <t>11,308972</t>
  </si>
  <si>
    <t>K00629011118D005</t>
  </si>
  <si>
    <t>TNHTNI034;TNHTNI034;TNHTNI034</t>
  </si>
  <si>
    <t>Thửa đất số 372, tờ bản đồ số 5, khu phố 2, phường 4, thành phố Tây Ninh, tỉnh Tây Ninh.</t>
  </si>
  <si>
    <t>106,123893</t>
  </si>
  <si>
    <t>11,303785</t>
  </si>
  <si>
    <t>K00630011118D005</t>
  </si>
  <si>
    <t>TNHTNI040;TNHTNI040;TNHTNI040</t>
  </si>
  <si>
    <t>38m/ 38m/ 38m;38m/ 38m/ 38m;38m/ 38m/ 38m</t>
  </si>
  <si>
    <t>Số 318, đường Nguyễn Văn Linh, phường Phước Nguyên, thành phố Bà Rịa, tỉnh Bà Rịa - Vũng Tàu.</t>
  </si>
  <si>
    <t>Bà Rịa - Vũng Tàu</t>
  </si>
  <si>
    <t>107,182717</t>
  </si>
  <si>
    <t>10,49406</t>
  </si>
  <si>
    <t>K00419221018D005</t>
  </si>
  <si>
    <t>VTUBRI034;VTUBRI034</t>
  </si>
  <si>
    <t>ERICSSON RBS 6601;NSN FLEXI MULTIRADIO 10 (FHEL)</t>
  </si>
  <si>
    <t>60W/60W/60W;120W/120W/120W</t>
  </si>
  <si>
    <t>25m/ 25m/ 25m;25m/ 25m/ 25m</t>
  </si>
  <si>
    <t>S-Wave 0809/U/U-65-17/18/18DV8;S-Wave EW/EW/EW-65-18DV2/12I-F-64K-VN</t>
  </si>
  <si>
    <t>Ấp Đông, xã Hòa Long, thành phố Bà Rịa, tỉnh Bà Rịa - Vũng Tàu.</t>
  </si>
  <si>
    <t>107,211056</t>
  </si>
  <si>
    <t>10,525072</t>
  </si>
  <si>
    <t>K00421221018D005</t>
  </si>
  <si>
    <t>VTUBRI036;VTUBRI036;VTUBRI036</t>
  </si>
  <si>
    <t>MOTOROLA HORIZON II MACRO;ERICSSON RBS 3206;NSN FLEXI MULTIRADIO 10 (FHEL)</t>
  </si>
  <si>
    <t>20W/20W/20W;40W/40W/40W;120W/120W/120W</t>
  </si>
  <si>
    <t>36m/ 36m/ 36m;38m/ 38m/ 38m;40m/ 40m/ 40m</t>
  </si>
  <si>
    <t>Khách sạn Galaxy 3, số 19, đường Bạch Đằng, phường Phước Trung, thành phố Bà Rịa, tỉnh Bà Rịa - Vũng Tàu.</t>
  </si>
  <si>
    <t>107,176645</t>
  </si>
  <si>
    <t>10,490681</t>
  </si>
  <si>
    <t>K00420221018D005</t>
  </si>
  <si>
    <t>VTUBRI037;VTUBRI037;VTUBRI037</t>
  </si>
  <si>
    <t>30m/ 30m/ 30m;32m/ 32m/ 32m;30m/ 30m/ 30m</t>
  </si>
  <si>
    <t>Khu du lịch Bến Thành, thị trấn Phước Hải, huyện Đất Đỏ, tỉnh Bà Rịa - Vũng Tàu.</t>
  </si>
  <si>
    <t>107,275199</t>
  </si>
  <si>
    <t>10,407385</t>
  </si>
  <si>
    <t>K00423221018D005</t>
  </si>
  <si>
    <t>VTUDDO018;VTUDDO018</t>
  </si>
  <si>
    <t>MOTOROLA HORIZON II MACRO;NSN FLEXI MULTIRADIO 10 (FHEL)</t>
  </si>
  <si>
    <t>4/4/4;1/1/1</t>
  </si>
  <si>
    <t>20W/20W/20W;120W/120W/120W</t>
  </si>
  <si>
    <t>G900/L1800</t>
  </si>
  <si>
    <t>37m/ 37m/ 37m;46m/ 46m/ 46m</t>
  </si>
  <si>
    <t>FX-X-CG-00T-900;S-Wave EW/EW/EW-65-18DV2/12I-F-64K-VN</t>
  </si>
  <si>
    <t>Chợ mới Phước Hải, thị trấn Phước Hải, huyện Đất Đỏ, tỉnh Bà Rịa - Vũng Tàu.</t>
  </si>
  <si>
    <t>107,287905</t>
  </si>
  <si>
    <t>10,422876</t>
  </si>
  <si>
    <t>K00422221018D005</t>
  </si>
  <si>
    <t>VTUDDO020;VTUDDO020;VTUDDO020</t>
  </si>
  <si>
    <t>MOTOROLA HORIZON II MACRO;ERICSSON RBS 6601;NSN FLEXI MULTIRADIO 10 (FHEL)</t>
  </si>
  <si>
    <t>20W/20W/20W;60W/60W/60W;120W/120W/120W</t>
  </si>
  <si>
    <t>37m/ 37m/ 37m;37m/ 37m/ 37m;40m/ 40m/ 40m</t>
  </si>
  <si>
    <t>Khu phố Long Phượng, thị trấn Long Điền, huyện Long Điền, tỉnh Bà Rịa - Vũng Tàu.</t>
  </si>
  <si>
    <t>107,224572</t>
  </si>
  <si>
    <t>10,487844</t>
  </si>
  <si>
    <t>K00424221018D005</t>
  </si>
  <si>
    <t>VTULDI016;VTULDI016;VTULDI016</t>
  </si>
  <si>
    <t>39m/ 39m/ 39m;37m/ 37m/ 37m;40m/ 40m/ 40m</t>
  </si>
  <si>
    <t>Khu phố Hải Phong, thị trấn Long Hải, huyện Long Điền, tỉnh Bà Rịa - Vũng Tàu.</t>
  </si>
  <si>
    <t>107,233366</t>
  </si>
  <si>
    <t>10,388536</t>
  </si>
  <si>
    <t>K00433231018D005</t>
  </si>
  <si>
    <t>VTULDI024;VTULDI024</t>
  </si>
  <si>
    <t>26m/ 26m/ 26m;26m/ 26m/ 26m</t>
  </si>
  <si>
    <t>Ấp Phước Thành, xã Tân Hòa, huyện Tân Thành, tỉnh Bà Rịa - Vũng Tàu.</t>
  </si>
  <si>
    <t>107,100511</t>
  </si>
  <si>
    <t>10,529527</t>
  </si>
  <si>
    <t>K00427221018D005</t>
  </si>
  <si>
    <t>VTUTTH018;VTUTTH018;VTUTTH018</t>
  </si>
  <si>
    <t>33m/ 33m/ 33m;31m/ 31m/ 31m;34m/ 34m/ 34m</t>
  </si>
  <si>
    <t>Ấp Suối Nhum, xã Hắc Dịch, huyện Tân Thành, tỉnh Bà Rịa - Vũng Tàu.</t>
  </si>
  <si>
    <t>107,093983</t>
  </si>
  <si>
    <t>10,640868</t>
  </si>
  <si>
    <t>K00432231018D005</t>
  </si>
  <si>
    <t>VTUTTH022;VTUTTH022;VTUTTH022;VTUTTH022</t>
  </si>
  <si>
    <t>MOTOROLA HORIZON II MACRO;MOTOROLA HORIZON II MACRO;ERICSSON RBS 3418;NSN FLEXI MULTIRADIO 10 (FHEL)</t>
  </si>
  <si>
    <t>20W/20W/20W;16W;60W/60W/60W;120W/120W/120W</t>
  </si>
  <si>
    <t>38m/ 38m/ 38m;38m;37m/ 37m/ 37m;31m/ 31m/ 31m</t>
  </si>
  <si>
    <t>1 card 1800 sector C</t>
  </si>
  <si>
    <t>Số 81, tổ 12, thôn Vạn Hạnh, thị trấn Phú Mỹ, huyện Tân Thành, tỉnh Bà Rịa - Vũng Tàu.</t>
  </si>
  <si>
    <t>107,061226</t>
  </si>
  <si>
    <t>10,595976</t>
  </si>
  <si>
    <t>K00429231018D005</t>
  </si>
  <si>
    <t>VTUTTH040;VTUTTH040</t>
  </si>
  <si>
    <t>ERICSSON RBS 3206;NSN FLEXI MULTIRADIO 10 (FHEL)</t>
  </si>
  <si>
    <t>40W/40W/40W;120W/120W/120W</t>
  </si>
  <si>
    <t>40m/ 40m/ 40m;40m/ 40m/ 40m</t>
  </si>
  <si>
    <t>Ấp Phước Hưng, xã Mỹ Xuân, huyện Tân Thành, tỉnh Bà Rịa - Vũng Tàu.</t>
  </si>
  <si>
    <t>107,0448</t>
  </si>
  <si>
    <t>10,6547</t>
  </si>
  <si>
    <t>K00431231018D005</t>
  </si>
  <si>
    <t>VTUTTH041;VTUTTH041</t>
  </si>
  <si>
    <t>Thôn Vạn Hạnh, thị trấn Phú Mỹ, huyện Tân Thành, tỉnh Bà Rịa - Vũng Tàu.</t>
  </si>
  <si>
    <t>107,074374</t>
  </si>
  <si>
    <t>10,5838</t>
  </si>
  <si>
    <t>K00426221018D005</t>
  </si>
  <si>
    <t>VTUTTH042;VTUTTH042;VTUTTH042</t>
  </si>
  <si>
    <t>39m/ 39m/ 39m;34m/ 34m/ 34m;34m/ 34m/ 34m</t>
  </si>
  <si>
    <t>Tổ 15, ấp Bến Đình, xã Mỹ Xuân, huyện Tân Thành, tỉnh Bà Rịa - Vũng Tàu.</t>
  </si>
  <si>
    <t>107,04631</t>
  </si>
  <si>
    <t>10,628555</t>
  </si>
  <si>
    <t>K00430231018D005</t>
  </si>
  <si>
    <t>VTUTTH053;VTUTTH053;VTUTTH053</t>
  </si>
  <si>
    <t>38m/ 38m/ 38m;38m/ 38m/ 38m;40m/ 40m/ 40m</t>
  </si>
  <si>
    <t>Số 190/7, đường Ba Cu, phường 3, thành phố Vũng Tàu, tỉnh Bà Rịa - Vũng Tàu.</t>
  </si>
  <si>
    <t>107,081827</t>
  </si>
  <si>
    <t>10,352677</t>
  </si>
  <si>
    <t>K00437241018D005</t>
  </si>
  <si>
    <t>VTUVTA001;VTUVTA001;VTUVTA001</t>
  </si>
  <si>
    <t>19m/ 19m/ 19m;20m/ 20m/ 20m;20m/ 20m/ 20m</t>
  </si>
  <si>
    <t>Số 308A, đường Bình Giã, phường Nguyễn An Ninh, thành phố Vũng Tàu, tỉnh Bà Rịa - Vũng Tàu.</t>
  </si>
  <si>
    <t>107,093412</t>
  </si>
  <si>
    <t>10,361284</t>
  </si>
  <si>
    <t>K00438241018D005</t>
  </si>
  <si>
    <t>VTUVTA008;VTUVTA008;VTUVTA008</t>
  </si>
  <si>
    <t>21m/ 21m/ 21m;19m/ 19m/ 19m;19m/ 19m/ 19m</t>
  </si>
  <si>
    <t>Số 524/6, đường 30 Tháng 4, phường Rạch Dừa, thành phố Vũng Tàu, tỉnh Bà Rịa - Vũng Tàu.</t>
  </si>
  <si>
    <t>107,115232</t>
  </si>
  <si>
    <t>10,397912</t>
  </si>
  <si>
    <t>K00452261018D005</t>
  </si>
  <si>
    <t>VTUVTA009;VTUVTA009;VTUVTA009</t>
  </si>
  <si>
    <t>20m/ 20m/ 20m;20m/ 20m/ 20m;20m/ 20m/ 20m</t>
  </si>
  <si>
    <t>Bưu điện Đông Xuyên, đường số 1, khu công nghiệp Đông Xuyên, phường Rạch Dừa, thành phố Vũng Tàu, tỉnh Bà Rịa - Vũng Tàu.</t>
  </si>
  <si>
    <t>107,115705</t>
  </si>
  <si>
    <t>10,402791</t>
  </si>
  <si>
    <t>K00439241018D005</t>
  </si>
  <si>
    <t>VTUVTA012;VTUVTA012;VTUVTA012;VTUVTA012</t>
  </si>
  <si>
    <t>4/4/4;2/2/2;2/2/2;1/1/1</t>
  </si>
  <si>
    <t>39m/ 39m/ 39m;39m/ 39m/ 39m;37m/ 37m/ 37m;37m/ 37m/ 37m</t>
  </si>
  <si>
    <t>Số 106/1D, đường Chu Mạnh Trinh, phường 8, thành phố Vũng Tàu, tỉnh Bà Rịa - Vũng Tàu.</t>
  </si>
  <si>
    <t>107,091372</t>
  </si>
  <si>
    <t>10,35693</t>
  </si>
  <si>
    <t>K00440241018D005</t>
  </si>
  <si>
    <t>VTUVTA019;VTUVTA019;VTUVTA019</t>
  </si>
  <si>
    <t>17m/ 17m/ 17m;18m/ 18m/ 18m;18m/ 18m/ 18m</t>
  </si>
  <si>
    <t>Số 3, đường Huyền Trân Công Chúa, phường 8, thành phố Vũng Tàu, tỉnh Bà Rịa - Vũng Tàu.</t>
  </si>
  <si>
    <t>107,086075</t>
  </si>
  <si>
    <t>10,354383</t>
  </si>
  <si>
    <t>K00441241018D005</t>
  </si>
  <si>
    <t>VTUVTA024;VTUVTA024;VTUVTA024</t>
  </si>
  <si>
    <t>27m/ 27m/ 27m;21m/ 21m/ 21m;21m/ 21m/ 21m</t>
  </si>
  <si>
    <t>Số 117, đường Huyền Trân Công Chúa, phường 8, thành phố Vũng Tàu, tỉnh Bà Rịa - Vũng Tàu.</t>
  </si>
  <si>
    <t>107,088989</t>
  </si>
  <si>
    <t>10,358875</t>
  </si>
  <si>
    <t>K00442241018D005</t>
  </si>
  <si>
    <t>VTUVTA025;VTUVTA025;VTUVTA025</t>
  </si>
  <si>
    <t>22m/ 22m/ 22m;19m/ 19m/ 19m;19m/ 19m/ 19m</t>
  </si>
  <si>
    <t>Số 15, đường Nguyễn Hiền, phường 1, thành phố Vũng Tàu, tỉnh Bà Rịa - Vũng Tàu.</t>
  </si>
  <si>
    <t>107,086437</t>
  </si>
  <si>
    <t>10,330959</t>
  </si>
  <si>
    <t>K00443241018D005</t>
  </si>
  <si>
    <t>VTUVTA030;VTUVTA030;VTUVTA030</t>
  </si>
  <si>
    <t>30m/ 30m/ 30m;28m/ 30m/ 30m;30m/ 30m/ 30m</t>
  </si>
  <si>
    <t>Số 115, đường Thùy Vân, phường Thắng Tam, thành phố Vũng Tàu, tỉnh Bà Rịa - Vũng Tàu.</t>
  </si>
  <si>
    <t>107,089696</t>
  </si>
  <si>
    <t>10,334181</t>
  </si>
  <si>
    <t>K00444251018D005</t>
  </si>
  <si>
    <t>VTUVTA031;VTUVTA031;VTUVTA031</t>
  </si>
  <si>
    <t>28m/ 28m/ 28m;29m/ 29m/ 29m;29m/ 29m/ 29m</t>
  </si>
  <si>
    <t>Số 15/6, đường Lạc Long Quân, phường 2, thành phố Vũng Tàu, tỉnh Bà Rịa - Vũng Tàu.</t>
  </si>
  <si>
    <t>107,084048</t>
  </si>
  <si>
    <t>10,333122</t>
  </si>
  <si>
    <t>K00445251018D005</t>
  </si>
  <si>
    <t>VTUVTA032;VTUVTA032;VTUVTA032;VTUVTA032</t>
  </si>
  <si>
    <t>4/4/4;2;2/2/2;1/1/1</t>
  </si>
  <si>
    <t>20W/20W/20W;16W;60W/60W/60W;160W/160W/160W</t>
  </si>
  <si>
    <t>23m/ 23m/ 23m;23m;21m/ 21m/ 21m;21m/ 21m/ 21m</t>
  </si>
  <si>
    <t>Số 41, đường La Văn Cầu, khu phố 1, phường Thắng Tam, thành phố Vũng Tàu, tỉnh Bà Rịa - Vũng Tàu.</t>
  </si>
  <si>
    <t>107,089304</t>
  </si>
  <si>
    <t>10,338563</t>
  </si>
  <si>
    <t>K00446251018D005</t>
  </si>
  <si>
    <t>VTUVTA034;VTUVTA034;VTUVTA034</t>
  </si>
  <si>
    <t>Số 50, đường Lê Hồng Phong, phường 4, thành phố Vũng Tàu, tỉnh Bà Rịa - Vũng Tàu.</t>
  </si>
  <si>
    <t>107,076915</t>
  </si>
  <si>
    <t>10,360452</t>
  </si>
  <si>
    <t>K00447251018D005</t>
  </si>
  <si>
    <t>VTUVTA036;VTUVTA036;VTUVTA036</t>
  </si>
  <si>
    <t>23m/ 23m/ 23m;21m/ 21m/ 21m;21m/ 21m/ 21m</t>
  </si>
  <si>
    <t>Số 2/2, đường Lương Văn Can, phường 2, thành phố Vũng Tàu, tỉnh Bà Rịa - Vũng Tàu.</t>
  </si>
  <si>
    <t>107,080939</t>
  </si>
  <si>
    <t>10,33726</t>
  </si>
  <si>
    <t>K00448251018D005</t>
  </si>
  <si>
    <t>VTUVTA040;VTUVTA040;VTUVTA040</t>
  </si>
  <si>
    <t>Số 3, đường Lê Lai, phường 3, thành phố Vũng Tàu, tỉnh Bà Rịa - Vũng Tàu.</t>
  </si>
  <si>
    <t>107,07979</t>
  </si>
  <si>
    <t>10,345354</t>
  </si>
  <si>
    <t>K00449251018D005</t>
  </si>
  <si>
    <t>VTUVTA041;VTUVTA041;VTUVTA041</t>
  </si>
  <si>
    <t>27m/ 27m/ 27m;20m/ 20m/ 20m;20m/ 20m/ 20m</t>
  </si>
  <si>
    <t>Số 711, đường Trương Công Định, phường 9, thành phố Vũng Tàu, tỉnh Bà Rịa - Vũng Tàu.</t>
  </si>
  <si>
    <t>107,090079</t>
  </si>
  <si>
    <t>10,365772</t>
  </si>
  <si>
    <t>K00450251018D005</t>
  </si>
  <si>
    <t>VTUVTA046;VTUVTA046;VTUVTA046;VTUVTA046</t>
  </si>
  <si>
    <t>Số 120, đường Nguyễn Văn Trỗi, phường 4, thành phố Vũng Tàu, tỉnh Bà Rịa - Vũng Tàu.</t>
  </si>
  <si>
    <t>107,078</t>
  </si>
  <si>
    <t>10,356285</t>
  </si>
  <si>
    <t>K00451251018D005</t>
  </si>
  <si>
    <t>VTUVTA050;VTUVTA050;VTUVTA050</t>
  </si>
  <si>
    <t>16m/ 16m/ 16m;18m/ 18m/ 18m;18m/ 18m/ 18m</t>
  </si>
  <si>
    <t>Số 11, đường Hải Đăng, phường 2, thành phố Vũng Tàu, tỉnh Bà Rịa - Vũng Tàu.</t>
  </si>
  <si>
    <t>107,077031</t>
  </si>
  <si>
    <t>10,336105</t>
  </si>
  <si>
    <t>K00435231018D005</t>
  </si>
  <si>
    <t>VTUVTA051;VTUVTA051;VTUVTA051</t>
  </si>
  <si>
    <t>62m/ 62m/ 62m;50m/ 50m/ 50m;51m/ 51m/ 51m</t>
  </si>
  <si>
    <t>Số 46, đường Lý Thường Kiệt, phường 1, thành phố Vũng Tàu, tỉnh Bà Rịa - Vũng Tàu.</t>
  </si>
  <si>
    <t>107,077296</t>
  </si>
  <si>
    <t>10,348603</t>
  </si>
  <si>
    <t>K00434231018D005</t>
  </si>
  <si>
    <t>VTUVTA058;VTUVTA058;VTUVTA058</t>
  </si>
  <si>
    <t>MOTOROLA HORIZON II MACRO;ERICSSON RBS 3418;NSN FLEXI MULTIRADIO 10 (FHEL)</t>
  </si>
  <si>
    <t>16W/16W/16W;60W/60W/60W;120W/120W/120W</t>
  </si>
  <si>
    <t>Số 82, đường Nam Kỳ Khởi Nghĩa, phường Thắng Tam, thành phố Vũng Tàu, tỉnh Bà Rịa - Vũng Tàu.</t>
  </si>
  <si>
    <t>107,084393</t>
  </si>
  <si>
    <t>10,345826</t>
  </si>
  <si>
    <t>K00453261018D005</t>
  </si>
  <si>
    <t>VTUVTA062;VTUVTA062;VTUVTA062</t>
  </si>
  <si>
    <t>29m/ 29m/ 29m;27m/ 27m/ 27m;27m/ 27m/ 27m</t>
  </si>
  <si>
    <t>Lô 7D, đường Tôn Thất Tùng, khu phố 4, phường 7, thành phố Vũng Tàu, tỉnh Bà Rịa - Vũng Tàu.</t>
  </si>
  <si>
    <t>107,080679</t>
  </si>
  <si>
    <t>10,362865</t>
  </si>
  <si>
    <t>K00454261018D005</t>
  </si>
  <si>
    <t>VTUVTA063;VTUVTA063;VTUVTA063</t>
  </si>
  <si>
    <t>26m/ 26m/ 26m;24m/ 24m/ 24m;24m/ 24m/ 24m</t>
  </si>
  <si>
    <t>Số 198, đường Xô Viết Nghệ Tĩnh, phường Thắng Tam, thành phố Vũng Tàu, tỉnh Bà Rịa - Vũng Tàu.</t>
  </si>
  <si>
    <t>107,088871</t>
  </si>
  <si>
    <t>10,350678</t>
  </si>
  <si>
    <t>K00455261018D005</t>
  </si>
  <si>
    <t>VTUVTA078;VTUVTA078;VTUVTA078;VTUVTA078</t>
  </si>
  <si>
    <t>33m/ 33m/ 33m;33m/ 33m/ 33m;34m/ 34m/ 34m;34m/ 34m/ 34m</t>
  </si>
  <si>
    <t>Số 8A, đường Xô Viết Nghệ Tĩnh, phường Thắng Tam, thành phố Vũng Tàu, tỉnh Bà Rịa - Vũng Tàu.</t>
  </si>
  <si>
    <t>107,083797</t>
  </si>
  <si>
    <t>10,340654</t>
  </si>
  <si>
    <t>K00456261018D005</t>
  </si>
  <si>
    <t>VTUVTA079;VTUVTA079;VTUVTA079</t>
  </si>
  <si>
    <t>19m/ 19m/ 19m;17m/ 17m/ 17m;17m/ 17m/ 17m</t>
  </si>
  <si>
    <t>Số 13, đường Ven Biển, phường 12, thành phố Vũng Tàu, tỉnh Bà Rịa - Vũng Tàu.</t>
  </si>
  <si>
    <t>107,162195</t>
  </si>
  <si>
    <t>10,412563</t>
  </si>
  <si>
    <t>K00436241018D005</t>
  </si>
  <si>
    <t>VTUVTA100;VTUVTA100;VTUVTA100</t>
  </si>
  <si>
    <t>27m/ 27m/ 27m;28m/ 28m/ 28m;27m/ 27m/ 27m</t>
  </si>
  <si>
    <t>Tọa độ VNP cung cấp sai lệch</t>
  </si>
  <si>
    <t>Số 360/46, đường Bình Giã, phường Nguyễn An Ninh, thành phố Vũng Tàu, tỉnh Bà Rịa - Vũng Tàu.</t>
  </si>
  <si>
    <t>107,096488</t>
  </si>
  <si>
    <t>10,36357</t>
  </si>
  <si>
    <t>K00428231018D005</t>
  </si>
  <si>
    <t>VTUVTA103;VTUVTA103;VTUVTA103</t>
  </si>
  <si>
    <t>20m/ 20m/ 20m;26m/ 26m/ 26m;26m/ 26m/ 26m</t>
  </si>
  <si>
    <t>Số B17-18, khu biệt thự Ngọc Tước Phương Nam, phường 8, thành phố Vũng Tàu, tỉnh Bà Rịa - Vũng Tàu.</t>
  </si>
  <si>
    <t>107,099811</t>
  </si>
  <si>
    <t>10,355754</t>
  </si>
  <si>
    <t>K00425221018D005</t>
  </si>
  <si>
    <t>VTUVTA119;VTUVTA119</t>
  </si>
  <si>
    <t>22,5m/ 22,5m/ 22,5m;22m/ 22m/ 22m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</si>
</sst>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s>
  <fonts count="108">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b/>
      <sz val="10"/>
      <color theme="1"/>
      <name val="Times New Roman"/>
      <family val="1"/>
    </font>
    <font>
      <b/>
      <sz val="10"/>
      <name val="Times New Roman"/>
      <family val="1"/>
    </font>
    <font>
      <sz val="10"/>
      <color theme="1"/>
      <name val="Times New Roman"/>
      <family val="1"/>
    </font>
    <font>
      <sz val="11"/>
      <name val="Arial"/>
      <family val="2"/>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2"/>
      <color theme="1"/>
      <name val="Times New Roman"/>
      <family val="1"/>
    </font>
    <font>
      <sz val="13"/>
      <color theme="1"/>
      <name val="Times New Roman"/>
      <family val="1"/>
    </font>
    <font>
      <b/>
      <sz val="8"/>
      <color theme="1"/>
      <name val="Times New Roman"/>
      <family val="1"/>
    </font>
    <font>
      <b/>
      <sz val="8"/>
      <name val="Times New Roman"/>
      <family val="1"/>
    </font>
    <font>
      <sz val="8"/>
      <color theme="1"/>
      <name val="Times New Roman"/>
      <family val="1"/>
    </font>
    <font>
      <sz val="12"/>
      <color theme="1"/>
      <name val="Cambria"/>
      <family val="1"/>
      <charset val="163"/>
      <scheme val="major"/>
    </font>
    <font>
      <sz val="11"/>
      <color theme="1"/>
      <name val="Times New Roman"/>
      <family val="1"/>
      <charset val="163"/>
    </font>
    <font>
      <sz val="10"/>
      <color theme="1"/>
      <name val="Times New Roman"/>
      <family val="1"/>
      <charset val="163"/>
    </font>
    <font>
      <b/>
      <sz val="8"/>
      <color theme="1"/>
      <name val="Times New Roman"/>
      <family val="1"/>
      <charset val="163"/>
    </font>
    <font>
      <sz val="10"/>
      <color rgb="FF000000"/>
      <name val="Times New Roman"/>
      <family val="1"/>
      <charset val="163"/>
    </font>
  </fonts>
  <fills count="44">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indexed="13"/>
        <bgColor indexed="64"/>
      </patternFill>
    </fill>
    <fill>
      <patternFill patternType="solid">
        <fgColor rgb="FF00B0F0"/>
        <bgColor indexed="64"/>
      </patternFill>
    </fill>
    <fill>
      <patternFill patternType="solid">
        <fgColor rgb="FFFFFFCC"/>
        <bgColor indexed="64"/>
      </patternFill>
    </fill>
    <fill>
      <patternFill patternType="solid">
        <fgColor rgb="FFCCFFFF"/>
        <bgColor indexed="64"/>
      </patternFill>
    </fill>
    <fill>
      <patternFill patternType="solid">
        <fgColor rgb="FFFFC000"/>
        <bgColor indexed="64"/>
      </patternFill>
    </fill>
    <fill>
      <patternFill patternType="solid">
        <fgColor rgb="FF92D050"/>
        <bgColor indexed="64"/>
      </patternFill>
    </fill>
    <fill>
      <patternFill patternType="solid">
        <fgColor theme="7" tint="0.59999389629810485"/>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theme="8" tint="0.79998168889431442"/>
        <bgColor indexed="64"/>
      </patternFill>
    </fill>
    <fill>
      <patternFill patternType="solid">
        <fgColor theme="0"/>
        <bgColor indexed="64"/>
      </patternFill>
    </fill>
    <fill>
      <patternFill patternType="solid">
        <fgColor rgb="FF0070C0"/>
        <bgColor indexed="64"/>
      </patternFill>
    </fill>
    <fill>
      <patternFill patternType="solid">
        <fgColor rgb="FF7030A0"/>
        <bgColor indexed="64"/>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201">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9"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13" borderId="0"/>
    <xf numFmtId="0" fontId="16" fillId="14" borderId="0"/>
    <xf numFmtId="0" fontId="17" fillId="0" borderId="3" applyFont="0" applyFill="0" applyAlignment="0"/>
    <xf numFmtId="9" fontId="18" fillId="0" borderId="0" applyFont="0" applyFill="0" applyBorder="0" applyAlignment="0" applyProtection="0"/>
    <xf numFmtId="0" fontId="19" fillId="13" borderId="0"/>
    <xf numFmtId="0" fontId="19" fillId="14" borderId="0"/>
    <xf numFmtId="0" fontId="20" fillId="13" borderId="0"/>
    <xf numFmtId="0" fontId="20" fillId="14" borderId="0"/>
    <xf numFmtId="0" fontId="21" fillId="0" borderId="0">
      <alignment wrapText="1"/>
    </xf>
    <xf numFmtId="0" fontId="3" fillId="15"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22" fillId="19" borderId="0" applyNumberFormat="0" applyBorder="0" applyAlignment="0" applyProtection="0"/>
    <xf numFmtId="0" fontId="3" fillId="17" borderId="0" applyNumberFormat="0" applyBorder="0" applyAlignment="0" applyProtection="0"/>
    <xf numFmtId="0" fontId="3" fillId="20" borderId="0" applyNumberFormat="0" applyBorder="0" applyAlignment="0" applyProtection="0"/>
    <xf numFmtId="0" fontId="22" fillId="18"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0" fontId="3" fillId="21"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22" borderId="0" applyNumberFormat="0" applyBorder="0" applyAlignment="0" applyProtection="0"/>
    <xf numFmtId="0" fontId="22" fillId="22" borderId="0" applyNumberFormat="0" applyBorder="0" applyAlignment="0" applyProtection="0"/>
    <xf numFmtId="170" fontId="23" fillId="0" borderId="0" applyFont="0" applyFill="0" applyBorder="0" applyAlignment="0" applyProtection="0"/>
    <xf numFmtId="0" fontId="24" fillId="0" borderId="0" applyFont="0" applyFill="0" applyBorder="0" applyAlignment="0" applyProtection="0"/>
    <xf numFmtId="171" fontId="1" fillId="0" borderId="0" applyFont="0" applyFill="0" applyBorder="0" applyAlignment="0" applyProtection="0"/>
    <xf numFmtId="172" fontId="23" fillId="0" borderId="0" applyFont="0" applyFill="0" applyBorder="0" applyAlignment="0" applyProtection="0"/>
    <xf numFmtId="0" fontId="24" fillId="0" borderId="0" applyFont="0" applyFill="0" applyBorder="0" applyAlignment="0" applyProtection="0"/>
    <xf numFmtId="173" fontId="1" fillId="0" borderId="0" applyFont="0" applyFill="0" applyBorder="0" applyAlignment="0" applyProtection="0"/>
    <xf numFmtId="0" fontId="25" fillId="0" borderId="0">
      <alignment horizontal="center" wrapText="1"/>
      <protection locked="0"/>
    </xf>
    <xf numFmtId="174" fontId="23" fillId="0" borderId="0" applyFont="0" applyFill="0" applyBorder="0" applyAlignment="0" applyProtection="0"/>
    <xf numFmtId="0" fontId="24" fillId="0" borderId="0" applyFont="0" applyFill="0" applyBorder="0" applyAlignment="0" applyProtection="0"/>
    <xf numFmtId="175" fontId="1"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8" fontId="29" fillId="0" borderId="0" applyFill="0" applyBorder="0" applyAlignment="0"/>
    <xf numFmtId="179" fontId="30" fillId="0" borderId="0" applyFill="0" applyBorder="0" applyAlignment="0"/>
    <xf numFmtId="180" fontId="30" fillId="0" borderId="0" applyFill="0" applyBorder="0" applyAlignment="0"/>
    <xf numFmtId="181" fontId="30" fillId="0" borderId="0" applyFill="0" applyBorder="0" applyAlignment="0"/>
    <xf numFmtId="182" fontId="1"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applyFont="0" applyFill="0" applyBorder="0" applyAlignment="0" applyProtection="0"/>
    <xf numFmtId="185" fontId="32" fillId="0" borderId="0"/>
    <xf numFmtId="3" fontId="1" fillId="0" borderId="0" applyFont="0" applyFill="0" applyBorder="0" applyAlignment="0" applyProtection="0"/>
    <xf numFmtId="0" fontId="33" fillId="0" borderId="0" applyNumberFormat="0" applyAlignment="0">
      <alignment horizontal="left"/>
    </xf>
    <xf numFmtId="179" fontId="30" fillId="0" borderId="0" applyFont="0" applyFill="0" applyBorder="0" applyAlignment="0" applyProtection="0"/>
    <xf numFmtId="44" fontId="1" fillId="0" borderId="0" applyFont="0" applyFill="0" applyBorder="0" applyAlignment="0" applyProtection="0"/>
    <xf numFmtId="186" fontId="34" fillId="0" borderId="0" applyFont="0" applyFill="0" applyBorder="0" applyAlignment="0" applyProtection="0"/>
    <xf numFmtId="187"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8" fontId="32" fillId="0" borderId="0"/>
    <xf numFmtId="0" fontId="36" fillId="23" borderId="0" applyNumberFormat="0" applyBorder="0" applyAlignment="0" applyProtection="0"/>
    <xf numFmtId="0" fontId="36" fillId="24" borderId="0" applyNumberFormat="0" applyBorder="0" applyAlignment="0" applyProtection="0"/>
    <xf numFmtId="0" fontId="36" fillId="25" borderId="0" applyNumberFormat="0" applyBorder="0" applyAlignment="0" applyProtection="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13" borderId="0" applyNumberFormat="0" applyBorder="0" applyAlignment="0" applyProtection="0"/>
    <xf numFmtId="0" fontId="39" fillId="0" borderId="0" applyNumberFormat="0" applyFont="0" applyBorder="0" applyAlignment="0">
      <alignment horizontal="left" vertical="center"/>
    </xf>
    <xf numFmtId="0" fontId="40" fillId="26"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7" borderId="1" applyNumberFormat="0" applyAlignment="0">
      <alignment horizontal="left" vertical="top"/>
    </xf>
    <xf numFmtId="10" fontId="38" fillId="28" borderId="1" applyNumberFormat="0" applyBorder="0" applyAlignment="0" applyProtection="0"/>
    <xf numFmtId="0" fontId="29" fillId="0" borderId="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9" fontId="29" fillId="0" borderId="0" applyFont="0" applyFill="0" applyBorder="0" applyAlignment="0" applyProtection="0"/>
    <xf numFmtId="190" fontId="29" fillId="0" borderId="0" applyFont="0" applyFill="0" applyBorder="0" applyAlignment="0" applyProtection="0"/>
    <xf numFmtId="191" fontId="1" fillId="0" borderId="0" applyFont="0" applyFill="0" applyBorder="0" applyAlignment="0" applyProtection="0"/>
    <xf numFmtId="192" fontId="1" fillId="0" borderId="0" applyFont="0" applyFill="0" applyBorder="0" applyAlignment="0" applyProtection="0"/>
    <xf numFmtId="0" fontId="44" fillId="0" borderId="0" applyNumberFormat="0" applyFont="0" applyFill="0" applyAlignment="0"/>
    <xf numFmtId="37" fontId="45" fillId="0" borderId="0"/>
    <xf numFmtId="193"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2" fontId="1" fillId="0" borderId="0" applyFont="0" applyFill="0" applyBorder="0" applyAlignment="0" applyProtection="0"/>
    <xf numFmtId="194"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9"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30" borderId="0"/>
    <xf numFmtId="0" fontId="35" fillId="0" borderId="0">
      <alignment vertical="top"/>
    </xf>
    <xf numFmtId="40" fontId="55" fillId="0" borderId="0" applyBorder="0">
      <alignment horizontal="right"/>
    </xf>
    <xf numFmtId="49" fontId="35" fillId="0" borderId="0" applyFill="0" applyBorder="0" applyAlignment="0"/>
    <xf numFmtId="195" fontId="1" fillId="0" borderId="0" applyFill="0" applyBorder="0" applyAlignment="0"/>
    <xf numFmtId="196"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31" borderId="2">
      <alignment vertical="top"/>
    </xf>
    <xf numFmtId="0" fontId="59" fillId="32" borderId="1">
      <alignment horizontal="left" vertical="center"/>
    </xf>
    <xf numFmtId="6" fontId="60" fillId="33" borderId="2"/>
    <xf numFmtId="5" fontId="43" fillId="0" borderId="2">
      <alignment horizontal="left" vertical="top"/>
    </xf>
    <xf numFmtId="0" fontId="61" fillId="34"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7" fontId="71" fillId="0" borderId="0" applyFont="0" applyFill="0" applyBorder="0" applyAlignment="0" applyProtection="0"/>
    <xf numFmtId="198"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6" fillId="0" borderId="0"/>
  </cellStyleXfs>
  <cellXfs count="351">
    <xf numFmtId="0" fontId="0" fillId="0" borderId="0" xfId="0"/>
    <xf numFmtId="1" fontId="2" fillId="2" borderId="1" xfId="1" applyNumberFormat="1" applyFont="1" applyFill="1" applyBorder="1" applyAlignment="1">
      <alignment horizontal="center" vertical="center" wrapText="1"/>
    </xf>
    <xf numFmtId="0" fontId="2" fillId="2" borderId="1" xfId="1" applyFont="1" applyFill="1" applyBorder="1" applyAlignment="1">
      <alignment horizontal="center" vertical="center" wrapText="1"/>
    </xf>
    <xf numFmtId="0" fontId="1" fillId="0" borderId="0" xfId="1" applyFill="1" applyAlignment="1">
      <alignment horizontal="center"/>
    </xf>
    <xf numFmtId="0" fontId="1" fillId="0" borderId="0" xfId="1" applyFill="1"/>
    <xf numFmtId="0" fontId="6" fillId="3" borderId="1" xfId="1" applyFont="1" applyFill="1" applyBorder="1" applyAlignment="1">
      <alignment horizontal="center" vertical="center" wrapText="1"/>
    </xf>
    <xf numFmtId="0" fontId="7" fillId="6" borderId="1" xfId="0" applyFont="1" applyFill="1" applyBorder="1" applyAlignment="1">
      <alignment horizontal="center" vertical="center" wrapText="1"/>
    </xf>
    <xf numFmtId="14" fontId="7" fillId="6" borderId="1" xfId="0" applyNumberFormat="1" applyFont="1" applyFill="1" applyBorder="1" applyAlignment="1">
      <alignment horizontal="center" vertical="center" wrapText="1"/>
    </xf>
    <xf numFmtId="49" fontId="7" fillId="6" borderId="1" xfId="0" applyNumberFormat="1" applyFont="1" applyFill="1" applyBorder="1" applyAlignment="1">
      <alignment horizontal="center" vertical="center" wrapText="1"/>
    </xf>
    <xf numFmtId="1" fontId="7" fillId="6" borderId="1" xfId="0" applyNumberFormat="1" applyFont="1" applyFill="1" applyBorder="1" applyAlignment="1">
      <alignment horizontal="center" vertical="center" wrapText="1"/>
    </xf>
    <xf numFmtId="0" fontId="7" fillId="7" borderId="1" xfId="0" applyFont="1" applyFill="1" applyBorder="1" applyAlignment="1">
      <alignment horizontal="center" vertical="center" wrapText="1"/>
    </xf>
    <xf numFmtId="49" fontId="7" fillId="7"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9" borderId="1" xfId="0" applyFont="1" applyFill="1" applyBorder="1" applyAlignment="1">
      <alignment horizontal="center" vertical="center" wrapText="1"/>
    </xf>
    <xf numFmtId="49" fontId="7" fillId="9" borderId="1" xfId="0" applyNumberFormat="1" applyFont="1" applyFill="1" applyBorder="1" applyAlignment="1">
      <alignment horizontal="center" vertical="center" wrapText="1"/>
    </xf>
    <xf numFmtId="0" fontId="7" fillId="10" borderId="1" xfId="0" applyFont="1" applyFill="1" applyBorder="1" applyAlignment="1">
      <alignment horizontal="center" vertical="center" wrapText="1"/>
    </xf>
    <xf numFmtId="0" fontId="7" fillId="11" borderId="1" xfId="0" applyFont="1" applyFill="1" applyBorder="1" applyAlignment="1">
      <alignment horizontal="center" vertical="center" wrapText="1"/>
    </xf>
    <xf numFmtId="49" fontId="7" fillId="11" borderId="1" xfId="0" applyNumberFormat="1" applyFont="1" applyFill="1" applyBorder="1" applyAlignment="1">
      <alignment horizontal="center" vertical="center" wrapText="1"/>
    </xf>
    <xf numFmtId="0" fontId="7" fillId="12" borderId="1" xfId="0" applyFont="1" applyFill="1" applyBorder="1" applyAlignment="1">
      <alignment horizontal="center" vertical="center" wrapText="1"/>
    </xf>
    <xf numFmtId="49" fontId="7" fillId="12"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5" fillId="0" borderId="0" xfId="0" applyFont="1" applyBorder="1"/>
    <xf numFmtId="1" fontId="4" fillId="0" borderId="1" xfId="1"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1" xfId="0" applyFont="1" applyFill="1" applyBorder="1" applyAlignment="1">
      <alignment horizontal="left" vertical="center" wrapText="1"/>
    </xf>
    <xf numFmtId="0" fontId="4" fillId="0" borderId="1" xfId="1" applyFont="1" applyFill="1" applyBorder="1" applyAlignment="1">
      <alignment horizontal="center" vertical="center" wrapText="1"/>
    </xf>
    <xf numFmtId="14" fontId="4" fillId="0" borderId="1" xfId="1" applyNumberFormat="1" applyFont="1" applyFill="1" applyBorder="1" applyAlignment="1">
      <alignment horizontal="center" vertical="center" wrapText="1"/>
    </xf>
    <xf numFmtId="0" fontId="5" fillId="7"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5" fillId="10" borderId="1" xfId="0" applyNumberFormat="1"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2" borderId="1" xfId="0" applyFont="1" applyFill="1" applyBorder="1" applyAlignment="1">
      <alignment horizontal="center" vertical="center" wrapText="1"/>
    </xf>
    <xf numFmtId="0" fontId="5"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xf numFmtId="0" fontId="5" fillId="0" borderId="0" xfId="0" applyFont="1" applyAlignment="1">
      <alignment horizontal="left"/>
    </xf>
    <xf numFmtId="0" fontId="5" fillId="7" borderId="0" xfId="0" applyFont="1" applyFill="1"/>
    <xf numFmtId="0" fontId="5" fillId="7" borderId="0" xfId="0" applyFont="1" applyFill="1" applyAlignment="1">
      <alignment wrapText="1"/>
    </xf>
    <xf numFmtId="0" fontId="5" fillId="8" borderId="0" xfId="0" applyFont="1" applyFill="1"/>
    <xf numFmtId="0" fontId="5" fillId="9" borderId="0" xfId="0" applyFont="1" applyFill="1"/>
    <xf numFmtId="0" fontId="5" fillId="9" borderId="0" xfId="0" applyFont="1" applyFill="1" applyAlignment="1">
      <alignment wrapText="1"/>
    </xf>
    <xf numFmtId="0" fontId="5" fillId="10" borderId="0" xfId="0" applyFont="1" applyFill="1"/>
    <xf numFmtId="0" fontId="5" fillId="10" borderId="0" xfId="0" applyFont="1" applyFill="1" applyAlignment="1">
      <alignment wrapText="1"/>
    </xf>
    <xf numFmtId="0" fontId="5" fillId="11" borderId="0" xfId="0" applyFont="1" applyFill="1"/>
    <xf numFmtId="0" fontId="5" fillId="11" borderId="0" xfId="0" applyFont="1" applyFill="1" applyAlignment="1">
      <alignment wrapText="1"/>
    </xf>
    <xf numFmtId="0" fontId="5" fillId="12" borderId="0" xfId="0" applyFont="1" applyFill="1"/>
    <xf numFmtId="0" fontId="5" fillId="5" borderId="0" xfId="0" applyFont="1" applyFill="1"/>
    <xf numFmtId="0" fontId="5" fillId="0" borderId="0" xfId="0" applyFont="1" applyBorder="1" applyAlignment="1">
      <alignment vertical="center" wrapText="1"/>
    </xf>
    <xf numFmtId="1" fontId="5" fillId="0" borderId="1" xfId="0" applyNumberFormat="1" applyFont="1" applyBorder="1" applyAlignment="1">
      <alignment horizontal="center" vertical="center" wrapText="1"/>
    </xf>
    <xf numFmtId="1" fontId="4" fillId="0" borderId="1" xfId="0" applyNumberFormat="1" applyFont="1" applyFill="1" applyBorder="1" applyAlignment="1">
      <alignment horizontal="center" vertical="center" wrapText="1"/>
    </xf>
    <xf numFmtId="0" fontId="75" fillId="2" borderId="1" xfId="1" applyFont="1" applyFill="1" applyBorder="1" applyAlignment="1">
      <alignment horizontal="center" vertical="center" wrapText="1"/>
    </xf>
    <xf numFmtId="0" fontId="75" fillId="36" borderId="1" xfId="1" applyFont="1" applyFill="1" applyBorder="1" applyAlignment="1">
      <alignment horizontal="center" vertical="center" wrapText="1"/>
    </xf>
    <xf numFmtId="0" fontId="75" fillId="0" borderId="1" xfId="1" applyFont="1" applyFill="1" applyBorder="1" applyAlignment="1">
      <alignment horizontal="center" vertical="center" wrapText="1"/>
    </xf>
    <xf numFmtId="0" fontId="75" fillId="11" borderId="1" xfId="1" applyFont="1" applyFill="1" applyBorder="1" applyAlignment="1">
      <alignment horizontal="center" vertical="center" wrapText="1"/>
    </xf>
    <xf numFmtId="0" fontId="75" fillId="5" borderId="1" xfId="1" applyFont="1" applyFill="1" applyBorder="1" applyAlignment="1">
      <alignment horizontal="center" vertical="center" wrapText="1"/>
    </xf>
    <xf numFmtId="0" fontId="75" fillId="10" borderId="1" xfId="1" applyFont="1" applyFill="1" applyBorder="1" applyAlignment="1">
      <alignment horizontal="center" vertical="center" wrapText="1"/>
    </xf>
    <xf numFmtId="0" fontId="75" fillId="37" borderId="1" xfId="1" applyFont="1" applyFill="1" applyBorder="1" applyAlignment="1">
      <alignment horizontal="center" vertical="center" wrapText="1"/>
    </xf>
    <xf numFmtId="0" fontId="75" fillId="38" borderId="1" xfId="1" applyFont="1" applyFill="1" applyBorder="1" applyAlignment="1">
      <alignment horizontal="center" vertical="center" wrapText="1"/>
    </xf>
    <xf numFmtId="1" fontId="75" fillId="2" borderId="1" xfId="1" applyNumberFormat="1" applyFont="1" applyFill="1" applyBorder="1" applyAlignment="1">
      <alignment horizontal="center" vertical="center" wrapText="1"/>
    </xf>
    <xf numFmtId="0" fontId="75" fillId="3" borderId="1" xfId="1" applyFont="1" applyFill="1" applyBorder="1" applyAlignment="1">
      <alignment horizontal="left" vertical="center" wrapText="1"/>
    </xf>
    <xf numFmtId="0" fontId="75" fillId="3" borderId="1" xfId="1" applyFont="1" applyFill="1" applyBorder="1" applyAlignment="1">
      <alignment horizontal="center" vertical="center" wrapText="1"/>
    </xf>
    <xf numFmtId="0" fontId="76" fillId="3" borderId="1" xfId="1" applyFont="1" applyFill="1" applyBorder="1" applyAlignment="1">
      <alignment horizontal="center" vertical="center" wrapText="1"/>
    </xf>
    <xf numFmtId="1" fontId="77" fillId="0" borderId="1" xfId="0" applyNumberFormat="1" applyFont="1" applyBorder="1" applyAlignment="1">
      <alignment horizontal="center" vertical="center"/>
    </xf>
    <xf numFmtId="0" fontId="77" fillId="0" borderId="1" xfId="0" applyFont="1" applyBorder="1"/>
    <xf numFmtId="0" fontId="77" fillId="3" borderId="1" xfId="0" applyFont="1" applyFill="1" applyBorder="1"/>
    <xf numFmtId="0" fontId="78" fillId="0" borderId="0" xfId="1" applyFont="1" applyFill="1" applyAlignment="1"/>
    <xf numFmtId="1" fontId="77" fillId="0" borderId="1" xfId="0" applyNumberFormat="1" applyFont="1" applyBorder="1"/>
    <xf numFmtId="0" fontId="77" fillId="35" borderId="1" xfId="0" applyFont="1" applyFill="1" applyBorder="1" applyAlignment="1">
      <alignment horizontal="center" vertical="center"/>
    </xf>
    <xf numFmtId="0" fontId="77" fillId="3" borderId="1" xfId="0" applyFont="1" applyFill="1" applyBorder="1" applyAlignment="1">
      <alignment horizontal="center" vertical="center"/>
    </xf>
    <xf numFmtId="0" fontId="77" fillId="0" borderId="1" xfId="0" applyFont="1" applyBorder="1" applyAlignment="1">
      <alignment horizontal="center" vertical="center"/>
    </xf>
    <xf numFmtId="0" fontId="77" fillId="0" borderId="1" xfId="0" applyFont="1" applyFill="1" applyBorder="1" applyAlignment="1">
      <alignment horizontal="center" vertical="center"/>
    </xf>
    <xf numFmtId="0" fontId="75" fillId="0" borderId="1" xfId="1" applyFont="1" applyFill="1" applyBorder="1" applyAlignment="1">
      <alignment horizontal="left" vertical="center" wrapText="1"/>
    </xf>
    <xf numFmtId="0" fontId="77" fillId="0" borderId="1" xfId="0" applyFont="1" applyFill="1" applyBorder="1" applyAlignment="1">
      <alignment horizontal="left" vertical="center"/>
    </xf>
    <xf numFmtId="0" fontId="0" fillId="0" borderId="0" xfId="0" applyAlignment="1">
      <alignment horizontal="left"/>
    </xf>
    <xf numFmtId="0" fontId="77" fillId="0" borderId="1" xfId="0" applyFont="1" applyFill="1" applyBorder="1"/>
    <xf numFmtId="1" fontId="79" fillId="0" borderId="1" xfId="1" applyNumberFormat="1" applyFont="1" applyFill="1" applyBorder="1" applyAlignment="1">
      <alignment horizontal="center" vertical="center"/>
    </xf>
    <xf numFmtId="1" fontId="79" fillId="0" borderId="1" xfId="1" applyNumberFormat="1" applyFont="1" applyFill="1" applyBorder="1" applyAlignment="1">
      <alignment horizontal="center" vertical="center" wrapText="1"/>
    </xf>
    <xf numFmtId="199" fontId="4" fillId="0" borderId="1" xfId="1" applyNumberFormat="1" applyFont="1" applyFill="1" applyBorder="1" applyAlignment="1">
      <alignment horizontal="center" vertical="center" wrapText="1"/>
    </xf>
    <xf numFmtId="0" fontId="80" fillId="0" borderId="0" xfId="0" applyFont="1" applyAlignment="1">
      <alignment wrapText="1"/>
    </xf>
    <xf numFmtId="0" fontId="1" fillId="0" borderId="0" xfId="1"/>
    <xf numFmtId="0" fontId="1" fillId="0" borderId="0" xfId="1" applyAlignment="1">
      <alignment vertical="center"/>
    </xf>
    <xf numFmtId="0" fontId="81" fillId="0" borderId="0" xfId="1" applyFont="1" applyAlignment="1">
      <alignment vertical="top"/>
    </xf>
    <xf numFmtId="0" fontId="82" fillId="0" borderId="0" xfId="1" applyFont="1"/>
    <xf numFmtId="0" fontId="82" fillId="0" borderId="0" xfId="1" applyFont="1" applyAlignment="1">
      <alignment horizontal="center"/>
    </xf>
    <xf numFmtId="0" fontId="82" fillId="0" borderId="0" xfId="1" applyFont="1" applyBorder="1"/>
    <xf numFmtId="0" fontId="82" fillId="0" borderId="0" xfId="1" applyFont="1" applyFill="1" applyAlignment="1">
      <alignment vertical="center"/>
    </xf>
    <xf numFmtId="0" fontId="81" fillId="0" borderId="0" xfId="1" applyFont="1" applyFill="1" applyBorder="1" applyAlignment="1">
      <alignment vertical="center"/>
    </xf>
    <xf numFmtId="0" fontId="82" fillId="0" borderId="0" xfId="1" applyFont="1" applyBorder="1" applyAlignment="1">
      <alignment vertical="center"/>
    </xf>
    <xf numFmtId="0" fontId="81" fillId="0" borderId="0" xfId="1" applyFont="1" applyAlignment="1"/>
    <xf numFmtId="0" fontId="81" fillId="0" borderId="0" xfId="1" applyFont="1" applyAlignment="1">
      <alignment horizontal="center" vertical="top" wrapText="1"/>
    </xf>
    <xf numFmtId="0" fontId="81" fillId="0" borderId="0" xfId="1" applyFont="1" applyAlignment="1">
      <alignment horizontal="left"/>
    </xf>
    <xf numFmtId="0" fontId="1" fillId="0" borderId="0" xfId="1" applyFont="1"/>
    <xf numFmtId="0" fontId="81" fillId="0" borderId="0" xfId="1" applyFont="1" applyAlignment="1">
      <alignment horizontal="center"/>
    </xf>
    <xf numFmtId="0" fontId="1" fillId="0" borderId="0" xfId="1" applyAlignment="1">
      <alignment horizontal="left"/>
    </xf>
    <xf numFmtId="0" fontId="84" fillId="0" borderId="0" xfId="1" applyFont="1"/>
    <xf numFmtId="49" fontId="1" fillId="0" borderId="0" xfId="1" applyNumberFormat="1" applyFont="1"/>
    <xf numFmtId="49" fontId="1" fillId="0" borderId="0" xfId="1" applyNumberFormat="1"/>
    <xf numFmtId="0" fontId="4" fillId="0" borderId="0" xfId="1" applyFont="1"/>
    <xf numFmtId="0" fontId="7" fillId="0" borderId="0" xfId="1" applyFont="1" applyAlignment="1"/>
    <xf numFmtId="0" fontId="1" fillId="0" borderId="0" xfId="1" applyAlignment="1">
      <alignment horizontal="center" vertical="center"/>
    </xf>
    <xf numFmtId="0" fontId="4" fillId="0" borderId="0" xfId="1" applyFont="1" applyAlignment="1">
      <alignment vertical="center"/>
    </xf>
    <xf numFmtId="0" fontId="4" fillId="0" borderId="0" xfId="1" applyFont="1" applyAlignment="1">
      <alignment horizontal="center" vertical="center"/>
    </xf>
    <xf numFmtId="0" fontId="4" fillId="0" borderId="0" xfId="1" applyFont="1" applyAlignment="1"/>
    <xf numFmtId="14" fontId="1" fillId="0" borderId="0" xfId="1" applyNumberFormat="1"/>
    <xf numFmtId="0" fontId="82" fillId="0" borderId="0" xfId="1" applyFont="1" applyAlignment="1">
      <alignment vertical="top" wrapText="1"/>
    </xf>
    <xf numFmtId="0" fontId="4" fillId="0" borderId="0" xfId="1" applyFont="1" applyBorder="1"/>
    <xf numFmtId="0" fontId="1" fillId="0" borderId="0" xfId="1" applyBorder="1"/>
    <xf numFmtId="0" fontId="80" fillId="0" borderId="0" xfId="0" applyFont="1"/>
    <xf numFmtId="0" fontId="8" fillId="0" borderId="0" xfId="0" applyFont="1" applyAlignment="1">
      <alignment vertical="center"/>
    </xf>
    <xf numFmtId="0" fontId="80" fillId="0" borderId="0" xfId="0" applyFont="1" applyAlignment="1">
      <alignment vertical="center" wrapText="1"/>
    </xf>
    <xf numFmtId="0" fontId="80" fillId="0" borderId="0" xfId="0" applyFont="1" applyAlignment="1">
      <alignment vertical="center"/>
    </xf>
    <xf numFmtId="0" fontId="86" fillId="0" borderId="0" xfId="1" applyFont="1" applyBorder="1" applyAlignment="1">
      <alignment horizontal="center" vertical="top" wrapText="1"/>
    </xf>
    <xf numFmtId="0" fontId="81" fillId="0" borderId="0" xfId="1" applyFont="1" applyAlignment="1">
      <alignment horizontal="center"/>
    </xf>
    <xf numFmtId="0" fontId="4" fillId="0" borderId="0" xfId="1" applyFont="1" applyBorder="1" applyAlignment="1">
      <alignment vertical="top" wrapText="1"/>
    </xf>
    <xf numFmtId="0" fontId="4" fillId="0" borderId="0" xfId="1" applyFont="1" applyBorder="1" applyAlignment="1">
      <alignment vertical="center" wrapText="1"/>
    </xf>
    <xf numFmtId="0" fontId="4" fillId="0" borderId="0" xfId="1" applyFont="1" applyBorder="1" applyAlignment="1"/>
    <xf numFmtId="0" fontId="4" fillId="0" borderId="0" xfId="1" applyNumberFormat="1" applyFont="1" applyBorder="1" applyAlignment="1">
      <alignment vertical="top" wrapText="1"/>
    </xf>
    <xf numFmtId="0" fontId="86" fillId="0" borderId="0" xfId="1" applyFont="1" applyBorder="1" applyAlignment="1">
      <alignment horizontal="left" vertical="top" wrapText="1"/>
    </xf>
    <xf numFmtId="0" fontId="86" fillId="0" borderId="0" xfId="1" applyFont="1" applyBorder="1" applyAlignment="1">
      <alignment horizontal="center"/>
    </xf>
    <xf numFmtId="0" fontId="80" fillId="0" borderId="0" xfId="0" applyFont="1" applyAlignment="1">
      <alignment horizontal="left"/>
    </xf>
    <xf numFmtId="0" fontId="2" fillId="0" borderId="0" xfId="0" applyFont="1"/>
    <xf numFmtId="0" fontId="85" fillId="0" borderId="0" xfId="1" applyFont="1" applyAlignment="1">
      <alignment vertical="top" wrapText="1"/>
    </xf>
    <xf numFmtId="0" fontId="0" fillId="0" borderId="0" xfId="0" applyAlignment="1">
      <alignment vertical="top"/>
    </xf>
    <xf numFmtId="0" fontId="5" fillId="0" borderId="1" xfId="0" applyFont="1" applyBorder="1" applyAlignment="1">
      <alignment horizontal="center" vertical="center" wrapText="1"/>
    </xf>
    <xf numFmtId="0" fontId="5" fillId="9" borderId="1" xfId="0" applyFont="1" applyFill="1" applyBorder="1" applyAlignment="1">
      <alignment horizontal="center" vertical="center" wrapText="1"/>
    </xf>
    <xf numFmtId="200" fontId="5" fillId="0" borderId="1" xfId="0" applyNumberFormat="1" applyFont="1" applyBorder="1" applyAlignment="1">
      <alignment horizontal="center" vertical="center" wrapText="1"/>
    </xf>
    <xf numFmtId="0" fontId="5" fillId="7"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8" borderId="1" xfId="0" applyNumberFormat="1" applyFont="1" applyFill="1" applyBorder="1" applyAlignment="1">
      <alignment horizontal="center" vertical="center" wrapText="1"/>
    </xf>
    <xf numFmtId="0" fontId="5" fillId="11" borderId="1" xfId="0" applyNumberFormat="1" applyFont="1" applyFill="1" applyBorder="1" applyAlignment="1">
      <alignment horizontal="center" vertical="center" wrapText="1"/>
    </xf>
    <xf numFmtId="0" fontId="5" fillId="12" borderId="1" xfId="0" applyNumberFormat="1" applyFont="1" applyFill="1" applyBorder="1" applyAlignment="1">
      <alignment horizontal="center" vertical="center" wrapText="1"/>
    </xf>
    <xf numFmtId="0" fontId="5" fillId="5"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93" fillId="5" borderId="1" xfId="0" applyFont="1" applyFill="1" applyBorder="1" applyAlignment="1" applyProtection="1">
      <alignment horizontal="center" vertical="center" wrapText="1"/>
      <protection locked="0"/>
    </xf>
    <xf numFmtId="49" fontId="9" fillId="0" borderId="1" xfId="0" applyNumberFormat="1" applyFont="1" applyBorder="1" applyAlignment="1">
      <alignment horizontal="center" vertical="center" wrapText="1"/>
    </xf>
    <xf numFmtId="0" fontId="5" fillId="0" borderId="0" xfId="0" applyFont="1" applyAlignment="1">
      <alignment vertical="center"/>
    </xf>
    <xf numFmtId="0" fontId="5" fillId="0" borderId="0" xfId="0" applyNumberFormat="1" applyFont="1" applyAlignment="1">
      <alignment vertical="center"/>
    </xf>
    <xf numFmtId="14" fontId="5" fillId="0" borderId="0" xfId="0" applyNumberFormat="1" applyFont="1" applyAlignment="1">
      <alignment vertical="center"/>
    </xf>
    <xf numFmtId="0" fontId="80" fillId="0" borderId="0" xfId="0" quotePrefix="1" applyFont="1" applyAlignment="1">
      <alignment vertical="center"/>
    </xf>
    <xf numFmtId="0" fontId="89" fillId="0" borderId="0" xfId="0" applyFont="1" applyAlignment="1">
      <alignment vertical="center"/>
    </xf>
    <xf numFmtId="0" fontId="5" fillId="0" borderId="0" xfId="0" applyFont="1" applyBorder="1" applyAlignment="1">
      <alignment vertical="center"/>
    </xf>
    <xf numFmtId="0" fontId="0" fillId="0" borderId="0" xfId="0" applyAlignment="1">
      <alignment wrapText="1"/>
    </xf>
    <xf numFmtId="0" fontId="82" fillId="0" borderId="11" xfId="1" applyFont="1" applyBorder="1"/>
    <xf numFmtId="0" fontId="82" fillId="0" borderId="0" xfId="1" applyFont="1" applyAlignment="1">
      <alignment horizontal="center" vertical="center"/>
    </xf>
    <xf numFmtId="0" fontId="82" fillId="0" borderId="0" xfId="1" applyFont="1" applyAlignment="1">
      <alignment vertical="center"/>
    </xf>
    <xf numFmtId="0" fontId="81" fillId="0" borderId="0" xfId="1" applyFont="1" applyAlignment="1">
      <alignment horizontal="left" vertical="center"/>
    </xf>
    <xf numFmtId="0" fontId="81" fillId="0" borderId="0" xfId="1" applyFont="1" applyAlignment="1">
      <alignment vertical="center"/>
    </xf>
    <xf numFmtId="0" fontId="81" fillId="0" borderId="0" xfId="1" applyFont="1" applyAlignment="1">
      <alignment horizontal="center" vertical="center" wrapText="1"/>
    </xf>
    <xf numFmtId="0" fontId="82" fillId="0" borderId="11" xfId="1" applyFont="1" applyBorder="1" applyAlignment="1">
      <alignment vertical="center"/>
    </xf>
    <xf numFmtId="0" fontId="1" fillId="0" borderId="0" xfId="1" applyBorder="1" applyAlignment="1">
      <alignment vertical="center"/>
    </xf>
    <xf numFmtId="0" fontId="1" fillId="0" borderId="11" xfId="1" applyBorder="1" applyAlignment="1">
      <alignment vertical="center"/>
    </xf>
    <xf numFmtId="0" fontId="1" fillId="0" borderId="0" xfId="1" applyNumberFormat="1" applyAlignment="1"/>
    <xf numFmtId="0" fontId="1" fillId="0" borderId="0" xfId="1" applyFont="1" applyAlignment="1">
      <alignment wrapText="1"/>
    </xf>
    <xf numFmtId="0" fontId="8" fillId="39" borderId="14" xfId="0" applyFont="1" applyFill="1" applyBorder="1" applyAlignment="1">
      <alignment horizontal="center" vertical="center" wrapText="1"/>
    </xf>
    <xf numFmtId="0" fontId="5" fillId="0" borderId="0" xfId="0" applyFont="1" applyBorder="1" applyAlignment="1">
      <alignment horizontal="center" vertical="center" wrapText="1"/>
    </xf>
    <xf numFmtId="0" fontId="6" fillId="3" borderId="2" xfId="1" applyFont="1" applyFill="1" applyBorder="1" applyAlignment="1">
      <alignment horizontal="center" vertical="center" wrapText="1"/>
    </xf>
    <xf numFmtId="0" fontId="5" fillId="0" borderId="1" xfId="0" applyFont="1" applyBorder="1"/>
    <xf numFmtId="3" fontId="5" fillId="0" borderId="0" xfId="0" applyNumberFormat="1" applyFont="1" applyAlignment="1">
      <alignment vertical="center"/>
    </xf>
    <xf numFmtId="0" fontId="5" fillId="0" borderId="0" xfId="0" applyFont="1" applyBorder="1" applyAlignment="1">
      <alignment horizontal="center" vertical="center"/>
    </xf>
    <xf numFmtId="1" fontId="79" fillId="0" borderId="1" xfId="1" applyNumberFormat="1" applyFont="1" applyFill="1" applyBorder="1" applyAlignment="1">
      <alignment horizontal="left" vertical="center"/>
    </xf>
    <xf numFmtId="200" fontId="79" fillId="0" borderId="1" xfId="1" applyNumberFormat="1" applyFont="1" applyFill="1" applyBorder="1" applyAlignment="1">
      <alignment horizontal="left" vertical="center"/>
    </xf>
    <xf numFmtId="0" fontId="79" fillId="0" borderId="1" xfId="1" applyFont="1" applyFill="1" applyBorder="1" applyAlignment="1">
      <alignment horizontal="left" vertical="center"/>
    </xf>
    <xf numFmtId="2" fontId="79" fillId="0" borderId="1" xfId="1" applyNumberFormat="1" applyFont="1" applyFill="1" applyBorder="1" applyAlignment="1">
      <alignment horizontal="left" vertical="center"/>
    </xf>
    <xf numFmtId="2" fontId="79" fillId="0" borderId="1" xfId="1" applyNumberFormat="1" applyFont="1" applyFill="1" applyBorder="1" applyAlignment="1">
      <alignment horizontal="left" vertical="center" wrapText="1"/>
    </xf>
    <xf numFmtId="14" fontId="79" fillId="0" borderId="1" xfId="1" applyNumberFormat="1" applyFont="1" applyFill="1" applyBorder="1" applyAlignment="1">
      <alignment horizontal="left" vertical="center" wrapText="1"/>
    </xf>
    <xf numFmtId="0" fontId="79" fillId="0" borderId="1" xfId="1" applyFont="1" applyFill="1" applyBorder="1" applyAlignment="1">
      <alignment horizontal="left" vertical="center" wrapText="1"/>
    </xf>
    <xf numFmtId="168" fontId="77" fillId="0" borderId="1" xfId="2" applyNumberFormat="1" applyFont="1" applyFill="1" applyBorder="1" applyAlignment="1">
      <alignment horizontal="left" vertical="center"/>
    </xf>
    <xf numFmtId="0" fontId="80" fillId="42" borderId="0" xfId="0" applyFont="1" applyFill="1"/>
    <xf numFmtId="0" fontId="80" fillId="41" borderId="13" xfId="0" applyFont="1" applyFill="1" applyBorder="1" applyAlignment="1">
      <alignment horizontal="center"/>
    </xf>
    <xf numFmtId="0" fontId="1" fillId="0" borderId="0" xfId="1" applyBorder="1" applyAlignment="1">
      <alignment horizontal="left"/>
    </xf>
    <xf numFmtId="0" fontId="2" fillId="40" borderId="2" xfId="0" applyFont="1" applyFill="1" applyBorder="1" applyAlignment="1">
      <alignment horizontal="center" vertical="center" wrapText="1"/>
    </xf>
    <xf numFmtId="0" fontId="6" fillId="40" borderId="2" xfId="0" applyFont="1" applyFill="1" applyBorder="1" applyAlignment="1">
      <alignment horizontal="center" vertical="center" wrapText="1"/>
    </xf>
    <xf numFmtId="49" fontId="6" fillId="40" borderId="2" xfId="0" applyNumberFormat="1" applyFont="1" applyFill="1" applyBorder="1" applyAlignment="1">
      <alignment horizontal="center" vertical="center" wrapText="1"/>
    </xf>
    <xf numFmtId="0" fontId="80" fillId="0" borderId="0" xfId="0" applyFont="1" applyFill="1" applyBorder="1" applyAlignment="1">
      <alignment horizontal="center" vertical="center" wrapText="1"/>
    </xf>
    <xf numFmtId="0" fontId="80" fillId="0" borderId="0" xfId="0" applyFont="1" applyBorder="1"/>
    <xf numFmtId="0" fontId="80" fillId="0" borderId="0" xfId="0" applyNumberFormat="1" applyFont="1" applyFill="1" applyBorder="1" applyAlignment="1">
      <alignment horizontal="center" vertical="center" wrapText="1"/>
    </xf>
    <xf numFmtId="0" fontId="86" fillId="0" borderId="0" xfId="0" applyFont="1" applyFill="1" applyBorder="1" applyAlignment="1">
      <alignment horizontal="center" vertical="center" wrapText="1"/>
    </xf>
    <xf numFmtId="0" fontId="86" fillId="0" borderId="0" xfId="1" applyFont="1" applyBorder="1" applyAlignment="1">
      <alignment horizontal="center" vertical="center" wrapText="1"/>
    </xf>
    <xf numFmtId="0" fontId="6" fillId="0" borderId="0" xfId="1" applyFont="1" applyBorder="1" applyAlignment="1">
      <alignment horizontal="center" vertical="top"/>
    </xf>
    <xf numFmtId="0" fontId="98" fillId="0" borderId="0" xfId="0" applyFont="1" applyAlignment="1">
      <alignment wrapText="1"/>
    </xf>
    <xf numFmtId="0" fontId="84" fillId="0" borderId="0" xfId="1" applyFont="1" applyAlignment="1">
      <alignment horizontal="left" vertical="center"/>
    </xf>
    <xf numFmtId="201" fontId="5" fillId="3" borderId="1" xfId="0" applyNumberFormat="1" applyFont="1" applyFill="1" applyBorder="1" applyAlignment="1">
      <alignment horizontal="center" vertical="center" wrapText="1"/>
    </xf>
    <xf numFmtId="1" fontId="100" fillId="2" borderId="1" xfId="1" applyNumberFormat="1" applyFont="1" applyFill="1" applyBorder="1" applyAlignment="1">
      <alignment horizontal="center" vertical="center" wrapText="1"/>
    </xf>
    <xf numFmtId="1" fontId="25" fillId="0" borderId="1" xfId="1" applyNumberFormat="1" applyFont="1" applyFill="1" applyBorder="1" applyAlignment="1">
      <alignment horizontal="center" vertical="center" wrapText="1"/>
    </xf>
    <xf numFmtId="0" fontId="38" fillId="0" borderId="0" xfId="1" applyFont="1" applyFill="1" applyAlignment="1">
      <alignment horizontal="center"/>
    </xf>
    <xf numFmtId="0" fontId="101" fillId="6" borderId="1" xfId="0" applyFont="1" applyFill="1" applyBorder="1" applyAlignment="1">
      <alignment horizontal="center" vertical="center" wrapText="1"/>
    </xf>
    <xf numFmtId="1" fontId="25" fillId="0" borderId="1" xfId="0" applyNumberFormat="1" applyFont="1" applyFill="1" applyBorder="1" applyAlignment="1">
      <alignment horizontal="center" vertical="center" wrapText="1"/>
    </xf>
    <xf numFmtId="0" fontId="102" fillId="0" borderId="0" xfId="0" applyFont="1"/>
    <xf numFmtId="201" fontId="5" fillId="0" borderId="1" xfId="0" applyNumberFormat="1" applyFont="1" applyBorder="1" applyAlignment="1">
      <alignment horizontal="center" vertical="center"/>
    </xf>
    <xf numFmtId="201" fontId="5" fillId="0" borderId="0" xfId="0" applyNumberFormat="1" applyFont="1" applyBorder="1" applyAlignment="1">
      <alignment horizontal="center" vertical="center"/>
    </xf>
    <xf numFmtId="2" fontId="80" fillId="0" borderId="1" xfId="0" applyNumberFormat="1" applyFont="1" applyBorder="1"/>
    <xf numFmtId="0" fontId="103" fillId="0" borderId="1" xfId="0" applyFont="1" applyBorder="1" applyAlignment="1">
      <alignment horizontal="center" vertical="center" wrapText="1"/>
    </xf>
    <xf numFmtId="0" fontId="80" fillId="0" borderId="0" xfId="0" applyFont="1" applyAlignment="1">
      <alignment horizontal="left" vertical="center"/>
    </xf>
    <xf numFmtId="0" fontId="104" fillId="0" borderId="1" xfId="0" applyFont="1" applyBorder="1" applyAlignment="1">
      <alignment horizontal="center" vertical="center"/>
    </xf>
    <xf numFmtId="0" fontId="1" fillId="0" borderId="0" xfId="1" applyFill="1" applyAlignment="1">
      <alignment horizontal="center" vertical="center"/>
    </xf>
    <xf numFmtId="14" fontId="80" fillId="0" borderId="0" xfId="0" applyNumberFormat="1" applyFont="1" applyFill="1" applyBorder="1" applyAlignment="1">
      <alignment horizontal="center" vertical="center"/>
    </xf>
    <xf numFmtId="0" fontId="80" fillId="42" borderId="0" xfId="0" applyFont="1" applyFill="1" applyAlignment="1">
      <alignment horizontal="center" vertical="center"/>
    </xf>
    <xf numFmtId="0" fontId="80" fillId="0" borderId="0" xfId="0" applyFont="1" applyAlignment="1">
      <alignment horizontal="center" vertical="center"/>
    </xf>
    <xf numFmtId="0" fontId="80" fillId="41" borderId="13" xfId="0" applyFont="1" applyFill="1" applyBorder="1" applyAlignment="1">
      <alignment horizontal="center" vertical="center"/>
    </xf>
    <xf numFmtId="0" fontId="80" fillId="0" borderId="0" xfId="0" applyFont="1" applyBorder="1" applyAlignment="1">
      <alignment horizontal="left" vertical="center"/>
    </xf>
    <xf numFmtId="0" fontId="80" fillId="42" borderId="0" xfId="0" applyFont="1" applyFill="1" applyAlignment="1" applyProtection="1">
      <alignment horizontal="center" vertical="center"/>
      <protection locked="0"/>
    </xf>
    <xf numFmtId="0" fontId="80" fillId="0" borderId="0" xfId="0" applyFont="1" applyBorder="1" applyAlignment="1">
      <alignment horizontal="center" vertical="center"/>
    </xf>
    <xf numFmtId="0" fontId="80" fillId="42" borderId="0" xfId="0" applyFont="1" applyFill="1" applyAlignment="1" applyProtection="1">
      <alignment horizontal="left"/>
      <protection locked="0"/>
    </xf>
    <xf numFmtId="0" fontId="80" fillId="41" borderId="13" xfId="0" applyFont="1" applyFill="1" applyBorder="1" applyAlignment="1">
      <alignment horizontal="left"/>
    </xf>
    <xf numFmtId="0" fontId="2" fillId="40" borderId="12" xfId="0" applyFont="1" applyFill="1" applyBorder="1" applyAlignment="1">
      <alignment horizontal="left" vertical="center" wrapText="1"/>
    </xf>
    <xf numFmtId="0" fontId="80" fillId="0" borderId="0" xfId="0" applyFont="1" applyFill="1" applyBorder="1" applyAlignment="1">
      <alignment horizontal="left" vertical="center" wrapText="1"/>
    </xf>
    <xf numFmtId="0" fontId="80" fillId="0" borderId="0" xfId="0" applyFont="1" applyBorder="1" applyAlignment="1">
      <alignment horizontal="left"/>
    </xf>
    <xf numFmtId="0" fontId="2" fillId="40" borderId="12" xfId="0" applyFont="1" applyFill="1" applyBorder="1" applyAlignment="1">
      <alignment horizontal="center" vertical="center" wrapText="1"/>
    </xf>
    <xf numFmtId="0" fontId="103" fillId="0" borderId="1" xfId="0" applyFont="1" applyBorder="1" applyAlignment="1">
      <alignment horizontal="left" vertical="center" wrapText="1"/>
    </xf>
    <xf numFmtId="0" fontId="103" fillId="0" borderId="14" xfId="0" applyFont="1" applyBorder="1" applyAlignment="1">
      <alignment horizontal="center" vertical="center" wrapText="1"/>
    </xf>
    <xf numFmtId="0" fontId="105" fillId="0" borderId="1" xfId="0" applyFont="1" applyBorder="1" applyAlignment="1">
      <alignment horizontal="center" vertical="center" wrapText="1"/>
    </xf>
    <xf numFmtId="0" fontId="107" fillId="0" borderId="1" xfId="0" applyFont="1" applyBorder="1" applyAlignment="1">
      <alignment horizontal="center" vertical="center" wrapText="1"/>
    </xf>
    <xf numFmtId="0" fontId="107" fillId="0" borderId="1" xfId="0" applyFont="1" applyBorder="1" applyAlignment="1">
      <alignment horizontal="justify" vertical="center" wrapText="1"/>
    </xf>
    <xf numFmtId="0" fontId="106" fillId="43"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0" xfId="0" applyFont="1" applyFill="1" applyBorder="1" applyAlignment="1">
      <alignment horizontal="center" vertical="center" wrapText="1"/>
    </xf>
    <xf numFmtId="201" fontId="6" fillId="3" borderId="1" xfId="1" applyNumberFormat="1" applyFont="1" applyFill="1" applyBorder="1" applyAlignment="1">
      <alignment horizontal="center" vertical="center" wrapText="1"/>
    </xf>
    <xf numFmtId="201" fontId="101" fillId="3" borderId="1" xfId="1" applyNumberFormat="1" applyFont="1" applyFill="1" applyBorder="1" applyAlignment="1">
      <alignment horizontal="center" vertical="center" wrapText="1"/>
    </xf>
    <xf numFmtId="0" fontId="87" fillId="0" borderId="0" xfId="0" applyFont="1" applyAlignment="1">
      <alignment horizontal="left" wrapText="1"/>
    </xf>
    <xf numFmtId="0" fontId="99" fillId="0" borderId="0" xfId="0" applyFont="1" applyAlignment="1">
      <alignment horizontal="center" vertical="center"/>
    </xf>
    <xf numFmtId="0" fontId="89" fillId="0" borderId="0" xfId="0" applyFont="1" applyAlignment="1">
      <alignment horizontal="center" vertical="center"/>
    </xf>
    <xf numFmtId="0" fontId="5" fillId="0" borderId="0" xfId="0" applyFont="1" applyAlignment="1">
      <alignment horizontal="justify" vertical="center" wrapText="1"/>
    </xf>
    <xf numFmtId="0" fontId="5" fillId="0" borderId="0" xfId="0" applyFont="1" applyAlignment="1">
      <alignment horizontal="justify" vertical="center" wrapText="1" shrinkToFit="1"/>
    </xf>
    <xf numFmtId="0" fontId="99" fillId="0" borderId="11" xfId="0" applyFont="1" applyBorder="1" applyAlignment="1">
      <alignment horizontal="center" vertical="center"/>
    </xf>
    <xf numFmtId="0" fontId="80" fillId="0" borderId="0" xfId="0" applyFont="1" applyAlignment="1">
      <alignment horizontal="left" vertical="center"/>
    </xf>
    <xf numFmtId="0" fontId="88" fillId="0" borderId="0" xfId="0" applyFont="1" applyAlignment="1">
      <alignment horizontal="center" vertical="center"/>
    </xf>
    <xf numFmtId="0" fontId="91" fillId="0" borderId="0" xfId="0" applyFont="1" applyAlignment="1">
      <alignment horizontal="right" vertical="center"/>
    </xf>
    <xf numFmtId="0" fontId="5" fillId="0" borderId="0" xfId="0" applyFont="1" applyAlignment="1">
      <alignment horizontal="left" vertical="center"/>
    </xf>
    <xf numFmtId="0" fontId="90" fillId="0" borderId="14" xfId="0" applyFont="1" applyBorder="1" applyAlignment="1">
      <alignment horizontal="right" vertical="center"/>
    </xf>
    <xf numFmtId="0" fontId="90" fillId="0" borderId="5" xfId="0" applyFont="1" applyBorder="1" applyAlignment="1">
      <alignment horizontal="right" vertical="center"/>
    </xf>
    <xf numFmtId="0" fontId="90" fillId="0" borderId="15" xfId="0" applyFont="1" applyBorder="1" applyAlignment="1">
      <alignment horizontal="right" vertical="center"/>
    </xf>
    <xf numFmtId="0" fontId="92" fillId="0" borderId="1" xfId="0" applyFont="1" applyBorder="1" applyAlignment="1">
      <alignment horizontal="center" vertical="center" wrapText="1"/>
    </xf>
    <xf numFmtId="0" fontId="92" fillId="0" borderId="14" xfId="0" applyFont="1" applyBorder="1" applyAlignment="1">
      <alignment horizontal="center" vertical="center"/>
    </xf>
    <xf numFmtId="0" fontId="92" fillId="0" borderId="5" xfId="0" applyFont="1" applyBorder="1" applyAlignment="1">
      <alignment horizontal="center" vertical="center"/>
    </xf>
    <xf numFmtId="0" fontId="92" fillId="0" borderId="15" xfId="0" applyFont="1" applyBorder="1" applyAlignment="1">
      <alignment horizontal="center" vertical="center"/>
    </xf>
    <xf numFmtId="0" fontId="90" fillId="0" borderId="14" xfId="0" applyFont="1" applyBorder="1" applyAlignment="1">
      <alignment horizontal="left" vertical="center"/>
    </xf>
    <xf numFmtId="0" fontId="90" fillId="0" borderId="5" xfId="0" applyFont="1" applyBorder="1" applyAlignment="1">
      <alignment horizontal="left" vertical="center"/>
    </xf>
    <xf numFmtId="3" fontId="90" fillId="0" borderId="14" xfId="0" applyNumberFormat="1" applyFont="1" applyBorder="1" applyAlignment="1">
      <alignment horizontal="right" vertical="center"/>
    </xf>
    <xf numFmtId="3" fontId="90" fillId="0" borderId="5" xfId="0" applyNumberFormat="1" applyFont="1" applyBorder="1" applyAlignment="1">
      <alignment horizontal="right" vertical="center"/>
    </xf>
    <xf numFmtId="3" fontId="90" fillId="0" borderId="15" xfId="0" applyNumberFormat="1" applyFont="1" applyBorder="1" applyAlignment="1">
      <alignment horizontal="right" vertical="center"/>
    </xf>
    <xf numFmtId="3" fontId="92" fillId="0" borderId="14" xfId="0" applyNumberFormat="1" applyFont="1" applyBorder="1" applyAlignment="1">
      <alignment horizontal="right" vertical="center"/>
    </xf>
    <xf numFmtId="3" fontId="92" fillId="0" borderId="5" xfId="0" applyNumberFormat="1" applyFont="1" applyBorder="1" applyAlignment="1">
      <alignment horizontal="right" vertical="center"/>
    </xf>
    <xf numFmtId="3" fontId="92" fillId="0" borderId="15" xfId="0" applyNumberFormat="1" applyFont="1" applyBorder="1" applyAlignment="1">
      <alignment horizontal="right" vertical="center"/>
    </xf>
    <xf numFmtId="0" fontId="90" fillId="0" borderId="14" xfId="0" applyFont="1" applyBorder="1" applyAlignment="1">
      <alignment horizontal="center" vertical="center"/>
    </xf>
    <xf numFmtId="0" fontId="90" fillId="0" borderId="15" xfId="0" applyFont="1" applyBorder="1" applyAlignment="1">
      <alignment horizontal="center" vertical="center"/>
    </xf>
    <xf numFmtId="0" fontId="8" fillId="0" borderId="0" xfId="0" applyFont="1" applyAlignment="1">
      <alignment horizontal="center" vertical="center"/>
    </xf>
    <xf numFmtId="0" fontId="88" fillId="0" borderId="0" xfId="0" applyFont="1" applyAlignment="1">
      <alignment horizontal="center" vertical="center" wrapText="1"/>
    </xf>
    <xf numFmtId="0" fontId="80" fillId="0" borderId="0" xfId="0" applyFont="1" applyAlignment="1">
      <alignment horizontal="left" vertical="top" wrapText="1"/>
    </xf>
    <xf numFmtId="0" fontId="92" fillId="0" borderId="0" xfId="0" applyFont="1" applyAlignment="1">
      <alignment horizontal="left" vertical="center"/>
    </xf>
    <xf numFmtId="0" fontId="5" fillId="0" borderId="0" xfId="0" applyFont="1" applyAlignment="1">
      <alignment horizontal="center" vertical="center"/>
    </xf>
    <xf numFmtId="0" fontId="89" fillId="0" borderId="0" xfId="0" applyFont="1" applyAlignment="1">
      <alignment horizontal="center" wrapText="1"/>
    </xf>
    <xf numFmtId="0" fontId="90" fillId="0" borderId="0" xfId="0" applyFont="1" applyAlignment="1">
      <alignment horizontal="center" wrapText="1"/>
    </xf>
    <xf numFmtId="0" fontId="90" fillId="0" borderId="13" xfId="0" applyNumberFormat="1" applyFont="1" applyBorder="1" applyAlignment="1">
      <alignment horizontal="center" vertical="top" wrapText="1"/>
    </xf>
    <xf numFmtId="0" fontId="97" fillId="0" borderId="0" xfId="0" applyFont="1" applyAlignment="1">
      <alignment horizontal="center"/>
    </xf>
    <xf numFmtId="0" fontId="86" fillId="0" borderId="0" xfId="1" applyFont="1" applyBorder="1" applyAlignment="1">
      <alignment horizontal="center" vertical="center" wrapText="1"/>
    </xf>
    <xf numFmtId="1" fontId="86" fillId="0" borderId="0" xfId="1" applyNumberFormat="1" applyFont="1" applyBorder="1" applyAlignment="1">
      <alignment horizontal="center" vertical="center" wrapText="1"/>
    </xf>
    <xf numFmtId="1" fontId="86" fillId="0" borderId="0" xfId="1" applyNumberFormat="1" applyFont="1" applyBorder="1" applyAlignment="1">
      <alignment horizontal="center" vertical="center"/>
    </xf>
    <xf numFmtId="49" fontId="86" fillId="0" borderId="0" xfId="1" applyNumberFormat="1" applyFont="1" applyBorder="1" applyAlignment="1">
      <alignment horizontal="center" vertical="center" wrapText="1"/>
    </xf>
    <xf numFmtId="0" fontId="85" fillId="0" borderId="0" xfId="1" applyFont="1" applyAlignment="1">
      <alignment horizontal="left" vertical="top" wrapText="1"/>
    </xf>
    <xf numFmtId="0" fontId="4" fillId="0" borderId="14" xfId="1" applyFont="1" applyBorder="1" applyAlignment="1">
      <alignment horizontal="center" vertical="top" wrapText="1"/>
    </xf>
    <xf numFmtId="0" fontId="4" fillId="0" borderId="5" xfId="1" applyFont="1" applyBorder="1" applyAlignment="1">
      <alignment horizontal="center" vertical="top" wrapText="1"/>
    </xf>
    <xf numFmtId="0" fontId="4" fillId="0" borderId="15" xfId="1" applyFont="1" applyBorder="1" applyAlignment="1">
      <alignment horizontal="center" vertical="top" wrapText="1"/>
    </xf>
    <xf numFmtId="0" fontId="6" fillId="0" borderId="0" xfId="1" applyFont="1" applyBorder="1" applyAlignment="1">
      <alignment horizontal="center" vertical="center" wrapText="1"/>
    </xf>
    <xf numFmtId="0" fontId="6" fillId="0" borderId="0" xfId="1" applyFont="1" applyBorder="1" applyAlignment="1">
      <alignment horizontal="center" vertical="top"/>
    </xf>
    <xf numFmtId="0" fontId="7" fillId="0" borderId="14" xfId="1" applyFont="1" applyBorder="1" applyAlignment="1">
      <alignment horizontal="left" vertical="center" wrapText="1"/>
    </xf>
    <xf numFmtId="0" fontId="7" fillId="0" borderId="5" xfId="1" applyFont="1" applyBorder="1" applyAlignment="1">
      <alignment horizontal="left" vertical="center" wrapText="1"/>
    </xf>
    <xf numFmtId="0" fontId="7" fillId="0" borderId="15" xfId="1" applyFont="1" applyBorder="1" applyAlignment="1">
      <alignment horizontal="left" vertical="center" wrapText="1"/>
    </xf>
    <xf numFmtId="0" fontId="4" fillId="0" borderId="1" xfId="1" applyFont="1" applyBorder="1" applyAlignment="1">
      <alignment horizontal="left" vertical="top" wrapText="1"/>
    </xf>
    <xf numFmtId="0" fontId="7" fillId="0" borderId="11" xfId="1" applyFont="1" applyBorder="1" applyAlignment="1">
      <alignment wrapText="1"/>
    </xf>
    <xf numFmtId="0" fontId="7" fillId="0" borderId="0" xfId="1" applyFont="1" applyAlignment="1">
      <alignment horizontal="left" vertical="center" wrapText="1"/>
    </xf>
    <xf numFmtId="49" fontId="4" fillId="0" borderId="14" xfId="1" applyNumberFormat="1" applyFont="1" applyBorder="1" applyAlignment="1">
      <alignment horizontal="center" vertical="top" wrapText="1"/>
    </xf>
    <xf numFmtId="49" fontId="4" fillId="0" borderId="5" xfId="1" applyNumberFormat="1" applyFont="1" applyBorder="1" applyAlignment="1">
      <alignment horizontal="center" vertical="top" wrapText="1"/>
    </xf>
    <xf numFmtId="49" fontId="4" fillId="0" borderId="15" xfId="1" applyNumberFormat="1" applyFont="1" applyBorder="1" applyAlignment="1">
      <alignment horizontal="center" vertical="top" wrapText="1"/>
    </xf>
    <xf numFmtId="0" fontId="7" fillId="0" borderId="1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15" xfId="1" applyFont="1" applyBorder="1" applyAlignment="1">
      <alignment horizontal="center" vertical="center" wrapText="1"/>
    </xf>
    <xf numFmtId="0" fontId="4" fillId="0" borderId="14" xfId="1" applyFont="1" applyBorder="1" applyAlignment="1">
      <alignment horizontal="left" vertical="top" wrapText="1"/>
    </xf>
    <xf numFmtId="0" fontId="4" fillId="0" borderId="5" xfId="1" applyFont="1" applyBorder="1" applyAlignment="1">
      <alignment horizontal="left" vertical="top" wrapText="1"/>
    </xf>
    <xf numFmtId="0" fontId="4" fillId="0" borderId="15" xfId="1" applyFont="1" applyBorder="1" applyAlignment="1">
      <alignment horizontal="left" vertical="top" wrapText="1"/>
    </xf>
    <xf numFmtId="0" fontId="4" fillId="0" borderId="0" xfId="1" applyFont="1" applyBorder="1" applyAlignment="1">
      <alignment horizontal="left" vertical="center" wrapText="1"/>
    </xf>
    <xf numFmtId="0" fontId="7" fillId="0" borderId="0" xfId="1" applyFont="1" applyAlignment="1">
      <alignment horizontal="center" vertical="center"/>
    </xf>
    <xf numFmtId="0" fontId="81" fillId="0" borderId="0" xfId="1" applyFont="1" applyAlignment="1">
      <alignment horizontal="center" vertical="top"/>
    </xf>
    <xf numFmtId="0" fontId="83" fillId="0" borderId="0" xfId="1" applyFont="1" applyAlignment="1">
      <alignment horizontal="center" vertical="center"/>
    </xf>
    <xf numFmtId="0" fontId="4" fillId="0" borderId="14" xfId="1" applyFont="1" applyBorder="1" applyAlignment="1">
      <alignment horizontal="center" vertical="center" wrapText="1"/>
    </xf>
    <xf numFmtId="0" fontId="4" fillId="0" borderId="5" xfId="1" applyFont="1" applyBorder="1" applyAlignment="1">
      <alignment horizontal="center" vertical="center" wrapText="1"/>
    </xf>
    <xf numFmtId="0" fontId="4" fillId="0" borderId="15" xfId="1" applyFont="1" applyBorder="1" applyAlignment="1">
      <alignment horizontal="center" vertical="center" wrapText="1"/>
    </xf>
    <xf numFmtId="0" fontId="7" fillId="0" borderId="14" xfId="1" applyFont="1" applyBorder="1" applyAlignment="1">
      <alignment horizontal="left" vertical="top" wrapText="1"/>
    </xf>
    <xf numFmtId="0" fontId="7" fillId="0" borderId="5" xfId="1" applyFont="1" applyBorder="1" applyAlignment="1">
      <alignment horizontal="left" vertical="top" wrapText="1"/>
    </xf>
    <xf numFmtId="0" fontId="7" fillId="0" borderId="15" xfId="1" applyFont="1" applyBorder="1" applyAlignment="1">
      <alignment horizontal="left" vertical="top" wrapText="1"/>
    </xf>
    <xf numFmtId="0" fontId="81" fillId="0" borderId="0" xfId="1" applyFont="1" applyFill="1" applyAlignment="1">
      <alignment horizontal="center" vertical="center"/>
    </xf>
    <xf numFmtId="0" fontId="81" fillId="0" borderId="0" xfId="1" applyFont="1" applyAlignment="1">
      <alignment horizontal="center" vertical="center"/>
    </xf>
    <xf numFmtId="0" fontId="4" fillId="0" borderId="14" xfId="1" applyFont="1" applyBorder="1" applyAlignment="1">
      <alignment horizontal="left" vertical="center" wrapText="1"/>
    </xf>
    <xf numFmtId="0" fontId="4" fillId="0" borderId="5" xfId="1" applyFont="1" applyBorder="1" applyAlignment="1">
      <alignment horizontal="left" vertical="center" wrapText="1"/>
    </xf>
    <xf numFmtId="0" fontId="4" fillId="0" borderId="15" xfId="1" applyFont="1" applyBorder="1" applyAlignment="1">
      <alignment horizontal="left" vertical="center" wrapText="1"/>
    </xf>
    <xf numFmtId="0" fontId="7" fillId="0" borderId="0" xfId="1" applyFont="1" applyAlignment="1">
      <alignment horizontal="center"/>
    </xf>
    <xf numFmtId="0" fontId="7" fillId="0" borderId="0" xfId="1" applyFont="1" applyAlignment="1">
      <alignment horizontal="left" vertical="top" wrapText="1"/>
    </xf>
    <xf numFmtId="14" fontId="4" fillId="0" borderId="0" xfId="1" applyNumberFormat="1" applyFont="1" applyAlignment="1">
      <alignment horizontal="left" vertical="center"/>
    </xf>
    <xf numFmtId="0" fontId="4" fillId="0" borderId="0" xfId="1" applyFont="1" applyAlignment="1">
      <alignment horizontal="left" vertical="center"/>
    </xf>
    <xf numFmtId="0" fontId="82" fillId="0" borderId="0" xfId="1" applyFont="1" applyAlignment="1">
      <alignment horizontal="center"/>
    </xf>
    <xf numFmtId="0" fontId="7" fillId="0" borderId="0" xfId="1" applyFont="1" applyAlignment="1">
      <alignment horizontal="center" vertical="top" wrapText="1"/>
    </xf>
    <xf numFmtId="0" fontId="4" fillId="0" borderId="0" xfId="1" applyFont="1" applyAlignment="1">
      <alignment horizontal="center"/>
    </xf>
    <xf numFmtId="0" fontId="4" fillId="0" borderId="1" xfId="1" applyFont="1" applyBorder="1" applyAlignment="1">
      <alignment horizontal="center" vertical="top" wrapText="1"/>
    </xf>
    <xf numFmtId="0" fontId="7" fillId="0" borderId="12" xfId="1" applyFont="1" applyBorder="1" applyAlignment="1">
      <alignment horizontal="left" vertical="center" wrapText="1"/>
    </xf>
    <xf numFmtId="0" fontId="7" fillId="0" borderId="11" xfId="1" applyFont="1" applyBorder="1" applyAlignment="1">
      <alignment horizontal="left" vertical="center" wrapText="1"/>
    </xf>
    <xf numFmtId="0" fontId="7" fillId="0" borderId="16" xfId="1" applyFont="1" applyBorder="1" applyAlignment="1">
      <alignment horizontal="left" vertical="center" wrapText="1"/>
    </xf>
    <xf numFmtId="0" fontId="4" fillId="0" borderId="5" xfId="1" applyNumberFormat="1" applyFont="1" applyBorder="1" applyAlignment="1">
      <alignment horizontal="center" vertical="top" wrapText="1"/>
    </xf>
    <xf numFmtId="0" fontId="4" fillId="0" borderId="15" xfId="1" applyNumberFormat="1" applyFont="1" applyBorder="1" applyAlignment="1">
      <alignment horizontal="center" vertical="top" wrapText="1"/>
    </xf>
    <xf numFmtId="49" fontId="4" fillId="0" borderId="1" xfId="1" applyNumberFormat="1" applyFont="1" applyBorder="1" applyAlignment="1">
      <alignment horizontal="center" vertical="top" wrapText="1"/>
    </xf>
    <xf numFmtId="0" fontId="4" fillId="0" borderId="1" xfId="1" applyNumberFormat="1" applyFont="1" applyBorder="1" applyAlignment="1">
      <alignment horizontal="center" vertical="top" wrapText="1"/>
    </xf>
    <xf numFmtId="0" fontId="86" fillId="0" borderId="1" xfId="1" applyFont="1" applyBorder="1" applyAlignment="1">
      <alignment horizontal="center" vertical="center" wrapText="1"/>
    </xf>
    <xf numFmtId="0" fontId="6" fillId="0" borderId="14" xfId="1" applyFont="1" applyBorder="1" applyAlignment="1">
      <alignment horizontal="left" vertical="top" wrapText="1"/>
    </xf>
    <xf numFmtId="0" fontId="6" fillId="0" borderId="5" xfId="1" applyFont="1" applyBorder="1" applyAlignment="1">
      <alignment horizontal="left" vertical="top" wrapText="1"/>
    </xf>
    <xf numFmtId="0" fontId="6" fillId="0" borderId="15" xfId="1" applyFont="1" applyBorder="1" applyAlignment="1">
      <alignment horizontal="left" vertical="top" wrapText="1"/>
    </xf>
    <xf numFmtId="0" fontId="86" fillId="0" borderId="14" xfId="1" applyFont="1" applyBorder="1" applyAlignment="1">
      <alignment horizontal="center" vertical="top" wrapText="1"/>
    </xf>
    <xf numFmtId="0" fontId="86" fillId="0" borderId="5" xfId="1" applyFont="1" applyBorder="1" applyAlignment="1">
      <alignment horizontal="center" vertical="top" wrapText="1"/>
    </xf>
    <xf numFmtId="0" fontId="86" fillId="0" borderId="15" xfId="1" applyFont="1" applyBorder="1" applyAlignment="1">
      <alignment horizontal="center" vertical="top" wrapText="1"/>
    </xf>
    <xf numFmtId="0" fontId="86" fillId="0" borderId="14" xfId="1" applyFont="1" applyBorder="1" applyAlignment="1">
      <alignment horizontal="center" vertical="center" wrapText="1"/>
    </xf>
    <xf numFmtId="0" fontId="86" fillId="0" borderId="5" xfId="1" applyFont="1" applyBorder="1" applyAlignment="1">
      <alignment horizontal="center" vertical="center" wrapText="1"/>
    </xf>
    <xf numFmtId="0" fontId="86" fillId="0" borderId="15" xfId="1" applyFont="1" applyBorder="1" applyAlignment="1">
      <alignment horizontal="center" vertical="center" wrapText="1"/>
    </xf>
    <xf numFmtId="0" fontId="86" fillId="0" borderId="1" xfId="1" applyFont="1" applyBorder="1" applyAlignment="1">
      <alignment horizontal="center" vertical="top" wrapText="1"/>
    </xf>
    <xf numFmtId="0" fontId="86" fillId="0" borderId="14" xfId="1" applyFont="1" applyBorder="1" applyAlignment="1">
      <alignment horizontal="left" vertical="top" wrapText="1"/>
    </xf>
    <xf numFmtId="0" fontId="86" fillId="0" borderId="5" xfId="1" applyFont="1" applyBorder="1" applyAlignment="1">
      <alignment horizontal="left" vertical="top" wrapText="1"/>
    </xf>
    <xf numFmtId="0" fontId="86" fillId="0" borderId="15" xfId="1" applyFont="1" applyBorder="1" applyAlignment="1">
      <alignment horizontal="left" vertical="top" wrapText="1"/>
    </xf>
    <xf numFmtId="49" fontId="86" fillId="0" borderId="1" xfId="1" applyNumberFormat="1" applyFont="1" applyBorder="1" applyAlignment="1">
      <alignment horizontal="center" vertical="top" wrapText="1"/>
    </xf>
    <xf numFmtId="0" fontId="86" fillId="0" borderId="1" xfId="1" applyFont="1" applyBorder="1" applyAlignment="1">
      <alignment horizontal="left" vertical="top" wrapText="1"/>
    </xf>
    <xf numFmtId="0" fontId="6" fillId="0" borderId="14" xfId="1" applyFont="1" applyBorder="1" applyAlignment="1">
      <alignment horizontal="center" vertical="center" wrapText="1"/>
    </xf>
    <xf numFmtId="0" fontId="6" fillId="0" borderId="5" xfId="1" applyFont="1" applyBorder="1" applyAlignment="1">
      <alignment horizontal="center" vertical="center" wrapText="1"/>
    </xf>
    <xf numFmtId="0" fontId="6" fillId="0" borderId="15" xfId="1" applyFont="1" applyBorder="1" applyAlignment="1">
      <alignment horizontal="center" vertical="center" wrapText="1"/>
    </xf>
    <xf numFmtId="0" fontId="6" fillId="0" borderId="14" xfId="1" applyFont="1" applyBorder="1" applyAlignment="1">
      <alignment horizontal="left" vertical="center" wrapText="1"/>
    </xf>
    <xf numFmtId="0" fontId="6" fillId="0" borderId="5" xfId="1" applyFont="1" applyBorder="1" applyAlignment="1">
      <alignment horizontal="left" vertical="center" wrapText="1"/>
    </xf>
    <xf numFmtId="0" fontId="6" fillId="0" borderId="15" xfId="1" applyFont="1" applyBorder="1" applyAlignment="1">
      <alignment horizontal="left" vertical="center" wrapText="1"/>
    </xf>
    <xf numFmtId="0" fontId="86" fillId="0" borderId="14" xfId="1" applyFont="1" applyBorder="1" applyAlignment="1">
      <alignment horizontal="left" vertical="center" wrapText="1"/>
    </xf>
    <xf numFmtId="0" fontId="86" fillId="0" borderId="5" xfId="1" applyFont="1" applyBorder="1" applyAlignment="1">
      <alignment horizontal="left" vertical="center" wrapText="1"/>
    </xf>
    <xf numFmtId="0" fontId="86" fillId="0" borderId="15" xfId="1" applyFont="1" applyBorder="1" applyAlignment="1">
      <alignment horizontal="left" vertical="center" wrapText="1"/>
    </xf>
    <xf numFmtId="0" fontId="84" fillId="0" borderId="0" xfId="1" applyFont="1" applyAlignment="1">
      <alignment horizontal="center" wrapText="1"/>
    </xf>
    <xf numFmtId="0" fontId="6" fillId="0" borderId="1" xfId="1" applyFont="1" applyBorder="1" applyAlignment="1">
      <alignment horizontal="left" vertical="top" wrapText="1"/>
    </xf>
    <xf numFmtId="0" fontId="0" fillId="0" borderId="1" xfId="0" applyBorder="1"/>
    <xf numFmtId="0" fontId="7" fillId="0" borderId="0" xfId="1" applyFont="1" applyBorder="1" applyAlignment="1">
      <alignment wrapText="1"/>
    </xf>
    <xf numFmtId="0" fontId="79" fillId="0" borderId="1" xfId="1" applyFont="1" applyBorder="1" applyAlignment="1">
      <alignment horizontal="center" vertical="top" wrapText="1"/>
    </xf>
    <xf numFmtId="0" fontId="86" fillId="0" borderId="0" xfId="1" applyNumberFormat="1" applyFont="1" applyBorder="1" applyAlignment="1">
      <alignment horizontal="center" vertical="center" wrapText="1"/>
    </xf>
    <xf numFmtId="49" fontId="79" fillId="0" borderId="1" xfId="1" applyNumberFormat="1" applyFont="1" applyBorder="1" applyAlignment="1">
      <alignment horizontal="center" vertical="top" wrapText="1"/>
    </xf>
    <xf numFmtId="0" fontId="2" fillId="0" borderId="14" xfId="0"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xf numFmtId="199" fontId="79" fillId="0" borderId="1" xfId="1" applyNumberFormat="1" applyFont="1" applyFill="1" applyBorder="1" applyAlignment="1">
      <alignment horizontal="left" vertical="center" wrapText="1"/>
    </xf>
  </cellXfs>
  <cellStyles count="201">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workbookViewId="0">
      <selection activeCell="B17" sqref="B17"/>
    </sheetView>
  </sheetViews>
  <sheetFormatPr defaultRowHeight="15"/>
  <cols>
    <col min="1" max="24" width="3.7109375" style="112" customWidth="1"/>
    <col min="25" max="26" width="2.28515625" customWidth="1"/>
  </cols>
  <sheetData>
    <row r="1" spans="1:24" ht="45.75" customHeight="1">
      <c r="A1" s="224" t="s">
        <v>240</v>
      </c>
      <c r="B1" s="224"/>
      <c r="C1" s="224"/>
      <c r="D1" s="224"/>
      <c r="E1" s="224"/>
      <c r="F1" s="224"/>
      <c r="G1" s="224"/>
      <c r="H1" s="224"/>
      <c r="I1" s="224"/>
      <c r="J1" s="224"/>
      <c r="K1" s="224"/>
      <c r="L1" s="224"/>
      <c r="M1" s="224"/>
      <c r="N1" s="224"/>
      <c r="O1" s="224"/>
      <c r="P1" s="224"/>
      <c r="Q1" s="224"/>
      <c r="R1" s="224"/>
      <c r="S1" s="224"/>
      <c r="T1" s="224"/>
      <c r="U1" s="224"/>
      <c r="V1" s="224"/>
      <c r="W1" s="224"/>
      <c r="X1" s="224"/>
    </row>
    <row r="2" spans="1:24">
      <c r="A2" s="125" t="s">
        <v>159</v>
      </c>
    </row>
    <row r="3" spans="1:24">
      <c r="A3" s="125" t="s">
        <v>188</v>
      </c>
      <c r="C3" s="124">
        <v>1</v>
      </c>
      <c r="D3" s="112" t="s">
        <v>189</v>
      </c>
    </row>
    <row r="4" spans="1:24">
      <c r="A4" s="125"/>
      <c r="D4" s="112" t="s">
        <v>190</v>
      </c>
    </row>
    <row r="5" spans="1:24">
      <c r="A5" s="125"/>
      <c r="C5" s="124">
        <v>2</v>
      </c>
      <c r="D5" s="112" t="s">
        <v>191</v>
      </c>
    </row>
    <row r="6" spans="1:24">
      <c r="A6" s="125"/>
      <c r="D6" s="112" t="s">
        <v>192</v>
      </c>
    </row>
    <row r="7" spans="1:24">
      <c r="A7" s="124" t="s">
        <v>193</v>
      </c>
      <c r="B7" s="112" t="s">
        <v>239</v>
      </c>
    </row>
    <row r="8" spans="1:24">
      <c r="A8" s="124"/>
      <c r="B8" s="112" t="s">
        <v>160</v>
      </c>
    </row>
    <row r="9" spans="1:24">
      <c r="A9" s="124"/>
      <c r="B9" s="112" t="s">
        <v>166</v>
      </c>
    </row>
    <row r="10" spans="1:24">
      <c r="A10" s="124"/>
      <c r="B10" s="112" t="s">
        <v>241</v>
      </c>
    </row>
    <row r="11" spans="1:24">
      <c r="A11" s="124" t="s">
        <v>194</v>
      </c>
      <c r="B11" s="112" t="s">
        <v>244</v>
      </c>
    </row>
    <row r="12" spans="1:24">
      <c r="A12" s="124" t="s">
        <v>195</v>
      </c>
      <c r="B12" s="112" t="s">
        <v>161</v>
      </c>
    </row>
    <row r="13" spans="1:24">
      <c r="A13" s="124"/>
      <c r="B13" s="112" t="s">
        <v>162</v>
      </c>
    </row>
    <row r="14" spans="1:24">
      <c r="A14" s="124"/>
      <c r="B14" s="112" t="s">
        <v>242</v>
      </c>
    </row>
    <row r="15" spans="1:24">
      <c r="A15" s="124"/>
      <c r="B15" s="112" t="s">
        <v>243</v>
      </c>
    </row>
    <row r="16" spans="1:24">
      <c r="A16" s="124"/>
      <c r="B16" s="112" t="s">
        <v>167</v>
      </c>
    </row>
    <row r="17" spans="1:24">
      <c r="A17" s="124" t="s">
        <v>196</v>
      </c>
      <c r="B17" s="112" t="s">
        <v>163</v>
      </c>
      <c r="C17"/>
      <c r="D17"/>
      <c r="E17"/>
      <c r="F17"/>
      <c r="G17"/>
      <c r="H17"/>
      <c r="I17"/>
      <c r="J17"/>
      <c r="K17"/>
      <c r="L17"/>
      <c r="M17"/>
      <c r="N17"/>
      <c r="O17"/>
      <c r="P17"/>
      <c r="Q17"/>
      <c r="R17"/>
      <c r="S17"/>
      <c r="T17"/>
      <c r="U17"/>
      <c r="V17"/>
      <c r="W17"/>
      <c r="X17"/>
    </row>
    <row r="18" spans="1:24">
      <c r="A18" s="124"/>
      <c r="B18" s="112" t="s">
        <v>164</v>
      </c>
      <c r="C18"/>
      <c r="D18"/>
      <c r="E18"/>
      <c r="F18"/>
      <c r="G18"/>
      <c r="H18"/>
      <c r="I18"/>
      <c r="J18"/>
      <c r="K18"/>
      <c r="L18"/>
      <c r="M18"/>
      <c r="N18"/>
      <c r="O18"/>
      <c r="P18"/>
      <c r="Q18"/>
      <c r="R18"/>
      <c r="S18"/>
      <c r="T18"/>
      <c r="U18"/>
      <c r="V18"/>
      <c r="W18"/>
      <c r="X18"/>
    </row>
    <row r="19" spans="1:24">
      <c r="A19" s="124"/>
      <c r="B19" s="112" t="s">
        <v>165</v>
      </c>
      <c r="C19"/>
      <c r="D19"/>
      <c r="E19"/>
      <c r="F19"/>
      <c r="G19"/>
      <c r="H19"/>
      <c r="I19"/>
      <c r="J19"/>
      <c r="K19"/>
      <c r="L19"/>
      <c r="M19"/>
      <c r="N19"/>
      <c r="O19"/>
      <c r="P19"/>
      <c r="Q19"/>
      <c r="R19"/>
      <c r="S19"/>
      <c r="T19"/>
      <c r="U19"/>
      <c r="V19"/>
      <c r="W19"/>
      <c r="X19"/>
    </row>
    <row r="20" spans="1:24">
      <c r="A20" s="124"/>
      <c r="B20" s="112" t="s">
        <v>167</v>
      </c>
      <c r="C20"/>
      <c r="D20"/>
      <c r="E20"/>
      <c r="F20"/>
      <c r="G20"/>
      <c r="H20"/>
      <c r="I20"/>
      <c r="J20"/>
      <c r="K20"/>
      <c r="L20"/>
      <c r="M20"/>
      <c r="N20"/>
      <c r="O20"/>
      <c r="P20"/>
      <c r="Q20"/>
      <c r="R20"/>
      <c r="S20"/>
      <c r="T20"/>
      <c r="U20"/>
      <c r="V20"/>
      <c r="W20"/>
      <c r="X20"/>
    </row>
    <row r="21" spans="1:24">
      <c r="A21" s="124"/>
      <c r="B21" s="112" t="s">
        <v>168</v>
      </c>
      <c r="C21"/>
      <c r="D21"/>
      <c r="E21"/>
      <c r="F21"/>
      <c r="G21"/>
      <c r="H21"/>
      <c r="I21"/>
      <c r="J21"/>
      <c r="K21"/>
      <c r="L21"/>
      <c r="M21"/>
      <c r="N21"/>
      <c r="O21"/>
      <c r="P21"/>
      <c r="Q21"/>
      <c r="R21"/>
      <c r="S21"/>
      <c r="T21"/>
      <c r="U21"/>
      <c r="V21"/>
      <c r="W21"/>
      <c r="X21"/>
    </row>
    <row r="22" spans="1:24">
      <c r="A22" s="124"/>
      <c r="C22"/>
      <c r="D22"/>
      <c r="E22"/>
      <c r="F22"/>
      <c r="G22"/>
      <c r="H22"/>
      <c r="I22"/>
      <c r="J22"/>
      <c r="K22"/>
      <c r="L22"/>
      <c r="M22"/>
      <c r="N22"/>
      <c r="O22"/>
      <c r="P22"/>
      <c r="Q22"/>
      <c r="R22"/>
      <c r="S22"/>
      <c r="T22"/>
      <c r="U22"/>
      <c r="V22"/>
      <c r="W22"/>
      <c r="X22"/>
    </row>
    <row r="23" spans="1:24">
      <c r="A23" s="124"/>
      <c r="C23"/>
      <c r="D23"/>
      <c r="E23"/>
      <c r="F23"/>
      <c r="G23"/>
      <c r="H23"/>
      <c r="I23"/>
      <c r="J23"/>
      <c r="K23"/>
      <c r="L23"/>
      <c r="M23"/>
      <c r="N23"/>
      <c r="O23"/>
      <c r="P23"/>
      <c r="Q23"/>
      <c r="R23"/>
      <c r="S23"/>
      <c r="T23"/>
      <c r="U23"/>
      <c r="V23"/>
      <c r="W23"/>
      <c r="X23"/>
    </row>
    <row r="24" spans="1:24">
      <c r="A24" s="124"/>
      <c r="C24"/>
      <c r="D24"/>
      <c r="E24"/>
      <c r="F24"/>
      <c r="G24"/>
      <c r="H24"/>
      <c r="I24"/>
      <c r="J24"/>
      <c r="K24"/>
      <c r="L24"/>
      <c r="M24"/>
      <c r="N24"/>
      <c r="O24"/>
      <c r="P24"/>
      <c r="Q24"/>
      <c r="R24"/>
      <c r="S24"/>
      <c r="T24"/>
      <c r="U24"/>
      <c r="V24"/>
      <c r="W24"/>
      <c r="X24"/>
    </row>
  </sheetData>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1:EN2"/>
  <sheetViews>
    <sheetView topLeftCell="DM1" zoomScale="85" zoomScaleNormal="85" workbookViewId="0">
      <selection activeCell="C7" sqref="C7"/>
    </sheetView>
  </sheetViews>
  <sheetFormatPr defaultRowHeight="15"/>
  <cols>
    <col min="1" max="1" width="5" bestFit="1" customWidth="1"/>
    <col min="2" max="2" width="41.85546875" customWidth="1"/>
    <col min="3" max="3" width="11" customWidth="1"/>
    <col min="6" max="6" width="2.140625" customWidth="1"/>
    <col min="7" max="9" width="2.140625" hidden="1" customWidth="1"/>
    <col min="10" max="10" width="25.7109375" customWidth="1"/>
    <col min="11" max="11" width="10.85546875" customWidth="1"/>
    <col min="12" max="12" width="21.28515625" customWidth="1"/>
    <col min="13" max="13" width="7.42578125" customWidth="1"/>
    <col min="14" max="16" width="5.42578125" customWidth="1"/>
    <col min="18" max="18" width="7" customWidth="1"/>
    <col min="19" max="19" width="7.140625" customWidth="1"/>
    <col min="20" max="20" width="9" customWidth="1"/>
    <col min="21" max="21" width="22.28515625" customWidth="1"/>
    <col min="22" max="22" width="16.7109375" customWidth="1"/>
    <col min="23" max="23" width="16" customWidth="1"/>
    <col min="24" max="24" width="1.85546875" customWidth="1"/>
    <col min="29" max="31" width="5.28515625" customWidth="1"/>
    <col min="33" max="33" width="6.5703125" customWidth="1"/>
    <col min="34" max="34" width="6.85546875" customWidth="1"/>
    <col min="35" max="35" width="8.7109375" customWidth="1"/>
    <col min="37" max="37" width="12.42578125" customWidth="1"/>
    <col min="38" max="38" width="14.7109375" customWidth="1"/>
    <col min="39" max="39" width="2.140625" customWidth="1"/>
    <col min="40" max="46" width="8.85546875" hidden="1" customWidth="1"/>
    <col min="47" max="47" width="2.42578125" hidden="1" customWidth="1"/>
    <col min="48" max="49" width="2.140625" hidden="1" customWidth="1"/>
    <col min="54" max="56" width="5.28515625" customWidth="1"/>
    <col min="58" max="60" width="5.5703125" customWidth="1"/>
    <col min="61" max="61" width="22.85546875" customWidth="1"/>
    <col min="63" max="63" width="7.7109375" customWidth="1"/>
    <col min="64" max="64" width="1.85546875" customWidth="1"/>
    <col min="65" max="65" width="9.5703125" customWidth="1"/>
    <col min="66" max="66" width="21.5703125" customWidth="1"/>
    <col min="68" max="68" width="5.140625" bestFit="1" customWidth="1"/>
    <col min="69" max="71" width="6" customWidth="1"/>
    <col min="72" max="72" width="9.140625" style="78"/>
    <col min="73" max="75" width="6.5703125" customWidth="1"/>
    <col min="76" max="76" width="25.7109375" style="78" customWidth="1"/>
    <col min="77" max="77" width="15.7109375" customWidth="1"/>
    <col min="78" max="78" width="21.140625" customWidth="1"/>
    <col min="79" max="79" width="3.140625" customWidth="1"/>
    <col min="80" max="82" width="7.7109375" hidden="1" customWidth="1"/>
    <col min="83" max="83" width="10.5703125" hidden="1" customWidth="1"/>
    <col min="84" max="84" width="13" hidden="1" customWidth="1"/>
    <col min="85" max="85" width="16.28515625" hidden="1" customWidth="1"/>
    <col min="86" max="86" width="12.140625" hidden="1" customWidth="1"/>
    <col min="87" max="89" width="3.140625" hidden="1" customWidth="1"/>
    <col min="90" max="91" width="5.28515625" customWidth="1"/>
    <col min="94" max="96" width="6.5703125" customWidth="1"/>
    <col min="98" max="100" width="5.85546875" customWidth="1"/>
    <col min="101" max="101" width="19" customWidth="1"/>
    <col min="102" max="102" width="17.42578125" customWidth="1"/>
    <col min="103" max="103" width="22.7109375" customWidth="1"/>
    <col min="104" max="104" width="3" customWidth="1"/>
    <col min="105" max="105" width="18" customWidth="1"/>
    <col min="106" max="106" width="11.5703125" customWidth="1"/>
    <col min="107" max="107" width="25.85546875" customWidth="1"/>
    <col min="109" max="111" width="6.5703125" customWidth="1"/>
    <col min="113" max="115" width="5.85546875" customWidth="1"/>
    <col min="116" max="116" width="19" customWidth="1"/>
    <col min="117" max="117" width="22.42578125" customWidth="1"/>
    <col min="118" max="118" width="22.7109375" customWidth="1"/>
    <col min="119" max="130" width="5.42578125" hidden="1" customWidth="1"/>
    <col min="131" max="134" width="5.42578125" customWidth="1"/>
    <col min="140" max="140" width="25.28515625" customWidth="1"/>
  </cols>
  <sheetData>
    <row r="1" spans="1:144" ht="84">
      <c r="A1" s="63" t="s">
        <v>0</v>
      </c>
      <c r="B1" s="63" t="s">
        <v>10</v>
      </c>
      <c r="C1" s="63" t="s">
        <v>1</v>
      </c>
      <c r="D1" s="55" t="s">
        <v>14</v>
      </c>
      <c r="E1" s="55" t="s">
        <v>13</v>
      </c>
      <c r="F1" s="64" t="s">
        <v>86</v>
      </c>
      <c r="G1" s="64"/>
      <c r="H1" s="64"/>
      <c r="I1" s="64"/>
      <c r="J1" s="55" t="s">
        <v>72</v>
      </c>
      <c r="K1" s="55" t="s">
        <v>73</v>
      </c>
      <c r="L1" s="55" t="s">
        <v>3</v>
      </c>
      <c r="M1" s="55" t="s">
        <v>4</v>
      </c>
      <c r="N1" s="56" t="s">
        <v>77</v>
      </c>
      <c r="O1" s="56" t="s">
        <v>78</v>
      </c>
      <c r="P1" s="56" t="s">
        <v>79</v>
      </c>
      <c r="Q1" s="55" t="s">
        <v>92</v>
      </c>
      <c r="R1" s="56" t="s">
        <v>74</v>
      </c>
      <c r="S1" s="56" t="s">
        <v>75</v>
      </c>
      <c r="T1" s="56" t="s">
        <v>76</v>
      </c>
      <c r="U1" s="55" t="s">
        <v>6</v>
      </c>
      <c r="V1" s="55" t="s">
        <v>7</v>
      </c>
      <c r="W1" s="55" t="s">
        <v>80</v>
      </c>
      <c r="X1" s="64" t="s">
        <v>87</v>
      </c>
      <c r="Y1" s="57" t="s">
        <v>81</v>
      </c>
      <c r="Z1" s="57" t="s">
        <v>82</v>
      </c>
      <c r="AA1" s="57" t="s">
        <v>3</v>
      </c>
      <c r="AB1" s="57" t="s">
        <v>4</v>
      </c>
      <c r="AC1" s="58" t="s">
        <v>77</v>
      </c>
      <c r="AD1" s="58" t="s">
        <v>78</v>
      </c>
      <c r="AE1" s="58" t="s">
        <v>79</v>
      </c>
      <c r="AF1" s="57" t="s">
        <v>92</v>
      </c>
      <c r="AG1" s="58" t="s">
        <v>74</v>
      </c>
      <c r="AH1" s="58" t="s">
        <v>75</v>
      </c>
      <c r="AI1" s="58" t="s">
        <v>76</v>
      </c>
      <c r="AJ1" s="57" t="s">
        <v>6</v>
      </c>
      <c r="AK1" s="57" t="s">
        <v>7</v>
      </c>
      <c r="AL1" s="57" t="s">
        <v>80</v>
      </c>
      <c r="AM1" s="64" t="s">
        <v>88</v>
      </c>
      <c r="AN1" s="76"/>
      <c r="AO1" s="76"/>
      <c r="AP1" s="76"/>
      <c r="AQ1" s="76"/>
      <c r="AR1" s="76"/>
      <c r="AS1" s="76"/>
      <c r="AT1" s="76"/>
      <c r="AU1" s="76"/>
      <c r="AV1" s="76"/>
      <c r="AW1" s="76"/>
      <c r="AX1" s="59" t="s">
        <v>83</v>
      </c>
      <c r="AY1" s="59" t="s">
        <v>84</v>
      </c>
      <c r="AZ1" s="59" t="s">
        <v>3</v>
      </c>
      <c r="BA1" s="59" t="s">
        <v>4</v>
      </c>
      <c r="BB1" s="56" t="s">
        <v>77</v>
      </c>
      <c r="BC1" s="56" t="s">
        <v>78</v>
      </c>
      <c r="BD1" s="56" t="s">
        <v>79</v>
      </c>
      <c r="BE1" s="59" t="s">
        <v>92</v>
      </c>
      <c r="BF1" s="56" t="s">
        <v>74</v>
      </c>
      <c r="BG1" s="56" t="s">
        <v>75</v>
      </c>
      <c r="BH1" s="56" t="s">
        <v>76</v>
      </c>
      <c r="BI1" s="59" t="s">
        <v>85</v>
      </c>
      <c r="BJ1" s="59" t="s">
        <v>7</v>
      </c>
      <c r="BK1" s="59" t="s">
        <v>80</v>
      </c>
      <c r="BL1" s="64" t="s">
        <v>89</v>
      </c>
      <c r="BM1" s="57" t="s">
        <v>90</v>
      </c>
      <c r="BN1" s="57" t="s">
        <v>94</v>
      </c>
      <c r="BO1" s="57" t="s">
        <v>3</v>
      </c>
      <c r="BP1" s="57" t="s">
        <v>91</v>
      </c>
      <c r="BQ1" s="60" t="s">
        <v>77</v>
      </c>
      <c r="BR1" s="60" t="s">
        <v>78</v>
      </c>
      <c r="BS1" s="60" t="s">
        <v>79</v>
      </c>
      <c r="BT1" s="76" t="s">
        <v>92</v>
      </c>
      <c r="BU1" s="60" t="s">
        <v>74</v>
      </c>
      <c r="BV1" s="60" t="s">
        <v>75</v>
      </c>
      <c r="BW1" s="60" t="s">
        <v>76</v>
      </c>
      <c r="BX1" s="76" t="s">
        <v>85</v>
      </c>
      <c r="BY1" s="57" t="s">
        <v>7</v>
      </c>
      <c r="BZ1" s="57" t="s">
        <v>80</v>
      </c>
      <c r="CA1" s="65" t="s">
        <v>93</v>
      </c>
      <c r="CB1" s="57"/>
      <c r="CC1" s="57"/>
      <c r="CD1" s="57"/>
      <c r="CE1" s="57"/>
      <c r="CF1" s="57"/>
      <c r="CG1" s="57"/>
      <c r="CH1" s="57"/>
      <c r="CI1" s="57"/>
      <c r="CJ1" s="57"/>
      <c r="CK1" s="57"/>
      <c r="CL1" s="61" t="s">
        <v>95</v>
      </c>
      <c r="CM1" s="61" t="s">
        <v>96</v>
      </c>
      <c r="CN1" s="61" t="s">
        <v>3</v>
      </c>
      <c r="CO1" s="61" t="s">
        <v>91</v>
      </c>
      <c r="CP1" s="57" t="s">
        <v>77</v>
      </c>
      <c r="CQ1" s="57" t="s">
        <v>78</v>
      </c>
      <c r="CR1" s="57" t="s">
        <v>79</v>
      </c>
      <c r="CS1" s="61" t="s">
        <v>92</v>
      </c>
      <c r="CT1" s="57" t="s">
        <v>74</v>
      </c>
      <c r="CU1" s="57" t="s">
        <v>75</v>
      </c>
      <c r="CV1" s="57" t="s">
        <v>76</v>
      </c>
      <c r="CW1" s="61" t="s">
        <v>85</v>
      </c>
      <c r="CX1" s="61" t="s">
        <v>7</v>
      </c>
      <c r="CY1" s="61" t="s">
        <v>80</v>
      </c>
      <c r="CZ1" s="65" t="s">
        <v>97</v>
      </c>
      <c r="DA1" s="57" t="s">
        <v>98</v>
      </c>
      <c r="DB1" s="57" t="s">
        <v>99</v>
      </c>
      <c r="DC1" s="57" t="s">
        <v>3</v>
      </c>
      <c r="DD1" s="57" t="s">
        <v>91</v>
      </c>
      <c r="DE1" s="62" t="s">
        <v>77</v>
      </c>
      <c r="DF1" s="62" t="s">
        <v>78</v>
      </c>
      <c r="DG1" s="62" t="s">
        <v>79</v>
      </c>
      <c r="DH1" s="57" t="s">
        <v>92</v>
      </c>
      <c r="DI1" s="62" t="s">
        <v>74</v>
      </c>
      <c r="DJ1" s="62" t="s">
        <v>75</v>
      </c>
      <c r="DK1" s="62" t="s">
        <v>76</v>
      </c>
      <c r="DL1" s="57" t="s">
        <v>85</v>
      </c>
      <c r="DM1" s="57" t="s">
        <v>7</v>
      </c>
      <c r="DN1" s="57" t="s">
        <v>80</v>
      </c>
      <c r="DO1" s="57"/>
      <c r="DP1" s="57"/>
      <c r="DQ1" s="57"/>
      <c r="DR1" s="57"/>
      <c r="DS1" s="57"/>
      <c r="DT1" s="57"/>
      <c r="DU1" s="57"/>
      <c r="DV1" s="57"/>
      <c r="DW1" s="57"/>
      <c r="DX1" s="57"/>
      <c r="DY1" s="57"/>
      <c r="DZ1" s="57"/>
      <c r="EA1" s="223" t="s">
        <v>299</v>
      </c>
      <c r="EB1" s="223" t="s">
        <v>300</v>
      </c>
      <c r="EC1" s="65" t="s">
        <v>292</v>
      </c>
      <c r="ED1" s="65" t="s">
        <v>265</v>
      </c>
      <c r="EE1" s="66" t="s">
        <v>20</v>
      </c>
      <c r="EF1" s="66" t="s">
        <v>21</v>
      </c>
      <c r="EG1" s="66" t="s">
        <v>71</v>
      </c>
      <c r="EH1" s="5" t="s">
        <v>259</v>
      </c>
      <c r="EI1" s="66" t="s">
        <v>257</v>
      </c>
      <c r="EJ1" s="138" t="s">
        <v>174</v>
      </c>
      <c r="EK1" s="83" t="s">
        <v>100</v>
      </c>
      <c r="EL1">
        <v>119</v>
      </c>
      <c r="EM1" s="83" t="s">
        <v>101</v>
      </c>
      <c r="EN1">
        <v>116</v>
      </c>
    </row>
    <row r="2" spans="1:144" s="112" customFormat="1">
      <c r="A2" s="67">
        <f>Tonghop!A2</f>
        <v>1</v>
      </c>
      <c r="B2" s="68" t="str">
        <f>Tonghop!D2</f>
        <v>Số 204, đường Huỳnh Văn Cù, phường Chánh Mỹ, thành phố Thủ Dầu Một, tỉnh Bình Dương.</v>
      </c>
      <c r="C2" s="71" t="str">
        <f>Tonghop!E2</f>
        <v>Bình Dương</v>
      </c>
      <c r="D2" s="71" t="str">
        <f>Tonghop!I2</f>
        <v>K00458221018D005</v>
      </c>
      <c r="E2" s="67">
        <f>Tonghop!H2</f>
        <v>3</v>
      </c>
      <c r="F2" s="69"/>
      <c r="G2" s="69"/>
      <c r="H2" s="69"/>
      <c r="I2" s="69"/>
      <c r="J2" s="72" t="str">
        <f>IF(E2&gt;1,LEFT(Tonghop!L2,FIND("/",Tonghop!L2,1)-1),Tonghop!L2)</f>
        <v>TỔNG CÔNG TY HẠ TẦNG MẠNG</v>
      </c>
      <c r="K2" s="72" t="str">
        <f>IF(E2&gt;1,LEFT(Tonghop!M2,FIND(";",Tonghop!M2,1)-1),Tonghop!M2)</f>
        <v>BDGTDM002</v>
      </c>
      <c r="L2" s="72" t="str">
        <f>IF(E2&gt;1,LEFT(Tonghop!N2,FIND(";",Tonghop!N2,1)-1),Tonghop!N2)</f>
        <v>MOTOROLA HORIZON II MACRO</v>
      </c>
      <c r="M2" s="72">
        <f>(LEN(Q2)+1)/2</f>
        <v>3</v>
      </c>
      <c r="N2" s="72" t="str">
        <f>MID(Q2,1,1)</f>
        <v>4</v>
      </c>
      <c r="O2" s="72" t="str">
        <f>MID(Q2,3,1)</f>
        <v>4</v>
      </c>
      <c r="P2" s="72" t="str">
        <f>MID(Q2,5,1)</f>
        <v>4</v>
      </c>
      <c r="Q2" s="72" t="str">
        <f>IF(E2&gt;1,LEFT(Tonghop!P2,FIND(";",Tonghop!P2,1)-1),Tonghop!P2)</f>
        <v>4/4/4</v>
      </c>
      <c r="R2" s="72" t="str">
        <f>MID(U2,1,FIND("W",U2,1)-1)</f>
        <v>20</v>
      </c>
      <c r="S2" s="72" t="str">
        <f>MID(U2,FIND("W",U2,1)+2,FIND("W",U2,FIND("W",U2,1)+1)-FIND("W",U2,1)-2)</f>
        <v>20</v>
      </c>
      <c r="T2" s="72" t="str">
        <f>MID(U2,FIND("W",U2,FIND("W",U2,1)+1)+2,LEN(U2)-FIND("W",U2,FIND("W",U2,1)+1)-2)</f>
        <v>20</v>
      </c>
      <c r="U2" s="72" t="str">
        <f>IF(E2&gt;1,LEFT(Tonghop!Q2,FIND(";",Tonghop!Q2,1)-1),Tonghop!Q2)</f>
        <v>20W/20W/20W</v>
      </c>
      <c r="V2" s="72" t="str">
        <f>IF(E2&gt;1,LEFT(Tonghop!R2,FIND("/",Tonghop!R2,1)-1),Tonghop!R2)</f>
        <v>G900</v>
      </c>
      <c r="W2" s="72" t="str">
        <f>IF(E2&gt;1,LEFT(Tonghop!S2,FIND(";",Tonghop!S2,1)-1),Tonghop!S2)</f>
        <v>36m/ 36m/ 36m</v>
      </c>
      <c r="X2" s="73"/>
      <c r="Y2" s="74" t="str">
        <f>IF(E2&gt;2,MID(Tonghop!L2,LEN(Temp!J2)+2,FIND("/",Tonghop!L2,LEN(Temp!J2)+2)-LEN(Temp!J2)-2),IF(E2=2,RIGHT(Tonghop!L2,LEN(Tonghop!L2)-LEN(Temp!J2)-1),""))</f>
        <v>TỔNG CÔNG TY HẠ TẦNG MẠNG</v>
      </c>
      <c r="Z2" s="74" t="str">
        <f>IF(E2&gt;2,MID(Tonghop!M2,LEN(Temp!K2)+2,FIND(";",Tonghop!M2,LEN(Temp!K2)+2)-LEN(Temp!K2)-2),IF(E2=2,RIGHT(Tonghop!M2,LEN(Tonghop!M2)-LEN(Temp!K2)-1),""))</f>
        <v>BDGTDM002</v>
      </c>
      <c r="AA2" s="74" t="str">
        <f>IF(E2&gt;2,MID(Tonghop!N2,LEN(Temp!L2)+2,FIND(";",Tonghop!N2,LEN(Temp!L2)+2)-LEN(Temp!L2)-2),IF(E2=2,RIGHT(Tonghop!N2,LEN(Tonghop!N2)-LEN(Temp!L2)-1),""))</f>
        <v>ERICSSON RBS 6601</v>
      </c>
      <c r="AB2" s="75">
        <f>IF(AF2="","",(LEN(AF2)+1)/2)</f>
        <v>3</v>
      </c>
      <c r="AC2" s="75" t="str">
        <f>MID(AF2,1,1)</f>
        <v>2</v>
      </c>
      <c r="AD2" s="75" t="str">
        <f>MID(AF2,3,1)</f>
        <v>2</v>
      </c>
      <c r="AE2" s="75" t="str">
        <f>MID(AF2,5,1)</f>
        <v>2</v>
      </c>
      <c r="AF2" s="74" t="str">
        <f>IF(E2&gt;2,MID(Tonghop!P2,LEN(Temp!Q2)+2,FIND(";",Tonghop!P2,LEN(Temp!Q2)+2)-LEN(Temp!Q2)-2),IF(E2=2,RIGHT(Tonghop!P2,LEN(Tonghop!P2)-LEN(Temp!Q2)-1),""))</f>
        <v>2/2/2</v>
      </c>
      <c r="AG2" s="72" t="str">
        <f>IF(LEN(AJ2)&gt;0,MID(AJ2,1,FIND("W",AJ2,1)-1),"")</f>
        <v>60</v>
      </c>
      <c r="AH2" s="72" t="str">
        <f>IF(LEN(AJ2)&gt;0,MID(AJ2,FIND("W",AJ2,1)+2,FIND("W",AJ2,FIND("W",AJ2,1)+1)-FIND("W",AJ2,1)-2),"")</f>
        <v>60</v>
      </c>
      <c r="AI2" s="72" t="str">
        <f>IF(LEN(AJ2)&gt;0,MID(AJ2,FIND("W",AJ2,FIND("W",AJ2,1)+1)+2,LEN(AJ2)-FIND("W",AJ2,FIND("W",AJ2,1)+1)-2),"")</f>
        <v>60</v>
      </c>
      <c r="AJ2" s="74" t="str">
        <f>IF(E2&gt;2,MID(Tonghop!Q2,LEN(Temp!U2)+2,FIND(";",Tonghop!Q2,LEN(Temp!U2)+2)-LEN(Temp!U2)-2),IF(E2=2,RIGHT(Tonghop!Q2,LEN(Tonghop!Q2)-LEN(Temp!U2)-1),""))</f>
        <v>60W/60W/60W</v>
      </c>
      <c r="AK2" s="74" t="str">
        <f>IF(E2&gt;2,MID(Tonghop!R2,LEN(Temp!V2)+2,FIND("/",Tonghop!R2,LEN(Temp!V2)+2)-LEN(Temp!V2)-2),IF(E2=2,RIGHT(Tonghop!R2,LEN(Tonghop!R2)-LEN(Temp!V2)-1),""))</f>
        <v>U2100</v>
      </c>
      <c r="AL2" s="74" t="str">
        <f>IF(E2&gt;2,MID(Tonghop!S2,LEN(Temp!W2)+2,FIND(";",Tonghop!S2,LEN(Temp!W2)+2)-LEN(Temp!W2)-2),IF(E2=2,RIGHT(Tonghop!S2,LEN(Tonghop!S2)-LEN(Temp!W2)-1),""))</f>
        <v>36m/ 36m/ 36m</v>
      </c>
      <c r="AM2" s="73"/>
      <c r="AN2" s="75" t="str">
        <f>IF(E2&gt;2,RIGHT(Tonghop!L2,LEN(Tonghop!L2)-LEN(Temp!J2)-LEN(Temp!Y2)-2),"")</f>
        <v>TỔNG CÔNG TY HẠ TẦNG MẠNG</v>
      </c>
      <c r="AO2" s="75" t="str">
        <f>IF(E2&gt;2,RIGHT(Tonghop!M2,LEN(Tonghop!M2)-LEN(Temp!K2)-LEN(Temp!Z2)-2),"")</f>
        <v>BDGTDM002</v>
      </c>
      <c r="AP2" s="75" t="str">
        <f>IF(E2&gt;2,RIGHT(Tonghop!N2,LEN(Tonghop!N2)-LEN(Temp!L2)-LEN(Temp!AA2)-2),"")</f>
        <v>NSN FLEXI MULTIRADIO 10 (FHED)</v>
      </c>
      <c r="AQ2" s="75" t="str">
        <f>IF(E2&gt;2,RIGHT(Tonghop!P2,LEN(Tonghop!P2)-LEN(Temp!Q2)-LEN(Temp!AF2)-2),"")</f>
        <v>1/1/1</v>
      </c>
      <c r="AR2" s="75" t="str">
        <f>IF(E2&gt;2,RIGHT(Tonghop!Q2,LEN(Tonghop!Q2)-LEN(U2)-LEN(Temp!AJ2)-2),"")</f>
        <v>160W/160W/160W</v>
      </c>
      <c r="AS2" s="75" t="str">
        <f>IF(E2&gt;2,RIGHT(Tonghop!R2,LEN(Tonghop!R2)-LEN(V2)-LEN(Temp!AK2)-2),"")</f>
        <v>L1800</v>
      </c>
      <c r="AT2" s="75" t="str">
        <f>IF(E2&gt;2,RIGHT(Tonghop!S2,LEN(Tonghop!S2)-LEN(W2)-LEN(Temp!AL2)-2),"")</f>
        <v>36m/ 36m/ 36m</v>
      </c>
      <c r="AU2" s="75"/>
      <c r="AV2" s="75"/>
      <c r="AW2" s="75"/>
      <c r="AX2" s="75" t="str">
        <f>IF(E2&gt;3,LEFT(AN2,FIND("/",AN2,1)-1),AN2)</f>
        <v>TỔNG CÔNG TY HẠ TẦNG MẠNG</v>
      </c>
      <c r="AY2" s="75" t="str">
        <f>IF(E2&gt;3,LEFT(AO2,FIND(";",AO2,1)-1),AO2)</f>
        <v>BDGTDM002</v>
      </c>
      <c r="AZ2" s="75" t="str">
        <f>IF(E2&gt;3,LEFT(AP2,FIND(";",AP2,1)-1),AP2)</f>
        <v>NSN FLEXI MULTIRADIO 10 (FHED)</v>
      </c>
      <c r="BA2" s="75">
        <f>IF(BE2="","",(LEN(BE2)+1)/2)</f>
        <v>3</v>
      </c>
      <c r="BB2" s="75" t="str">
        <f>MID(BE2,1,1)</f>
        <v>1</v>
      </c>
      <c r="BC2" s="75" t="str">
        <f>MID(BE2,3,1)</f>
        <v>1</v>
      </c>
      <c r="BD2" s="75" t="str">
        <f>MID(BE2,5,1)</f>
        <v>1</v>
      </c>
      <c r="BE2" s="75" t="str">
        <f>IF(E2&gt;3,LEFT(AQ2,FIND(";",AQ2,1)-1),AQ2)</f>
        <v>1/1/1</v>
      </c>
      <c r="BF2" s="72" t="str">
        <f>IF(LEN(BI2)&gt;0,MID(BI2,1,FIND("W",BI2,1)-1),"")</f>
        <v>160</v>
      </c>
      <c r="BG2" s="72" t="str">
        <f>IF(LEN(BI2)&gt;0,MID(BI2,FIND("W",BI2,1)+2,FIND("W",BI2,FIND("W",BI2,1)+1)-FIND("W",BI2,1)-2),"")</f>
        <v>160</v>
      </c>
      <c r="BH2" s="72" t="str">
        <f>IF(LEN(BI2)&gt;0,MID(BI2,FIND("W",BI2,FIND("W",BI2,1)+1)+2,LEN(BI2)-FIND("W",BI2,FIND("W",BI2,1)+1)-2),"")</f>
        <v>160</v>
      </c>
      <c r="BI2" s="75" t="str">
        <f>IF(E2&gt;3,LEFT(AR2,FIND(";",AR2,1)-1),AR2)</f>
        <v>160W/160W/160W</v>
      </c>
      <c r="BJ2" s="75" t="str">
        <f>IF(E2&gt;3,LEFT(AS2,FIND("/",AS2,1)-1),AS2)</f>
        <v>L1800</v>
      </c>
      <c r="BK2" s="75" t="str">
        <f>IF(E2&gt;3,LEFT(AT2,FIND(";",AT2,1)-1),AT2)</f>
        <v>36m/ 36m/ 36m</v>
      </c>
      <c r="BL2" s="69"/>
      <c r="BM2" s="68" t="str">
        <f>IF(E2&gt;4,MID(AN2,LEN(AX2)+2,FIND("/",AN2,LEN(AX2)+2)-LEN(AX2)-2),IF(E2=4,RIGHT(AN2,LEN(AN2)-LEN(AX2)-1),""))</f>
        <v/>
      </c>
      <c r="BN2" s="68" t="str">
        <f>IF(E2&gt;4,MID(AO2,LEN(AY2)+2,FIND(";",AO2,LEN(AY2)+2)-LEN(AY2)-2),IF(E2=4,RIGHT(AO2,LEN(AO2)-LEN(AY2)-1),""))</f>
        <v/>
      </c>
      <c r="BO2" s="68" t="str">
        <f>IF(E2&gt;4,MID(AP2,LEN(AZ2)+2,FIND(";",AP2,LEN(AZ2)+2)-LEN(AZ2)-2),IF(E2=4,RIGHT(AP2,LEN(AP2)-LEN(AZ2)-1),""))</f>
        <v/>
      </c>
      <c r="BP2" s="75" t="str">
        <f>IF(BT2="","",(LEN(BT2)+1)/2)</f>
        <v/>
      </c>
      <c r="BQ2" s="75" t="str">
        <f>MID(BT2,1,1)</f>
        <v/>
      </c>
      <c r="BR2" s="75" t="str">
        <f>MID(BT2,3,1)</f>
        <v/>
      </c>
      <c r="BS2" s="75" t="str">
        <f>MID(BT2,5,1)</f>
        <v/>
      </c>
      <c r="BT2" s="77" t="str">
        <f>IF(E2&gt;4,MID(AQ2,LEN(BE2)+2,FIND(";",AQ2,LEN(BE2)+2)-LEN(BE2)-2),IF(E2=4,RIGHT(AQ2,LEN(AQ2)-LEN(BE2)-1),""))</f>
        <v/>
      </c>
      <c r="BU2" s="72" t="str">
        <f>IF(LEN(BX2)&gt;0,MID(BX2,1,FIND("W",BX2,1)-1),"")</f>
        <v/>
      </c>
      <c r="BV2" s="72" t="str">
        <f>IF(LEN(BX2)&gt;0,MID(BX2,FIND("W",BX2,1)+2,FIND("W",BX2,FIND("W",BX2,1)+1)-FIND("W",BX2,1)-2),"")</f>
        <v/>
      </c>
      <c r="BW2" s="72" t="str">
        <f>IF(LEN(BX2)&gt;0,MID(BX2,FIND("W",BX2,FIND("W",BX2,1)+1)+2,LEN(BX2)-FIND("W",BX2,FIND("W",BX2,1)+1)-2),"")</f>
        <v/>
      </c>
      <c r="BX2" s="77" t="str">
        <f>IF(E2&gt;4,MID(AR2,LEN(BI2)+2,FIND(";",AR2,LEN(BI2)+2)-LEN(BI2)-2),IF(E2=4,RIGHT(AR2,LEN(AR2)-LEN(BI2)-1),""))</f>
        <v/>
      </c>
      <c r="BY2" s="77" t="str">
        <f>IF(E2&gt;4,MID(AS2,LEN(BJ2)+2,FIND("/",AS2,LEN(BJ2)+2)-LEN(BJ2)-2),IF(E2=4,RIGHT(AS2,LEN(AS2)-LEN(BJ2)-1),""))</f>
        <v/>
      </c>
      <c r="BZ2" s="77" t="str">
        <f>IF(E2&gt;4,MID(AT2,LEN(BK2)+2,FIND(";",AT2,LEN(BK2)+2)-LEN(BK2)-2),IF(E2=4,RIGHT(AT2,LEN(AT2)-LEN(BK2)-1),""))</f>
        <v/>
      </c>
      <c r="CA2" s="69"/>
      <c r="CB2" s="75" t="str">
        <f>IF(E2&gt;4,RIGHT(AN2,LEN(AN2)-LEN(AX2)-LEN(Temp!BM2)-2),"")</f>
        <v/>
      </c>
      <c r="CC2" s="75" t="str">
        <f>IF(E2&gt;4,RIGHT(AO2,LEN(AO2)-LEN(AY2)-LEN(Temp!BN2)-2),"")</f>
        <v/>
      </c>
      <c r="CD2" s="75" t="str">
        <f>IF(E2&gt;4,RIGHT(AP2,LEN(AP2)-LEN(AZ2)-LEN(Temp!BO2)-2),"")</f>
        <v/>
      </c>
      <c r="CE2" s="75" t="str">
        <f>IF(E2&gt;4,RIGHT(AQ2,LEN(AQ2)-LEN(BE2)-LEN(BT2)-2),"")</f>
        <v/>
      </c>
      <c r="CF2" s="75" t="str">
        <f>IF(E2&gt;4,RIGHT(AR2,LEN(AR2)-LEN(BI2)-LEN(BX2)-2),"")</f>
        <v/>
      </c>
      <c r="CG2" s="75" t="str">
        <f>IF(E2&gt;4,RIGHT(AS2,LEN(AS2)-LEN(BJ2)-LEN(BY2)-2),"")</f>
        <v/>
      </c>
      <c r="CH2" s="75" t="str">
        <f>IF(E2&gt;4,RIGHT(AT2,LEN(AT2)-LEN(BK2)-LEN(BZ2)-2),"")</f>
        <v/>
      </c>
      <c r="CI2" s="75"/>
      <c r="CJ2" s="79"/>
      <c r="CK2" s="79"/>
      <c r="CL2" s="75" t="str">
        <f>IF(E2&gt;5,LEFT(CB2,FIND("/",CB2,1)-1),CB2)</f>
        <v/>
      </c>
      <c r="CM2" s="75" t="str">
        <f>IF(E2&gt;5,LEFT(CC2,FIND(";",CC2,1)-1),CC2)</f>
        <v/>
      </c>
      <c r="CN2" s="75" t="str">
        <f>IF(E2&gt;5,LEFT(CD2,FIND(";",CD2,1)-1),CD2)</f>
        <v/>
      </c>
      <c r="CO2" s="75" t="str">
        <f>IF(CS2="","",(LEN(CS2)+1)/2)</f>
        <v/>
      </c>
      <c r="CP2" s="75" t="str">
        <f>MID(CS2,1,1)</f>
        <v/>
      </c>
      <c r="CQ2" s="75" t="str">
        <f>MID(CS2,3,1)</f>
        <v/>
      </c>
      <c r="CR2" s="75" t="str">
        <f>MID(CS2,5,1)</f>
        <v/>
      </c>
      <c r="CS2" s="75" t="str">
        <f>IF(E2&gt;5,LEFT(CE2,FIND(";",CE2,1)-1),CE2)</f>
        <v/>
      </c>
      <c r="CT2" s="72" t="str">
        <f>IF(LEN(CW2)&gt;0,MID(CW2,1,FIND("W",CW2,1)-1),"")</f>
        <v/>
      </c>
      <c r="CU2" s="72" t="str">
        <f>IF(LEN(CW2)&gt;0,MID(CW2,FIND("W",CW2,1)+2,FIND("W",CW2,FIND("W",CW2,1)+1)-FIND("W",CW2,1)-2),"")</f>
        <v/>
      </c>
      <c r="CV2" s="72" t="str">
        <f>IF(LEN(CW2)&gt;0,MID(CW2,FIND("W",CW2,FIND("W",CW2,1)+1)+2,LEN(CW2)-FIND("W",CW2,FIND("W",CW2,1)+1)-2),"")</f>
        <v/>
      </c>
      <c r="CW2" s="75" t="str">
        <f>IF(E2&gt;5,LEFT(CF2,FIND(";",CF2,1)-1),CF2)</f>
        <v/>
      </c>
      <c r="CX2" s="75" t="str">
        <f>IF(E2&gt;5,LEFT(CG2,FIND("/",CG2,1)-1),CG2)</f>
        <v/>
      </c>
      <c r="CY2" s="75" t="str">
        <f>IF(E2&gt;5,LEFT(CH2,FIND(";",CH2,1)-1),CH2)</f>
        <v/>
      </c>
      <c r="CZ2" s="69"/>
      <c r="DA2" s="68" t="str">
        <f>IF(E2=6,RIGHT(CB2,LEN(CB2)-LEN(CL2)-1),"")</f>
        <v/>
      </c>
      <c r="DB2" s="68" t="str">
        <f>IF(D2=6,RIGHT(CC2,LEN(CC2)-LEN(CM2)-1),"")</f>
        <v/>
      </c>
      <c r="DC2" s="68" t="str">
        <f>IF(E2=6,RIGHT(CD2,LEN(CD2)-LEN(CN2)-1),"")</f>
        <v/>
      </c>
      <c r="DD2" s="75" t="str">
        <f>IF(DH2="","",(LEN(DH2)+1)/2)</f>
        <v/>
      </c>
      <c r="DE2" s="75" t="str">
        <f>MID(DH2,1,1)</f>
        <v/>
      </c>
      <c r="DF2" s="75" t="str">
        <f>MID(DH2,3,1)</f>
        <v/>
      </c>
      <c r="DG2" s="75" t="str">
        <f>MID(DH2,5,1)</f>
        <v/>
      </c>
      <c r="DH2" s="77" t="str">
        <f>IF(E2=6,RIGHT(CE2,LEN(CE2)-LEN(CS2)-1),"")</f>
        <v/>
      </c>
      <c r="DI2" s="72" t="str">
        <f>IF(LEN(DL2)&gt;0,MID(DL2,1,FIND("W",DL2,1)-1),"")</f>
        <v/>
      </c>
      <c r="DJ2" s="72" t="str">
        <f>IF(LEN(DL2)&gt;0,MID(DL2,FIND("W",DL2,1)+2,FIND("W",DL2,FIND("W",DL2,1)+1)-FIND("W",DL2,1)-2),"")</f>
        <v/>
      </c>
      <c r="DK2" s="72" t="str">
        <f>IF(LEN(DL2)&gt;0,MID(DL2,FIND("W",DL2,FIND("W",DL2,1)+1)+2,LEN(DL2)-FIND("W",DL2,FIND("W",DL2,1)+1)-2),"")</f>
        <v/>
      </c>
      <c r="DL2" s="77" t="str">
        <f>IF(E2=6,RIGHT(CF2,LEN(CF2)-LEN(CW2)-1),"")</f>
        <v/>
      </c>
      <c r="DM2" s="77" t="str">
        <f>IF(E2=6,RIGHT(CG2,LEN(CG2)-LEN(CX2)-1),"")</f>
        <v/>
      </c>
      <c r="DN2" s="77" t="str">
        <f>IF(E2=6,RIGHT(CH2,LEN(CH2)-LEN(CY2)-1),"")</f>
        <v/>
      </c>
      <c r="DO2" s="68"/>
      <c r="DP2" s="68"/>
      <c r="DQ2" s="68"/>
      <c r="DR2" s="68"/>
      <c r="DS2" s="68"/>
      <c r="DT2" s="68"/>
      <c r="DU2" s="68"/>
      <c r="DV2" s="68"/>
      <c r="DW2" s="68"/>
      <c r="DX2" s="68"/>
      <c r="DY2" s="68"/>
      <c r="DZ2" s="68"/>
      <c r="EA2" s="68">
        <f>Tonghop!AC2</f>
        <v>0</v>
      </c>
      <c r="EB2" s="68">
        <f>Tonghop!AD2</f>
        <v>12</v>
      </c>
      <c r="EC2" s="68" t="str">
        <f>Tonghop!AB2</f>
        <v>Không</v>
      </c>
      <c r="ED2" s="68" t="str">
        <f>Tonghop!AA2</f>
        <v/>
      </c>
      <c r="EE2" s="68" t="str">
        <f>Tonghop!V2</f>
        <v>Yes</v>
      </c>
      <c r="EF2" s="68" t="str">
        <f>Tonghop!W2</f>
        <v>Có</v>
      </c>
      <c r="EG2" s="68">
        <f>Tonghop!X2</f>
        <v>36</v>
      </c>
      <c r="EH2" s="68" t="str">
        <f>Tonghop!Y2</f>
        <v>Có</v>
      </c>
      <c r="EI2" s="68">
        <f>Tonghop!Z2</f>
        <v>24</v>
      </c>
      <c r="EJ2" s="195" t="str">
        <f>Tonghop!AE2</f>
        <v>Giấy kiểm định còn thời hạn 1/2022</v>
      </c>
    </row>
  </sheetData>
  <autoFilter ref="A1:EN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E188"/>
  <sheetViews>
    <sheetView tabSelected="1" topLeftCell="R1" zoomScale="85" zoomScaleNormal="85" workbookViewId="0">
      <selection activeCell="W5" sqref="W5"/>
    </sheetView>
  </sheetViews>
  <sheetFormatPr defaultColWidth="9.140625" defaultRowHeight="12.75"/>
  <cols>
    <col min="1" max="1" width="5" style="3" bestFit="1" customWidth="1"/>
    <col min="2" max="2" width="32.5703125" style="189" customWidth="1"/>
    <col min="3" max="3" width="16.5703125" style="3" customWidth="1"/>
    <col min="4" max="4" width="54.140625" style="3" customWidth="1"/>
    <col min="5" max="5" width="16.5703125" style="3" customWidth="1"/>
    <col min="6" max="6" width="9.42578125" style="3" customWidth="1"/>
    <col min="7" max="7" width="8" style="4" customWidth="1"/>
    <col min="8" max="8" width="8.5703125" style="199"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30" width="13" style="4" customWidth="1"/>
    <col min="31" max="31" width="22.85546875" style="4" customWidth="1"/>
    <col min="32" max="16384" width="9.140625" style="4"/>
  </cols>
  <sheetData>
    <row r="1" spans="1:31" s="3" customFormat="1" ht="57">
      <c r="A1" s="1" t="s">
        <v>0</v>
      </c>
      <c r="B1" s="187" t="s">
        <v>9</v>
      </c>
      <c r="C1" s="1" t="s">
        <v>16</v>
      </c>
      <c r="D1" s="1" t="s">
        <v>10</v>
      </c>
      <c r="E1" s="1" t="s">
        <v>230</v>
      </c>
      <c r="F1" s="1" t="s">
        <v>11</v>
      </c>
      <c r="G1" s="2" t="s">
        <v>12</v>
      </c>
      <c r="H1" s="2" t="s">
        <v>13</v>
      </c>
      <c r="I1" s="2" t="s">
        <v>14</v>
      </c>
      <c r="J1" s="2" t="s">
        <v>15</v>
      </c>
      <c r="K1" s="2" t="s">
        <v>2</v>
      </c>
      <c r="L1" s="2" t="s">
        <v>19</v>
      </c>
      <c r="M1" s="2" t="s">
        <v>17</v>
      </c>
      <c r="N1" s="2" t="s">
        <v>3</v>
      </c>
      <c r="O1" s="2" t="s">
        <v>4</v>
      </c>
      <c r="P1" s="2" t="s">
        <v>5</v>
      </c>
      <c r="Q1" s="2" t="s">
        <v>6</v>
      </c>
      <c r="R1" s="2" t="s">
        <v>7</v>
      </c>
      <c r="S1" s="2" t="s">
        <v>80</v>
      </c>
      <c r="T1" s="2" t="s">
        <v>18</v>
      </c>
      <c r="U1" s="2" t="s">
        <v>8</v>
      </c>
      <c r="V1" s="5" t="s">
        <v>20</v>
      </c>
      <c r="W1" s="5" t="s">
        <v>21</v>
      </c>
      <c r="X1" s="5" t="s">
        <v>71</v>
      </c>
      <c r="Y1" s="5" t="s">
        <v>259</v>
      </c>
      <c r="Z1" s="5" t="s">
        <v>257</v>
      </c>
      <c r="AA1" s="5" t="s">
        <v>267</v>
      </c>
      <c r="AB1" s="5" t="s">
        <v>292</v>
      </c>
      <c r="AC1" s="222" t="s">
        <v>299</v>
      </c>
      <c r="AD1" s="222" t="s">
        <v>300</v>
      </c>
      <c r="AE1" s="138" t="s">
        <v>197</v>
      </c>
    </row>
    <row r="2" spans="1:31" s="70" customFormat="1" ht="51">
      <c r="A2" s="80">
        <v>1</v>
      </c>
      <c r="B2" s="188" t="s">
        <v>301</v>
      </c>
      <c r="C2" s="81" t="s">
        <v>302</v>
      </c>
      <c r="D2" s="350" t="s">
        <v>303</v>
      </c>
      <c r="E2" s="164" t="s">
        <v>304</v>
      </c>
      <c r="F2" s="164" t="s">
        <v>305</v>
      </c>
      <c r="G2" s="164" t="s">
        <v>306</v>
      </c>
      <c r="H2" s="80">
        <v>3</v>
      </c>
      <c r="I2" s="164" t="s">
        <v>307</v>
      </c>
      <c r="J2" s="165">
        <v>43423</v>
      </c>
      <c r="K2" s="165">
        <v>43395</v>
      </c>
      <c r="L2" s="166" t="s">
        <v>308</v>
      </c>
      <c r="M2" s="166" t="s">
        <v>309</v>
      </c>
      <c r="N2" s="167" t="s">
        <v>310</v>
      </c>
      <c r="O2" s="166">
        <v>9</v>
      </c>
      <c r="P2" s="168" t="s">
        <v>311</v>
      </c>
      <c r="Q2" s="169" t="s">
        <v>312</v>
      </c>
      <c r="R2" s="170" t="s">
        <v>313</v>
      </c>
      <c r="S2" s="170" t="s">
        <v>314</v>
      </c>
      <c r="T2" s="171">
        <v>1</v>
      </c>
      <c r="U2" s="166" t="s">
        <v>315</v>
      </c>
      <c r="V2" s="166" t="s">
        <v>70</v>
      </c>
      <c r="W2" s="166" t="s">
        <v>316</v>
      </c>
      <c r="X2" s="166">
        <v>36</v>
      </c>
      <c r="Y2" s="166" t="s">
        <v>316</v>
      </c>
      <c r="Z2" s="166">
        <v>24</v>
      </c>
      <c r="AA2" s="166" t="s">
        <v>153</v>
      </c>
      <c r="AB2" s="166" t="s">
        <v>274</v>
      </c>
      <c r="AC2" s="166">
        <v>0</v>
      </c>
      <c r="AD2" s="166">
        <v>12</v>
      </c>
      <c r="AE2" s="198" t="s">
        <v>317</v>
      </c>
    </row>
    <row r="3" spans="1:31" ht="63.75">
      <c r="A3" s="80">
        <v>2</v>
      </c>
      <c r="B3" s="188" t="s">
        <v>301</v>
      </c>
      <c r="C3" s="81" t="s">
        <v>302</v>
      </c>
      <c r="D3" s="350" t="s">
        <v>318</v>
      </c>
      <c r="E3" s="164" t="s">
        <v>304</v>
      </c>
      <c r="F3" s="164" t="s">
        <v>319</v>
      </c>
      <c r="G3" s="164" t="s">
        <v>320</v>
      </c>
      <c r="H3" s="80">
        <v>4</v>
      </c>
      <c r="I3" s="164" t="s">
        <v>321</v>
      </c>
      <c r="J3" s="165">
        <v>43423</v>
      </c>
      <c r="K3" s="165">
        <v>43395</v>
      </c>
      <c r="L3" s="166" t="s">
        <v>322</v>
      </c>
      <c r="M3" s="166" t="s">
        <v>323</v>
      </c>
      <c r="N3" s="167" t="s">
        <v>324</v>
      </c>
      <c r="O3" s="166">
        <v>12</v>
      </c>
      <c r="P3" s="168" t="s">
        <v>325</v>
      </c>
      <c r="Q3" s="169" t="s">
        <v>326</v>
      </c>
      <c r="R3" s="170" t="s">
        <v>327</v>
      </c>
      <c r="S3" s="170" t="s">
        <v>328</v>
      </c>
      <c r="T3" s="171">
        <v>1</v>
      </c>
      <c r="U3" s="166" t="s">
        <v>329</v>
      </c>
      <c r="V3" s="166" t="s">
        <v>70</v>
      </c>
      <c r="W3" s="166" t="s">
        <v>274</v>
      </c>
      <c r="X3" s="166" t="s">
        <v>153</v>
      </c>
      <c r="Y3" s="166" t="s">
        <v>316</v>
      </c>
      <c r="Z3" s="166">
        <v>14</v>
      </c>
      <c r="AA3" s="166" t="s">
        <v>153</v>
      </c>
      <c r="AB3" s="166" t="s">
        <v>274</v>
      </c>
      <c r="AC3" s="166">
        <v>0</v>
      </c>
      <c r="AD3" s="166">
        <v>20</v>
      </c>
      <c r="AE3" s="198" t="s">
        <v>330</v>
      </c>
    </row>
    <row r="4" spans="1:31" ht="51">
      <c r="A4" s="80">
        <v>3</v>
      </c>
      <c r="B4" s="188" t="s">
        <v>301</v>
      </c>
      <c r="C4" s="81" t="s">
        <v>302</v>
      </c>
      <c r="D4" s="350" t="s">
        <v>331</v>
      </c>
      <c r="E4" s="164" t="s">
        <v>304</v>
      </c>
      <c r="F4" s="164" t="s">
        <v>332</v>
      </c>
      <c r="G4" s="164" t="s">
        <v>333</v>
      </c>
      <c r="H4" s="80">
        <v>3</v>
      </c>
      <c r="I4" s="164" t="s">
        <v>334</v>
      </c>
      <c r="J4" s="165">
        <v>43423</v>
      </c>
      <c r="K4" s="165">
        <v>43395</v>
      </c>
      <c r="L4" s="166" t="s">
        <v>308</v>
      </c>
      <c r="M4" s="166" t="s">
        <v>335</v>
      </c>
      <c r="N4" s="167" t="s">
        <v>336</v>
      </c>
      <c r="O4" s="166">
        <v>9</v>
      </c>
      <c r="P4" s="168" t="s">
        <v>311</v>
      </c>
      <c r="Q4" s="169" t="s">
        <v>312</v>
      </c>
      <c r="R4" s="170" t="s">
        <v>313</v>
      </c>
      <c r="S4" s="170" t="s">
        <v>337</v>
      </c>
      <c r="T4" s="171">
        <v>1</v>
      </c>
      <c r="U4" s="166" t="s">
        <v>315</v>
      </c>
      <c r="V4" s="166" t="s">
        <v>70</v>
      </c>
      <c r="W4" s="166" t="s">
        <v>274</v>
      </c>
      <c r="X4" s="166" t="s">
        <v>153</v>
      </c>
      <c r="Y4" s="166" t="s">
        <v>316</v>
      </c>
      <c r="Z4" s="166">
        <v>17</v>
      </c>
      <c r="AA4" s="166" t="s">
        <v>153</v>
      </c>
      <c r="AB4" s="166" t="s">
        <v>274</v>
      </c>
      <c r="AC4" s="166">
        <v>0</v>
      </c>
      <c r="AD4" s="166">
        <v>11</v>
      </c>
      <c r="AE4" s="198" t="s">
        <v>153</v>
      </c>
    </row>
    <row r="5" spans="1:31" ht="51">
      <c r="A5" s="80">
        <v>4</v>
      </c>
      <c r="B5" s="188" t="s">
        <v>301</v>
      </c>
      <c r="C5" s="81" t="s">
        <v>302</v>
      </c>
      <c r="D5" s="350" t="s">
        <v>338</v>
      </c>
      <c r="E5" s="164" t="s">
        <v>304</v>
      </c>
      <c r="F5" s="164" t="s">
        <v>339</v>
      </c>
      <c r="G5" s="164" t="s">
        <v>340</v>
      </c>
      <c r="H5" s="80">
        <v>3</v>
      </c>
      <c r="I5" s="164" t="s">
        <v>341</v>
      </c>
      <c r="J5" s="165">
        <v>43423</v>
      </c>
      <c r="K5" s="165">
        <v>43395</v>
      </c>
      <c r="L5" s="166" t="s">
        <v>308</v>
      </c>
      <c r="M5" s="166" t="s">
        <v>342</v>
      </c>
      <c r="N5" s="167" t="s">
        <v>310</v>
      </c>
      <c r="O5" s="166">
        <v>9</v>
      </c>
      <c r="P5" s="168" t="s">
        <v>343</v>
      </c>
      <c r="Q5" s="169" t="s">
        <v>344</v>
      </c>
      <c r="R5" s="170" t="s">
        <v>345</v>
      </c>
      <c r="S5" s="170" t="s">
        <v>346</v>
      </c>
      <c r="T5" s="171">
        <v>1</v>
      </c>
      <c r="U5" s="166" t="s">
        <v>347</v>
      </c>
      <c r="V5" s="166" t="s">
        <v>70</v>
      </c>
      <c r="W5" s="166" t="s">
        <v>274</v>
      </c>
      <c r="X5" s="166" t="s">
        <v>153</v>
      </c>
      <c r="Y5" s="166" t="s">
        <v>316</v>
      </c>
      <c r="Z5" s="166">
        <v>-1</v>
      </c>
      <c r="AA5" s="166" t="s">
        <v>153</v>
      </c>
      <c r="AB5" s="166" t="s">
        <v>274</v>
      </c>
      <c r="AC5" s="166">
        <v>11</v>
      </c>
      <c r="AD5" s="166" t="s">
        <v>348</v>
      </c>
      <c r="AE5" s="198" t="s">
        <v>153</v>
      </c>
    </row>
    <row r="6" spans="1:31" ht="51">
      <c r="A6" s="80">
        <v>5</v>
      </c>
      <c r="B6" s="188" t="s">
        <v>301</v>
      </c>
      <c r="C6" s="81" t="s">
        <v>302</v>
      </c>
      <c r="D6" s="350" t="s">
        <v>349</v>
      </c>
      <c r="E6" s="164" t="s">
        <v>304</v>
      </c>
      <c r="F6" s="164" t="s">
        <v>350</v>
      </c>
      <c r="G6" s="164" t="s">
        <v>351</v>
      </c>
      <c r="H6" s="80">
        <v>3</v>
      </c>
      <c r="I6" s="164" t="s">
        <v>352</v>
      </c>
      <c r="J6" s="165">
        <v>43423</v>
      </c>
      <c r="K6" s="165">
        <v>43395</v>
      </c>
      <c r="L6" s="166" t="s">
        <v>308</v>
      </c>
      <c r="M6" s="166" t="s">
        <v>353</v>
      </c>
      <c r="N6" s="167" t="s">
        <v>354</v>
      </c>
      <c r="O6" s="166">
        <v>9</v>
      </c>
      <c r="P6" s="168" t="s">
        <v>355</v>
      </c>
      <c r="Q6" s="169" t="s">
        <v>356</v>
      </c>
      <c r="R6" s="170" t="s">
        <v>313</v>
      </c>
      <c r="S6" s="170" t="s">
        <v>357</v>
      </c>
      <c r="T6" s="171">
        <v>1</v>
      </c>
      <c r="U6" s="166" t="s">
        <v>315</v>
      </c>
      <c r="V6" s="166" t="s">
        <v>70</v>
      </c>
      <c r="W6" s="166" t="s">
        <v>316</v>
      </c>
      <c r="X6" s="166">
        <v>35</v>
      </c>
      <c r="Y6" s="166" t="s">
        <v>316</v>
      </c>
      <c r="Z6" s="166">
        <v>19</v>
      </c>
      <c r="AA6" s="166" t="s">
        <v>153</v>
      </c>
      <c r="AB6" s="166" t="s">
        <v>274</v>
      </c>
      <c r="AC6" s="166">
        <v>0</v>
      </c>
      <c r="AD6" s="166">
        <v>16</v>
      </c>
      <c r="AE6" s="198" t="s">
        <v>358</v>
      </c>
    </row>
    <row r="7" spans="1:31" ht="51">
      <c r="A7" s="80">
        <v>6</v>
      </c>
      <c r="B7" s="188" t="s">
        <v>301</v>
      </c>
      <c r="C7" s="81" t="s">
        <v>302</v>
      </c>
      <c r="D7" s="350" t="s">
        <v>359</v>
      </c>
      <c r="E7" s="164" t="s">
        <v>304</v>
      </c>
      <c r="F7" s="164" t="s">
        <v>360</v>
      </c>
      <c r="G7" s="164" t="s">
        <v>361</v>
      </c>
      <c r="H7" s="80">
        <v>3</v>
      </c>
      <c r="I7" s="164" t="s">
        <v>362</v>
      </c>
      <c r="J7" s="165">
        <v>43423</v>
      </c>
      <c r="K7" s="165">
        <v>43395</v>
      </c>
      <c r="L7" s="166" t="s">
        <v>308</v>
      </c>
      <c r="M7" s="166" t="s">
        <v>363</v>
      </c>
      <c r="N7" s="167" t="s">
        <v>354</v>
      </c>
      <c r="O7" s="166">
        <v>9</v>
      </c>
      <c r="P7" s="168" t="s">
        <v>355</v>
      </c>
      <c r="Q7" s="169" t="s">
        <v>356</v>
      </c>
      <c r="R7" s="170" t="s">
        <v>313</v>
      </c>
      <c r="S7" s="170" t="s">
        <v>364</v>
      </c>
      <c r="T7" s="171">
        <v>1</v>
      </c>
      <c r="U7" s="166" t="s">
        <v>315</v>
      </c>
      <c r="V7" s="166" t="s">
        <v>70</v>
      </c>
      <c r="W7" s="166" t="s">
        <v>274</v>
      </c>
      <c r="X7" s="166" t="s">
        <v>153</v>
      </c>
      <c r="Y7" s="166" t="s">
        <v>316</v>
      </c>
      <c r="Z7" s="166">
        <v>16</v>
      </c>
      <c r="AA7" s="166" t="s">
        <v>153</v>
      </c>
      <c r="AB7" s="166" t="s">
        <v>274</v>
      </c>
      <c r="AC7" s="166">
        <v>0</v>
      </c>
      <c r="AD7" s="166">
        <v>10</v>
      </c>
      <c r="AE7" s="198" t="s">
        <v>358</v>
      </c>
    </row>
    <row r="8" spans="1:31" ht="51">
      <c r="A8" s="80">
        <v>7</v>
      </c>
      <c r="B8" s="188" t="s">
        <v>301</v>
      </c>
      <c r="C8" s="81" t="s">
        <v>302</v>
      </c>
      <c r="D8" s="350" t="s">
        <v>365</v>
      </c>
      <c r="E8" s="164" t="s">
        <v>304</v>
      </c>
      <c r="F8" s="164" t="s">
        <v>366</v>
      </c>
      <c r="G8" s="164" t="s">
        <v>367</v>
      </c>
      <c r="H8" s="80">
        <v>3</v>
      </c>
      <c r="I8" s="164" t="s">
        <v>368</v>
      </c>
      <c r="J8" s="165">
        <v>43423</v>
      </c>
      <c r="K8" s="165">
        <v>43395</v>
      </c>
      <c r="L8" s="166" t="s">
        <v>308</v>
      </c>
      <c r="M8" s="166" t="s">
        <v>369</v>
      </c>
      <c r="N8" s="167" t="s">
        <v>336</v>
      </c>
      <c r="O8" s="166">
        <v>9</v>
      </c>
      <c r="P8" s="168" t="s">
        <v>311</v>
      </c>
      <c r="Q8" s="169" t="s">
        <v>312</v>
      </c>
      <c r="R8" s="170" t="s">
        <v>313</v>
      </c>
      <c r="S8" s="170" t="s">
        <v>370</v>
      </c>
      <c r="T8" s="171">
        <v>1</v>
      </c>
      <c r="U8" s="166" t="s">
        <v>315</v>
      </c>
      <c r="V8" s="166" t="s">
        <v>70</v>
      </c>
      <c r="W8" s="166" t="s">
        <v>274</v>
      </c>
      <c r="X8" s="166" t="s">
        <v>153</v>
      </c>
      <c r="Y8" s="166" t="s">
        <v>316</v>
      </c>
      <c r="Z8" s="166">
        <v>8</v>
      </c>
      <c r="AA8" s="166" t="s">
        <v>153</v>
      </c>
      <c r="AB8" s="166" t="s">
        <v>274</v>
      </c>
      <c r="AC8" s="166">
        <v>0</v>
      </c>
      <c r="AD8" s="166">
        <v>16</v>
      </c>
      <c r="AE8" s="198" t="s">
        <v>330</v>
      </c>
    </row>
    <row r="9" spans="1:31" ht="51">
      <c r="A9" s="80">
        <v>8</v>
      </c>
      <c r="B9" s="188" t="s">
        <v>301</v>
      </c>
      <c r="C9" s="81" t="s">
        <v>302</v>
      </c>
      <c r="D9" s="350" t="s">
        <v>371</v>
      </c>
      <c r="E9" s="164" t="s">
        <v>304</v>
      </c>
      <c r="F9" s="164" t="s">
        <v>372</v>
      </c>
      <c r="G9" s="164" t="s">
        <v>373</v>
      </c>
      <c r="H9" s="80">
        <v>3</v>
      </c>
      <c r="I9" s="164" t="s">
        <v>374</v>
      </c>
      <c r="J9" s="165">
        <v>43423</v>
      </c>
      <c r="K9" s="165">
        <v>43395</v>
      </c>
      <c r="L9" s="166" t="s">
        <v>308</v>
      </c>
      <c r="M9" s="166" t="s">
        <v>375</v>
      </c>
      <c r="N9" s="167" t="s">
        <v>354</v>
      </c>
      <c r="O9" s="166">
        <v>9</v>
      </c>
      <c r="P9" s="168" t="s">
        <v>355</v>
      </c>
      <c r="Q9" s="169" t="s">
        <v>356</v>
      </c>
      <c r="R9" s="170" t="s">
        <v>313</v>
      </c>
      <c r="S9" s="170" t="s">
        <v>376</v>
      </c>
      <c r="T9" s="171">
        <v>1</v>
      </c>
      <c r="U9" s="166" t="s">
        <v>315</v>
      </c>
      <c r="V9" s="166" t="s">
        <v>70</v>
      </c>
      <c r="W9" s="166" t="s">
        <v>274</v>
      </c>
      <c r="X9" s="166" t="s">
        <v>153</v>
      </c>
      <c r="Y9" s="166" t="s">
        <v>316</v>
      </c>
      <c r="Z9" s="166">
        <v>-7</v>
      </c>
      <c r="AA9" s="166" t="s">
        <v>153</v>
      </c>
      <c r="AB9" s="166" t="s">
        <v>274</v>
      </c>
      <c r="AC9" s="166">
        <v>12</v>
      </c>
      <c r="AD9" s="166">
        <v>35</v>
      </c>
      <c r="AE9" s="198" t="s">
        <v>153</v>
      </c>
    </row>
    <row r="10" spans="1:31" ht="63.75">
      <c r="A10" s="80">
        <v>9</v>
      </c>
      <c r="B10" s="188" t="s">
        <v>301</v>
      </c>
      <c r="C10" s="81" t="s">
        <v>302</v>
      </c>
      <c r="D10" s="350" t="s">
        <v>377</v>
      </c>
      <c r="E10" s="164" t="s">
        <v>304</v>
      </c>
      <c r="F10" s="164" t="s">
        <v>378</v>
      </c>
      <c r="G10" s="164" t="s">
        <v>379</v>
      </c>
      <c r="H10" s="80">
        <v>4</v>
      </c>
      <c r="I10" s="164" t="s">
        <v>380</v>
      </c>
      <c r="J10" s="165">
        <v>43423</v>
      </c>
      <c r="K10" s="165">
        <v>43396</v>
      </c>
      <c r="L10" s="166" t="s">
        <v>322</v>
      </c>
      <c r="M10" s="166" t="s">
        <v>381</v>
      </c>
      <c r="N10" s="167" t="s">
        <v>324</v>
      </c>
      <c r="O10" s="166">
        <v>12</v>
      </c>
      <c r="P10" s="168" t="s">
        <v>382</v>
      </c>
      <c r="Q10" s="169" t="s">
        <v>326</v>
      </c>
      <c r="R10" s="170" t="s">
        <v>327</v>
      </c>
      <c r="S10" s="170" t="s">
        <v>383</v>
      </c>
      <c r="T10" s="171">
        <v>1</v>
      </c>
      <c r="U10" s="166" t="s">
        <v>329</v>
      </c>
      <c r="V10" s="166" t="s">
        <v>70</v>
      </c>
      <c r="W10" s="166" t="s">
        <v>274</v>
      </c>
      <c r="X10" s="166" t="s">
        <v>153</v>
      </c>
      <c r="Y10" s="166" t="s">
        <v>316</v>
      </c>
      <c r="Z10" s="166">
        <v>19</v>
      </c>
      <c r="AA10" s="166" t="s">
        <v>153</v>
      </c>
      <c r="AB10" s="166" t="s">
        <v>274</v>
      </c>
      <c r="AC10" s="166">
        <v>34</v>
      </c>
      <c r="AD10" s="166">
        <v>15</v>
      </c>
      <c r="AE10" s="198" t="s">
        <v>330</v>
      </c>
    </row>
    <row r="11" spans="1:31" ht="63.75">
      <c r="A11" s="80">
        <v>10</v>
      </c>
      <c r="B11" s="188" t="s">
        <v>301</v>
      </c>
      <c r="C11" s="81" t="s">
        <v>302</v>
      </c>
      <c r="D11" s="350" t="s">
        <v>384</v>
      </c>
      <c r="E11" s="164" t="s">
        <v>304</v>
      </c>
      <c r="F11" s="164" t="s">
        <v>385</v>
      </c>
      <c r="G11" s="164" t="s">
        <v>386</v>
      </c>
      <c r="H11" s="80">
        <v>3</v>
      </c>
      <c r="I11" s="164" t="s">
        <v>387</v>
      </c>
      <c r="J11" s="165">
        <v>43423</v>
      </c>
      <c r="K11" s="165">
        <v>43397</v>
      </c>
      <c r="L11" s="166" t="s">
        <v>308</v>
      </c>
      <c r="M11" s="166" t="s">
        <v>388</v>
      </c>
      <c r="N11" s="167" t="s">
        <v>354</v>
      </c>
      <c r="O11" s="166">
        <v>9</v>
      </c>
      <c r="P11" s="168" t="s">
        <v>389</v>
      </c>
      <c r="Q11" s="169" t="s">
        <v>356</v>
      </c>
      <c r="R11" s="170" t="s">
        <v>313</v>
      </c>
      <c r="S11" s="170" t="s">
        <v>390</v>
      </c>
      <c r="T11" s="171">
        <v>1</v>
      </c>
      <c r="U11" s="166" t="s">
        <v>315</v>
      </c>
      <c r="V11" s="166" t="s">
        <v>70</v>
      </c>
      <c r="W11" s="166" t="s">
        <v>274</v>
      </c>
      <c r="X11" s="166" t="s">
        <v>153</v>
      </c>
      <c r="Y11" s="166" t="s">
        <v>316</v>
      </c>
      <c r="Z11" s="166">
        <v>-37</v>
      </c>
      <c r="AA11" s="166" t="s">
        <v>153</v>
      </c>
      <c r="AB11" s="166" t="s">
        <v>274</v>
      </c>
      <c r="AC11" s="166">
        <v>28</v>
      </c>
      <c r="AD11" s="166">
        <v>60</v>
      </c>
      <c r="AE11" s="198" t="s">
        <v>358</v>
      </c>
    </row>
    <row r="12" spans="1:31" ht="51">
      <c r="A12" s="80">
        <v>11</v>
      </c>
      <c r="B12" s="188" t="s">
        <v>301</v>
      </c>
      <c r="C12" s="81" t="s">
        <v>302</v>
      </c>
      <c r="D12" s="350" t="s">
        <v>391</v>
      </c>
      <c r="E12" s="164" t="s">
        <v>304</v>
      </c>
      <c r="F12" s="164" t="s">
        <v>392</v>
      </c>
      <c r="G12" s="164" t="s">
        <v>393</v>
      </c>
      <c r="H12" s="80">
        <v>3</v>
      </c>
      <c r="I12" s="164" t="s">
        <v>394</v>
      </c>
      <c r="J12" s="165">
        <v>43423</v>
      </c>
      <c r="K12" s="165">
        <v>43396</v>
      </c>
      <c r="L12" s="166" t="s">
        <v>308</v>
      </c>
      <c r="M12" s="166" t="s">
        <v>395</v>
      </c>
      <c r="N12" s="167" t="s">
        <v>354</v>
      </c>
      <c r="O12" s="166">
        <v>9</v>
      </c>
      <c r="P12" s="168" t="s">
        <v>311</v>
      </c>
      <c r="Q12" s="169" t="s">
        <v>356</v>
      </c>
      <c r="R12" s="170" t="s">
        <v>313</v>
      </c>
      <c r="S12" s="170" t="s">
        <v>396</v>
      </c>
      <c r="T12" s="171">
        <v>1</v>
      </c>
      <c r="U12" s="166" t="s">
        <v>315</v>
      </c>
      <c r="V12" s="166" t="s">
        <v>70</v>
      </c>
      <c r="W12" s="166" t="s">
        <v>274</v>
      </c>
      <c r="X12" s="166" t="s">
        <v>153</v>
      </c>
      <c r="Y12" s="166" t="s">
        <v>316</v>
      </c>
      <c r="Z12" s="166">
        <v>8</v>
      </c>
      <c r="AA12" s="166" t="s">
        <v>153</v>
      </c>
      <c r="AB12" s="166" t="s">
        <v>274</v>
      </c>
      <c r="AC12" s="166">
        <v>0</v>
      </c>
      <c r="AD12" s="166">
        <v>19</v>
      </c>
      <c r="AE12" s="198" t="s">
        <v>330</v>
      </c>
    </row>
    <row r="13" spans="1:31" ht="51">
      <c r="A13" s="80">
        <v>12</v>
      </c>
      <c r="B13" s="188" t="s">
        <v>301</v>
      </c>
      <c r="C13" s="81" t="s">
        <v>302</v>
      </c>
      <c r="D13" s="350" t="s">
        <v>397</v>
      </c>
      <c r="E13" s="164" t="s">
        <v>304</v>
      </c>
      <c r="F13" s="164" t="s">
        <v>398</v>
      </c>
      <c r="G13" s="164" t="s">
        <v>399</v>
      </c>
      <c r="H13" s="80">
        <v>3</v>
      </c>
      <c r="I13" s="164" t="s">
        <v>400</v>
      </c>
      <c r="J13" s="165">
        <v>43423</v>
      </c>
      <c r="K13" s="165">
        <v>43396</v>
      </c>
      <c r="L13" s="166" t="s">
        <v>308</v>
      </c>
      <c r="M13" s="166" t="s">
        <v>401</v>
      </c>
      <c r="N13" s="167" t="s">
        <v>310</v>
      </c>
      <c r="O13" s="166">
        <v>9</v>
      </c>
      <c r="P13" s="168" t="s">
        <v>402</v>
      </c>
      <c r="Q13" s="169" t="s">
        <v>312</v>
      </c>
      <c r="R13" s="170" t="s">
        <v>313</v>
      </c>
      <c r="S13" s="170" t="s">
        <v>403</v>
      </c>
      <c r="T13" s="171">
        <v>1</v>
      </c>
      <c r="U13" s="166" t="s">
        <v>315</v>
      </c>
      <c r="V13" s="166" t="s">
        <v>70</v>
      </c>
      <c r="W13" s="166" t="s">
        <v>274</v>
      </c>
      <c r="X13" s="166" t="s">
        <v>153</v>
      </c>
      <c r="Y13" s="166" t="s">
        <v>316</v>
      </c>
      <c r="Z13" s="166">
        <v>8</v>
      </c>
      <c r="AA13" s="166" t="s">
        <v>153</v>
      </c>
      <c r="AB13" s="166" t="s">
        <v>274</v>
      </c>
      <c r="AC13" s="166">
        <v>14</v>
      </c>
      <c r="AD13" s="166">
        <v>16</v>
      </c>
      <c r="AE13" s="198" t="s">
        <v>317</v>
      </c>
    </row>
    <row r="14" spans="1:31" ht="51">
      <c r="A14" s="80">
        <v>13</v>
      </c>
      <c r="B14" s="188" t="s">
        <v>301</v>
      </c>
      <c r="C14" s="81" t="s">
        <v>302</v>
      </c>
      <c r="D14" s="350" t="s">
        <v>404</v>
      </c>
      <c r="E14" s="164" t="s">
        <v>304</v>
      </c>
      <c r="F14" s="164" t="s">
        <v>405</v>
      </c>
      <c r="G14" s="164" t="s">
        <v>406</v>
      </c>
      <c r="H14" s="80">
        <v>3</v>
      </c>
      <c r="I14" s="164" t="s">
        <v>407</v>
      </c>
      <c r="J14" s="165">
        <v>43423</v>
      </c>
      <c r="K14" s="165">
        <v>43396</v>
      </c>
      <c r="L14" s="166" t="s">
        <v>308</v>
      </c>
      <c r="M14" s="166" t="s">
        <v>408</v>
      </c>
      <c r="N14" s="167" t="s">
        <v>336</v>
      </c>
      <c r="O14" s="166">
        <v>9</v>
      </c>
      <c r="P14" s="168" t="s">
        <v>311</v>
      </c>
      <c r="Q14" s="169" t="s">
        <v>312</v>
      </c>
      <c r="R14" s="170" t="s">
        <v>313</v>
      </c>
      <c r="S14" s="170" t="s">
        <v>409</v>
      </c>
      <c r="T14" s="171">
        <v>1</v>
      </c>
      <c r="U14" s="166" t="s">
        <v>315</v>
      </c>
      <c r="V14" s="166" t="s">
        <v>70</v>
      </c>
      <c r="W14" s="166" t="s">
        <v>274</v>
      </c>
      <c r="X14" s="166" t="s">
        <v>153</v>
      </c>
      <c r="Y14" s="166" t="s">
        <v>316</v>
      </c>
      <c r="Z14" s="166">
        <v>7</v>
      </c>
      <c r="AA14" s="166" t="s">
        <v>153</v>
      </c>
      <c r="AB14" s="166" t="s">
        <v>274</v>
      </c>
      <c r="AC14" s="166">
        <v>0</v>
      </c>
      <c r="AD14" s="166">
        <v>25</v>
      </c>
      <c r="AE14" s="198" t="s">
        <v>358</v>
      </c>
    </row>
    <row r="15" spans="1:31" ht="51">
      <c r="A15" s="80">
        <v>14</v>
      </c>
      <c r="B15" s="188" t="s">
        <v>301</v>
      </c>
      <c r="C15" s="81" t="s">
        <v>302</v>
      </c>
      <c r="D15" s="350" t="s">
        <v>410</v>
      </c>
      <c r="E15" s="164" t="s">
        <v>304</v>
      </c>
      <c r="F15" s="164" t="s">
        <v>411</v>
      </c>
      <c r="G15" s="164" t="s">
        <v>412</v>
      </c>
      <c r="H15" s="80">
        <v>3</v>
      </c>
      <c r="I15" s="164" t="s">
        <v>413</v>
      </c>
      <c r="J15" s="165">
        <v>43423</v>
      </c>
      <c r="K15" s="165">
        <v>43396</v>
      </c>
      <c r="L15" s="166" t="s">
        <v>308</v>
      </c>
      <c r="M15" s="166" t="s">
        <v>414</v>
      </c>
      <c r="N15" s="167" t="s">
        <v>336</v>
      </c>
      <c r="O15" s="166">
        <v>9</v>
      </c>
      <c r="P15" s="168" t="s">
        <v>355</v>
      </c>
      <c r="Q15" s="169" t="s">
        <v>312</v>
      </c>
      <c r="R15" s="170" t="s">
        <v>313</v>
      </c>
      <c r="S15" s="170" t="s">
        <v>415</v>
      </c>
      <c r="T15" s="171">
        <v>1</v>
      </c>
      <c r="U15" s="166" t="s">
        <v>315</v>
      </c>
      <c r="V15" s="166" t="s">
        <v>70</v>
      </c>
      <c r="W15" s="166" t="s">
        <v>274</v>
      </c>
      <c r="X15" s="166" t="s">
        <v>153</v>
      </c>
      <c r="Y15" s="166" t="s">
        <v>316</v>
      </c>
      <c r="Z15" s="166">
        <v>11</v>
      </c>
      <c r="AA15" s="166" t="s">
        <v>153</v>
      </c>
      <c r="AB15" s="166" t="s">
        <v>274</v>
      </c>
      <c r="AC15" s="166">
        <v>9</v>
      </c>
      <c r="AD15" s="166">
        <v>11</v>
      </c>
      <c r="AE15" s="198" t="s">
        <v>416</v>
      </c>
    </row>
    <row r="16" spans="1:31" ht="51">
      <c r="A16" s="80">
        <v>15</v>
      </c>
      <c r="B16" s="188" t="s">
        <v>301</v>
      </c>
      <c r="C16" s="81" t="s">
        <v>302</v>
      </c>
      <c r="D16" s="350" t="s">
        <v>417</v>
      </c>
      <c r="E16" s="164" t="s">
        <v>304</v>
      </c>
      <c r="F16" s="164" t="s">
        <v>418</v>
      </c>
      <c r="G16" s="164" t="s">
        <v>419</v>
      </c>
      <c r="H16" s="80">
        <v>3</v>
      </c>
      <c r="I16" s="164" t="s">
        <v>420</v>
      </c>
      <c r="J16" s="165">
        <v>43423</v>
      </c>
      <c r="K16" s="165">
        <v>43396</v>
      </c>
      <c r="L16" s="166" t="s">
        <v>308</v>
      </c>
      <c r="M16" s="166" t="s">
        <v>421</v>
      </c>
      <c r="N16" s="167" t="s">
        <v>336</v>
      </c>
      <c r="O16" s="166">
        <v>9</v>
      </c>
      <c r="P16" s="168" t="s">
        <v>311</v>
      </c>
      <c r="Q16" s="169" t="s">
        <v>312</v>
      </c>
      <c r="R16" s="170" t="s">
        <v>313</v>
      </c>
      <c r="S16" s="170" t="s">
        <v>422</v>
      </c>
      <c r="T16" s="171">
        <v>1</v>
      </c>
      <c r="U16" s="166" t="s">
        <v>315</v>
      </c>
      <c r="V16" s="166" t="s">
        <v>70</v>
      </c>
      <c r="W16" s="166" t="s">
        <v>274</v>
      </c>
      <c r="X16" s="166" t="s">
        <v>153</v>
      </c>
      <c r="Y16" s="166" t="s">
        <v>316</v>
      </c>
      <c r="Z16" s="166">
        <v>2</v>
      </c>
      <c r="AA16" s="166" t="s">
        <v>153</v>
      </c>
      <c r="AB16" s="166" t="s">
        <v>274</v>
      </c>
      <c r="AC16" s="166">
        <v>0</v>
      </c>
      <c r="AD16" s="166">
        <v>29</v>
      </c>
      <c r="AE16" s="198" t="s">
        <v>358</v>
      </c>
    </row>
    <row r="17" spans="1:31" ht="51">
      <c r="A17" s="80">
        <v>16</v>
      </c>
      <c r="B17" s="188" t="s">
        <v>301</v>
      </c>
      <c r="C17" s="81" t="s">
        <v>302</v>
      </c>
      <c r="D17" s="350" t="s">
        <v>423</v>
      </c>
      <c r="E17" s="164" t="s">
        <v>304</v>
      </c>
      <c r="F17" s="164" t="s">
        <v>424</v>
      </c>
      <c r="G17" s="164" t="s">
        <v>425</v>
      </c>
      <c r="H17" s="80">
        <v>3</v>
      </c>
      <c r="I17" s="164" t="s">
        <v>426</v>
      </c>
      <c r="J17" s="165">
        <v>43423</v>
      </c>
      <c r="K17" s="165">
        <v>43396</v>
      </c>
      <c r="L17" s="166" t="s">
        <v>308</v>
      </c>
      <c r="M17" s="166" t="s">
        <v>427</v>
      </c>
      <c r="N17" s="167" t="s">
        <v>310</v>
      </c>
      <c r="O17" s="166">
        <v>9</v>
      </c>
      <c r="P17" s="168" t="s">
        <v>311</v>
      </c>
      <c r="Q17" s="169" t="s">
        <v>312</v>
      </c>
      <c r="R17" s="170" t="s">
        <v>313</v>
      </c>
      <c r="S17" s="170" t="s">
        <v>428</v>
      </c>
      <c r="T17" s="171">
        <v>1</v>
      </c>
      <c r="U17" s="166" t="s">
        <v>315</v>
      </c>
      <c r="V17" s="166" t="s">
        <v>70</v>
      </c>
      <c r="W17" s="166" t="s">
        <v>274</v>
      </c>
      <c r="X17" s="166" t="s">
        <v>153</v>
      </c>
      <c r="Y17" s="166" t="s">
        <v>316</v>
      </c>
      <c r="Z17" s="166">
        <v>15</v>
      </c>
      <c r="AA17" s="166" t="s">
        <v>153</v>
      </c>
      <c r="AB17" s="166" t="s">
        <v>274</v>
      </c>
      <c r="AC17" s="166">
        <v>0</v>
      </c>
      <c r="AD17" s="166">
        <v>12</v>
      </c>
      <c r="AE17" s="198" t="s">
        <v>358</v>
      </c>
    </row>
    <row r="18" spans="1:31" ht="63.75">
      <c r="A18" s="80">
        <v>17</v>
      </c>
      <c r="B18" s="188" t="s">
        <v>301</v>
      </c>
      <c r="C18" s="81" t="s">
        <v>302</v>
      </c>
      <c r="D18" s="350" t="s">
        <v>429</v>
      </c>
      <c r="E18" s="164" t="s">
        <v>304</v>
      </c>
      <c r="F18" s="164" t="s">
        <v>430</v>
      </c>
      <c r="G18" s="164" t="s">
        <v>431</v>
      </c>
      <c r="H18" s="80">
        <v>4</v>
      </c>
      <c r="I18" s="164" t="s">
        <v>432</v>
      </c>
      <c r="J18" s="165">
        <v>43423</v>
      </c>
      <c r="K18" s="165">
        <v>43397</v>
      </c>
      <c r="L18" s="166" t="s">
        <v>322</v>
      </c>
      <c r="M18" s="166" t="s">
        <v>433</v>
      </c>
      <c r="N18" s="167" t="s">
        <v>324</v>
      </c>
      <c r="O18" s="166">
        <v>12</v>
      </c>
      <c r="P18" s="168" t="s">
        <v>434</v>
      </c>
      <c r="Q18" s="169" t="s">
        <v>326</v>
      </c>
      <c r="R18" s="170" t="s">
        <v>327</v>
      </c>
      <c r="S18" s="170" t="s">
        <v>435</v>
      </c>
      <c r="T18" s="171">
        <v>1</v>
      </c>
      <c r="U18" s="166" t="s">
        <v>329</v>
      </c>
      <c r="V18" s="166" t="s">
        <v>70</v>
      </c>
      <c r="W18" s="166" t="s">
        <v>274</v>
      </c>
      <c r="X18" s="166" t="s">
        <v>153</v>
      </c>
      <c r="Y18" s="166" t="s">
        <v>316</v>
      </c>
      <c r="Z18" s="166">
        <v>-6</v>
      </c>
      <c r="AA18" s="166" t="s">
        <v>153</v>
      </c>
      <c r="AB18" s="166" t="s">
        <v>316</v>
      </c>
      <c r="AC18" s="166">
        <v>0</v>
      </c>
      <c r="AD18" s="166" t="s">
        <v>436</v>
      </c>
      <c r="AE18" s="198" t="s">
        <v>153</v>
      </c>
    </row>
    <row r="19" spans="1:31" ht="63.75">
      <c r="A19" s="80">
        <v>18</v>
      </c>
      <c r="B19" s="188" t="s">
        <v>301</v>
      </c>
      <c r="C19" s="81" t="s">
        <v>302</v>
      </c>
      <c r="D19" s="350" t="s">
        <v>437</v>
      </c>
      <c r="E19" s="164" t="s">
        <v>304</v>
      </c>
      <c r="F19" s="164" t="s">
        <v>438</v>
      </c>
      <c r="G19" s="164" t="s">
        <v>439</v>
      </c>
      <c r="H19" s="80">
        <v>3</v>
      </c>
      <c r="I19" s="164" t="s">
        <v>440</v>
      </c>
      <c r="J19" s="165">
        <v>43423</v>
      </c>
      <c r="K19" s="165">
        <v>43397</v>
      </c>
      <c r="L19" s="166" t="s">
        <v>308</v>
      </c>
      <c r="M19" s="166" t="s">
        <v>441</v>
      </c>
      <c r="N19" s="167" t="s">
        <v>336</v>
      </c>
      <c r="O19" s="166">
        <v>9</v>
      </c>
      <c r="P19" s="168" t="s">
        <v>355</v>
      </c>
      <c r="Q19" s="169" t="s">
        <v>312</v>
      </c>
      <c r="R19" s="170" t="s">
        <v>313</v>
      </c>
      <c r="S19" s="170" t="s">
        <v>442</v>
      </c>
      <c r="T19" s="171">
        <v>1</v>
      </c>
      <c r="U19" s="166" t="s">
        <v>315</v>
      </c>
      <c r="V19" s="166" t="s">
        <v>70</v>
      </c>
      <c r="W19" s="166" t="s">
        <v>274</v>
      </c>
      <c r="X19" s="166" t="s">
        <v>153</v>
      </c>
      <c r="Y19" s="166" t="s">
        <v>316</v>
      </c>
      <c r="Z19" s="166">
        <v>17</v>
      </c>
      <c r="AA19" s="166" t="s">
        <v>153</v>
      </c>
      <c r="AB19" s="166" t="s">
        <v>274</v>
      </c>
      <c r="AC19" s="166">
        <v>26.5</v>
      </c>
      <c r="AD19" s="166">
        <v>8</v>
      </c>
      <c r="AE19" s="198" t="s">
        <v>358</v>
      </c>
    </row>
    <row r="20" spans="1:31" ht="51">
      <c r="A20" s="80">
        <v>19</v>
      </c>
      <c r="B20" s="188" t="s">
        <v>301</v>
      </c>
      <c r="C20" s="81" t="s">
        <v>302</v>
      </c>
      <c r="D20" s="350" t="s">
        <v>443</v>
      </c>
      <c r="E20" s="164" t="s">
        <v>304</v>
      </c>
      <c r="F20" s="164" t="s">
        <v>444</v>
      </c>
      <c r="G20" s="164" t="s">
        <v>445</v>
      </c>
      <c r="H20" s="80">
        <v>3</v>
      </c>
      <c r="I20" s="164" t="s">
        <v>446</v>
      </c>
      <c r="J20" s="165">
        <v>43423</v>
      </c>
      <c r="K20" s="165">
        <v>43396</v>
      </c>
      <c r="L20" s="166" t="s">
        <v>308</v>
      </c>
      <c r="M20" s="166" t="s">
        <v>447</v>
      </c>
      <c r="N20" s="167" t="s">
        <v>310</v>
      </c>
      <c r="O20" s="166">
        <v>9</v>
      </c>
      <c r="P20" s="168" t="s">
        <v>311</v>
      </c>
      <c r="Q20" s="169" t="s">
        <v>312</v>
      </c>
      <c r="R20" s="170" t="s">
        <v>313</v>
      </c>
      <c r="S20" s="170" t="s">
        <v>448</v>
      </c>
      <c r="T20" s="171">
        <v>1</v>
      </c>
      <c r="U20" s="166" t="s">
        <v>315</v>
      </c>
      <c r="V20" s="166" t="s">
        <v>70</v>
      </c>
      <c r="W20" s="166" t="s">
        <v>274</v>
      </c>
      <c r="X20" s="166" t="s">
        <v>153</v>
      </c>
      <c r="Y20" s="166" t="s">
        <v>316</v>
      </c>
      <c r="Z20" s="166">
        <v>6</v>
      </c>
      <c r="AA20" s="166" t="s">
        <v>153</v>
      </c>
      <c r="AB20" s="166" t="s">
        <v>274</v>
      </c>
      <c r="AC20" s="166">
        <v>0</v>
      </c>
      <c r="AD20" s="166">
        <v>25</v>
      </c>
      <c r="AE20" s="198" t="s">
        <v>358</v>
      </c>
    </row>
    <row r="21" spans="1:31" ht="51">
      <c r="A21" s="80">
        <v>20</v>
      </c>
      <c r="B21" s="188" t="s">
        <v>301</v>
      </c>
      <c r="C21" s="81" t="s">
        <v>302</v>
      </c>
      <c r="D21" s="350" t="s">
        <v>449</v>
      </c>
      <c r="E21" s="164" t="s">
        <v>304</v>
      </c>
      <c r="F21" s="164" t="s">
        <v>450</v>
      </c>
      <c r="G21" s="164" t="s">
        <v>451</v>
      </c>
      <c r="H21" s="80">
        <v>3</v>
      </c>
      <c r="I21" s="164" t="s">
        <v>452</v>
      </c>
      <c r="J21" s="165">
        <v>43423</v>
      </c>
      <c r="K21" s="165">
        <v>43397</v>
      </c>
      <c r="L21" s="166" t="s">
        <v>308</v>
      </c>
      <c r="M21" s="166" t="s">
        <v>453</v>
      </c>
      <c r="N21" s="167" t="s">
        <v>336</v>
      </c>
      <c r="O21" s="166">
        <v>9</v>
      </c>
      <c r="P21" s="168" t="s">
        <v>454</v>
      </c>
      <c r="Q21" s="169" t="s">
        <v>344</v>
      </c>
      <c r="R21" s="170" t="s">
        <v>345</v>
      </c>
      <c r="S21" s="170" t="s">
        <v>455</v>
      </c>
      <c r="T21" s="171">
        <v>1</v>
      </c>
      <c r="U21" s="166" t="s">
        <v>347</v>
      </c>
      <c r="V21" s="166" t="s">
        <v>70</v>
      </c>
      <c r="W21" s="166" t="s">
        <v>274</v>
      </c>
      <c r="X21" s="166" t="s">
        <v>153</v>
      </c>
      <c r="Y21" s="166" t="s">
        <v>316</v>
      </c>
      <c r="Z21" s="166">
        <v>13</v>
      </c>
      <c r="AA21" s="166" t="s">
        <v>153</v>
      </c>
      <c r="AB21" s="166" t="s">
        <v>274</v>
      </c>
      <c r="AC21" s="166">
        <v>14</v>
      </c>
      <c r="AD21" s="166">
        <v>16</v>
      </c>
      <c r="AE21" s="198" t="s">
        <v>317</v>
      </c>
    </row>
    <row r="22" spans="1:31" ht="51">
      <c r="A22" s="80">
        <v>21</v>
      </c>
      <c r="B22" s="188" t="s">
        <v>301</v>
      </c>
      <c r="C22" s="81" t="s">
        <v>302</v>
      </c>
      <c r="D22" s="350" t="s">
        <v>456</v>
      </c>
      <c r="E22" s="164" t="s">
        <v>457</v>
      </c>
      <c r="F22" s="164" t="s">
        <v>458</v>
      </c>
      <c r="G22" s="164" t="s">
        <v>459</v>
      </c>
      <c r="H22" s="80">
        <v>3</v>
      </c>
      <c r="I22" s="164" t="s">
        <v>460</v>
      </c>
      <c r="J22" s="165">
        <v>43423</v>
      </c>
      <c r="K22" s="165">
        <v>43419</v>
      </c>
      <c r="L22" s="166" t="s">
        <v>308</v>
      </c>
      <c r="M22" s="166" t="s">
        <v>461</v>
      </c>
      <c r="N22" s="167" t="s">
        <v>462</v>
      </c>
      <c r="O22" s="166">
        <v>9</v>
      </c>
      <c r="P22" s="168" t="s">
        <v>463</v>
      </c>
      <c r="Q22" s="169" t="s">
        <v>464</v>
      </c>
      <c r="R22" s="170" t="s">
        <v>313</v>
      </c>
      <c r="S22" s="170" t="s">
        <v>465</v>
      </c>
      <c r="T22" s="171">
        <v>1</v>
      </c>
      <c r="U22" s="166" t="s">
        <v>466</v>
      </c>
      <c r="V22" s="166" t="s">
        <v>70</v>
      </c>
      <c r="W22" s="166" t="s">
        <v>274</v>
      </c>
      <c r="X22" s="166" t="s">
        <v>153</v>
      </c>
      <c r="Y22" s="166" t="s">
        <v>316</v>
      </c>
      <c r="Z22" s="166">
        <v>18</v>
      </c>
      <c r="AA22" s="166" t="s">
        <v>153</v>
      </c>
      <c r="AB22" s="166" t="s">
        <v>274</v>
      </c>
      <c r="AC22" s="166">
        <v>0</v>
      </c>
      <c r="AD22" s="166">
        <v>18</v>
      </c>
      <c r="AE22" s="198" t="s">
        <v>153</v>
      </c>
    </row>
    <row r="23" spans="1:31" ht="63.75">
      <c r="A23" s="80">
        <v>22</v>
      </c>
      <c r="B23" s="188" t="s">
        <v>301</v>
      </c>
      <c r="C23" s="81" t="s">
        <v>302</v>
      </c>
      <c r="D23" s="350" t="s">
        <v>467</v>
      </c>
      <c r="E23" s="164" t="s">
        <v>457</v>
      </c>
      <c r="F23" s="164" t="s">
        <v>468</v>
      </c>
      <c r="G23" s="164" t="s">
        <v>469</v>
      </c>
      <c r="H23" s="80">
        <v>4</v>
      </c>
      <c r="I23" s="164" t="s">
        <v>470</v>
      </c>
      <c r="J23" s="165">
        <v>43423</v>
      </c>
      <c r="K23" s="165">
        <v>43419</v>
      </c>
      <c r="L23" s="166" t="s">
        <v>322</v>
      </c>
      <c r="M23" s="166" t="s">
        <v>471</v>
      </c>
      <c r="N23" s="167" t="s">
        <v>472</v>
      </c>
      <c r="O23" s="166">
        <v>12</v>
      </c>
      <c r="P23" s="168" t="s">
        <v>473</v>
      </c>
      <c r="Q23" s="169" t="s">
        <v>474</v>
      </c>
      <c r="R23" s="170" t="s">
        <v>327</v>
      </c>
      <c r="S23" s="170" t="s">
        <v>475</v>
      </c>
      <c r="T23" s="171">
        <v>1</v>
      </c>
      <c r="U23" s="166" t="s">
        <v>476</v>
      </c>
      <c r="V23" s="166" t="s">
        <v>70</v>
      </c>
      <c r="W23" s="166" t="s">
        <v>274</v>
      </c>
      <c r="X23" s="166" t="s">
        <v>153</v>
      </c>
      <c r="Y23" s="166" t="s">
        <v>316</v>
      </c>
      <c r="Z23" s="166">
        <v>13</v>
      </c>
      <c r="AA23" s="166" t="s">
        <v>153</v>
      </c>
      <c r="AB23" s="166" t="s">
        <v>274</v>
      </c>
      <c r="AC23" s="166">
        <v>0</v>
      </c>
      <c r="AD23" s="166">
        <v>11</v>
      </c>
      <c r="AE23" s="198" t="s">
        <v>153</v>
      </c>
    </row>
    <row r="24" spans="1:31" ht="51">
      <c r="A24" s="80">
        <v>23</v>
      </c>
      <c r="B24" s="188" t="s">
        <v>301</v>
      </c>
      <c r="C24" s="81" t="s">
        <v>302</v>
      </c>
      <c r="D24" s="350" t="s">
        <v>477</v>
      </c>
      <c r="E24" s="164" t="s">
        <v>457</v>
      </c>
      <c r="F24" s="164" t="s">
        <v>478</v>
      </c>
      <c r="G24" s="164" t="s">
        <v>479</v>
      </c>
      <c r="H24" s="80">
        <v>3</v>
      </c>
      <c r="I24" s="164" t="s">
        <v>480</v>
      </c>
      <c r="J24" s="165">
        <v>43423</v>
      </c>
      <c r="K24" s="165">
        <v>43415</v>
      </c>
      <c r="L24" s="166" t="s">
        <v>308</v>
      </c>
      <c r="M24" s="166" t="s">
        <v>481</v>
      </c>
      <c r="N24" s="167" t="s">
        <v>482</v>
      </c>
      <c r="O24" s="166">
        <v>9</v>
      </c>
      <c r="P24" s="168" t="s">
        <v>311</v>
      </c>
      <c r="Q24" s="169" t="s">
        <v>483</v>
      </c>
      <c r="R24" s="170" t="s">
        <v>313</v>
      </c>
      <c r="S24" s="170" t="s">
        <v>484</v>
      </c>
      <c r="T24" s="171">
        <v>1</v>
      </c>
      <c r="U24" s="166" t="s">
        <v>466</v>
      </c>
      <c r="V24" s="166" t="s">
        <v>70</v>
      </c>
      <c r="W24" s="166" t="s">
        <v>274</v>
      </c>
      <c r="X24" s="166" t="s">
        <v>153</v>
      </c>
      <c r="Y24" s="166" t="s">
        <v>316</v>
      </c>
      <c r="Z24" s="166">
        <v>26</v>
      </c>
      <c r="AA24" s="166" t="s">
        <v>153</v>
      </c>
      <c r="AB24" s="166" t="s">
        <v>274</v>
      </c>
      <c r="AC24" s="166">
        <v>0</v>
      </c>
      <c r="AD24" s="166">
        <v>4</v>
      </c>
      <c r="AE24" s="198" t="s">
        <v>153</v>
      </c>
    </row>
    <row r="25" spans="1:31" ht="63.75">
      <c r="A25" s="80">
        <v>24</v>
      </c>
      <c r="B25" s="188" t="s">
        <v>301</v>
      </c>
      <c r="C25" s="81" t="s">
        <v>302</v>
      </c>
      <c r="D25" s="350" t="s">
        <v>485</v>
      </c>
      <c r="E25" s="164" t="s">
        <v>457</v>
      </c>
      <c r="F25" s="164" t="s">
        <v>486</v>
      </c>
      <c r="G25" s="164" t="s">
        <v>487</v>
      </c>
      <c r="H25" s="80">
        <v>4</v>
      </c>
      <c r="I25" s="164" t="s">
        <v>488</v>
      </c>
      <c r="J25" s="165">
        <v>43423</v>
      </c>
      <c r="K25" s="165">
        <v>43419</v>
      </c>
      <c r="L25" s="166" t="s">
        <v>322</v>
      </c>
      <c r="M25" s="166" t="s">
        <v>489</v>
      </c>
      <c r="N25" s="167" t="s">
        <v>472</v>
      </c>
      <c r="O25" s="166">
        <v>12</v>
      </c>
      <c r="P25" s="168" t="s">
        <v>490</v>
      </c>
      <c r="Q25" s="169" t="s">
        <v>474</v>
      </c>
      <c r="R25" s="170" t="s">
        <v>327</v>
      </c>
      <c r="S25" s="170" t="s">
        <v>491</v>
      </c>
      <c r="T25" s="171">
        <v>1</v>
      </c>
      <c r="U25" s="166" t="s">
        <v>476</v>
      </c>
      <c r="V25" s="166" t="s">
        <v>70</v>
      </c>
      <c r="W25" s="166" t="s">
        <v>274</v>
      </c>
      <c r="X25" s="166" t="s">
        <v>153</v>
      </c>
      <c r="Y25" s="166" t="s">
        <v>316</v>
      </c>
      <c r="Z25" s="166">
        <v>19</v>
      </c>
      <c r="AA25" s="166" t="s">
        <v>153</v>
      </c>
      <c r="AB25" s="166" t="s">
        <v>274</v>
      </c>
      <c r="AC25" s="166">
        <v>0</v>
      </c>
      <c r="AD25" s="166">
        <v>14</v>
      </c>
      <c r="AE25" s="198" t="s">
        <v>153</v>
      </c>
    </row>
    <row r="26" spans="1:31" ht="51">
      <c r="A26" s="80">
        <v>25</v>
      </c>
      <c r="B26" s="188" t="s">
        <v>301</v>
      </c>
      <c r="C26" s="81" t="s">
        <v>302</v>
      </c>
      <c r="D26" s="350" t="s">
        <v>492</v>
      </c>
      <c r="E26" s="164" t="s">
        <v>457</v>
      </c>
      <c r="F26" s="164" t="s">
        <v>493</v>
      </c>
      <c r="G26" s="164" t="s">
        <v>494</v>
      </c>
      <c r="H26" s="80">
        <v>4</v>
      </c>
      <c r="I26" s="164" t="s">
        <v>495</v>
      </c>
      <c r="J26" s="165">
        <v>43423</v>
      </c>
      <c r="K26" s="165">
        <v>43419</v>
      </c>
      <c r="L26" s="166" t="s">
        <v>322</v>
      </c>
      <c r="M26" s="166" t="s">
        <v>496</v>
      </c>
      <c r="N26" s="167" t="s">
        <v>472</v>
      </c>
      <c r="O26" s="166">
        <v>10</v>
      </c>
      <c r="P26" s="168" t="s">
        <v>497</v>
      </c>
      <c r="Q26" s="169" t="s">
        <v>498</v>
      </c>
      <c r="R26" s="170" t="s">
        <v>327</v>
      </c>
      <c r="S26" s="170" t="s">
        <v>499</v>
      </c>
      <c r="T26" s="171">
        <v>1</v>
      </c>
      <c r="U26" s="166" t="s">
        <v>476</v>
      </c>
      <c r="V26" s="166" t="s">
        <v>70</v>
      </c>
      <c r="W26" s="166" t="s">
        <v>274</v>
      </c>
      <c r="X26" s="166" t="s">
        <v>153</v>
      </c>
      <c r="Y26" s="166" t="s">
        <v>316</v>
      </c>
      <c r="Z26" s="166">
        <v>21</v>
      </c>
      <c r="AA26" s="166" t="s">
        <v>153</v>
      </c>
      <c r="AB26" s="166" t="s">
        <v>274</v>
      </c>
      <c r="AC26" s="166">
        <v>0</v>
      </c>
      <c r="AD26" s="166">
        <v>11</v>
      </c>
      <c r="AE26" s="198" t="s">
        <v>153</v>
      </c>
    </row>
    <row r="27" spans="1:31" ht="51">
      <c r="A27" s="80">
        <v>26</v>
      </c>
      <c r="B27" s="188" t="s">
        <v>301</v>
      </c>
      <c r="C27" s="81" t="s">
        <v>302</v>
      </c>
      <c r="D27" s="350" t="s">
        <v>500</v>
      </c>
      <c r="E27" s="164" t="s">
        <v>457</v>
      </c>
      <c r="F27" s="164" t="s">
        <v>501</v>
      </c>
      <c r="G27" s="164" t="s">
        <v>502</v>
      </c>
      <c r="H27" s="80">
        <v>4</v>
      </c>
      <c r="I27" s="164" t="s">
        <v>503</v>
      </c>
      <c r="J27" s="165">
        <v>43423</v>
      </c>
      <c r="K27" s="165">
        <v>43420</v>
      </c>
      <c r="L27" s="166" t="s">
        <v>322</v>
      </c>
      <c r="M27" s="166" t="s">
        <v>504</v>
      </c>
      <c r="N27" s="167" t="s">
        <v>472</v>
      </c>
      <c r="O27" s="166">
        <v>10</v>
      </c>
      <c r="P27" s="168" t="s">
        <v>497</v>
      </c>
      <c r="Q27" s="169" t="s">
        <v>498</v>
      </c>
      <c r="R27" s="170" t="s">
        <v>327</v>
      </c>
      <c r="S27" s="170" t="s">
        <v>505</v>
      </c>
      <c r="T27" s="171">
        <v>1</v>
      </c>
      <c r="U27" s="166" t="s">
        <v>476</v>
      </c>
      <c r="V27" s="166" t="s">
        <v>70</v>
      </c>
      <c r="W27" s="166" t="s">
        <v>316</v>
      </c>
      <c r="X27" s="166">
        <v>36</v>
      </c>
      <c r="Y27" s="166" t="s">
        <v>316</v>
      </c>
      <c r="Z27" s="166">
        <v>29</v>
      </c>
      <c r="AA27" s="166" t="s">
        <v>153</v>
      </c>
      <c r="AB27" s="166" t="s">
        <v>274</v>
      </c>
      <c r="AC27" s="166">
        <v>36</v>
      </c>
      <c r="AD27" s="166">
        <v>7</v>
      </c>
      <c r="AE27" s="198" t="s">
        <v>153</v>
      </c>
    </row>
    <row r="28" spans="1:31" ht="51">
      <c r="A28" s="80">
        <v>27</v>
      </c>
      <c r="B28" s="188" t="s">
        <v>301</v>
      </c>
      <c r="C28" s="81" t="s">
        <v>302</v>
      </c>
      <c r="D28" s="350" t="s">
        <v>506</v>
      </c>
      <c r="E28" s="164" t="s">
        <v>457</v>
      </c>
      <c r="F28" s="164" t="s">
        <v>507</v>
      </c>
      <c r="G28" s="164" t="s">
        <v>508</v>
      </c>
      <c r="H28" s="80">
        <v>3</v>
      </c>
      <c r="I28" s="164" t="s">
        <v>509</v>
      </c>
      <c r="J28" s="165">
        <v>43423</v>
      </c>
      <c r="K28" s="165">
        <v>43415</v>
      </c>
      <c r="L28" s="166" t="s">
        <v>308</v>
      </c>
      <c r="M28" s="166" t="s">
        <v>510</v>
      </c>
      <c r="N28" s="167" t="s">
        <v>482</v>
      </c>
      <c r="O28" s="166">
        <v>9</v>
      </c>
      <c r="P28" s="168" t="s">
        <v>311</v>
      </c>
      <c r="Q28" s="169" t="s">
        <v>483</v>
      </c>
      <c r="R28" s="170" t="s">
        <v>313</v>
      </c>
      <c r="S28" s="170" t="s">
        <v>511</v>
      </c>
      <c r="T28" s="171">
        <v>1</v>
      </c>
      <c r="U28" s="166" t="s">
        <v>466</v>
      </c>
      <c r="V28" s="166" t="s">
        <v>70</v>
      </c>
      <c r="W28" s="166" t="s">
        <v>316</v>
      </c>
      <c r="X28" s="166">
        <v>33</v>
      </c>
      <c r="Y28" s="166" t="s">
        <v>316</v>
      </c>
      <c r="Z28" s="166">
        <v>29</v>
      </c>
      <c r="AA28" s="166" t="s">
        <v>153</v>
      </c>
      <c r="AB28" s="166" t="s">
        <v>274</v>
      </c>
      <c r="AC28" s="166">
        <v>0</v>
      </c>
      <c r="AD28" s="166">
        <v>4</v>
      </c>
      <c r="AE28" s="198" t="s">
        <v>153</v>
      </c>
    </row>
    <row r="29" spans="1:31" ht="51">
      <c r="A29" s="80">
        <v>28</v>
      </c>
      <c r="B29" s="188" t="s">
        <v>301</v>
      </c>
      <c r="C29" s="81" t="s">
        <v>302</v>
      </c>
      <c r="D29" s="350" t="s">
        <v>512</v>
      </c>
      <c r="E29" s="164" t="s">
        <v>457</v>
      </c>
      <c r="F29" s="164" t="s">
        <v>513</v>
      </c>
      <c r="G29" s="164" t="s">
        <v>514</v>
      </c>
      <c r="H29" s="80">
        <v>3</v>
      </c>
      <c r="I29" s="164" t="s">
        <v>515</v>
      </c>
      <c r="J29" s="165">
        <v>43423</v>
      </c>
      <c r="K29" s="165">
        <v>43415</v>
      </c>
      <c r="L29" s="166" t="s">
        <v>308</v>
      </c>
      <c r="M29" s="166" t="s">
        <v>516</v>
      </c>
      <c r="N29" s="167" t="s">
        <v>482</v>
      </c>
      <c r="O29" s="166">
        <v>9</v>
      </c>
      <c r="P29" s="168" t="s">
        <v>517</v>
      </c>
      <c r="Q29" s="169" t="s">
        <v>483</v>
      </c>
      <c r="R29" s="170" t="s">
        <v>313</v>
      </c>
      <c r="S29" s="170" t="s">
        <v>518</v>
      </c>
      <c r="T29" s="171">
        <v>1</v>
      </c>
      <c r="U29" s="166" t="s">
        <v>466</v>
      </c>
      <c r="V29" s="166" t="s">
        <v>70</v>
      </c>
      <c r="W29" s="166" t="s">
        <v>316</v>
      </c>
      <c r="X29" s="166">
        <v>33</v>
      </c>
      <c r="Y29" s="166" t="s">
        <v>316</v>
      </c>
      <c r="Z29" s="166">
        <v>29</v>
      </c>
      <c r="AA29" s="166" t="s">
        <v>153</v>
      </c>
      <c r="AB29" s="166" t="s">
        <v>274</v>
      </c>
      <c r="AC29" s="166">
        <v>0</v>
      </c>
      <c r="AD29" s="166">
        <v>4</v>
      </c>
      <c r="AE29" s="198" t="s">
        <v>153</v>
      </c>
    </row>
    <row r="30" spans="1:31" ht="63.75">
      <c r="A30" s="80">
        <v>29</v>
      </c>
      <c r="B30" s="188" t="s">
        <v>301</v>
      </c>
      <c r="C30" s="81" t="s">
        <v>302</v>
      </c>
      <c r="D30" s="350" t="s">
        <v>519</v>
      </c>
      <c r="E30" s="164" t="s">
        <v>457</v>
      </c>
      <c r="F30" s="164" t="s">
        <v>520</v>
      </c>
      <c r="G30" s="164" t="s">
        <v>521</v>
      </c>
      <c r="H30" s="80">
        <v>4</v>
      </c>
      <c r="I30" s="164" t="s">
        <v>522</v>
      </c>
      <c r="J30" s="165">
        <v>43423</v>
      </c>
      <c r="K30" s="165">
        <v>43416</v>
      </c>
      <c r="L30" s="166" t="s">
        <v>322</v>
      </c>
      <c r="M30" s="166" t="s">
        <v>523</v>
      </c>
      <c r="N30" s="167" t="s">
        <v>472</v>
      </c>
      <c r="O30" s="166">
        <v>12</v>
      </c>
      <c r="P30" s="168" t="s">
        <v>524</v>
      </c>
      <c r="Q30" s="169" t="s">
        <v>474</v>
      </c>
      <c r="R30" s="170" t="s">
        <v>327</v>
      </c>
      <c r="S30" s="170" t="s">
        <v>525</v>
      </c>
      <c r="T30" s="171">
        <v>1</v>
      </c>
      <c r="U30" s="166" t="s">
        <v>476</v>
      </c>
      <c r="V30" s="166" t="s">
        <v>70</v>
      </c>
      <c r="W30" s="166" t="s">
        <v>316</v>
      </c>
      <c r="X30" s="166">
        <v>36</v>
      </c>
      <c r="Y30" s="166" t="s">
        <v>316</v>
      </c>
      <c r="Z30" s="166">
        <v>29</v>
      </c>
      <c r="AA30" s="166" t="s">
        <v>153</v>
      </c>
      <c r="AB30" s="166" t="s">
        <v>274</v>
      </c>
      <c r="AC30" s="166">
        <v>0</v>
      </c>
      <c r="AD30" s="166">
        <v>7</v>
      </c>
      <c r="AE30" s="198" t="s">
        <v>153</v>
      </c>
    </row>
    <row r="31" spans="1:31" ht="63.75">
      <c r="A31" s="80">
        <v>30</v>
      </c>
      <c r="B31" s="188" t="s">
        <v>301</v>
      </c>
      <c r="C31" s="81" t="s">
        <v>302</v>
      </c>
      <c r="D31" s="350" t="s">
        <v>526</v>
      </c>
      <c r="E31" s="164" t="s">
        <v>457</v>
      </c>
      <c r="F31" s="164" t="s">
        <v>527</v>
      </c>
      <c r="G31" s="164" t="s">
        <v>528</v>
      </c>
      <c r="H31" s="80">
        <v>4</v>
      </c>
      <c r="I31" s="164" t="s">
        <v>529</v>
      </c>
      <c r="J31" s="165">
        <v>43423</v>
      </c>
      <c r="K31" s="165">
        <v>43416</v>
      </c>
      <c r="L31" s="166" t="s">
        <v>322</v>
      </c>
      <c r="M31" s="166" t="s">
        <v>530</v>
      </c>
      <c r="N31" s="167" t="s">
        <v>472</v>
      </c>
      <c r="O31" s="166">
        <v>12</v>
      </c>
      <c r="P31" s="168" t="s">
        <v>434</v>
      </c>
      <c r="Q31" s="169" t="s">
        <v>474</v>
      </c>
      <c r="R31" s="170" t="s">
        <v>327</v>
      </c>
      <c r="S31" s="170" t="s">
        <v>531</v>
      </c>
      <c r="T31" s="171">
        <v>1</v>
      </c>
      <c r="U31" s="166" t="s">
        <v>476</v>
      </c>
      <c r="V31" s="166" t="s">
        <v>70</v>
      </c>
      <c r="W31" s="166" t="s">
        <v>274</v>
      </c>
      <c r="X31" s="166" t="s">
        <v>153</v>
      </c>
      <c r="Y31" s="166" t="s">
        <v>316</v>
      </c>
      <c r="Z31" s="166">
        <v>14</v>
      </c>
      <c r="AA31" s="166" t="s">
        <v>153</v>
      </c>
      <c r="AB31" s="166" t="s">
        <v>274</v>
      </c>
      <c r="AC31" s="166">
        <v>0</v>
      </c>
      <c r="AD31" s="166">
        <v>14</v>
      </c>
      <c r="AE31" s="198" t="s">
        <v>153</v>
      </c>
    </row>
    <row r="32" spans="1:31" ht="63.75">
      <c r="A32" s="80">
        <v>31</v>
      </c>
      <c r="B32" s="188" t="s">
        <v>301</v>
      </c>
      <c r="C32" s="81" t="s">
        <v>302</v>
      </c>
      <c r="D32" s="350" t="s">
        <v>532</v>
      </c>
      <c r="E32" s="164" t="s">
        <v>457</v>
      </c>
      <c r="F32" s="164" t="s">
        <v>533</v>
      </c>
      <c r="G32" s="164" t="s">
        <v>534</v>
      </c>
      <c r="H32" s="80">
        <v>4</v>
      </c>
      <c r="I32" s="164" t="s">
        <v>535</v>
      </c>
      <c r="J32" s="165">
        <v>43423</v>
      </c>
      <c r="K32" s="165">
        <v>43416</v>
      </c>
      <c r="L32" s="166" t="s">
        <v>322</v>
      </c>
      <c r="M32" s="166" t="s">
        <v>536</v>
      </c>
      <c r="N32" s="167" t="s">
        <v>472</v>
      </c>
      <c r="O32" s="166">
        <v>12</v>
      </c>
      <c r="P32" s="168" t="s">
        <v>434</v>
      </c>
      <c r="Q32" s="169" t="s">
        <v>474</v>
      </c>
      <c r="R32" s="170" t="s">
        <v>327</v>
      </c>
      <c r="S32" s="170" t="s">
        <v>537</v>
      </c>
      <c r="T32" s="171">
        <v>1</v>
      </c>
      <c r="U32" s="166" t="s">
        <v>476</v>
      </c>
      <c r="V32" s="166" t="s">
        <v>70</v>
      </c>
      <c r="W32" s="166" t="s">
        <v>274</v>
      </c>
      <c r="X32" s="166" t="s">
        <v>153</v>
      </c>
      <c r="Y32" s="166" t="s">
        <v>316</v>
      </c>
      <c r="Z32" s="166">
        <v>13</v>
      </c>
      <c r="AA32" s="166" t="s">
        <v>153</v>
      </c>
      <c r="AB32" s="166" t="s">
        <v>274</v>
      </c>
      <c r="AC32" s="166">
        <v>0</v>
      </c>
      <c r="AD32" s="166">
        <v>14</v>
      </c>
      <c r="AE32" s="198" t="s">
        <v>153</v>
      </c>
    </row>
    <row r="33" spans="1:31" ht="51">
      <c r="A33" s="80">
        <v>32</v>
      </c>
      <c r="B33" s="188" t="s">
        <v>301</v>
      </c>
      <c r="C33" s="81" t="s">
        <v>302</v>
      </c>
      <c r="D33" s="350" t="s">
        <v>538</v>
      </c>
      <c r="E33" s="164" t="s">
        <v>457</v>
      </c>
      <c r="F33" s="164" t="s">
        <v>539</v>
      </c>
      <c r="G33" s="164" t="s">
        <v>540</v>
      </c>
      <c r="H33" s="80">
        <v>3</v>
      </c>
      <c r="I33" s="164" t="s">
        <v>541</v>
      </c>
      <c r="J33" s="165">
        <v>43423</v>
      </c>
      <c r="K33" s="165">
        <v>43415</v>
      </c>
      <c r="L33" s="166" t="s">
        <v>308</v>
      </c>
      <c r="M33" s="166" t="s">
        <v>542</v>
      </c>
      <c r="N33" s="167" t="s">
        <v>482</v>
      </c>
      <c r="O33" s="166">
        <v>9</v>
      </c>
      <c r="P33" s="168" t="s">
        <v>543</v>
      </c>
      <c r="Q33" s="169" t="s">
        <v>483</v>
      </c>
      <c r="R33" s="170" t="s">
        <v>313</v>
      </c>
      <c r="S33" s="170" t="s">
        <v>518</v>
      </c>
      <c r="T33" s="171">
        <v>1</v>
      </c>
      <c r="U33" s="166" t="s">
        <v>466</v>
      </c>
      <c r="V33" s="166" t="s">
        <v>70</v>
      </c>
      <c r="W33" s="166" t="s">
        <v>316</v>
      </c>
      <c r="X33" s="166">
        <v>33</v>
      </c>
      <c r="Y33" s="166" t="s">
        <v>316</v>
      </c>
      <c r="Z33" s="166">
        <v>29</v>
      </c>
      <c r="AA33" s="166" t="s">
        <v>153</v>
      </c>
      <c r="AB33" s="166" t="s">
        <v>274</v>
      </c>
      <c r="AC33" s="166">
        <v>0</v>
      </c>
      <c r="AD33" s="166">
        <v>4</v>
      </c>
      <c r="AE33" s="198" t="s">
        <v>153</v>
      </c>
    </row>
    <row r="34" spans="1:31" ht="63.75">
      <c r="A34" s="80">
        <v>33</v>
      </c>
      <c r="B34" s="188" t="s">
        <v>301</v>
      </c>
      <c r="C34" s="81" t="s">
        <v>302</v>
      </c>
      <c r="D34" s="350" t="s">
        <v>544</v>
      </c>
      <c r="E34" s="164" t="s">
        <v>457</v>
      </c>
      <c r="F34" s="164" t="s">
        <v>545</v>
      </c>
      <c r="G34" s="164" t="s">
        <v>546</v>
      </c>
      <c r="H34" s="80">
        <v>4</v>
      </c>
      <c r="I34" s="164" t="s">
        <v>547</v>
      </c>
      <c r="J34" s="165">
        <v>43423</v>
      </c>
      <c r="K34" s="165">
        <v>43416</v>
      </c>
      <c r="L34" s="166" t="s">
        <v>322</v>
      </c>
      <c r="M34" s="166" t="s">
        <v>548</v>
      </c>
      <c r="N34" s="167" t="s">
        <v>472</v>
      </c>
      <c r="O34" s="166">
        <v>12</v>
      </c>
      <c r="P34" s="168" t="s">
        <v>434</v>
      </c>
      <c r="Q34" s="169" t="s">
        <v>474</v>
      </c>
      <c r="R34" s="170" t="s">
        <v>327</v>
      </c>
      <c r="S34" s="170" t="s">
        <v>549</v>
      </c>
      <c r="T34" s="171">
        <v>1</v>
      </c>
      <c r="U34" s="166" t="s">
        <v>476</v>
      </c>
      <c r="V34" s="166" t="s">
        <v>70</v>
      </c>
      <c r="W34" s="166" t="s">
        <v>274</v>
      </c>
      <c r="X34" s="166" t="s">
        <v>153</v>
      </c>
      <c r="Y34" s="166" t="s">
        <v>316</v>
      </c>
      <c r="Z34" s="166">
        <v>11</v>
      </c>
      <c r="AA34" s="166" t="s">
        <v>153</v>
      </c>
      <c r="AB34" s="166" t="s">
        <v>274</v>
      </c>
      <c r="AC34" s="166">
        <v>0</v>
      </c>
      <c r="AD34" s="166">
        <v>11</v>
      </c>
      <c r="AE34" s="198" t="s">
        <v>153</v>
      </c>
    </row>
    <row r="35" spans="1:31" ht="63.75">
      <c r="A35" s="80">
        <v>34</v>
      </c>
      <c r="B35" s="188" t="s">
        <v>301</v>
      </c>
      <c r="C35" s="81" t="s">
        <v>302</v>
      </c>
      <c r="D35" s="350" t="s">
        <v>550</v>
      </c>
      <c r="E35" s="164" t="s">
        <v>457</v>
      </c>
      <c r="F35" s="164" t="s">
        <v>551</v>
      </c>
      <c r="G35" s="164" t="s">
        <v>552</v>
      </c>
      <c r="H35" s="80">
        <v>4</v>
      </c>
      <c r="I35" s="164" t="s">
        <v>553</v>
      </c>
      <c r="J35" s="165">
        <v>43423</v>
      </c>
      <c r="K35" s="165">
        <v>43419</v>
      </c>
      <c r="L35" s="166" t="s">
        <v>322</v>
      </c>
      <c r="M35" s="166" t="s">
        <v>554</v>
      </c>
      <c r="N35" s="167" t="s">
        <v>472</v>
      </c>
      <c r="O35" s="166">
        <v>12</v>
      </c>
      <c r="P35" s="168" t="s">
        <v>434</v>
      </c>
      <c r="Q35" s="169" t="s">
        <v>474</v>
      </c>
      <c r="R35" s="170" t="s">
        <v>327</v>
      </c>
      <c r="S35" s="170" t="s">
        <v>555</v>
      </c>
      <c r="T35" s="171">
        <v>1</v>
      </c>
      <c r="U35" s="166" t="s">
        <v>476</v>
      </c>
      <c r="V35" s="166" t="s">
        <v>70</v>
      </c>
      <c r="W35" s="166" t="s">
        <v>274</v>
      </c>
      <c r="X35" s="166" t="s">
        <v>153</v>
      </c>
      <c r="Y35" s="166" t="s">
        <v>316</v>
      </c>
      <c r="Z35" s="166">
        <v>12</v>
      </c>
      <c r="AA35" s="166" t="s">
        <v>153</v>
      </c>
      <c r="AB35" s="166" t="s">
        <v>274</v>
      </c>
      <c r="AC35" s="166">
        <v>0</v>
      </c>
      <c r="AD35" s="166">
        <v>14</v>
      </c>
      <c r="AE35" s="198" t="s">
        <v>153</v>
      </c>
    </row>
    <row r="36" spans="1:31" ht="51">
      <c r="A36" s="80">
        <v>35</v>
      </c>
      <c r="B36" s="188" t="s">
        <v>301</v>
      </c>
      <c r="C36" s="81" t="s">
        <v>302</v>
      </c>
      <c r="D36" s="350" t="s">
        <v>556</v>
      </c>
      <c r="E36" s="164" t="s">
        <v>457</v>
      </c>
      <c r="F36" s="164" t="s">
        <v>557</v>
      </c>
      <c r="G36" s="164" t="s">
        <v>558</v>
      </c>
      <c r="H36" s="80">
        <v>3</v>
      </c>
      <c r="I36" s="164" t="s">
        <v>559</v>
      </c>
      <c r="J36" s="165">
        <v>43423</v>
      </c>
      <c r="K36" s="165">
        <v>43415</v>
      </c>
      <c r="L36" s="166" t="s">
        <v>308</v>
      </c>
      <c r="M36" s="166" t="s">
        <v>560</v>
      </c>
      <c r="N36" s="167" t="s">
        <v>462</v>
      </c>
      <c r="O36" s="166">
        <v>9</v>
      </c>
      <c r="P36" s="168" t="s">
        <v>311</v>
      </c>
      <c r="Q36" s="169" t="s">
        <v>464</v>
      </c>
      <c r="R36" s="170" t="s">
        <v>313</v>
      </c>
      <c r="S36" s="170" t="s">
        <v>511</v>
      </c>
      <c r="T36" s="171">
        <v>1</v>
      </c>
      <c r="U36" s="166" t="s">
        <v>466</v>
      </c>
      <c r="V36" s="166" t="s">
        <v>70</v>
      </c>
      <c r="W36" s="166" t="s">
        <v>316</v>
      </c>
      <c r="X36" s="166">
        <v>33</v>
      </c>
      <c r="Y36" s="166" t="s">
        <v>316</v>
      </c>
      <c r="Z36" s="166">
        <v>26</v>
      </c>
      <c r="AA36" s="166" t="s">
        <v>153</v>
      </c>
      <c r="AB36" s="166" t="s">
        <v>274</v>
      </c>
      <c r="AC36" s="166">
        <v>0</v>
      </c>
      <c r="AD36" s="166">
        <v>7</v>
      </c>
      <c r="AE36" s="198" t="s">
        <v>153</v>
      </c>
    </row>
    <row r="37" spans="1:31" ht="51">
      <c r="A37" s="80">
        <v>36</v>
      </c>
      <c r="B37" s="188" t="s">
        <v>301</v>
      </c>
      <c r="C37" s="81" t="s">
        <v>302</v>
      </c>
      <c r="D37" s="350" t="s">
        <v>561</v>
      </c>
      <c r="E37" s="164" t="s">
        <v>457</v>
      </c>
      <c r="F37" s="164" t="s">
        <v>562</v>
      </c>
      <c r="G37" s="164" t="s">
        <v>563</v>
      </c>
      <c r="H37" s="80">
        <v>3</v>
      </c>
      <c r="I37" s="164" t="s">
        <v>564</v>
      </c>
      <c r="J37" s="165">
        <v>43423</v>
      </c>
      <c r="K37" s="165">
        <v>43415</v>
      </c>
      <c r="L37" s="166" t="s">
        <v>308</v>
      </c>
      <c r="M37" s="166" t="s">
        <v>565</v>
      </c>
      <c r="N37" s="167" t="s">
        <v>482</v>
      </c>
      <c r="O37" s="166">
        <v>9</v>
      </c>
      <c r="P37" s="168" t="s">
        <v>311</v>
      </c>
      <c r="Q37" s="169" t="s">
        <v>483</v>
      </c>
      <c r="R37" s="170" t="s">
        <v>313</v>
      </c>
      <c r="S37" s="170" t="s">
        <v>566</v>
      </c>
      <c r="T37" s="171">
        <v>1</v>
      </c>
      <c r="U37" s="166" t="s">
        <v>466</v>
      </c>
      <c r="V37" s="166" t="s">
        <v>70</v>
      </c>
      <c r="W37" s="166" t="s">
        <v>316</v>
      </c>
      <c r="X37" s="166">
        <v>32</v>
      </c>
      <c r="Y37" s="166" t="s">
        <v>316</v>
      </c>
      <c r="Z37" s="166">
        <v>28</v>
      </c>
      <c r="AA37" s="166" t="s">
        <v>153</v>
      </c>
      <c r="AB37" s="166" t="s">
        <v>274</v>
      </c>
      <c r="AC37" s="166">
        <v>0</v>
      </c>
      <c r="AD37" s="166">
        <v>4</v>
      </c>
      <c r="AE37" s="198" t="s">
        <v>153</v>
      </c>
    </row>
    <row r="38" spans="1:31" ht="63.75">
      <c r="A38" s="80">
        <v>37</v>
      </c>
      <c r="B38" s="188" t="s">
        <v>301</v>
      </c>
      <c r="C38" s="81" t="s">
        <v>302</v>
      </c>
      <c r="D38" s="350" t="s">
        <v>567</v>
      </c>
      <c r="E38" s="164" t="s">
        <v>457</v>
      </c>
      <c r="F38" s="164" t="s">
        <v>568</v>
      </c>
      <c r="G38" s="164" t="s">
        <v>569</v>
      </c>
      <c r="H38" s="80">
        <v>4</v>
      </c>
      <c r="I38" s="164" t="s">
        <v>570</v>
      </c>
      <c r="J38" s="165">
        <v>43423</v>
      </c>
      <c r="K38" s="165">
        <v>43415</v>
      </c>
      <c r="L38" s="166" t="s">
        <v>322</v>
      </c>
      <c r="M38" s="166" t="s">
        <v>571</v>
      </c>
      <c r="N38" s="167" t="s">
        <v>472</v>
      </c>
      <c r="O38" s="166">
        <v>12</v>
      </c>
      <c r="P38" s="168" t="s">
        <v>572</v>
      </c>
      <c r="Q38" s="169" t="s">
        <v>474</v>
      </c>
      <c r="R38" s="170" t="s">
        <v>327</v>
      </c>
      <c r="S38" s="170" t="s">
        <v>573</v>
      </c>
      <c r="T38" s="171">
        <v>1</v>
      </c>
      <c r="U38" s="166" t="s">
        <v>476</v>
      </c>
      <c r="V38" s="166" t="s">
        <v>70</v>
      </c>
      <c r="W38" s="166" t="s">
        <v>274</v>
      </c>
      <c r="X38" s="166" t="s">
        <v>153</v>
      </c>
      <c r="Y38" s="166" t="s">
        <v>316</v>
      </c>
      <c r="Z38" s="166">
        <v>19</v>
      </c>
      <c r="AA38" s="166" t="s">
        <v>153</v>
      </c>
      <c r="AB38" s="166" t="s">
        <v>274</v>
      </c>
      <c r="AC38" s="166">
        <v>33</v>
      </c>
      <c r="AD38" s="166" t="s">
        <v>574</v>
      </c>
      <c r="AE38" s="198" t="s">
        <v>153</v>
      </c>
    </row>
    <row r="39" spans="1:31" ht="63.75">
      <c r="A39" s="80">
        <v>38</v>
      </c>
      <c r="B39" s="188" t="s">
        <v>301</v>
      </c>
      <c r="C39" s="81" t="s">
        <v>302</v>
      </c>
      <c r="D39" s="350" t="s">
        <v>575</v>
      </c>
      <c r="E39" s="164" t="s">
        <v>457</v>
      </c>
      <c r="F39" s="164" t="s">
        <v>576</v>
      </c>
      <c r="G39" s="164" t="s">
        <v>577</v>
      </c>
      <c r="H39" s="80">
        <v>4</v>
      </c>
      <c r="I39" s="164" t="s">
        <v>578</v>
      </c>
      <c r="J39" s="165">
        <v>43423</v>
      </c>
      <c r="K39" s="165">
        <v>43419</v>
      </c>
      <c r="L39" s="166" t="s">
        <v>322</v>
      </c>
      <c r="M39" s="166" t="s">
        <v>579</v>
      </c>
      <c r="N39" s="167" t="s">
        <v>472</v>
      </c>
      <c r="O39" s="166">
        <v>12</v>
      </c>
      <c r="P39" s="168" t="s">
        <v>434</v>
      </c>
      <c r="Q39" s="169" t="s">
        <v>474</v>
      </c>
      <c r="R39" s="170" t="s">
        <v>327</v>
      </c>
      <c r="S39" s="170" t="s">
        <v>525</v>
      </c>
      <c r="T39" s="171">
        <v>1</v>
      </c>
      <c r="U39" s="166" t="s">
        <v>476</v>
      </c>
      <c r="V39" s="166" t="s">
        <v>70</v>
      </c>
      <c r="W39" s="166" t="s">
        <v>316</v>
      </c>
      <c r="X39" s="166">
        <v>36</v>
      </c>
      <c r="Y39" s="166" t="s">
        <v>316</v>
      </c>
      <c r="Z39" s="166">
        <v>29</v>
      </c>
      <c r="AA39" s="166" t="s">
        <v>153</v>
      </c>
      <c r="AB39" s="166" t="s">
        <v>274</v>
      </c>
      <c r="AC39" s="166">
        <v>0</v>
      </c>
      <c r="AD39" s="166" t="s">
        <v>580</v>
      </c>
      <c r="AE39" s="198" t="s">
        <v>153</v>
      </c>
    </row>
    <row r="40" spans="1:31" ht="51">
      <c r="A40" s="80">
        <v>39</v>
      </c>
      <c r="B40" s="188" t="s">
        <v>301</v>
      </c>
      <c r="C40" s="81" t="s">
        <v>302</v>
      </c>
      <c r="D40" s="350" t="s">
        <v>581</v>
      </c>
      <c r="E40" s="164" t="s">
        <v>457</v>
      </c>
      <c r="F40" s="164" t="s">
        <v>582</v>
      </c>
      <c r="G40" s="164" t="s">
        <v>583</v>
      </c>
      <c r="H40" s="80">
        <v>3</v>
      </c>
      <c r="I40" s="164" t="s">
        <v>584</v>
      </c>
      <c r="J40" s="165">
        <v>43423</v>
      </c>
      <c r="K40" s="165">
        <v>43420</v>
      </c>
      <c r="L40" s="166" t="s">
        <v>308</v>
      </c>
      <c r="M40" s="166" t="s">
        <v>585</v>
      </c>
      <c r="N40" s="167" t="s">
        <v>462</v>
      </c>
      <c r="O40" s="166">
        <v>9</v>
      </c>
      <c r="P40" s="168" t="s">
        <v>311</v>
      </c>
      <c r="Q40" s="169" t="s">
        <v>464</v>
      </c>
      <c r="R40" s="170" t="s">
        <v>313</v>
      </c>
      <c r="S40" s="170" t="s">
        <v>586</v>
      </c>
      <c r="T40" s="171">
        <v>1</v>
      </c>
      <c r="U40" s="166" t="s">
        <v>466</v>
      </c>
      <c r="V40" s="166" t="s">
        <v>70</v>
      </c>
      <c r="W40" s="166" t="s">
        <v>316</v>
      </c>
      <c r="X40" s="166">
        <v>37</v>
      </c>
      <c r="Y40" s="166" t="s">
        <v>316</v>
      </c>
      <c r="Z40" s="166">
        <v>33</v>
      </c>
      <c r="AA40" s="166" t="s">
        <v>153</v>
      </c>
      <c r="AB40" s="166" t="s">
        <v>274</v>
      </c>
      <c r="AC40" s="166">
        <v>37</v>
      </c>
      <c r="AD40" s="166">
        <v>4</v>
      </c>
      <c r="AE40" s="198" t="s">
        <v>153</v>
      </c>
    </row>
    <row r="41" spans="1:31" ht="63.75">
      <c r="A41" s="80">
        <v>40</v>
      </c>
      <c r="B41" s="188" t="s">
        <v>301</v>
      </c>
      <c r="C41" s="81" t="s">
        <v>302</v>
      </c>
      <c r="D41" s="350" t="s">
        <v>587</v>
      </c>
      <c r="E41" s="164" t="s">
        <v>457</v>
      </c>
      <c r="F41" s="164" t="s">
        <v>588</v>
      </c>
      <c r="G41" s="164" t="s">
        <v>589</v>
      </c>
      <c r="H41" s="80">
        <v>4</v>
      </c>
      <c r="I41" s="164" t="s">
        <v>590</v>
      </c>
      <c r="J41" s="165">
        <v>43423</v>
      </c>
      <c r="K41" s="165">
        <v>43419</v>
      </c>
      <c r="L41" s="166" t="s">
        <v>322</v>
      </c>
      <c r="M41" s="166" t="s">
        <v>591</v>
      </c>
      <c r="N41" s="167" t="s">
        <v>472</v>
      </c>
      <c r="O41" s="166">
        <v>12</v>
      </c>
      <c r="P41" s="168" t="s">
        <v>473</v>
      </c>
      <c r="Q41" s="169" t="s">
        <v>474</v>
      </c>
      <c r="R41" s="170" t="s">
        <v>327</v>
      </c>
      <c r="S41" s="170" t="s">
        <v>592</v>
      </c>
      <c r="T41" s="171">
        <v>1</v>
      </c>
      <c r="U41" s="166" t="s">
        <v>476</v>
      </c>
      <c r="V41" s="166" t="s">
        <v>70</v>
      </c>
      <c r="W41" s="166" t="s">
        <v>274</v>
      </c>
      <c r="X41" s="166" t="s">
        <v>153</v>
      </c>
      <c r="Y41" s="166" t="s">
        <v>316</v>
      </c>
      <c r="Z41" s="166">
        <v>19</v>
      </c>
      <c r="AA41" s="166" t="s">
        <v>153</v>
      </c>
      <c r="AB41" s="166" t="s">
        <v>274</v>
      </c>
      <c r="AC41" s="166">
        <v>0</v>
      </c>
      <c r="AD41" s="166">
        <v>11</v>
      </c>
      <c r="AE41" s="198" t="s">
        <v>153</v>
      </c>
    </row>
    <row r="42" spans="1:31" ht="63.75">
      <c r="A42" s="80">
        <v>41</v>
      </c>
      <c r="B42" s="188" t="s">
        <v>301</v>
      </c>
      <c r="C42" s="81" t="s">
        <v>302</v>
      </c>
      <c r="D42" s="350" t="s">
        <v>593</v>
      </c>
      <c r="E42" s="164" t="s">
        <v>457</v>
      </c>
      <c r="F42" s="164" t="s">
        <v>594</v>
      </c>
      <c r="G42" s="164" t="s">
        <v>595</v>
      </c>
      <c r="H42" s="80">
        <v>4</v>
      </c>
      <c r="I42" s="164" t="s">
        <v>596</v>
      </c>
      <c r="J42" s="165">
        <v>43423</v>
      </c>
      <c r="K42" s="165">
        <v>43419</v>
      </c>
      <c r="L42" s="166" t="s">
        <v>322</v>
      </c>
      <c r="M42" s="166" t="s">
        <v>597</v>
      </c>
      <c r="N42" s="167" t="s">
        <v>472</v>
      </c>
      <c r="O42" s="166">
        <v>12</v>
      </c>
      <c r="P42" s="168" t="s">
        <v>524</v>
      </c>
      <c r="Q42" s="169" t="s">
        <v>474</v>
      </c>
      <c r="R42" s="170" t="s">
        <v>327</v>
      </c>
      <c r="S42" s="170" t="s">
        <v>598</v>
      </c>
      <c r="T42" s="171">
        <v>1</v>
      </c>
      <c r="U42" s="166" t="s">
        <v>476</v>
      </c>
      <c r="V42" s="166" t="s">
        <v>70</v>
      </c>
      <c r="W42" s="166" t="s">
        <v>274</v>
      </c>
      <c r="X42" s="166" t="s">
        <v>153</v>
      </c>
      <c r="Y42" s="166" t="s">
        <v>316</v>
      </c>
      <c r="Z42" s="166">
        <v>22</v>
      </c>
      <c r="AA42" s="166" t="s">
        <v>153</v>
      </c>
      <c r="AB42" s="166" t="s">
        <v>274</v>
      </c>
      <c r="AC42" s="166">
        <v>0</v>
      </c>
      <c r="AD42" s="166">
        <v>14</v>
      </c>
      <c r="AE42" s="198" t="s">
        <v>153</v>
      </c>
    </row>
    <row r="43" spans="1:31" ht="63.75">
      <c r="A43" s="80">
        <v>42</v>
      </c>
      <c r="B43" s="188" t="s">
        <v>301</v>
      </c>
      <c r="C43" s="81" t="s">
        <v>302</v>
      </c>
      <c r="D43" s="350" t="s">
        <v>599</v>
      </c>
      <c r="E43" s="164" t="s">
        <v>457</v>
      </c>
      <c r="F43" s="164" t="s">
        <v>600</v>
      </c>
      <c r="G43" s="164" t="s">
        <v>601</v>
      </c>
      <c r="H43" s="80">
        <v>4</v>
      </c>
      <c r="I43" s="164" t="s">
        <v>602</v>
      </c>
      <c r="J43" s="165">
        <v>43423</v>
      </c>
      <c r="K43" s="165">
        <v>43418</v>
      </c>
      <c r="L43" s="166" t="s">
        <v>322</v>
      </c>
      <c r="M43" s="166" t="s">
        <v>603</v>
      </c>
      <c r="N43" s="167" t="s">
        <v>472</v>
      </c>
      <c r="O43" s="166">
        <v>12</v>
      </c>
      <c r="P43" s="168" t="s">
        <v>604</v>
      </c>
      <c r="Q43" s="169" t="s">
        <v>474</v>
      </c>
      <c r="R43" s="170" t="s">
        <v>327</v>
      </c>
      <c r="S43" s="170" t="s">
        <v>605</v>
      </c>
      <c r="T43" s="171">
        <v>1</v>
      </c>
      <c r="U43" s="166" t="s">
        <v>476</v>
      </c>
      <c r="V43" s="166" t="s">
        <v>70</v>
      </c>
      <c r="W43" s="166" t="s">
        <v>274</v>
      </c>
      <c r="X43" s="166" t="s">
        <v>153</v>
      </c>
      <c r="Y43" s="166" t="s">
        <v>316</v>
      </c>
      <c r="Z43" s="166">
        <v>13</v>
      </c>
      <c r="AA43" s="166" t="s">
        <v>153</v>
      </c>
      <c r="AB43" s="166" t="s">
        <v>274</v>
      </c>
      <c r="AC43" s="166">
        <v>0</v>
      </c>
      <c r="AD43" s="166">
        <v>14</v>
      </c>
      <c r="AE43" s="198" t="s">
        <v>153</v>
      </c>
    </row>
    <row r="44" spans="1:31" ht="51">
      <c r="A44" s="80">
        <v>43</v>
      </c>
      <c r="B44" s="188" t="s">
        <v>301</v>
      </c>
      <c r="C44" s="81" t="s">
        <v>302</v>
      </c>
      <c r="D44" s="350" t="s">
        <v>606</v>
      </c>
      <c r="E44" s="164" t="s">
        <v>457</v>
      </c>
      <c r="F44" s="164" t="s">
        <v>607</v>
      </c>
      <c r="G44" s="164" t="s">
        <v>608</v>
      </c>
      <c r="H44" s="80">
        <v>3</v>
      </c>
      <c r="I44" s="164" t="s">
        <v>609</v>
      </c>
      <c r="J44" s="165">
        <v>43423</v>
      </c>
      <c r="K44" s="165">
        <v>43419</v>
      </c>
      <c r="L44" s="166" t="s">
        <v>308</v>
      </c>
      <c r="M44" s="166" t="s">
        <v>610</v>
      </c>
      <c r="N44" s="167" t="s">
        <v>482</v>
      </c>
      <c r="O44" s="166">
        <v>9</v>
      </c>
      <c r="P44" s="168" t="s">
        <v>311</v>
      </c>
      <c r="Q44" s="169" t="s">
        <v>483</v>
      </c>
      <c r="R44" s="170" t="s">
        <v>313</v>
      </c>
      <c r="S44" s="170" t="s">
        <v>314</v>
      </c>
      <c r="T44" s="171">
        <v>1</v>
      </c>
      <c r="U44" s="166" t="s">
        <v>466</v>
      </c>
      <c r="V44" s="166" t="s">
        <v>70</v>
      </c>
      <c r="W44" s="166" t="s">
        <v>274</v>
      </c>
      <c r="X44" s="166" t="s">
        <v>153</v>
      </c>
      <c r="Y44" s="166" t="s">
        <v>316</v>
      </c>
      <c r="Z44" s="166">
        <v>25</v>
      </c>
      <c r="AA44" s="166" t="s">
        <v>153</v>
      </c>
      <c r="AB44" s="166" t="s">
        <v>274</v>
      </c>
      <c r="AC44" s="166">
        <v>0</v>
      </c>
      <c r="AD44" s="166">
        <v>11</v>
      </c>
      <c r="AE44" s="198" t="s">
        <v>153</v>
      </c>
    </row>
    <row r="45" spans="1:31" ht="63.75">
      <c r="A45" s="80">
        <v>44</v>
      </c>
      <c r="B45" s="188" t="s">
        <v>301</v>
      </c>
      <c r="C45" s="81" t="s">
        <v>302</v>
      </c>
      <c r="D45" s="350" t="s">
        <v>611</v>
      </c>
      <c r="E45" s="164" t="s">
        <v>457</v>
      </c>
      <c r="F45" s="164" t="s">
        <v>612</v>
      </c>
      <c r="G45" s="164" t="s">
        <v>613</v>
      </c>
      <c r="H45" s="80">
        <v>4</v>
      </c>
      <c r="I45" s="164" t="s">
        <v>614</v>
      </c>
      <c r="J45" s="165">
        <v>43423</v>
      </c>
      <c r="K45" s="165">
        <v>43414</v>
      </c>
      <c r="L45" s="166" t="s">
        <v>322</v>
      </c>
      <c r="M45" s="166" t="s">
        <v>615</v>
      </c>
      <c r="N45" s="167" t="s">
        <v>472</v>
      </c>
      <c r="O45" s="166">
        <v>12</v>
      </c>
      <c r="P45" s="168" t="s">
        <v>616</v>
      </c>
      <c r="Q45" s="169" t="s">
        <v>474</v>
      </c>
      <c r="R45" s="170" t="s">
        <v>327</v>
      </c>
      <c r="S45" s="170" t="s">
        <v>617</v>
      </c>
      <c r="T45" s="171">
        <v>1</v>
      </c>
      <c r="U45" s="166" t="s">
        <v>476</v>
      </c>
      <c r="V45" s="166" t="s">
        <v>70</v>
      </c>
      <c r="W45" s="166" t="s">
        <v>274</v>
      </c>
      <c r="X45" s="166" t="s">
        <v>153</v>
      </c>
      <c r="Y45" s="166" t="s">
        <v>316</v>
      </c>
      <c r="Z45" s="166">
        <v>19</v>
      </c>
      <c r="AA45" s="166" t="s">
        <v>153</v>
      </c>
      <c r="AB45" s="166" t="s">
        <v>274</v>
      </c>
      <c r="AC45" s="166">
        <v>0</v>
      </c>
      <c r="AD45" s="166">
        <v>11</v>
      </c>
      <c r="AE45" s="198" t="s">
        <v>153</v>
      </c>
    </row>
    <row r="46" spans="1:31" ht="63.75">
      <c r="A46" s="80">
        <v>45</v>
      </c>
      <c r="B46" s="188" t="s">
        <v>301</v>
      </c>
      <c r="C46" s="81" t="s">
        <v>302</v>
      </c>
      <c r="D46" s="350" t="s">
        <v>618</v>
      </c>
      <c r="E46" s="164" t="s">
        <v>457</v>
      </c>
      <c r="F46" s="164" t="s">
        <v>619</v>
      </c>
      <c r="G46" s="164" t="s">
        <v>620</v>
      </c>
      <c r="H46" s="80">
        <v>4</v>
      </c>
      <c r="I46" s="164" t="s">
        <v>621</v>
      </c>
      <c r="J46" s="165">
        <v>43423</v>
      </c>
      <c r="K46" s="165">
        <v>43414</v>
      </c>
      <c r="L46" s="166" t="s">
        <v>322</v>
      </c>
      <c r="M46" s="166" t="s">
        <v>622</v>
      </c>
      <c r="N46" s="167" t="s">
        <v>472</v>
      </c>
      <c r="O46" s="166">
        <v>12</v>
      </c>
      <c r="P46" s="168" t="s">
        <v>623</v>
      </c>
      <c r="Q46" s="169" t="s">
        <v>474</v>
      </c>
      <c r="R46" s="170" t="s">
        <v>327</v>
      </c>
      <c r="S46" s="170" t="s">
        <v>624</v>
      </c>
      <c r="T46" s="171">
        <v>1</v>
      </c>
      <c r="U46" s="166" t="s">
        <v>476</v>
      </c>
      <c r="V46" s="166" t="s">
        <v>70</v>
      </c>
      <c r="W46" s="166" t="s">
        <v>274</v>
      </c>
      <c r="X46" s="166" t="s">
        <v>153</v>
      </c>
      <c r="Y46" s="166" t="s">
        <v>316</v>
      </c>
      <c r="Z46" s="166">
        <v>10</v>
      </c>
      <c r="AA46" s="166" t="s">
        <v>153</v>
      </c>
      <c r="AB46" s="166" t="s">
        <v>274</v>
      </c>
      <c r="AC46" s="166">
        <v>0</v>
      </c>
      <c r="AD46" s="166">
        <v>14</v>
      </c>
      <c r="AE46" s="198" t="s">
        <v>153</v>
      </c>
    </row>
    <row r="47" spans="1:31" ht="63.75">
      <c r="A47" s="80">
        <v>46</v>
      </c>
      <c r="B47" s="188" t="s">
        <v>301</v>
      </c>
      <c r="C47" s="81" t="s">
        <v>302</v>
      </c>
      <c r="D47" s="350" t="s">
        <v>625</v>
      </c>
      <c r="E47" s="164" t="s">
        <v>457</v>
      </c>
      <c r="F47" s="164" t="s">
        <v>626</v>
      </c>
      <c r="G47" s="164" t="s">
        <v>627</v>
      </c>
      <c r="H47" s="80">
        <v>4</v>
      </c>
      <c r="I47" s="164" t="s">
        <v>628</v>
      </c>
      <c r="J47" s="165">
        <v>43423</v>
      </c>
      <c r="K47" s="165">
        <v>43419</v>
      </c>
      <c r="L47" s="166" t="s">
        <v>322</v>
      </c>
      <c r="M47" s="166" t="s">
        <v>629</v>
      </c>
      <c r="N47" s="167" t="s">
        <v>472</v>
      </c>
      <c r="O47" s="166">
        <v>12</v>
      </c>
      <c r="P47" s="168" t="s">
        <v>630</v>
      </c>
      <c r="Q47" s="169" t="s">
        <v>474</v>
      </c>
      <c r="R47" s="170" t="s">
        <v>327</v>
      </c>
      <c r="S47" s="170" t="s">
        <v>631</v>
      </c>
      <c r="T47" s="171">
        <v>1</v>
      </c>
      <c r="U47" s="166" t="s">
        <v>476</v>
      </c>
      <c r="V47" s="166" t="s">
        <v>70</v>
      </c>
      <c r="W47" s="166" t="s">
        <v>274</v>
      </c>
      <c r="X47" s="166" t="s">
        <v>153</v>
      </c>
      <c r="Y47" s="166" t="s">
        <v>316</v>
      </c>
      <c r="Z47" s="166">
        <v>18</v>
      </c>
      <c r="AA47" s="166" t="s">
        <v>153</v>
      </c>
      <c r="AB47" s="166" t="s">
        <v>274</v>
      </c>
      <c r="AC47" s="166">
        <v>0</v>
      </c>
      <c r="AD47" s="166">
        <v>14</v>
      </c>
      <c r="AE47" s="198" t="s">
        <v>153</v>
      </c>
    </row>
    <row r="48" spans="1:31" ht="51">
      <c r="A48" s="80">
        <v>47</v>
      </c>
      <c r="B48" s="188" t="s">
        <v>301</v>
      </c>
      <c r="C48" s="81" t="s">
        <v>302</v>
      </c>
      <c r="D48" s="350" t="s">
        <v>632</v>
      </c>
      <c r="E48" s="164" t="s">
        <v>457</v>
      </c>
      <c r="F48" s="164" t="s">
        <v>633</v>
      </c>
      <c r="G48" s="164" t="s">
        <v>634</v>
      </c>
      <c r="H48" s="80">
        <v>3</v>
      </c>
      <c r="I48" s="164" t="s">
        <v>635</v>
      </c>
      <c r="J48" s="165">
        <v>43423</v>
      </c>
      <c r="K48" s="165">
        <v>43414</v>
      </c>
      <c r="L48" s="166" t="s">
        <v>308</v>
      </c>
      <c r="M48" s="166" t="s">
        <v>636</v>
      </c>
      <c r="N48" s="167" t="s">
        <v>482</v>
      </c>
      <c r="O48" s="166">
        <v>9</v>
      </c>
      <c r="P48" s="168" t="s">
        <v>311</v>
      </c>
      <c r="Q48" s="169" t="s">
        <v>483</v>
      </c>
      <c r="R48" s="170" t="s">
        <v>313</v>
      </c>
      <c r="S48" s="170" t="s">
        <v>465</v>
      </c>
      <c r="T48" s="171">
        <v>1</v>
      </c>
      <c r="U48" s="166" t="s">
        <v>466</v>
      </c>
      <c r="V48" s="166" t="s">
        <v>70</v>
      </c>
      <c r="W48" s="166" t="s">
        <v>316</v>
      </c>
      <c r="X48" s="166">
        <v>36</v>
      </c>
      <c r="Y48" s="166" t="s">
        <v>316</v>
      </c>
      <c r="Z48" s="166">
        <v>25</v>
      </c>
      <c r="AA48" s="166" t="s">
        <v>153</v>
      </c>
      <c r="AB48" s="166" t="s">
        <v>274</v>
      </c>
      <c r="AC48" s="166">
        <v>0</v>
      </c>
      <c r="AD48" s="166">
        <v>11</v>
      </c>
      <c r="AE48" s="198" t="s">
        <v>153</v>
      </c>
    </row>
    <row r="49" spans="1:31" ht="51">
      <c r="A49" s="80">
        <v>48</v>
      </c>
      <c r="B49" s="188" t="s">
        <v>301</v>
      </c>
      <c r="C49" s="81" t="s">
        <v>302</v>
      </c>
      <c r="D49" s="350" t="s">
        <v>637</v>
      </c>
      <c r="E49" s="164" t="s">
        <v>457</v>
      </c>
      <c r="F49" s="164" t="s">
        <v>638</v>
      </c>
      <c r="G49" s="164" t="s">
        <v>639</v>
      </c>
      <c r="H49" s="80">
        <v>3</v>
      </c>
      <c r="I49" s="164" t="s">
        <v>640</v>
      </c>
      <c r="J49" s="165">
        <v>43423</v>
      </c>
      <c r="K49" s="165">
        <v>43418</v>
      </c>
      <c r="L49" s="166" t="s">
        <v>308</v>
      </c>
      <c r="M49" s="166" t="s">
        <v>641</v>
      </c>
      <c r="N49" s="167" t="s">
        <v>482</v>
      </c>
      <c r="O49" s="166">
        <v>9</v>
      </c>
      <c r="P49" s="168" t="s">
        <v>311</v>
      </c>
      <c r="Q49" s="169" t="s">
        <v>483</v>
      </c>
      <c r="R49" s="170" t="s">
        <v>313</v>
      </c>
      <c r="S49" s="170" t="s">
        <v>314</v>
      </c>
      <c r="T49" s="171">
        <v>1</v>
      </c>
      <c r="U49" s="166" t="s">
        <v>466</v>
      </c>
      <c r="V49" s="166" t="s">
        <v>70</v>
      </c>
      <c r="W49" s="166" t="s">
        <v>316</v>
      </c>
      <c r="X49" s="166">
        <v>36</v>
      </c>
      <c r="Y49" s="166" t="s">
        <v>316</v>
      </c>
      <c r="Z49" s="166">
        <v>25</v>
      </c>
      <c r="AA49" s="166" t="s">
        <v>153</v>
      </c>
      <c r="AB49" s="166" t="s">
        <v>274</v>
      </c>
      <c r="AC49" s="166">
        <v>0</v>
      </c>
      <c r="AD49" s="166">
        <v>11</v>
      </c>
      <c r="AE49" s="198" t="s">
        <v>153</v>
      </c>
    </row>
    <row r="50" spans="1:31" ht="63.75">
      <c r="A50" s="80">
        <v>49</v>
      </c>
      <c r="B50" s="188" t="s">
        <v>301</v>
      </c>
      <c r="C50" s="81" t="s">
        <v>302</v>
      </c>
      <c r="D50" s="350" t="s">
        <v>642</v>
      </c>
      <c r="E50" s="164" t="s">
        <v>457</v>
      </c>
      <c r="F50" s="164" t="s">
        <v>643</v>
      </c>
      <c r="G50" s="164" t="s">
        <v>644</v>
      </c>
      <c r="H50" s="80">
        <v>4</v>
      </c>
      <c r="I50" s="164" t="s">
        <v>645</v>
      </c>
      <c r="J50" s="165">
        <v>43423</v>
      </c>
      <c r="K50" s="165">
        <v>43418</v>
      </c>
      <c r="L50" s="166" t="s">
        <v>322</v>
      </c>
      <c r="M50" s="166" t="s">
        <v>646</v>
      </c>
      <c r="N50" s="167" t="s">
        <v>472</v>
      </c>
      <c r="O50" s="166">
        <v>12</v>
      </c>
      <c r="P50" s="168" t="s">
        <v>647</v>
      </c>
      <c r="Q50" s="169" t="s">
        <v>474</v>
      </c>
      <c r="R50" s="170" t="s">
        <v>327</v>
      </c>
      <c r="S50" s="170" t="s">
        <v>648</v>
      </c>
      <c r="T50" s="171">
        <v>1</v>
      </c>
      <c r="U50" s="166" t="s">
        <v>476</v>
      </c>
      <c r="V50" s="166" t="s">
        <v>70</v>
      </c>
      <c r="W50" s="166" t="s">
        <v>316</v>
      </c>
      <c r="X50" s="166">
        <v>35</v>
      </c>
      <c r="Y50" s="166" t="s">
        <v>316</v>
      </c>
      <c r="Z50" s="166">
        <v>28</v>
      </c>
      <c r="AA50" s="166" t="s">
        <v>153</v>
      </c>
      <c r="AB50" s="166" t="s">
        <v>274</v>
      </c>
      <c r="AC50" s="166">
        <v>0</v>
      </c>
      <c r="AD50" s="166">
        <v>7</v>
      </c>
      <c r="AE50" s="198" t="s">
        <v>153</v>
      </c>
    </row>
    <row r="51" spans="1:31" ht="51">
      <c r="A51" s="80">
        <v>50</v>
      </c>
      <c r="B51" s="188" t="s">
        <v>301</v>
      </c>
      <c r="C51" s="81" t="s">
        <v>302</v>
      </c>
      <c r="D51" s="350" t="s">
        <v>649</v>
      </c>
      <c r="E51" s="164" t="s">
        <v>457</v>
      </c>
      <c r="F51" s="164" t="s">
        <v>650</v>
      </c>
      <c r="G51" s="164" t="s">
        <v>651</v>
      </c>
      <c r="H51" s="80">
        <v>4</v>
      </c>
      <c r="I51" s="164" t="s">
        <v>652</v>
      </c>
      <c r="J51" s="165">
        <v>43423</v>
      </c>
      <c r="K51" s="165">
        <v>43420</v>
      </c>
      <c r="L51" s="166" t="s">
        <v>322</v>
      </c>
      <c r="M51" s="166" t="s">
        <v>653</v>
      </c>
      <c r="N51" s="167" t="s">
        <v>654</v>
      </c>
      <c r="O51" s="166">
        <v>10</v>
      </c>
      <c r="P51" s="168" t="s">
        <v>655</v>
      </c>
      <c r="Q51" s="169" t="s">
        <v>656</v>
      </c>
      <c r="R51" s="170" t="s">
        <v>327</v>
      </c>
      <c r="S51" s="170" t="s">
        <v>657</v>
      </c>
      <c r="T51" s="171">
        <v>1</v>
      </c>
      <c r="U51" s="166" t="s">
        <v>658</v>
      </c>
      <c r="V51" s="166" t="s">
        <v>70</v>
      </c>
      <c r="W51" s="166" t="s">
        <v>316</v>
      </c>
      <c r="X51" s="166">
        <v>36</v>
      </c>
      <c r="Y51" s="166" t="s">
        <v>316</v>
      </c>
      <c r="Z51" s="166">
        <v>32</v>
      </c>
      <c r="AA51" s="166" t="s">
        <v>153</v>
      </c>
      <c r="AB51" s="166" t="s">
        <v>274</v>
      </c>
      <c r="AC51" s="166">
        <v>36</v>
      </c>
      <c r="AD51" s="166">
        <v>4</v>
      </c>
      <c r="AE51" s="198" t="s">
        <v>659</v>
      </c>
    </row>
    <row r="52" spans="1:31" ht="63.75">
      <c r="A52" s="80">
        <v>51</v>
      </c>
      <c r="B52" s="188" t="s">
        <v>301</v>
      </c>
      <c r="C52" s="81" t="s">
        <v>302</v>
      </c>
      <c r="D52" s="350" t="s">
        <v>660</v>
      </c>
      <c r="E52" s="164" t="s">
        <v>661</v>
      </c>
      <c r="F52" s="164" t="s">
        <v>662</v>
      </c>
      <c r="G52" s="164" t="s">
        <v>663</v>
      </c>
      <c r="H52" s="80">
        <v>4</v>
      </c>
      <c r="I52" s="164" t="s">
        <v>664</v>
      </c>
      <c r="J52" s="165">
        <v>43423</v>
      </c>
      <c r="K52" s="165">
        <v>43408</v>
      </c>
      <c r="L52" s="166" t="s">
        <v>322</v>
      </c>
      <c r="M52" s="166" t="s">
        <v>665</v>
      </c>
      <c r="N52" s="167" t="s">
        <v>666</v>
      </c>
      <c r="O52" s="166">
        <v>12</v>
      </c>
      <c r="P52" s="168" t="s">
        <v>667</v>
      </c>
      <c r="Q52" s="169" t="s">
        <v>668</v>
      </c>
      <c r="R52" s="170" t="s">
        <v>327</v>
      </c>
      <c r="S52" s="170" t="s">
        <v>669</v>
      </c>
      <c r="T52" s="171">
        <v>1</v>
      </c>
      <c r="U52" s="166" t="s">
        <v>329</v>
      </c>
      <c r="V52" s="166" t="s">
        <v>70</v>
      </c>
      <c r="W52" s="166" t="s">
        <v>274</v>
      </c>
      <c r="X52" s="166" t="s">
        <v>153</v>
      </c>
      <c r="Y52" s="166" t="s">
        <v>316</v>
      </c>
      <c r="Z52" s="166">
        <v>20</v>
      </c>
      <c r="AA52" s="166" t="s">
        <v>153</v>
      </c>
      <c r="AB52" s="166" t="s">
        <v>274</v>
      </c>
      <c r="AC52" s="166">
        <v>0</v>
      </c>
      <c r="AD52" s="166">
        <v>18</v>
      </c>
      <c r="AE52" s="198" t="s">
        <v>153</v>
      </c>
    </row>
    <row r="53" spans="1:31" ht="51">
      <c r="A53" s="80">
        <v>52</v>
      </c>
      <c r="B53" s="188" t="s">
        <v>301</v>
      </c>
      <c r="C53" s="81" t="s">
        <v>302</v>
      </c>
      <c r="D53" s="350" t="s">
        <v>670</v>
      </c>
      <c r="E53" s="164" t="s">
        <v>661</v>
      </c>
      <c r="F53" s="164" t="s">
        <v>671</v>
      </c>
      <c r="G53" s="164" t="s">
        <v>672</v>
      </c>
      <c r="H53" s="80">
        <v>3</v>
      </c>
      <c r="I53" s="164" t="s">
        <v>673</v>
      </c>
      <c r="J53" s="165">
        <v>43423</v>
      </c>
      <c r="K53" s="165">
        <v>43408</v>
      </c>
      <c r="L53" s="166" t="s">
        <v>308</v>
      </c>
      <c r="M53" s="166" t="s">
        <v>674</v>
      </c>
      <c r="N53" s="167" t="s">
        <v>675</v>
      </c>
      <c r="O53" s="166">
        <v>9</v>
      </c>
      <c r="P53" s="168" t="s">
        <v>389</v>
      </c>
      <c r="Q53" s="169" t="s">
        <v>676</v>
      </c>
      <c r="R53" s="170" t="s">
        <v>345</v>
      </c>
      <c r="S53" s="170" t="s">
        <v>677</v>
      </c>
      <c r="T53" s="171">
        <v>1</v>
      </c>
      <c r="U53" s="166" t="s">
        <v>347</v>
      </c>
      <c r="V53" s="166" t="s">
        <v>70</v>
      </c>
      <c r="W53" s="166" t="s">
        <v>274</v>
      </c>
      <c r="X53" s="166" t="s">
        <v>153</v>
      </c>
      <c r="Y53" s="166" t="s">
        <v>316</v>
      </c>
      <c r="Z53" s="166">
        <v>25</v>
      </c>
      <c r="AA53" s="166" t="s">
        <v>153</v>
      </c>
      <c r="AB53" s="166" t="s">
        <v>274</v>
      </c>
      <c r="AC53" s="166">
        <v>0</v>
      </c>
      <c r="AD53" s="166">
        <v>11</v>
      </c>
      <c r="AE53" s="198" t="s">
        <v>153</v>
      </c>
    </row>
    <row r="54" spans="1:31" ht="51">
      <c r="A54" s="80">
        <v>53</v>
      </c>
      <c r="B54" s="188" t="s">
        <v>301</v>
      </c>
      <c r="C54" s="81" t="s">
        <v>302</v>
      </c>
      <c r="D54" s="350" t="s">
        <v>678</v>
      </c>
      <c r="E54" s="164" t="s">
        <v>661</v>
      </c>
      <c r="F54" s="164" t="s">
        <v>679</v>
      </c>
      <c r="G54" s="164" t="s">
        <v>680</v>
      </c>
      <c r="H54" s="80">
        <v>3</v>
      </c>
      <c r="I54" s="164" t="s">
        <v>681</v>
      </c>
      <c r="J54" s="165">
        <v>43423</v>
      </c>
      <c r="K54" s="165">
        <v>43408</v>
      </c>
      <c r="L54" s="166" t="s">
        <v>308</v>
      </c>
      <c r="M54" s="166" t="s">
        <v>682</v>
      </c>
      <c r="N54" s="167" t="s">
        <v>675</v>
      </c>
      <c r="O54" s="166">
        <v>9</v>
      </c>
      <c r="P54" s="168" t="s">
        <v>389</v>
      </c>
      <c r="Q54" s="169" t="s">
        <v>683</v>
      </c>
      <c r="R54" s="170" t="s">
        <v>313</v>
      </c>
      <c r="S54" s="170" t="s">
        <v>684</v>
      </c>
      <c r="T54" s="171">
        <v>1</v>
      </c>
      <c r="U54" s="166" t="s">
        <v>315</v>
      </c>
      <c r="V54" s="166" t="s">
        <v>70</v>
      </c>
      <c r="W54" s="166" t="s">
        <v>316</v>
      </c>
      <c r="X54" s="166">
        <v>38</v>
      </c>
      <c r="Y54" s="166" t="s">
        <v>316</v>
      </c>
      <c r="Z54" s="166">
        <v>27</v>
      </c>
      <c r="AA54" s="166" t="s">
        <v>153</v>
      </c>
      <c r="AB54" s="166" t="s">
        <v>274</v>
      </c>
      <c r="AC54" s="166">
        <v>0</v>
      </c>
      <c r="AD54" s="166">
        <v>11</v>
      </c>
      <c r="AE54" s="198" t="s">
        <v>153</v>
      </c>
    </row>
    <row r="55" spans="1:31" ht="51">
      <c r="A55" s="80">
        <v>54</v>
      </c>
      <c r="B55" s="188" t="s">
        <v>301</v>
      </c>
      <c r="C55" s="81" t="s">
        <v>302</v>
      </c>
      <c r="D55" s="350" t="s">
        <v>685</v>
      </c>
      <c r="E55" s="164" t="s">
        <v>661</v>
      </c>
      <c r="F55" s="164" t="s">
        <v>686</v>
      </c>
      <c r="G55" s="164" t="s">
        <v>687</v>
      </c>
      <c r="H55" s="80">
        <v>3</v>
      </c>
      <c r="I55" s="164" t="s">
        <v>688</v>
      </c>
      <c r="J55" s="165">
        <v>43423</v>
      </c>
      <c r="K55" s="165">
        <v>43408</v>
      </c>
      <c r="L55" s="166" t="s">
        <v>308</v>
      </c>
      <c r="M55" s="166" t="s">
        <v>689</v>
      </c>
      <c r="N55" s="167" t="s">
        <v>675</v>
      </c>
      <c r="O55" s="166">
        <v>9</v>
      </c>
      <c r="P55" s="168" t="s">
        <v>311</v>
      </c>
      <c r="Q55" s="169" t="s">
        <v>676</v>
      </c>
      <c r="R55" s="170" t="s">
        <v>345</v>
      </c>
      <c r="S55" s="170" t="s">
        <v>690</v>
      </c>
      <c r="T55" s="171">
        <v>1</v>
      </c>
      <c r="U55" s="166" t="s">
        <v>347</v>
      </c>
      <c r="V55" s="166" t="s">
        <v>70</v>
      </c>
      <c r="W55" s="166" t="s">
        <v>274</v>
      </c>
      <c r="X55" s="166" t="s">
        <v>153</v>
      </c>
      <c r="Y55" s="166" t="s">
        <v>316</v>
      </c>
      <c r="Z55" s="166">
        <v>21</v>
      </c>
      <c r="AA55" s="166" t="s">
        <v>153</v>
      </c>
      <c r="AB55" s="166" t="s">
        <v>274</v>
      </c>
      <c r="AC55" s="166">
        <v>11</v>
      </c>
      <c r="AD55" s="166">
        <v>11</v>
      </c>
      <c r="AE55" s="198" t="s">
        <v>153</v>
      </c>
    </row>
    <row r="56" spans="1:31" ht="51">
      <c r="A56" s="80">
        <v>55</v>
      </c>
      <c r="B56" s="188" t="s">
        <v>301</v>
      </c>
      <c r="C56" s="81" t="s">
        <v>302</v>
      </c>
      <c r="D56" s="350" t="s">
        <v>691</v>
      </c>
      <c r="E56" s="164" t="s">
        <v>661</v>
      </c>
      <c r="F56" s="164" t="s">
        <v>692</v>
      </c>
      <c r="G56" s="164" t="s">
        <v>693</v>
      </c>
      <c r="H56" s="80">
        <v>3</v>
      </c>
      <c r="I56" s="164" t="s">
        <v>694</v>
      </c>
      <c r="J56" s="165">
        <v>43423</v>
      </c>
      <c r="K56" s="165">
        <v>43408</v>
      </c>
      <c r="L56" s="166" t="s">
        <v>308</v>
      </c>
      <c r="M56" s="166" t="s">
        <v>695</v>
      </c>
      <c r="N56" s="167" t="s">
        <v>675</v>
      </c>
      <c r="O56" s="166">
        <v>9</v>
      </c>
      <c r="P56" s="168" t="s">
        <v>311</v>
      </c>
      <c r="Q56" s="169" t="s">
        <v>683</v>
      </c>
      <c r="R56" s="170" t="s">
        <v>313</v>
      </c>
      <c r="S56" s="170" t="s">
        <v>696</v>
      </c>
      <c r="T56" s="171">
        <v>1</v>
      </c>
      <c r="U56" s="166" t="s">
        <v>315</v>
      </c>
      <c r="V56" s="166" t="s">
        <v>70</v>
      </c>
      <c r="W56" s="166" t="s">
        <v>274</v>
      </c>
      <c r="X56" s="166" t="s">
        <v>153</v>
      </c>
      <c r="Y56" s="166" t="s">
        <v>316</v>
      </c>
      <c r="Z56" s="166">
        <v>5</v>
      </c>
      <c r="AA56" s="166" t="s">
        <v>153</v>
      </c>
      <c r="AB56" s="166" t="s">
        <v>274</v>
      </c>
      <c r="AC56" s="166">
        <v>7</v>
      </c>
      <c r="AD56" s="166">
        <v>18</v>
      </c>
      <c r="AE56" s="198" t="s">
        <v>153</v>
      </c>
    </row>
    <row r="57" spans="1:31" ht="51">
      <c r="A57" s="80">
        <v>56</v>
      </c>
      <c r="B57" s="188" t="s">
        <v>301</v>
      </c>
      <c r="C57" s="81" t="s">
        <v>302</v>
      </c>
      <c r="D57" s="350" t="s">
        <v>697</v>
      </c>
      <c r="E57" s="164" t="s">
        <v>698</v>
      </c>
      <c r="F57" s="164" t="s">
        <v>699</v>
      </c>
      <c r="G57" s="164" t="s">
        <v>700</v>
      </c>
      <c r="H57" s="80">
        <v>3</v>
      </c>
      <c r="I57" s="164" t="s">
        <v>701</v>
      </c>
      <c r="J57" s="165">
        <v>43423</v>
      </c>
      <c r="K57" s="165">
        <v>43415</v>
      </c>
      <c r="L57" s="166" t="s">
        <v>308</v>
      </c>
      <c r="M57" s="166" t="s">
        <v>702</v>
      </c>
      <c r="N57" s="167" t="s">
        <v>482</v>
      </c>
      <c r="O57" s="166">
        <v>9</v>
      </c>
      <c r="P57" s="168" t="s">
        <v>703</v>
      </c>
      <c r="Q57" s="169" t="s">
        <v>704</v>
      </c>
      <c r="R57" s="170" t="s">
        <v>345</v>
      </c>
      <c r="S57" s="170" t="s">
        <v>518</v>
      </c>
      <c r="T57" s="171">
        <v>1</v>
      </c>
      <c r="U57" s="166" t="s">
        <v>705</v>
      </c>
      <c r="V57" s="166" t="s">
        <v>70</v>
      </c>
      <c r="W57" s="166" t="s">
        <v>274</v>
      </c>
      <c r="X57" s="166" t="s">
        <v>153</v>
      </c>
      <c r="Y57" s="166" t="s">
        <v>316</v>
      </c>
      <c r="Z57" s="166">
        <v>15</v>
      </c>
      <c r="AA57" s="166" t="s">
        <v>153</v>
      </c>
      <c r="AB57" s="166" t="s">
        <v>274</v>
      </c>
      <c r="AC57" s="166">
        <v>0</v>
      </c>
      <c r="AD57" s="166">
        <v>18</v>
      </c>
      <c r="AE57" s="198" t="s">
        <v>153</v>
      </c>
    </row>
    <row r="58" spans="1:31" ht="51">
      <c r="A58" s="80">
        <v>57</v>
      </c>
      <c r="B58" s="188" t="s">
        <v>301</v>
      </c>
      <c r="C58" s="81" t="s">
        <v>302</v>
      </c>
      <c r="D58" s="350" t="s">
        <v>706</v>
      </c>
      <c r="E58" s="164" t="s">
        <v>698</v>
      </c>
      <c r="F58" s="164" t="s">
        <v>707</v>
      </c>
      <c r="G58" s="164" t="s">
        <v>708</v>
      </c>
      <c r="H58" s="80">
        <v>3</v>
      </c>
      <c r="I58" s="164" t="s">
        <v>709</v>
      </c>
      <c r="J58" s="165">
        <v>43423</v>
      </c>
      <c r="K58" s="165">
        <v>43417</v>
      </c>
      <c r="L58" s="166" t="s">
        <v>308</v>
      </c>
      <c r="M58" s="166" t="s">
        <v>710</v>
      </c>
      <c r="N58" s="167" t="s">
        <v>482</v>
      </c>
      <c r="O58" s="166">
        <v>9</v>
      </c>
      <c r="P58" s="168" t="s">
        <v>711</v>
      </c>
      <c r="Q58" s="169" t="s">
        <v>704</v>
      </c>
      <c r="R58" s="170" t="s">
        <v>345</v>
      </c>
      <c r="S58" s="170" t="s">
        <v>712</v>
      </c>
      <c r="T58" s="171">
        <v>1</v>
      </c>
      <c r="U58" s="166" t="s">
        <v>705</v>
      </c>
      <c r="V58" s="166" t="s">
        <v>70</v>
      </c>
      <c r="W58" s="166" t="s">
        <v>274</v>
      </c>
      <c r="X58" s="166" t="s">
        <v>153</v>
      </c>
      <c r="Y58" s="166" t="s">
        <v>316</v>
      </c>
      <c r="Z58" s="166">
        <v>20</v>
      </c>
      <c r="AA58" s="166" t="s">
        <v>153</v>
      </c>
      <c r="AB58" s="166" t="s">
        <v>274</v>
      </c>
      <c r="AC58" s="166">
        <v>0</v>
      </c>
      <c r="AD58" s="166">
        <v>7</v>
      </c>
      <c r="AE58" s="198" t="s">
        <v>153</v>
      </c>
    </row>
    <row r="59" spans="1:31" ht="51">
      <c r="A59" s="80">
        <v>58</v>
      </c>
      <c r="B59" s="188" t="s">
        <v>301</v>
      </c>
      <c r="C59" s="81" t="s">
        <v>302</v>
      </c>
      <c r="D59" s="350" t="s">
        <v>713</v>
      </c>
      <c r="E59" s="164" t="s">
        <v>698</v>
      </c>
      <c r="F59" s="164" t="s">
        <v>714</v>
      </c>
      <c r="G59" s="164" t="s">
        <v>715</v>
      </c>
      <c r="H59" s="80">
        <v>3</v>
      </c>
      <c r="I59" s="164" t="s">
        <v>716</v>
      </c>
      <c r="J59" s="165">
        <v>43423</v>
      </c>
      <c r="K59" s="165">
        <v>43415</v>
      </c>
      <c r="L59" s="166" t="s">
        <v>308</v>
      </c>
      <c r="M59" s="166" t="s">
        <v>717</v>
      </c>
      <c r="N59" s="167" t="s">
        <v>462</v>
      </c>
      <c r="O59" s="166">
        <v>9</v>
      </c>
      <c r="P59" s="168" t="s">
        <v>311</v>
      </c>
      <c r="Q59" s="169" t="s">
        <v>464</v>
      </c>
      <c r="R59" s="170" t="s">
        <v>313</v>
      </c>
      <c r="S59" s="170" t="s">
        <v>718</v>
      </c>
      <c r="T59" s="171">
        <v>1</v>
      </c>
      <c r="U59" s="166" t="s">
        <v>466</v>
      </c>
      <c r="V59" s="166" t="s">
        <v>70</v>
      </c>
      <c r="W59" s="166" t="s">
        <v>316</v>
      </c>
      <c r="X59" s="166">
        <v>35</v>
      </c>
      <c r="Y59" s="166" t="s">
        <v>316</v>
      </c>
      <c r="Z59" s="166">
        <v>24</v>
      </c>
      <c r="AA59" s="166" t="s">
        <v>153</v>
      </c>
      <c r="AB59" s="166" t="s">
        <v>274</v>
      </c>
      <c r="AC59" s="166">
        <v>0</v>
      </c>
      <c r="AD59" s="166">
        <v>11</v>
      </c>
      <c r="AE59" s="198" t="s">
        <v>153</v>
      </c>
    </row>
    <row r="60" spans="1:31" ht="51">
      <c r="A60" s="80">
        <v>59</v>
      </c>
      <c r="B60" s="188" t="s">
        <v>301</v>
      </c>
      <c r="C60" s="81" t="s">
        <v>302</v>
      </c>
      <c r="D60" s="350" t="s">
        <v>719</v>
      </c>
      <c r="E60" s="164" t="s">
        <v>698</v>
      </c>
      <c r="F60" s="164" t="s">
        <v>720</v>
      </c>
      <c r="G60" s="164" t="s">
        <v>721</v>
      </c>
      <c r="H60" s="80">
        <v>3</v>
      </c>
      <c r="I60" s="164" t="s">
        <v>722</v>
      </c>
      <c r="J60" s="165">
        <v>43423</v>
      </c>
      <c r="K60" s="165">
        <v>43417</v>
      </c>
      <c r="L60" s="166" t="s">
        <v>308</v>
      </c>
      <c r="M60" s="166" t="s">
        <v>723</v>
      </c>
      <c r="N60" s="167" t="s">
        <v>482</v>
      </c>
      <c r="O60" s="166">
        <v>9</v>
      </c>
      <c r="P60" s="168" t="s">
        <v>311</v>
      </c>
      <c r="Q60" s="169" t="s">
        <v>483</v>
      </c>
      <c r="R60" s="170" t="s">
        <v>313</v>
      </c>
      <c r="S60" s="170" t="s">
        <v>677</v>
      </c>
      <c r="T60" s="171">
        <v>1</v>
      </c>
      <c r="U60" s="166" t="s">
        <v>466</v>
      </c>
      <c r="V60" s="166" t="s">
        <v>70</v>
      </c>
      <c r="W60" s="166" t="s">
        <v>316</v>
      </c>
      <c r="X60" s="166">
        <v>36</v>
      </c>
      <c r="Y60" s="166" t="s">
        <v>316</v>
      </c>
      <c r="Z60" s="166">
        <v>32</v>
      </c>
      <c r="AA60" s="166" t="s">
        <v>153</v>
      </c>
      <c r="AB60" s="166" t="s">
        <v>274</v>
      </c>
      <c r="AC60" s="166">
        <v>0</v>
      </c>
      <c r="AD60" s="166">
        <v>4</v>
      </c>
      <c r="AE60" s="198" t="s">
        <v>153</v>
      </c>
    </row>
    <row r="61" spans="1:31" ht="51">
      <c r="A61" s="80">
        <v>60</v>
      </c>
      <c r="B61" s="188" t="s">
        <v>301</v>
      </c>
      <c r="C61" s="81" t="s">
        <v>302</v>
      </c>
      <c r="D61" s="350" t="s">
        <v>724</v>
      </c>
      <c r="E61" s="164" t="s">
        <v>698</v>
      </c>
      <c r="F61" s="164" t="s">
        <v>725</v>
      </c>
      <c r="G61" s="164" t="s">
        <v>726</v>
      </c>
      <c r="H61" s="80">
        <v>4</v>
      </c>
      <c r="I61" s="164" t="s">
        <v>727</v>
      </c>
      <c r="J61" s="165">
        <v>43423</v>
      </c>
      <c r="K61" s="165">
        <v>43419</v>
      </c>
      <c r="L61" s="166" t="s">
        <v>322</v>
      </c>
      <c r="M61" s="166" t="s">
        <v>728</v>
      </c>
      <c r="N61" s="167" t="s">
        <v>472</v>
      </c>
      <c r="O61" s="166">
        <v>10</v>
      </c>
      <c r="P61" s="168" t="s">
        <v>729</v>
      </c>
      <c r="Q61" s="169" t="s">
        <v>498</v>
      </c>
      <c r="R61" s="170" t="s">
        <v>327</v>
      </c>
      <c r="S61" s="170" t="s">
        <v>730</v>
      </c>
      <c r="T61" s="171">
        <v>1</v>
      </c>
      <c r="U61" s="166" t="s">
        <v>476</v>
      </c>
      <c r="V61" s="166" t="s">
        <v>70</v>
      </c>
      <c r="W61" s="166" t="s">
        <v>274</v>
      </c>
      <c r="X61" s="166" t="s">
        <v>153</v>
      </c>
      <c r="Y61" s="166" t="s">
        <v>316</v>
      </c>
      <c r="Z61" s="166">
        <v>26</v>
      </c>
      <c r="AA61" s="166" t="s">
        <v>153</v>
      </c>
      <c r="AB61" s="166" t="s">
        <v>274</v>
      </c>
      <c r="AC61" s="166">
        <v>0</v>
      </c>
      <c r="AD61" s="166">
        <v>7</v>
      </c>
      <c r="AE61" s="198" t="s">
        <v>731</v>
      </c>
    </row>
    <row r="62" spans="1:31" ht="51">
      <c r="A62" s="80">
        <v>61</v>
      </c>
      <c r="B62" s="188" t="s">
        <v>301</v>
      </c>
      <c r="C62" s="81" t="s">
        <v>302</v>
      </c>
      <c r="D62" s="350" t="s">
        <v>732</v>
      </c>
      <c r="E62" s="164" t="s">
        <v>698</v>
      </c>
      <c r="F62" s="164" t="s">
        <v>733</v>
      </c>
      <c r="G62" s="164" t="s">
        <v>734</v>
      </c>
      <c r="H62" s="80">
        <v>3</v>
      </c>
      <c r="I62" s="164" t="s">
        <v>735</v>
      </c>
      <c r="J62" s="165">
        <v>43423</v>
      </c>
      <c r="K62" s="165">
        <v>43417</v>
      </c>
      <c r="L62" s="166" t="s">
        <v>308</v>
      </c>
      <c r="M62" s="166" t="s">
        <v>736</v>
      </c>
      <c r="N62" s="167" t="s">
        <v>482</v>
      </c>
      <c r="O62" s="166">
        <v>9</v>
      </c>
      <c r="P62" s="168" t="s">
        <v>311</v>
      </c>
      <c r="Q62" s="169" t="s">
        <v>483</v>
      </c>
      <c r="R62" s="170" t="s">
        <v>313</v>
      </c>
      <c r="S62" s="170" t="s">
        <v>737</v>
      </c>
      <c r="T62" s="171">
        <v>1</v>
      </c>
      <c r="U62" s="166" t="s">
        <v>466</v>
      </c>
      <c r="V62" s="166" t="s">
        <v>70</v>
      </c>
      <c r="W62" s="166" t="s">
        <v>274</v>
      </c>
      <c r="X62" s="166" t="s">
        <v>153</v>
      </c>
      <c r="Y62" s="166" t="s">
        <v>316</v>
      </c>
      <c r="Z62" s="166">
        <v>26</v>
      </c>
      <c r="AA62" s="166" t="s">
        <v>153</v>
      </c>
      <c r="AB62" s="166" t="s">
        <v>274</v>
      </c>
      <c r="AC62" s="166">
        <v>0</v>
      </c>
      <c r="AD62" s="166">
        <v>4</v>
      </c>
      <c r="AE62" s="198" t="s">
        <v>153</v>
      </c>
    </row>
    <row r="63" spans="1:31" ht="63.75">
      <c r="A63" s="80">
        <v>62</v>
      </c>
      <c r="B63" s="188" t="s">
        <v>301</v>
      </c>
      <c r="C63" s="81" t="s">
        <v>302</v>
      </c>
      <c r="D63" s="350" t="s">
        <v>738</v>
      </c>
      <c r="E63" s="164" t="s">
        <v>698</v>
      </c>
      <c r="F63" s="164" t="s">
        <v>739</v>
      </c>
      <c r="G63" s="164" t="s">
        <v>740</v>
      </c>
      <c r="H63" s="80">
        <v>4</v>
      </c>
      <c r="I63" s="164" t="s">
        <v>741</v>
      </c>
      <c r="J63" s="165">
        <v>43423</v>
      </c>
      <c r="K63" s="165">
        <v>43418</v>
      </c>
      <c r="L63" s="166" t="s">
        <v>322</v>
      </c>
      <c r="M63" s="166" t="s">
        <v>742</v>
      </c>
      <c r="N63" s="167" t="s">
        <v>472</v>
      </c>
      <c r="O63" s="166">
        <v>12</v>
      </c>
      <c r="P63" s="168" t="s">
        <v>623</v>
      </c>
      <c r="Q63" s="169" t="s">
        <v>474</v>
      </c>
      <c r="R63" s="170" t="s">
        <v>327</v>
      </c>
      <c r="S63" s="170" t="s">
        <v>743</v>
      </c>
      <c r="T63" s="171">
        <v>1</v>
      </c>
      <c r="U63" s="166" t="s">
        <v>476</v>
      </c>
      <c r="V63" s="166" t="s">
        <v>70</v>
      </c>
      <c r="W63" s="166" t="s">
        <v>316</v>
      </c>
      <c r="X63" s="166">
        <v>33</v>
      </c>
      <c r="Y63" s="166" t="s">
        <v>316</v>
      </c>
      <c r="Z63" s="166">
        <v>29</v>
      </c>
      <c r="AA63" s="166" t="s">
        <v>153</v>
      </c>
      <c r="AB63" s="166" t="s">
        <v>274</v>
      </c>
      <c r="AC63" s="166">
        <v>0</v>
      </c>
      <c r="AD63" s="166">
        <v>4</v>
      </c>
      <c r="AE63" s="198" t="s">
        <v>153</v>
      </c>
    </row>
    <row r="64" spans="1:31" ht="51">
      <c r="A64" s="80">
        <v>63</v>
      </c>
      <c r="B64" s="188" t="s">
        <v>301</v>
      </c>
      <c r="C64" s="81" t="s">
        <v>302</v>
      </c>
      <c r="D64" s="350" t="s">
        <v>744</v>
      </c>
      <c r="E64" s="164" t="s">
        <v>698</v>
      </c>
      <c r="F64" s="164" t="s">
        <v>745</v>
      </c>
      <c r="G64" s="164" t="s">
        <v>746</v>
      </c>
      <c r="H64" s="80">
        <v>3</v>
      </c>
      <c r="I64" s="164" t="s">
        <v>747</v>
      </c>
      <c r="J64" s="165">
        <v>43423</v>
      </c>
      <c r="K64" s="165">
        <v>43417</v>
      </c>
      <c r="L64" s="166" t="s">
        <v>308</v>
      </c>
      <c r="M64" s="166" t="s">
        <v>748</v>
      </c>
      <c r="N64" s="167" t="s">
        <v>462</v>
      </c>
      <c r="O64" s="166">
        <v>9</v>
      </c>
      <c r="P64" s="168" t="s">
        <v>311</v>
      </c>
      <c r="Q64" s="169" t="s">
        <v>464</v>
      </c>
      <c r="R64" s="170" t="s">
        <v>313</v>
      </c>
      <c r="S64" s="170" t="s">
        <v>586</v>
      </c>
      <c r="T64" s="171">
        <v>1</v>
      </c>
      <c r="U64" s="166" t="s">
        <v>466</v>
      </c>
      <c r="V64" s="166" t="s">
        <v>70</v>
      </c>
      <c r="W64" s="166" t="s">
        <v>316</v>
      </c>
      <c r="X64" s="166">
        <v>37</v>
      </c>
      <c r="Y64" s="166" t="s">
        <v>316</v>
      </c>
      <c r="Z64" s="166">
        <v>30</v>
      </c>
      <c r="AA64" s="166" t="s">
        <v>153</v>
      </c>
      <c r="AB64" s="166" t="s">
        <v>274</v>
      </c>
      <c r="AC64" s="166">
        <v>0</v>
      </c>
      <c r="AD64" s="166">
        <v>7</v>
      </c>
      <c r="AE64" s="198" t="s">
        <v>153</v>
      </c>
    </row>
    <row r="65" spans="1:31" ht="63.75">
      <c r="A65" s="80">
        <v>64</v>
      </c>
      <c r="B65" s="188" t="s">
        <v>301</v>
      </c>
      <c r="C65" s="81" t="s">
        <v>302</v>
      </c>
      <c r="D65" s="350" t="s">
        <v>749</v>
      </c>
      <c r="E65" s="164" t="s">
        <v>698</v>
      </c>
      <c r="F65" s="164" t="s">
        <v>750</v>
      </c>
      <c r="G65" s="164" t="s">
        <v>751</v>
      </c>
      <c r="H65" s="80">
        <v>4</v>
      </c>
      <c r="I65" s="164" t="s">
        <v>752</v>
      </c>
      <c r="J65" s="165">
        <v>43423</v>
      </c>
      <c r="K65" s="165">
        <v>43421</v>
      </c>
      <c r="L65" s="166" t="s">
        <v>322</v>
      </c>
      <c r="M65" s="166" t="s">
        <v>753</v>
      </c>
      <c r="N65" s="167" t="s">
        <v>472</v>
      </c>
      <c r="O65" s="166">
        <v>12</v>
      </c>
      <c r="P65" s="168" t="s">
        <v>382</v>
      </c>
      <c r="Q65" s="169" t="s">
        <v>754</v>
      </c>
      <c r="R65" s="170" t="s">
        <v>755</v>
      </c>
      <c r="S65" s="170" t="s">
        <v>756</v>
      </c>
      <c r="T65" s="171">
        <v>1</v>
      </c>
      <c r="U65" s="166" t="s">
        <v>757</v>
      </c>
      <c r="V65" s="166" t="s">
        <v>70</v>
      </c>
      <c r="W65" s="166" t="s">
        <v>274</v>
      </c>
      <c r="X65" s="166" t="s">
        <v>153</v>
      </c>
      <c r="Y65" s="166" t="s">
        <v>316</v>
      </c>
      <c r="Z65" s="166">
        <v>26</v>
      </c>
      <c r="AA65" s="166" t="s">
        <v>153</v>
      </c>
      <c r="AB65" s="166" t="s">
        <v>274</v>
      </c>
      <c r="AC65" s="166">
        <v>30</v>
      </c>
      <c r="AD65" s="166">
        <v>4</v>
      </c>
      <c r="AE65" s="198" t="s">
        <v>758</v>
      </c>
    </row>
    <row r="66" spans="1:31" ht="51">
      <c r="A66" s="80">
        <v>65</v>
      </c>
      <c r="B66" s="188" t="s">
        <v>301</v>
      </c>
      <c r="C66" s="81" t="s">
        <v>302</v>
      </c>
      <c r="D66" s="350" t="s">
        <v>759</v>
      </c>
      <c r="E66" s="164" t="s">
        <v>698</v>
      </c>
      <c r="F66" s="164" t="s">
        <v>760</v>
      </c>
      <c r="G66" s="164" t="s">
        <v>761</v>
      </c>
      <c r="H66" s="80">
        <v>3</v>
      </c>
      <c r="I66" s="164" t="s">
        <v>762</v>
      </c>
      <c r="J66" s="165">
        <v>43423</v>
      </c>
      <c r="K66" s="165">
        <v>43419</v>
      </c>
      <c r="L66" s="166" t="s">
        <v>308</v>
      </c>
      <c r="M66" s="166" t="s">
        <v>763</v>
      </c>
      <c r="N66" s="167" t="s">
        <v>482</v>
      </c>
      <c r="O66" s="166">
        <v>9</v>
      </c>
      <c r="P66" s="168" t="s">
        <v>311</v>
      </c>
      <c r="Q66" s="169" t="s">
        <v>483</v>
      </c>
      <c r="R66" s="170" t="s">
        <v>313</v>
      </c>
      <c r="S66" s="170" t="s">
        <v>764</v>
      </c>
      <c r="T66" s="171">
        <v>1</v>
      </c>
      <c r="U66" s="166" t="s">
        <v>466</v>
      </c>
      <c r="V66" s="166" t="s">
        <v>70</v>
      </c>
      <c r="W66" s="166" t="s">
        <v>316</v>
      </c>
      <c r="X66" s="166">
        <v>33</v>
      </c>
      <c r="Y66" s="166" t="s">
        <v>316</v>
      </c>
      <c r="Z66" s="166">
        <v>29</v>
      </c>
      <c r="AA66" s="166" t="s">
        <v>153</v>
      </c>
      <c r="AB66" s="166" t="s">
        <v>274</v>
      </c>
      <c r="AC66" s="166">
        <v>0</v>
      </c>
      <c r="AD66" s="166">
        <v>4</v>
      </c>
      <c r="AE66" s="198" t="s">
        <v>153</v>
      </c>
    </row>
    <row r="67" spans="1:31" ht="51">
      <c r="A67" s="80">
        <v>66</v>
      </c>
      <c r="B67" s="188" t="s">
        <v>301</v>
      </c>
      <c r="C67" s="81" t="s">
        <v>302</v>
      </c>
      <c r="D67" s="350" t="s">
        <v>765</v>
      </c>
      <c r="E67" s="164" t="s">
        <v>698</v>
      </c>
      <c r="F67" s="164" t="s">
        <v>766</v>
      </c>
      <c r="G67" s="164" t="s">
        <v>767</v>
      </c>
      <c r="H67" s="80">
        <v>4</v>
      </c>
      <c r="I67" s="164" t="s">
        <v>768</v>
      </c>
      <c r="J67" s="165">
        <v>43423</v>
      </c>
      <c r="K67" s="165">
        <v>43417</v>
      </c>
      <c r="L67" s="166" t="s">
        <v>322</v>
      </c>
      <c r="M67" s="166" t="s">
        <v>769</v>
      </c>
      <c r="N67" s="167" t="s">
        <v>472</v>
      </c>
      <c r="O67" s="166">
        <v>10</v>
      </c>
      <c r="P67" s="168" t="s">
        <v>770</v>
      </c>
      <c r="Q67" s="169" t="s">
        <v>498</v>
      </c>
      <c r="R67" s="170" t="s">
        <v>327</v>
      </c>
      <c r="S67" s="170" t="s">
        <v>771</v>
      </c>
      <c r="T67" s="171">
        <v>1</v>
      </c>
      <c r="U67" s="166" t="s">
        <v>476</v>
      </c>
      <c r="V67" s="166" t="s">
        <v>70</v>
      </c>
      <c r="W67" s="166" t="s">
        <v>274</v>
      </c>
      <c r="X67" s="166" t="s">
        <v>153</v>
      </c>
      <c r="Y67" s="166" t="s">
        <v>316</v>
      </c>
      <c r="Z67" s="166">
        <v>25</v>
      </c>
      <c r="AA67" s="166" t="s">
        <v>153</v>
      </c>
      <c r="AB67" s="166" t="s">
        <v>274</v>
      </c>
      <c r="AC67" s="166">
        <v>0</v>
      </c>
      <c r="AD67" s="166">
        <v>4</v>
      </c>
      <c r="AE67" s="198" t="s">
        <v>772</v>
      </c>
    </row>
    <row r="68" spans="1:31" ht="38.25">
      <c r="A68" s="80">
        <v>67</v>
      </c>
      <c r="B68" s="188" t="s">
        <v>301</v>
      </c>
      <c r="C68" s="81" t="s">
        <v>302</v>
      </c>
      <c r="D68" s="350" t="s">
        <v>773</v>
      </c>
      <c r="E68" s="164" t="s">
        <v>698</v>
      </c>
      <c r="F68" s="164" t="s">
        <v>774</v>
      </c>
      <c r="G68" s="164" t="s">
        <v>775</v>
      </c>
      <c r="H68" s="80">
        <v>2</v>
      </c>
      <c r="I68" s="164" t="s">
        <v>776</v>
      </c>
      <c r="J68" s="165">
        <v>43423</v>
      </c>
      <c r="K68" s="165">
        <v>43418</v>
      </c>
      <c r="L68" s="166" t="s">
        <v>777</v>
      </c>
      <c r="M68" s="166" t="s">
        <v>778</v>
      </c>
      <c r="N68" s="167" t="s">
        <v>779</v>
      </c>
      <c r="O68" s="166">
        <v>6</v>
      </c>
      <c r="P68" s="168" t="s">
        <v>780</v>
      </c>
      <c r="Q68" s="169" t="s">
        <v>781</v>
      </c>
      <c r="R68" s="170" t="s">
        <v>782</v>
      </c>
      <c r="S68" s="170" t="s">
        <v>783</v>
      </c>
      <c r="T68" s="171">
        <v>1</v>
      </c>
      <c r="U68" s="166" t="s">
        <v>784</v>
      </c>
      <c r="V68" s="166" t="s">
        <v>70</v>
      </c>
      <c r="W68" s="166" t="s">
        <v>316</v>
      </c>
      <c r="X68" s="166">
        <v>36</v>
      </c>
      <c r="Y68" s="166" t="s">
        <v>316</v>
      </c>
      <c r="Z68" s="166">
        <v>29</v>
      </c>
      <c r="AA68" s="166" t="s">
        <v>153</v>
      </c>
      <c r="AB68" s="166" t="s">
        <v>274</v>
      </c>
      <c r="AC68" s="166">
        <v>0</v>
      </c>
      <c r="AD68" s="166">
        <v>7</v>
      </c>
      <c r="AE68" s="198" t="s">
        <v>153</v>
      </c>
    </row>
    <row r="69" spans="1:31" ht="51">
      <c r="A69" s="80">
        <v>68</v>
      </c>
      <c r="B69" s="188" t="s">
        <v>301</v>
      </c>
      <c r="C69" s="81" t="s">
        <v>302</v>
      </c>
      <c r="D69" s="350" t="s">
        <v>785</v>
      </c>
      <c r="E69" s="164" t="s">
        <v>698</v>
      </c>
      <c r="F69" s="164" t="s">
        <v>786</v>
      </c>
      <c r="G69" s="164" t="s">
        <v>787</v>
      </c>
      <c r="H69" s="80">
        <v>3</v>
      </c>
      <c r="I69" s="164" t="s">
        <v>788</v>
      </c>
      <c r="J69" s="165">
        <v>43423</v>
      </c>
      <c r="K69" s="165">
        <v>43414</v>
      </c>
      <c r="L69" s="166" t="s">
        <v>308</v>
      </c>
      <c r="M69" s="166" t="s">
        <v>789</v>
      </c>
      <c r="N69" s="167" t="s">
        <v>790</v>
      </c>
      <c r="O69" s="166">
        <v>9</v>
      </c>
      <c r="P69" s="168" t="s">
        <v>311</v>
      </c>
      <c r="Q69" s="169" t="s">
        <v>791</v>
      </c>
      <c r="R69" s="170" t="s">
        <v>313</v>
      </c>
      <c r="S69" s="170" t="s">
        <v>792</v>
      </c>
      <c r="T69" s="171">
        <v>1</v>
      </c>
      <c r="U69" s="166" t="s">
        <v>466</v>
      </c>
      <c r="V69" s="166" t="s">
        <v>70</v>
      </c>
      <c r="W69" s="166" t="s">
        <v>316</v>
      </c>
      <c r="X69" s="166">
        <v>32</v>
      </c>
      <c r="Y69" s="166" t="s">
        <v>316</v>
      </c>
      <c r="Z69" s="166">
        <v>28</v>
      </c>
      <c r="AA69" s="166" t="s">
        <v>153</v>
      </c>
      <c r="AB69" s="166" t="s">
        <v>274</v>
      </c>
      <c r="AC69" s="166">
        <v>0</v>
      </c>
      <c r="AD69" s="166">
        <v>4</v>
      </c>
      <c r="AE69" s="198" t="s">
        <v>153</v>
      </c>
    </row>
    <row r="70" spans="1:31" ht="51">
      <c r="A70" s="80">
        <v>69</v>
      </c>
      <c r="B70" s="188" t="s">
        <v>301</v>
      </c>
      <c r="C70" s="81" t="s">
        <v>302</v>
      </c>
      <c r="D70" s="350" t="s">
        <v>793</v>
      </c>
      <c r="E70" s="164" t="s">
        <v>698</v>
      </c>
      <c r="F70" s="164" t="s">
        <v>794</v>
      </c>
      <c r="G70" s="164" t="s">
        <v>795</v>
      </c>
      <c r="H70" s="80">
        <v>3</v>
      </c>
      <c r="I70" s="164" t="s">
        <v>796</v>
      </c>
      <c r="J70" s="165">
        <v>43423</v>
      </c>
      <c r="K70" s="165">
        <v>43414</v>
      </c>
      <c r="L70" s="166" t="s">
        <v>308</v>
      </c>
      <c r="M70" s="166" t="s">
        <v>797</v>
      </c>
      <c r="N70" s="167" t="s">
        <v>790</v>
      </c>
      <c r="O70" s="166">
        <v>9</v>
      </c>
      <c r="P70" s="168" t="s">
        <v>311</v>
      </c>
      <c r="Q70" s="169" t="s">
        <v>791</v>
      </c>
      <c r="R70" s="170" t="s">
        <v>313</v>
      </c>
      <c r="S70" s="170" t="s">
        <v>798</v>
      </c>
      <c r="T70" s="171">
        <v>1</v>
      </c>
      <c r="U70" s="166" t="s">
        <v>466</v>
      </c>
      <c r="V70" s="166" t="s">
        <v>70</v>
      </c>
      <c r="W70" s="166" t="s">
        <v>316</v>
      </c>
      <c r="X70" s="166">
        <v>33</v>
      </c>
      <c r="Y70" s="166" t="s">
        <v>316</v>
      </c>
      <c r="Z70" s="166">
        <v>29</v>
      </c>
      <c r="AA70" s="166" t="s">
        <v>153</v>
      </c>
      <c r="AB70" s="166" t="s">
        <v>274</v>
      </c>
      <c r="AC70" s="166">
        <v>0</v>
      </c>
      <c r="AD70" s="166">
        <v>4</v>
      </c>
      <c r="AE70" s="198" t="s">
        <v>153</v>
      </c>
    </row>
    <row r="71" spans="1:31" ht="51">
      <c r="A71" s="80">
        <v>70</v>
      </c>
      <c r="B71" s="188" t="s">
        <v>301</v>
      </c>
      <c r="C71" s="81" t="s">
        <v>302</v>
      </c>
      <c r="D71" s="350" t="s">
        <v>799</v>
      </c>
      <c r="E71" s="164" t="s">
        <v>698</v>
      </c>
      <c r="F71" s="164" t="s">
        <v>800</v>
      </c>
      <c r="G71" s="164" t="s">
        <v>801</v>
      </c>
      <c r="H71" s="80">
        <v>3</v>
      </c>
      <c r="I71" s="164" t="s">
        <v>802</v>
      </c>
      <c r="J71" s="165">
        <v>43423</v>
      </c>
      <c r="K71" s="165">
        <v>43414</v>
      </c>
      <c r="L71" s="166" t="s">
        <v>308</v>
      </c>
      <c r="M71" s="166" t="s">
        <v>803</v>
      </c>
      <c r="N71" s="167" t="s">
        <v>790</v>
      </c>
      <c r="O71" s="166">
        <v>9</v>
      </c>
      <c r="P71" s="168" t="s">
        <v>311</v>
      </c>
      <c r="Q71" s="169" t="s">
        <v>791</v>
      </c>
      <c r="R71" s="170" t="s">
        <v>313</v>
      </c>
      <c r="S71" s="170" t="s">
        <v>804</v>
      </c>
      <c r="T71" s="171">
        <v>1</v>
      </c>
      <c r="U71" s="166" t="s">
        <v>466</v>
      </c>
      <c r="V71" s="166" t="s">
        <v>70</v>
      </c>
      <c r="W71" s="166" t="s">
        <v>316</v>
      </c>
      <c r="X71" s="166">
        <v>35</v>
      </c>
      <c r="Y71" s="166" t="s">
        <v>316</v>
      </c>
      <c r="Z71" s="166">
        <v>28</v>
      </c>
      <c r="AA71" s="166" t="s">
        <v>153</v>
      </c>
      <c r="AB71" s="166" t="s">
        <v>274</v>
      </c>
      <c r="AC71" s="166">
        <v>0</v>
      </c>
      <c r="AD71" s="166">
        <v>7</v>
      </c>
      <c r="AE71" s="198" t="s">
        <v>153</v>
      </c>
    </row>
    <row r="72" spans="1:31" ht="51">
      <c r="A72" s="80">
        <v>71</v>
      </c>
      <c r="B72" s="188" t="s">
        <v>301</v>
      </c>
      <c r="C72" s="81" t="s">
        <v>302</v>
      </c>
      <c r="D72" s="350" t="s">
        <v>805</v>
      </c>
      <c r="E72" s="164" t="s">
        <v>698</v>
      </c>
      <c r="F72" s="164" t="s">
        <v>806</v>
      </c>
      <c r="G72" s="164" t="s">
        <v>807</v>
      </c>
      <c r="H72" s="80">
        <v>3</v>
      </c>
      <c r="I72" s="164" t="s">
        <v>808</v>
      </c>
      <c r="J72" s="165">
        <v>43423</v>
      </c>
      <c r="K72" s="165">
        <v>43417</v>
      </c>
      <c r="L72" s="166" t="s">
        <v>308</v>
      </c>
      <c r="M72" s="166" t="s">
        <v>809</v>
      </c>
      <c r="N72" s="167" t="s">
        <v>482</v>
      </c>
      <c r="O72" s="166">
        <v>9</v>
      </c>
      <c r="P72" s="168" t="s">
        <v>311</v>
      </c>
      <c r="Q72" s="169" t="s">
        <v>483</v>
      </c>
      <c r="R72" s="170" t="s">
        <v>313</v>
      </c>
      <c r="S72" s="170" t="s">
        <v>810</v>
      </c>
      <c r="T72" s="171">
        <v>1</v>
      </c>
      <c r="U72" s="166" t="s">
        <v>466</v>
      </c>
      <c r="V72" s="166" t="s">
        <v>70</v>
      </c>
      <c r="W72" s="166" t="s">
        <v>316</v>
      </c>
      <c r="X72" s="166">
        <v>34</v>
      </c>
      <c r="Y72" s="166" t="s">
        <v>316</v>
      </c>
      <c r="Z72" s="166">
        <v>30</v>
      </c>
      <c r="AA72" s="166" t="s">
        <v>153</v>
      </c>
      <c r="AB72" s="166" t="s">
        <v>274</v>
      </c>
      <c r="AC72" s="166">
        <v>0</v>
      </c>
      <c r="AD72" s="166">
        <v>4</v>
      </c>
      <c r="AE72" s="198" t="s">
        <v>153</v>
      </c>
    </row>
    <row r="73" spans="1:31" ht="51">
      <c r="A73" s="80">
        <v>72</v>
      </c>
      <c r="B73" s="188" t="s">
        <v>301</v>
      </c>
      <c r="C73" s="81" t="s">
        <v>302</v>
      </c>
      <c r="D73" s="350" t="s">
        <v>811</v>
      </c>
      <c r="E73" s="164" t="s">
        <v>698</v>
      </c>
      <c r="F73" s="164" t="s">
        <v>812</v>
      </c>
      <c r="G73" s="164" t="s">
        <v>813</v>
      </c>
      <c r="H73" s="80">
        <v>3</v>
      </c>
      <c r="I73" s="164" t="s">
        <v>814</v>
      </c>
      <c r="J73" s="165">
        <v>43423</v>
      </c>
      <c r="K73" s="165">
        <v>43418</v>
      </c>
      <c r="L73" s="166" t="s">
        <v>308</v>
      </c>
      <c r="M73" s="166" t="s">
        <v>815</v>
      </c>
      <c r="N73" s="167" t="s">
        <v>462</v>
      </c>
      <c r="O73" s="166">
        <v>9</v>
      </c>
      <c r="P73" s="168" t="s">
        <v>311</v>
      </c>
      <c r="Q73" s="169" t="s">
        <v>464</v>
      </c>
      <c r="R73" s="170" t="s">
        <v>313</v>
      </c>
      <c r="S73" s="170" t="s">
        <v>816</v>
      </c>
      <c r="T73" s="171">
        <v>1</v>
      </c>
      <c r="U73" s="166" t="s">
        <v>466</v>
      </c>
      <c r="V73" s="166" t="s">
        <v>70</v>
      </c>
      <c r="W73" s="166" t="s">
        <v>316</v>
      </c>
      <c r="X73" s="166">
        <v>39</v>
      </c>
      <c r="Y73" s="166" t="s">
        <v>316</v>
      </c>
      <c r="Z73" s="166">
        <v>32</v>
      </c>
      <c r="AA73" s="166" t="s">
        <v>153</v>
      </c>
      <c r="AB73" s="166" t="s">
        <v>274</v>
      </c>
      <c r="AC73" s="166">
        <v>0</v>
      </c>
      <c r="AD73" s="166" t="s">
        <v>580</v>
      </c>
      <c r="AE73" s="198" t="s">
        <v>153</v>
      </c>
    </row>
    <row r="74" spans="1:31" ht="51">
      <c r="A74" s="80">
        <v>73</v>
      </c>
      <c r="B74" s="188" t="s">
        <v>301</v>
      </c>
      <c r="C74" s="81" t="s">
        <v>302</v>
      </c>
      <c r="D74" s="350" t="s">
        <v>817</v>
      </c>
      <c r="E74" s="164" t="s">
        <v>698</v>
      </c>
      <c r="F74" s="164" t="s">
        <v>818</v>
      </c>
      <c r="G74" s="164" t="s">
        <v>819</v>
      </c>
      <c r="H74" s="80">
        <v>3</v>
      </c>
      <c r="I74" s="164" t="s">
        <v>820</v>
      </c>
      <c r="J74" s="165">
        <v>43423</v>
      </c>
      <c r="K74" s="165">
        <v>43419</v>
      </c>
      <c r="L74" s="166" t="s">
        <v>308</v>
      </c>
      <c r="M74" s="166" t="s">
        <v>821</v>
      </c>
      <c r="N74" s="167" t="s">
        <v>482</v>
      </c>
      <c r="O74" s="166">
        <v>9</v>
      </c>
      <c r="P74" s="168" t="s">
        <v>311</v>
      </c>
      <c r="Q74" s="169" t="s">
        <v>483</v>
      </c>
      <c r="R74" s="170" t="s">
        <v>313</v>
      </c>
      <c r="S74" s="170" t="s">
        <v>822</v>
      </c>
      <c r="T74" s="171">
        <v>1</v>
      </c>
      <c r="U74" s="166" t="s">
        <v>466</v>
      </c>
      <c r="V74" s="166" t="s">
        <v>70</v>
      </c>
      <c r="W74" s="166" t="s">
        <v>316</v>
      </c>
      <c r="X74" s="166">
        <v>36</v>
      </c>
      <c r="Y74" s="166" t="s">
        <v>316</v>
      </c>
      <c r="Z74" s="166">
        <v>32</v>
      </c>
      <c r="AA74" s="166" t="s">
        <v>153</v>
      </c>
      <c r="AB74" s="166" t="s">
        <v>274</v>
      </c>
      <c r="AC74" s="166">
        <v>0</v>
      </c>
      <c r="AD74" s="166">
        <v>4</v>
      </c>
      <c r="AE74" s="198" t="s">
        <v>153</v>
      </c>
    </row>
    <row r="75" spans="1:31" ht="63.75">
      <c r="A75" s="80">
        <v>74</v>
      </c>
      <c r="B75" s="188" t="s">
        <v>301</v>
      </c>
      <c r="C75" s="81" t="s">
        <v>302</v>
      </c>
      <c r="D75" s="350" t="s">
        <v>823</v>
      </c>
      <c r="E75" s="164" t="s">
        <v>698</v>
      </c>
      <c r="F75" s="164" t="s">
        <v>824</v>
      </c>
      <c r="G75" s="164" t="s">
        <v>825</v>
      </c>
      <c r="H75" s="80">
        <v>4</v>
      </c>
      <c r="I75" s="164" t="s">
        <v>826</v>
      </c>
      <c r="J75" s="165">
        <v>43423</v>
      </c>
      <c r="K75" s="165">
        <v>43419</v>
      </c>
      <c r="L75" s="166" t="s">
        <v>322</v>
      </c>
      <c r="M75" s="166" t="s">
        <v>827</v>
      </c>
      <c r="N75" s="167" t="s">
        <v>472</v>
      </c>
      <c r="O75" s="166">
        <v>12</v>
      </c>
      <c r="P75" s="168" t="s">
        <v>434</v>
      </c>
      <c r="Q75" s="169" t="s">
        <v>474</v>
      </c>
      <c r="R75" s="170" t="s">
        <v>327</v>
      </c>
      <c r="S75" s="170" t="s">
        <v>828</v>
      </c>
      <c r="T75" s="171">
        <v>1</v>
      </c>
      <c r="U75" s="166" t="s">
        <v>476</v>
      </c>
      <c r="V75" s="166" t="s">
        <v>70</v>
      </c>
      <c r="W75" s="166" t="s">
        <v>316</v>
      </c>
      <c r="X75" s="166">
        <v>33</v>
      </c>
      <c r="Y75" s="166" t="s">
        <v>316</v>
      </c>
      <c r="Z75" s="166">
        <v>29</v>
      </c>
      <c r="AA75" s="166" t="s">
        <v>153</v>
      </c>
      <c r="AB75" s="166" t="s">
        <v>274</v>
      </c>
      <c r="AC75" s="166">
        <v>0</v>
      </c>
      <c r="AD75" s="166">
        <v>4</v>
      </c>
      <c r="AE75" s="198" t="s">
        <v>153</v>
      </c>
    </row>
    <row r="76" spans="1:31" ht="51">
      <c r="A76" s="80">
        <v>75</v>
      </c>
      <c r="B76" s="188" t="s">
        <v>301</v>
      </c>
      <c r="C76" s="81" t="s">
        <v>302</v>
      </c>
      <c r="D76" s="350" t="s">
        <v>829</v>
      </c>
      <c r="E76" s="164" t="s">
        <v>698</v>
      </c>
      <c r="F76" s="164" t="s">
        <v>830</v>
      </c>
      <c r="G76" s="164" t="s">
        <v>831</v>
      </c>
      <c r="H76" s="80">
        <v>3</v>
      </c>
      <c r="I76" s="164" t="s">
        <v>832</v>
      </c>
      <c r="J76" s="165">
        <v>43423</v>
      </c>
      <c r="K76" s="165">
        <v>43418</v>
      </c>
      <c r="L76" s="166" t="s">
        <v>308</v>
      </c>
      <c r="M76" s="166" t="s">
        <v>833</v>
      </c>
      <c r="N76" s="167" t="s">
        <v>482</v>
      </c>
      <c r="O76" s="166">
        <v>9</v>
      </c>
      <c r="P76" s="168" t="s">
        <v>311</v>
      </c>
      <c r="Q76" s="169" t="s">
        <v>483</v>
      </c>
      <c r="R76" s="170" t="s">
        <v>313</v>
      </c>
      <c r="S76" s="170" t="s">
        <v>834</v>
      </c>
      <c r="T76" s="171">
        <v>1</v>
      </c>
      <c r="U76" s="166" t="s">
        <v>466</v>
      </c>
      <c r="V76" s="166" t="s">
        <v>70</v>
      </c>
      <c r="W76" s="166" t="s">
        <v>316</v>
      </c>
      <c r="X76" s="166">
        <v>33</v>
      </c>
      <c r="Y76" s="166" t="s">
        <v>316</v>
      </c>
      <c r="Z76" s="166">
        <v>29</v>
      </c>
      <c r="AA76" s="166" t="s">
        <v>153</v>
      </c>
      <c r="AB76" s="166" t="s">
        <v>274</v>
      </c>
      <c r="AC76" s="166">
        <v>0</v>
      </c>
      <c r="AD76" s="166">
        <v>4</v>
      </c>
      <c r="AE76" s="198" t="s">
        <v>153</v>
      </c>
    </row>
    <row r="77" spans="1:31" ht="63.75">
      <c r="A77" s="80">
        <v>76</v>
      </c>
      <c r="B77" s="188" t="s">
        <v>301</v>
      </c>
      <c r="C77" s="81" t="s">
        <v>302</v>
      </c>
      <c r="D77" s="350" t="s">
        <v>835</v>
      </c>
      <c r="E77" s="164" t="s">
        <v>698</v>
      </c>
      <c r="F77" s="164" t="s">
        <v>836</v>
      </c>
      <c r="G77" s="164" t="s">
        <v>837</v>
      </c>
      <c r="H77" s="80">
        <v>4</v>
      </c>
      <c r="I77" s="164" t="s">
        <v>838</v>
      </c>
      <c r="J77" s="165">
        <v>43423</v>
      </c>
      <c r="K77" s="165">
        <v>43419</v>
      </c>
      <c r="L77" s="166" t="s">
        <v>322</v>
      </c>
      <c r="M77" s="166" t="s">
        <v>839</v>
      </c>
      <c r="N77" s="167" t="s">
        <v>472</v>
      </c>
      <c r="O77" s="166">
        <v>12</v>
      </c>
      <c r="P77" s="168" t="s">
        <v>434</v>
      </c>
      <c r="Q77" s="169" t="s">
        <v>474</v>
      </c>
      <c r="R77" s="170" t="s">
        <v>327</v>
      </c>
      <c r="S77" s="170" t="s">
        <v>840</v>
      </c>
      <c r="T77" s="171">
        <v>1</v>
      </c>
      <c r="U77" s="166" t="s">
        <v>476</v>
      </c>
      <c r="V77" s="166" t="s">
        <v>70</v>
      </c>
      <c r="W77" s="166" t="s">
        <v>316</v>
      </c>
      <c r="X77" s="166">
        <v>45</v>
      </c>
      <c r="Y77" s="166" t="s">
        <v>316</v>
      </c>
      <c r="Z77" s="166">
        <v>34</v>
      </c>
      <c r="AA77" s="166" t="s">
        <v>153</v>
      </c>
      <c r="AB77" s="166" t="s">
        <v>274</v>
      </c>
      <c r="AC77" s="166">
        <v>0</v>
      </c>
      <c r="AD77" s="166">
        <v>11</v>
      </c>
      <c r="AE77" s="198" t="s">
        <v>153</v>
      </c>
    </row>
    <row r="78" spans="1:31" ht="51">
      <c r="A78" s="80">
        <v>77</v>
      </c>
      <c r="B78" s="188" t="s">
        <v>301</v>
      </c>
      <c r="C78" s="81" t="s">
        <v>302</v>
      </c>
      <c r="D78" s="350" t="s">
        <v>841</v>
      </c>
      <c r="E78" s="164" t="s">
        <v>698</v>
      </c>
      <c r="F78" s="164" t="s">
        <v>842</v>
      </c>
      <c r="G78" s="164" t="s">
        <v>843</v>
      </c>
      <c r="H78" s="80">
        <v>3</v>
      </c>
      <c r="I78" s="164" t="s">
        <v>844</v>
      </c>
      <c r="J78" s="165">
        <v>43423</v>
      </c>
      <c r="K78" s="165">
        <v>43414</v>
      </c>
      <c r="L78" s="166" t="s">
        <v>308</v>
      </c>
      <c r="M78" s="166" t="s">
        <v>845</v>
      </c>
      <c r="N78" s="167" t="s">
        <v>462</v>
      </c>
      <c r="O78" s="166">
        <v>9</v>
      </c>
      <c r="P78" s="168" t="s">
        <v>402</v>
      </c>
      <c r="Q78" s="169" t="s">
        <v>464</v>
      </c>
      <c r="R78" s="170" t="s">
        <v>313</v>
      </c>
      <c r="S78" s="170" t="s">
        <v>846</v>
      </c>
      <c r="T78" s="171">
        <v>1</v>
      </c>
      <c r="U78" s="166" t="s">
        <v>466</v>
      </c>
      <c r="V78" s="166" t="s">
        <v>70</v>
      </c>
      <c r="W78" s="166" t="s">
        <v>274</v>
      </c>
      <c r="X78" s="166" t="s">
        <v>153</v>
      </c>
      <c r="Y78" s="166" t="s">
        <v>316</v>
      </c>
      <c r="Z78" s="166">
        <v>26</v>
      </c>
      <c r="AA78" s="166" t="s">
        <v>153</v>
      </c>
      <c r="AB78" s="166" t="s">
        <v>274</v>
      </c>
      <c r="AC78" s="166">
        <v>0</v>
      </c>
      <c r="AD78" s="166">
        <v>7</v>
      </c>
      <c r="AE78" s="198" t="s">
        <v>153</v>
      </c>
    </row>
    <row r="79" spans="1:31" ht="51">
      <c r="A79" s="80">
        <v>78</v>
      </c>
      <c r="B79" s="188" t="s">
        <v>301</v>
      </c>
      <c r="C79" s="81" t="s">
        <v>302</v>
      </c>
      <c r="D79" s="350" t="s">
        <v>847</v>
      </c>
      <c r="E79" s="164" t="s">
        <v>698</v>
      </c>
      <c r="F79" s="164" t="s">
        <v>848</v>
      </c>
      <c r="G79" s="164" t="s">
        <v>849</v>
      </c>
      <c r="H79" s="80">
        <v>3</v>
      </c>
      <c r="I79" s="164" t="s">
        <v>850</v>
      </c>
      <c r="J79" s="165">
        <v>43423</v>
      </c>
      <c r="K79" s="165">
        <v>43414</v>
      </c>
      <c r="L79" s="166" t="s">
        <v>308</v>
      </c>
      <c r="M79" s="166" t="s">
        <v>851</v>
      </c>
      <c r="N79" s="167" t="s">
        <v>790</v>
      </c>
      <c r="O79" s="166">
        <v>9</v>
      </c>
      <c r="P79" s="168" t="s">
        <v>311</v>
      </c>
      <c r="Q79" s="169" t="s">
        <v>791</v>
      </c>
      <c r="R79" s="170" t="s">
        <v>313</v>
      </c>
      <c r="S79" s="170" t="s">
        <v>852</v>
      </c>
      <c r="T79" s="171">
        <v>1</v>
      </c>
      <c r="U79" s="166" t="s">
        <v>466</v>
      </c>
      <c r="V79" s="166" t="s">
        <v>70</v>
      </c>
      <c r="W79" s="166" t="s">
        <v>316</v>
      </c>
      <c r="X79" s="166">
        <v>34</v>
      </c>
      <c r="Y79" s="166" t="s">
        <v>316</v>
      </c>
      <c r="Z79" s="166">
        <v>27</v>
      </c>
      <c r="AA79" s="166" t="s">
        <v>153</v>
      </c>
      <c r="AB79" s="166" t="s">
        <v>274</v>
      </c>
      <c r="AC79" s="166">
        <v>0</v>
      </c>
      <c r="AD79" s="166">
        <v>7</v>
      </c>
      <c r="AE79" s="198" t="s">
        <v>153</v>
      </c>
    </row>
    <row r="80" spans="1:31" ht="51">
      <c r="A80" s="80">
        <v>79</v>
      </c>
      <c r="B80" s="188" t="s">
        <v>301</v>
      </c>
      <c r="C80" s="81" t="s">
        <v>302</v>
      </c>
      <c r="D80" s="350" t="s">
        <v>853</v>
      </c>
      <c r="E80" s="164" t="s">
        <v>698</v>
      </c>
      <c r="F80" s="164" t="s">
        <v>854</v>
      </c>
      <c r="G80" s="164" t="s">
        <v>855</v>
      </c>
      <c r="H80" s="80">
        <v>3</v>
      </c>
      <c r="I80" s="164" t="s">
        <v>856</v>
      </c>
      <c r="J80" s="165">
        <v>43423</v>
      </c>
      <c r="K80" s="165">
        <v>43415</v>
      </c>
      <c r="L80" s="166" t="s">
        <v>308</v>
      </c>
      <c r="M80" s="166" t="s">
        <v>857</v>
      </c>
      <c r="N80" s="167" t="s">
        <v>482</v>
      </c>
      <c r="O80" s="166">
        <v>9</v>
      </c>
      <c r="P80" s="168" t="s">
        <v>311</v>
      </c>
      <c r="Q80" s="169" t="s">
        <v>483</v>
      </c>
      <c r="R80" s="170" t="s">
        <v>313</v>
      </c>
      <c r="S80" s="170" t="s">
        <v>822</v>
      </c>
      <c r="T80" s="171">
        <v>1</v>
      </c>
      <c r="U80" s="166" t="s">
        <v>466</v>
      </c>
      <c r="V80" s="166" t="s">
        <v>70</v>
      </c>
      <c r="W80" s="166" t="s">
        <v>316</v>
      </c>
      <c r="X80" s="166">
        <v>36</v>
      </c>
      <c r="Y80" s="166" t="s">
        <v>316</v>
      </c>
      <c r="Z80" s="166">
        <v>32</v>
      </c>
      <c r="AA80" s="166" t="s">
        <v>153</v>
      </c>
      <c r="AB80" s="166" t="s">
        <v>274</v>
      </c>
      <c r="AC80" s="166">
        <v>0</v>
      </c>
      <c r="AD80" s="166">
        <v>4</v>
      </c>
      <c r="AE80" s="198" t="s">
        <v>153</v>
      </c>
    </row>
    <row r="81" spans="1:31" ht="51">
      <c r="A81" s="80">
        <v>80</v>
      </c>
      <c r="B81" s="188" t="s">
        <v>301</v>
      </c>
      <c r="C81" s="81" t="s">
        <v>302</v>
      </c>
      <c r="D81" s="350" t="s">
        <v>858</v>
      </c>
      <c r="E81" s="164" t="s">
        <v>859</v>
      </c>
      <c r="F81" s="164" t="s">
        <v>860</v>
      </c>
      <c r="G81" s="164" t="s">
        <v>861</v>
      </c>
      <c r="H81" s="80">
        <v>3</v>
      </c>
      <c r="I81" s="164" t="s">
        <v>862</v>
      </c>
      <c r="J81" s="165">
        <v>43423</v>
      </c>
      <c r="K81" s="165">
        <v>43399</v>
      </c>
      <c r="L81" s="166" t="s">
        <v>308</v>
      </c>
      <c r="M81" s="166" t="s">
        <v>863</v>
      </c>
      <c r="N81" s="167" t="s">
        <v>336</v>
      </c>
      <c r="O81" s="166">
        <v>9</v>
      </c>
      <c r="P81" s="168" t="s">
        <v>311</v>
      </c>
      <c r="Q81" s="169" t="s">
        <v>312</v>
      </c>
      <c r="R81" s="170" t="s">
        <v>313</v>
      </c>
      <c r="S81" s="170" t="s">
        <v>864</v>
      </c>
      <c r="T81" s="171">
        <v>1</v>
      </c>
      <c r="U81" s="166" t="s">
        <v>315</v>
      </c>
      <c r="V81" s="166" t="s">
        <v>70</v>
      </c>
      <c r="W81" s="166" t="s">
        <v>274</v>
      </c>
      <c r="X81" s="166" t="s">
        <v>153</v>
      </c>
      <c r="Y81" s="166" t="s">
        <v>316</v>
      </c>
      <c r="Z81" s="166">
        <v>13</v>
      </c>
      <c r="AA81" s="166" t="s">
        <v>153</v>
      </c>
      <c r="AB81" s="166" t="s">
        <v>274</v>
      </c>
      <c r="AC81" s="166">
        <v>11</v>
      </c>
      <c r="AD81" s="166">
        <v>14</v>
      </c>
      <c r="AE81" s="198" t="s">
        <v>153</v>
      </c>
    </row>
    <row r="82" spans="1:31" ht="51">
      <c r="A82" s="80">
        <v>81</v>
      </c>
      <c r="B82" s="188" t="s">
        <v>301</v>
      </c>
      <c r="C82" s="81" t="s">
        <v>302</v>
      </c>
      <c r="D82" s="350" t="s">
        <v>865</v>
      </c>
      <c r="E82" s="164" t="s">
        <v>859</v>
      </c>
      <c r="F82" s="164" t="s">
        <v>866</v>
      </c>
      <c r="G82" s="164" t="s">
        <v>867</v>
      </c>
      <c r="H82" s="80">
        <v>3</v>
      </c>
      <c r="I82" s="164" t="s">
        <v>868</v>
      </c>
      <c r="J82" s="165">
        <v>43423</v>
      </c>
      <c r="K82" s="165">
        <v>43398</v>
      </c>
      <c r="L82" s="166" t="s">
        <v>308</v>
      </c>
      <c r="M82" s="166" t="s">
        <v>869</v>
      </c>
      <c r="N82" s="167" t="s">
        <v>336</v>
      </c>
      <c r="O82" s="166">
        <v>9</v>
      </c>
      <c r="P82" s="168" t="s">
        <v>311</v>
      </c>
      <c r="Q82" s="169" t="s">
        <v>312</v>
      </c>
      <c r="R82" s="170" t="s">
        <v>313</v>
      </c>
      <c r="S82" s="170" t="s">
        <v>870</v>
      </c>
      <c r="T82" s="171">
        <v>1</v>
      </c>
      <c r="U82" s="166" t="s">
        <v>315</v>
      </c>
      <c r="V82" s="166" t="s">
        <v>70</v>
      </c>
      <c r="W82" s="166" t="s">
        <v>274</v>
      </c>
      <c r="X82" s="166" t="s">
        <v>153</v>
      </c>
      <c r="Y82" s="166" t="s">
        <v>316</v>
      </c>
      <c r="Z82" s="166">
        <v>-24</v>
      </c>
      <c r="AA82" s="166" t="s">
        <v>153</v>
      </c>
      <c r="AB82" s="166" t="s">
        <v>274</v>
      </c>
      <c r="AC82" s="166">
        <v>11</v>
      </c>
      <c r="AD82" s="166">
        <v>53</v>
      </c>
      <c r="AE82" s="198" t="s">
        <v>153</v>
      </c>
    </row>
    <row r="83" spans="1:31" ht="51">
      <c r="A83" s="80">
        <v>82</v>
      </c>
      <c r="B83" s="188" t="s">
        <v>301</v>
      </c>
      <c r="C83" s="81" t="s">
        <v>302</v>
      </c>
      <c r="D83" s="350" t="s">
        <v>871</v>
      </c>
      <c r="E83" s="164" t="s">
        <v>859</v>
      </c>
      <c r="F83" s="164" t="s">
        <v>872</v>
      </c>
      <c r="G83" s="164" t="s">
        <v>873</v>
      </c>
      <c r="H83" s="80">
        <v>3</v>
      </c>
      <c r="I83" s="164" t="s">
        <v>874</v>
      </c>
      <c r="J83" s="165">
        <v>43423</v>
      </c>
      <c r="K83" s="165">
        <v>43399</v>
      </c>
      <c r="L83" s="166" t="s">
        <v>308</v>
      </c>
      <c r="M83" s="166" t="s">
        <v>875</v>
      </c>
      <c r="N83" s="167" t="s">
        <v>354</v>
      </c>
      <c r="O83" s="166">
        <v>9</v>
      </c>
      <c r="P83" s="168" t="s">
        <v>311</v>
      </c>
      <c r="Q83" s="169" t="s">
        <v>356</v>
      </c>
      <c r="R83" s="170" t="s">
        <v>313</v>
      </c>
      <c r="S83" s="170" t="s">
        <v>876</v>
      </c>
      <c r="T83" s="171">
        <v>1</v>
      </c>
      <c r="U83" s="166" t="s">
        <v>315</v>
      </c>
      <c r="V83" s="166" t="s">
        <v>70</v>
      </c>
      <c r="W83" s="166" t="s">
        <v>274</v>
      </c>
      <c r="X83" s="166" t="s">
        <v>153</v>
      </c>
      <c r="Y83" s="166" t="s">
        <v>316</v>
      </c>
      <c r="Z83" s="166">
        <v>15</v>
      </c>
      <c r="AA83" s="166" t="s">
        <v>153</v>
      </c>
      <c r="AB83" s="166" t="s">
        <v>274</v>
      </c>
      <c r="AC83" s="166">
        <v>11</v>
      </c>
      <c r="AD83" s="166">
        <v>14</v>
      </c>
      <c r="AE83" s="198" t="s">
        <v>153</v>
      </c>
    </row>
    <row r="84" spans="1:31" ht="51">
      <c r="A84" s="80">
        <v>83</v>
      </c>
      <c r="B84" s="188" t="s">
        <v>301</v>
      </c>
      <c r="C84" s="81" t="s">
        <v>302</v>
      </c>
      <c r="D84" s="350" t="s">
        <v>877</v>
      </c>
      <c r="E84" s="164" t="s">
        <v>859</v>
      </c>
      <c r="F84" s="164" t="s">
        <v>878</v>
      </c>
      <c r="G84" s="164" t="s">
        <v>879</v>
      </c>
      <c r="H84" s="80">
        <v>3</v>
      </c>
      <c r="I84" s="164" t="s">
        <v>880</v>
      </c>
      <c r="J84" s="165">
        <v>43423</v>
      </c>
      <c r="K84" s="165">
        <v>43399</v>
      </c>
      <c r="L84" s="166" t="s">
        <v>308</v>
      </c>
      <c r="M84" s="166" t="s">
        <v>881</v>
      </c>
      <c r="N84" s="167" t="s">
        <v>354</v>
      </c>
      <c r="O84" s="166">
        <v>9</v>
      </c>
      <c r="P84" s="168" t="s">
        <v>389</v>
      </c>
      <c r="Q84" s="169" t="s">
        <v>882</v>
      </c>
      <c r="R84" s="170" t="s">
        <v>345</v>
      </c>
      <c r="S84" s="170" t="s">
        <v>883</v>
      </c>
      <c r="T84" s="171">
        <v>1</v>
      </c>
      <c r="U84" s="166" t="s">
        <v>347</v>
      </c>
      <c r="V84" s="166" t="s">
        <v>70</v>
      </c>
      <c r="W84" s="166" t="s">
        <v>274</v>
      </c>
      <c r="X84" s="166" t="s">
        <v>153</v>
      </c>
      <c r="Y84" s="166" t="s">
        <v>316</v>
      </c>
      <c r="Z84" s="166">
        <v>12</v>
      </c>
      <c r="AA84" s="166" t="s">
        <v>153</v>
      </c>
      <c r="AB84" s="166" t="s">
        <v>274</v>
      </c>
      <c r="AC84" s="166">
        <v>11</v>
      </c>
      <c r="AD84" s="166">
        <v>14</v>
      </c>
      <c r="AE84" s="198" t="s">
        <v>153</v>
      </c>
    </row>
    <row r="85" spans="1:31" ht="51">
      <c r="A85" s="80">
        <v>84</v>
      </c>
      <c r="B85" s="188" t="s">
        <v>301</v>
      </c>
      <c r="C85" s="81" t="s">
        <v>302</v>
      </c>
      <c r="D85" s="350" t="s">
        <v>884</v>
      </c>
      <c r="E85" s="164" t="s">
        <v>859</v>
      </c>
      <c r="F85" s="164" t="s">
        <v>885</v>
      </c>
      <c r="G85" s="164" t="s">
        <v>886</v>
      </c>
      <c r="H85" s="80">
        <v>3</v>
      </c>
      <c r="I85" s="164" t="s">
        <v>887</v>
      </c>
      <c r="J85" s="165">
        <v>43423</v>
      </c>
      <c r="K85" s="165">
        <v>43399</v>
      </c>
      <c r="L85" s="166" t="s">
        <v>308</v>
      </c>
      <c r="M85" s="166" t="s">
        <v>888</v>
      </c>
      <c r="N85" s="167" t="s">
        <v>354</v>
      </c>
      <c r="O85" s="166">
        <v>9</v>
      </c>
      <c r="P85" s="168" t="s">
        <v>311</v>
      </c>
      <c r="Q85" s="169" t="s">
        <v>356</v>
      </c>
      <c r="R85" s="170" t="s">
        <v>313</v>
      </c>
      <c r="S85" s="170" t="s">
        <v>889</v>
      </c>
      <c r="T85" s="171">
        <v>1</v>
      </c>
      <c r="U85" s="166" t="s">
        <v>315</v>
      </c>
      <c r="V85" s="166" t="s">
        <v>70</v>
      </c>
      <c r="W85" s="166" t="s">
        <v>274</v>
      </c>
      <c r="X85" s="166" t="s">
        <v>153</v>
      </c>
      <c r="Y85" s="166" t="s">
        <v>316</v>
      </c>
      <c r="Z85" s="166">
        <v>14</v>
      </c>
      <c r="AA85" s="166" t="s">
        <v>153</v>
      </c>
      <c r="AB85" s="166" t="s">
        <v>274</v>
      </c>
      <c r="AC85" s="166">
        <v>11</v>
      </c>
      <c r="AD85" s="166">
        <v>11</v>
      </c>
      <c r="AE85" s="198" t="s">
        <v>153</v>
      </c>
    </row>
    <row r="86" spans="1:31" ht="51">
      <c r="A86" s="80">
        <v>85</v>
      </c>
      <c r="B86" s="188" t="s">
        <v>301</v>
      </c>
      <c r="C86" s="81" t="s">
        <v>302</v>
      </c>
      <c r="D86" s="350" t="s">
        <v>890</v>
      </c>
      <c r="E86" s="164" t="s">
        <v>859</v>
      </c>
      <c r="F86" s="164" t="s">
        <v>891</v>
      </c>
      <c r="G86" s="164" t="s">
        <v>892</v>
      </c>
      <c r="H86" s="80">
        <v>3</v>
      </c>
      <c r="I86" s="164" t="s">
        <v>893</v>
      </c>
      <c r="J86" s="165">
        <v>43423</v>
      </c>
      <c r="K86" s="165">
        <v>43402</v>
      </c>
      <c r="L86" s="166" t="s">
        <v>308</v>
      </c>
      <c r="M86" s="166" t="s">
        <v>894</v>
      </c>
      <c r="N86" s="167" t="s">
        <v>354</v>
      </c>
      <c r="O86" s="166">
        <v>9</v>
      </c>
      <c r="P86" s="168" t="s">
        <v>311</v>
      </c>
      <c r="Q86" s="169" t="s">
        <v>882</v>
      </c>
      <c r="R86" s="170" t="s">
        <v>345</v>
      </c>
      <c r="S86" s="170" t="s">
        <v>364</v>
      </c>
      <c r="T86" s="171">
        <v>1</v>
      </c>
      <c r="U86" s="166" t="s">
        <v>347</v>
      </c>
      <c r="V86" s="166" t="s">
        <v>70</v>
      </c>
      <c r="W86" s="166" t="s">
        <v>274</v>
      </c>
      <c r="X86" s="166" t="s">
        <v>153</v>
      </c>
      <c r="Y86" s="166" t="s">
        <v>316</v>
      </c>
      <c r="Z86" s="166">
        <v>12</v>
      </c>
      <c r="AA86" s="166" t="s">
        <v>153</v>
      </c>
      <c r="AB86" s="166" t="s">
        <v>274</v>
      </c>
      <c r="AC86" s="166">
        <v>11</v>
      </c>
      <c r="AD86" s="166">
        <v>14</v>
      </c>
      <c r="AE86" s="198" t="s">
        <v>153</v>
      </c>
    </row>
    <row r="87" spans="1:31" ht="51">
      <c r="A87" s="80">
        <v>86</v>
      </c>
      <c r="B87" s="188" t="s">
        <v>301</v>
      </c>
      <c r="C87" s="81" t="s">
        <v>302</v>
      </c>
      <c r="D87" s="350" t="s">
        <v>895</v>
      </c>
      <c r="E87" s="164" t="s">
        <v>859</v>
      </c>
      <c r="F87" s="164" t="s">
        <v>896</v>
      </c>
      <c r="G87" s="164" t="s">
        <v>897</v>
      </c>
      <c r="H87" s="80">
        <v>3</v>
      </c>
      <c r="I87" s="164" t="s">
        <v>898</v>
      </c>
      <c r="J87" s="165">
        <v>43423</v>
      </c>
      <c r="K87" s="165">
        <v>43402</v>
      </c>
      <c r="L87" s="166" t="s">
        <v>308</v>
      </c>
      <c r="M87" s="166" t="s">
        <v>899</v>
      </c>
      <c r="N87" s="167" t="s">
        <v>354</v>
      </c>
      <c r="O87" s="166">
        <v>10</v>
      </c>
      <c r="P87" s="168" t="s">
        <v>900</v>
      </c>
      <c r="Q87" s="169" t="s">
        <v>901</v>
      </c>
      <c r="R87" s="170" t="s">
        <v>345</v>
      </c>
      <c r="S87" s="170" t="s">
        <v>902</v>
      </c>
      <c r="T87" s="171">
        <v>1</v>
      </c>
      <c r="U87" s="166" t="s">
        <v>347</v>
      </c>
      <c r="V87" s="166" t="s">
        <v>70</v>
      </c>
      <c r="W87" s="166" t="s">
        <v>274</v>
      </c>
      <c r="X87" s="166" t="s">
        <v>153</v>
      </c>
      <c r="Y87" s="166" t="s">
        <v>316</v>
      </c>
      <c r="Z87" s="166">
        <v>17</v>
      </c>
      <c r="AA87" s="166" t="s">
        <v>153</v>
      </c>
      <c r="AB87" s="166" t="s">
        <v>274</v>
      </c>
      <c r="AC87" s="166">
        <v>0</v>
      </c>
      <c r="AD87" s="166">
        <v>11</v>
      </c>
      <c r="AE87" s="198" t="s">
        <v>903</v>
      </c>
    </row>
    <row r="88" spans="1:31" ht="51">
      <c r="A88" s="80">
        <v>87</v>
      </c>
      <c r="B88" s="188" t="s">
        <v>301</v>
      </c>
      <c r="C88" s="81" t="s">
        <v>302</v>
      </c>
      <c r="D88" s="350" t="s">
        <v>904</v>
      </c>
      <c r="E88" s="164" t="s">
        <v>859</v>
      </c>
      <c r="F88" s="164" t="s">
        <v>905</v>
      </c>
      <c r="G88" s="164" t="s">
        <v>906</v>
      </c>
      <c r="H88" s="80">
        <v>3</v>
      </c>
      <c r="I88" s="164" t="s">
        <v>907</v>
      </c>
      <c r="J88" s="165">
        <v>43423</v>
      </c>
      <c r="K88" s="165">
        <v>43398</v>
      </c>
      <c r="L88" s="166" t="s">
        <v>308</v>
      </c>
      <c r="M88" s="166" t="s">
        <v>908</v>
      </c>
      <c r="N88" s="167" t="s">
        <v>336</v>
      </c>
      <c r="O88" s="166">
        <v>9</v>
      </c>
      <c r="P88" s="168" t="s">
        <v>311</v>
      </c>
      <c r="Q88" s="169" t="s">
        <v>312</v>
      </c>
      <c r="R88" s="170" t="s">
        <v>313</v>
      </c>
      <c r="S88" s="170" t="s">
        <v>909</v>
      </c>
      <c r="T88" s="171">
        <v>1</v>
      </c>
      <c r="U88" s="166" t="s">
        <v>315</v>
      </c>
      <c r="V88" s="166" t="s">
        <v>70</v>
      </c>
      <c r="W88" s="166" t="s">
        <v>274</v>
      </c>
      <c r="X88" s="166" t="s">
        <v>153</v>
      </c>
      <c r="Y88" s="166" t="s">
        <v>316</v>
      </c>
      <c r="Z88" s="166">
        <v>25</v>
      </c>
      <c r="AA88" s="166" t="s">
        <v>153</v>
      </c>
      <c r="AB88" s="166" t="s">
        <v>274</v>
      </c>
      <c r="AC88" s="166">
        <v>0</v>
      </c>
      <c r="AD88" s="166">
        <v>14</v>
      </c>
      <c r="AE88" s="198" t="s">
        <v>153</v>
      </c>
    </row>
    <row r="89" spans="1:31" ht="51">
      <c r="A89" s="80">
        <v>88</v>
      </c>
      <c r="B89" s="188" t="s">
        <v>301</v>
      </c>
      <c r="C89" s="81" t="s">
        <v>302</v>
      </c>
      <c r="D89" s="350" t="s">
        <v>910</v>
      </c>
      <c r="E89" s="164" t="s">
        <v>859</v>
      </c>
      <c r="F89" s="164" t="s">
        <v>911</v>
      </c>
      <c r="G89" s="164" t="s">
        <v>912</v>
      </c>
      <c r="H89" s="80">
        <v>3</v>
      </c>
      <c r="I89" s="164" t="s">
        <v>913</v>
      </c>
      <c r="J89" s="165">
        <v>43423</v>
      </c>
      <c r="K89" s="165">
        <v>43402</v>
      </c>
      <c r="L89" s="166" t="s">
        <v>308</v>
      </c>
      <c r="M89" s="166" t="s">
        <v>914</v>
      </c>
      <c r="N89" s="167" t="s">
        <v>354</v>
      </c>
      <c r="O89" s="166">
        <v>9</v>
      </c>
      <c r="P89" s="168" t="s">
        <v>311</v>
      </c>
      <c r="Q89" s="169" t="s">
        <v>356</v>
      </c>
      <c r="R89" s="170" t="s">
        <v>313</v>
      </c>
      <c r="S89" s="170" t="s">
        <v>915</v>
      </c>
      <c r="T89" s="171">
        <v>1</v>
      </c>
      <c r="U89" s="166" t="s">
        <v>315</v>
      </c>
      <c r="V89" s="166" t="s">
        <v>70</v>
      </c>
      <c r="W89" s="166" t="s">
        <v>274</v>
      </c>
      <c r="X89" s="166" t="s">
        <v>153</v>
      </c>
      <c r="Y89" s="166" t="s">
        <v>316</v>
      </c>
      <c r="Z89" s="166">
        <v>12</v>
      </c>
      <c r="AA89" s="166" t="s">
        <v>153</v>
      </c>
      <c r="AB89" s="166" t="s">
        <v>274</v>
      </c>
      <c r="AC89" s="166">
        <v>11</v>
      </c>
      <c r="AD89" s="166">
        <v>11</v>
      </c>
      <c r="AE89" s="198" t="s">
        <v>153</v>
      </c>
    </row>
    <row r="90" spans="1:31" ht="63.75">
      <c r="A90" s="80">
        <v>89</v>
      </c>
      <c r="B90" s="188" t="s">
        <v>301</v>
      </c>
      <c r="C90" s="81" t="s">
        <v>302</v>
      </c>
      <c r="D90" s="350" t="s">
        <v>916</v>
      </c>
      <c r="E90" s="164" t="s">
        <v>859</v>
      </c>
      <c r="F90" s="164" t="s">
        <v>917</v>
      </c>
      <c r="G90" s="164" t="s">
        <v>918</v>
      </c>
      <c r="H90" s="80">
        <v>4</v>
      </c>
      <c r="I90" s="164" t="s">
        <v>919</v>
      </c>
      <c r="J90" s="165">
        <v>43423</v>
      </c>
      <c r="K90" s="165">
        <v>43402</v>
      </c>
      <c r="L90" s="166" t="s">
        <v>322</v>
      </c>
      <c r="M90" s="166" t="s">
        <v>920</v>
      </c>
      <c r="N90" s="167" t="s">
        <v>324</v>
      </c>
      <c r="O90" s="166">
        <v>12</v>
      </c>
      <c r="P90" s="168" t="s">
        <v>921</v>
      </c>
      <c r="Q90" s="169" t="s">
        <v>326</v>
      </c>
      <c r="R90" s="170" t="s">
        <v>327</v>
      </c>
      <c r="S90" s="170" t="s">
        <v>922</v>
      </c>
      <c r="T90" s="171">
        <v>1</v>
      </c>
      <c r="U90" s="166" t="s">
        <v>329</v>
      </c>
      <c r="V90" s="166" t="s">
        <v>70</v>
      </c>
      <c r="W90" s="166" t="s">
        <v>274</v>
      </c>
      <c r="X90" s="166" t="s">
        <v>153</v>
      </c>
      <c r="Y90" s="166" t="s">
        <v>316</v>
      </c>
      <c r="Z90" s="166">
        <v>-43</v>
      </c>
      <c r="AA90" s="166" t="s">
        <v>153</v>
      </c>
      <c r="AB90" s="166" t="s">
        <v>274</v>
      </c>
      <c r="AC90" s="166">
        <v>11</v>
      </c>
      <c r="AD90" s="166">
        <v>67</v>
      </c>
      <c r="AE90" s="198" t="s">
        <v>153</v>
      </c>
    </row>
    <row r="91" spans="1:31" ht="51">
      <c r="A91" s="80">
        <v>90</v>
      </c>
      <c r="B91" s="188" t="s">
        <v>301</v>
      </c>
      <c r="C91" s="81" t="s">
        <v>302</v>
      </c>
      <c r="D91" s="350" t="s">
        <v>923</v>
      </c>
      <c r="E91" s="164" t="s">
        <v>859</v>
      </c>
      <c r="F91" s="164" t="s">
        <v>924</v>
      </c>
      <c r="G91" s="164" t="s">
        <v>925</v>
      </c>
      <c r="H91" s="80">
        <v>3</v>
      </c>
      <c r="I91" s="164" t="s">
        <v>926</v>
      </c>
      <c r="J91" s="165">
        <v>43423</v>
      </c>
      <c r="K91" s="165">
        <v>43402</v>
      </c>
      <c r="L91" s="166" t="s">
        <v>308</v>
      </c>
      <c r="M91" s="166" t="s">
        <v>927</v>
      </c>
      <c r="N91" s="167" t="s">
        <v>310</v>
      </c>
      <c r="O91" s="166">
        <v>9</v>
      </c>
      <c r="P91" s="168" t="s">
        <v>311</v>
      </c>
      <c r="Q91" s="169" t="s">
        <v>344</v>
      </c>
      <c r="R91" s="170" t="s">
        <v>345</v>
      </c>
      <c r="S91" s="170" t="s">
        <v>928</v>
      </c>
      <c r="T91" s="171">
        <v>1</v>
      </c>
      <c r="U91" s="166" t="s">
        <v>347</v>
      </c>
      <c r="V91" s="166" t="s">
        <v>70</v>
      </c>
      <c r="W91" s="166" t="s">
        <v>274</v>
      </c>
      <c r="X91" s="166" t="s">
        <v>153</v>
      </c>
      <c r="Y91" s="166" t="s">
        <v>316</v>
      </c>
      <c r="Z91" s="166">
        <v>9</v>
      </c>
      <c r="AA91" s="166" t="s">
        <v>153</v>
      </c>
      <c r="AB91" s="166" t="s">
        <v>274</v>
      </c>
      <c r="AC91" s="166">
        <v>7</v>
      </c>
      <c r="AD91" s="166">
        <v>14</v>
      </c>
      <c r="AE91" s="198" t="s">
        <v>153</v>
      </c>
    </row>
    <row r="92" spans="1:31" ht="51">
      <c r="A92" s="80">
        <v>91</v>
      </c>
      <c r="B92" s="188" t="s">
        <v>301</v>
      </c>
      <c r="C92" s="81" t="s">
        <v>302</v>
      </c>
      <c r="D92" s="350" t="s">
        <v>929</v>
      </c>
      <c r="E92" s="164" t="s">
        <v>859</v>
      </c>
      <c r="F92" s="164" t="s">
        <v>930</v>
      </c>
      <c r="G92" s="164" t="s">
        <v>931</v>
      </c>
      <c r="H92" s="80">
        <v>3</v>
      </c>
      <c r="I92" s="164" t="s">
        <v>932</v>
      </c>
      <c r="J92" s="165">
        <v>43423</v>
      </c>
      <c r="K92" s="165">
        <v>43402</v>
      </c>
      <c r="L92" s="166" t="s">
        <v>308</v>
      </c>
      <c r="M92" s="166" t="s">
        <v>933</v>
      </c>
      <c r="N92" s="167" t="s">
        <v>310</v>
      </c>
      <c r="O92" s="166">
        <v>9</v>
      </c>
      <c r="P92" s="168" t="s">
        <v>934</v>
      </c>
      <c r="Q92" s="169" t="s">
        <v>312</v>
      </c>
      <c r="R92" s="170" t="s">
        <v>313</v>
      </c>
      <c r="S92" s="170" t="s">
        <v>928</v>
      </c>
      <c r="T92" s="171">
        <v>1</v>
      </c>
      <c r="U92" s="166" t="s">
        <v>315</v>
      </c>
      <c r="V92" s="166" t="s">
        <v>70</v>
      </c>
      <c r="W92" s="166" t="s">
        <v>274</v>
      </c>
      <c r="X92" s="166" t="s">
        <v>153</v>
      </c>
      <c r="Y92" s="166" t="s">
        <v>316</v>
      </c>
      <c r="Z92" s="166">
        <v>2</v>
      </c>
      <c r="AA92" s="166" t="s">
        <v>153</v>
      </c>
      <c r="AB92" s="166" t="s">
        <v>274</v>
      </c>
      <c r="AC92" s="166">
        <v>7</v>
      </c>
      <c r="AD92" s="166">
        <v>21</v>
      </c>
      <c r="AE92" s="198" t="s">
        <v>153</v>
      </c>
    </row>
    <row r="93" spans="1:31" ht="51">
      <c r="A93" s="80">
        <v>92</v>
      </c>
      <c r="B93" s="188" t="s">
        <v>301</v>
      </c>
      <c r="C93" s="81" t="s">
        <v>302</v>
      </c>
      <c r="D93" s="350" t="s">
        <v>935</v>
      </c>
      <c r="E93" s="164" t="s">
        <v>859</v>
      </c>
      <c r="F93" s="164" t="s">
        <v>936</v>
      </c>
      <c r="G93" s="164" t="s">
        <v>937</v>
      </c>
      <c r="H93" s="80">
        <v>3</v>
      </c>
      <c r="I93" s="164" t="s">
        <v>938</v>
      </c>
      <c r="J93" s="165">
        <v>43423</v>
      </c>
      <c r="K93" s="165">
        <v>43402</v>
      </c>
      <c r="L93" s="166" t="s">
        <v>308</v>
      </c>
      <c r="M93" s="166" t="s">
        <v>939</v>
      </c>
      <c r="N93" s="167" t="s">
        <v>336</v>
      </c>
      <c r="O93" s="166">
        <v>9</v>
      </c>
      <c r="P93" s="168" t="s">
        <v>402</v>
      </c>
      <c r="Q93" s="169" t="s">
        <v>344</v>
      </c>
      <c r="R93" s="170" t="s">
        <v>345</v>
      </c>
      <c r="S93" s="170" t="s">
        <v>940</v>
      </c>
      <c r="T93" s="171">
        <v>1</v>
      </c>
      <c r="U93" s="166" t="s">
        <v>347</v>
      </c>
      <c r="V93" s="166" t="s">
        <v>70</v>
      </c>
      <c r="W93" s="166" t="s">
        <v>274</v>
      </c>
      <c r="X93" s="166" t="s">
        <v>153</v>
      </c>
      <c r="Y93" s="166" t="s">
        <v>316</v>
      </c>
      <c r="Z93" s="166">
        <v>7</v>
      </c>
      <c r="AA93" s="166" t="s">
        <v>153</v>
      </c>
      <c r="AB93" s="166" t="s">
        <v>274</v>
      </c>
      <c r="AC93" s="166">
        <v>7</v>
      </c>
      <c r="AD93" s="166">
        <v>14</v>
      </c>
      <c r="AE93" s="198" t="s">
        <v>153</v>
      </c>
    </row>
    <row r="94" spans="1:31" ht="51">
      <c r="A94" s="80">
        <v>93</v>
      </c>
      <c r="B94" s="188" t="s">
        <v>301</v>
      </c>
      <c r="C94" s="81" t="s">
        <v>302</v>
      </c>
      <c r="D94" s="350" t="s">
        <v>941</v>
      </c>
      <c r="E94" s="164" t="s">
        <v>859</v>
      </c>
      <c r="F94" s="164" t="s">
        <v>942</v>
      </c>
      <c r="G94" s="164" t="s">
        <v>943</v>
      </c>
      <c r="H94" s="80">
        <v>3</v>
      </c>
      <c r="I94" s="164" t="s">
        <v>944</v>
      </c>
      <c r="J94" s="165">
        <v>43423</v>
      </c>
      <c r="K94" s="165">
        <v>43402</v>
      </c>
      <c r="L94" s="166" t="s">
        <v>308</v>
      </c>
      <c r="M94" s="166" t="s">
        <v>945</v>
      </c>
      <c r="N94" s="167" t="s">
        <v>354</v>
      </c>
      <c r="O94" s="166">
        <v>9</v>
      </c>
      <c r="P94" s="168" t="s">
        <v>311</v>
      </c>
      <c r="Q94" s="169" t="s">
        <v>356</v>
      </c>
      <c r="R94" s="170" t="s">
        <v>313</v>
      </c>
      <c r="S94" s="170" t="s">
        <v>946</v>
      </c>
      <c r="T94" s="171">
        <v>1</v>
      </c>
      <c r="U94" s="166" t="s">
        <v>315</v>
      </c>
      <c r="V94" s="166" t="s">
        <v>70</v>
      </c>
      <c r="W94" s="166" t="s">
        <v>274</v>
      </c>
      <c r="X94" s="166" t="s">
        <v>153</v>
      </c>
      <c r="Y94" s="166" t="s">
        <v>316</v>
      </c>
      <c r="Z94" s="166">
        <v>11</v>
      </c>
      <c r="AA94" s="166" t="s">
        <v>153</v>
      </c>
      <c r="AB94" s="166" t="s">
        <v>274</v>
      </c>
      <c r="AC94" s="166">
        <v>7</v>
      </c>
      <c r="AD94" s="166">
        <v>14</v>
      </c>
      <c r="AE94" s="198" t="s">
        <v>153</v>
      </c>
    </row>
    <row r="95" spans="1:31" ht="51">
      <c r="A95" s="80">
        <v>94</v>
      </c>
      <c r="B95" s="188" t="s">
        <v>301</v>
      </c>
      <c r="C95" s="81" t="s">
        <v>302</v>
      </c>
      <c r="D95" s="350" t="s">
        <v>947</v>
      </c>
      <c r="E95" s="164" t="s">
        <v>859</v>
      </c>
      <c r="F95" s="164" t="s">
        <v>948</v>
      </c>
      <c r="G95" s="164" t="s">
        <v>949</v>
      </c>
      <c r="H95" s="80">
        <v>3</v>
      </c>
      <c r="I95" s="164" t="s">
        <v>950</v>
      </c>
      <c r="J95" s="165">
        <v>43423</v>
      </c>
      <c r="K95" s="165">
        <v>43402</v>
      </c>
      <c r="L95" s="166" t="s">
        <v>308</v>
      </c>
      <c r="M95" s="166" t="s">
        <v>951</v>
      </c>
      <c r="N95" s="167" t="s">
        <v>336</v>
      </c>
      <c r="O95" s="166">
        <v>9</v>
      </c>
      <c r="P95" s="168" t="s">
        <v>952</v>
      </c>
      <c r="Q95" s="169" t="s">
        <v>312</v>
      </c>
      <c r="R95" s="170" t="s">
        <v>313</v>
      </c>
      <c r="S95" s="170" t="s">
        <v>953</v>
      </c>
      <c r="T95" s="171">
        <v>1</v>
      </c>
      <c r="U95" s="166" t="s">
        <v>315</v>
      </c>
      <c r="V95" s="166" t="s">
        <v>70</v>
      </c>
      <c r="W95" s="166" t="s">
        <v>274</v>
      </c>
      <c r="X95" s="166" t="s">
        <v>153</v>
      </c>
      <c r="Y95" s="166" t="s">
        <v>316</v>
      </c>
      <c r="Z95" s="166">
        <v>14</v>
      </c>
      <c r="AA95" s="166" t="s">
        <v>153</v>
      </c>
      <c r="AB95" s="166" t="s">
        <v>274</v>
      </c>
      <c r="AC95" s="166">
        <v>7</v>
      </c>
      <c r="AD95" s="166">
        <v>11</v>
      </c>
      <c r="AE95" s="198" t="s">
        <v>153</v>
      </c>
    </row>
    <row r="96" spans="1:31" ht="51">
      <c r="A96" s="80">
        <v>95</v>
      </c>
      <c r="B96" s="188" t="s">
        <v>301</v>
      </c>
      <c r="C96" s="81" t="s">
        <v>302</v>
      </c>
      <c r="D96" s="350" t="s">
        <v>954</v>
      </c>
      <c r="E96" s="164" t="s">
        <v>859</v>
      </c>
      <c r="F96" s="164" t="s">
        <v>955</v>
      </c>
      <c r="G96" s="164" t="s">
        <v>956</v>
      </c>
      <c r="H96" s="80">
        <v>3</v>
      </c>
      <c r="I96" s="164" t="s">
        <v>957</v>
      </c>
      <c r="J96" s="165">
        <v>43423</v>
      </c>
      <c r="K96" s="165">
        <v>43402</v>
      </c>
      <c r="L96" s="166" t="s">
        <v>308</v>
      </c>
      <c r="M96" s="166" t="s">
        <v>958</v>
      </c>
      <c r="N96" s="167" t="s">
        <v>310</v>
      </c>
      <c r="O96" s="166">
        <v>9</v>
      </c>
      <c r="P96" s="168" t="s">
        <v>311</v>
      </c>
      <c r="Q96" s="169" t="s">
        <v>344</v>
      </c>
      <c r="R96" s="170" t="s">
        <v>345</v>
      </c>
      <c r="S96" s="170" t="s">
        <v>959</v>
      </c>
      <c r="T96" s="171">
        <v>1</v>
      </c>
      <c r="U96" s="166" t="s">
        <v>347</v>
      </c>
      <c r="V96" s="166" t="s">
        <v>70</v>
      </c>
      <c r="W96" s="166" t="s">
        <v>274</v>
      </c>
      <c r="X96" s="166" t="s">
        <v>153</v>
      </c>
      <c r="Y96" s="166" t="s">
        <v>316</v>
      </c>
      <c r="Z96" s="166">
        <v>5</v>
      </c>
      <c r="AA96" s="166" t="s">
        <v>153</v>
      </c>
      <c r="AB96" s="166" t="s">
        <v>274</v>
      </c>
      <c r="AC96" s="166">
        <v>11</v>
      </c>
      <c r="AD96" s="166">
        <v>18</v>
      </c>
      <c r="AE96" s="198" t="s">
        <v>153</v>
      </c>
    </row>
    <row r="97" spans="1:31" ht="51">
      <c r="A97" s="80">
        <v>96</v>
      </c>
      <c r="B97" s="188" t="s">
        <v>301</v>
      </c>
      <c r="C97" s="81" t="s">
        <v>302</v>
      </c>
      <c r="D97" s="350" t="s">
        <v>960</v>
      </c>
      <c r="E97" s="164" t="s">
        <v>859</v>
      </c>
      <c r="F97" s="164" t="s">
        <v>961</v>
      </c>
      <c r="G97" s="164" t="s">
        <v>962</v>
      </c>
      <c r="H97" s="80">
        <v>3</v>
      </c>
      <c r="I97" s="164" t="s">
        <v>963</v>
      </c>
      <c r="J97" s="165">
        <v>43423</v>
      </c>
      <c r="K97" s="165">
        <v>43402</v>
      </c>
      <c r="L97" s="166" t="s">
        <v>308</v>
      </c>
      <c r="M97" s="166" t="s">
        <v>964</v>
      </c>
      <c r="N97" s="167" t="s">
        <v>354</v>
      </c>
      <c r="O97" s="166">
        <v>9</v>
      </c>
      <c r="P97" s="168" t="s">
        <v>311</v>
      </c>
      <c r="Q97" s="169" t="s">
        <v>882</v>
      </c>
      <c r="R97" s="170" t="s">
        <v>345</v>
      </c>
      <c r="S97" s="170" t="s">
        <v>965</v>
      </c>
      <c r="T97" s="171">
        <v>1</v>
      </c>
      <c r="U97" s="166" t="s">
        <v>347</v>
      </c>
      <c r="V97" s="166" t="s">
        <v>70</v>
      </c>
      <c r="W97" s="166" t="s">
        <v>274</v>
      </c>
      <c r="X97" s="166" t="s">
        <v>153</v>
      </c>
      <c r="Y97" s="166" t="s">
        <v>316</v>
      </c>
      <c r="Z97" s="166">
        <v>7</v>
      </c>
      <c r="AA97" s="166" t="s">
        <v>153</v>
      </c>
      <c r="AB97" s="166" t="s">
        <v>274</v>
      </c>
      <c r="AC97" s="166">
        <v>11</v>
      </c>
      <c r="AD97" s="166">
        <v>14</v>
      </c>
      <c r="AE97" s="198" t="s">
        <v>153</v>
      </c>
    </row>
    <row r="98" spans="1:31" ht="51">
      <c r="A98" s="80">
        <v>97</v>
      </c>
      <c r="B98" s="188" t="s">
        <v>301</v>
      </c>
      <c r="C98" s="81" t="s">
        <v>302</v>
      </c>
      <c r="D98" s="350" t="s">
        <v>966</v>
      </c>
      <c r="E98" s="164" t="s">
        <v>859</v>
      </c>
      <c r="F98" s="164" t="s">
        <v>967</v>
      </c>
      <c r="G98" s="164" t="s">
        <v>968</v>
      </c>
      <c r="H98" s="80">
        <v>3</v>
      </c>
      <c r="I98" s="164" t="s">
        <v>969</v>
      </c>
      <c r="J98" s="165">
        <v>43423</v>
      </c>
      <c r="K98" s="165">
        <v>43402</v>
      </c>
      <c r="L98" s="166" t="s">
        <v>308</v>
      </c>
      <c r="M98" s="166" t="s">
        <v>970</v>
      </c>
      <c r="N98" s="167" t="s">
        <v>354</v>
      </c>
      <c r="O98" s="166">
        <v>9</v>
      </c>
      <c r="P98" s="168" t="s">
        <v>934</v>
      </c>
      <c r="Q98" s="169" t="s">
        <v>882</v>
      </c>
      <c r="R98" s="170" t="s">
        <v>345</v>
      </c>
      <c r="S98" s="170" t="s">
        <v>971</v>
      </c>
      <c r="T98" s="171">
        <v>1</v>
      </c>
      <c r="U98" s="166" t="s">
        <v>347</v>
      </c>
      <c r="V98" s="166" t="s">
        <v>70</v>
      </c>
      <c r="W98" s="166" t="s">
        <v>274</v>
      </c>
      <c r="X98" s="166" t="s">
        <v>153</v>
      </c>
      <c r="Y98" s="166" t="s">
        <v>316</v>
      </c>
      <c r="Z98" s="166">
        <v>1</v>
      </c>
      <c r="AA98" s="166" t="s">
        <v>153</v>
      </c>
      <c r="AB98" s="166" t="s">
        <v>274</v>
      </c>
      <c r="AC98" s="166">
        <v>7</v>
      </c>
      <c r="AD98" s="166">
        <v>18</v>
      </c>
      <c r="AE98" s="198" t="s">
        <v>153</v>
      </c>
    </row>
    <row r="99" spans="1:31" ht="51">
      <c r="A99" s="80">
        <v>98</v>
      </c>
      <c r="B99" s="188" t="s">
        <v>301</v>
      </c>
      <c r="C99" s="81" t="s">
        <v>302</v>
      </c>
      <c r="D99" s="350" t="s">
        <v>972</v>
      </c>
      <c r="E99" s="164" t="s">
        <v>859</v>
      </c>
      <c r="F99" s="164" t="s">
        <v>973</v>
      </c>
      <c r="G99" s="164" t="s">
        <v>974</v>
      </c>
      <c r="H99" s="80">
        <v>3</v>
      </c>
      <c r="I99" s="164" t="s">
        <v>975</v>
      </c>
      <c r="J99" s="165">
        <v>43423</v>
      </c>
      <c r="K99" s="165">
        <v>43402</v>
      </c>
      <c r="L99" s="166" t="s">
        <v>308</v>
      </c>
      <c r="M99" s="166" t="s">
        <v>976</v>
      </c>
      <c r="N99" s="167" t="s">
        <v>310</v>
      </c>
      <c r="O99" s="166">
        <v>9</v>
      </c>
      <c r="P99" s="168" t="s">
        <v>952</v>
      </c>
      <c r="Q99" s="169" t="s">
        <v>312</v>
      </c>
      <c r="R99" s="170" t="s">
        <v>313</v>
      </c>
      <c r="S99" s="170" t="s">
        <v>977</v>
      </c>
      <c r="T99" s="171">
        <v>1</v>
      </c>
      <c r="U99" s="166" t="s">
        <v>315</v>
      </c>
      <c r="V99" s="166" t="s">
        <v>70</v>
      </c>
      <c r="W99" s="166" t="s">
        <v>274</v>
      </c>
      <c r="X99" s="166" t="s">
        <v>153</v>
      </c>
      <c r="Y99" s="166" t="s">
        <v>316</v>
      </c>
      <c r="Z99" s="166">
        <v>1</v>
      </c>
      <c r="AA99" s="166" t="s">
        <v>153</v>
      </c>
      <c r="AB99" s="166" t="s">
        <v>274</v>
      </c>
      <c r="AC99" s="166">
        <v>14</v>
      </c>
      <c r="AD99" s="166">
        <v>25</v>
      </c>
      <c r="AE99" s="198" t="s">
        <v>153</v>
      </c>
    </row>
    <row r="100" spans="1:31" ht="51">
      <c r="A100" s="80">
        <v>99</v>
      </c>
      <c r="B100" s="188" t="s">
        <v>301</v>
      </c>
      <c r="C100" s="81" t="s">
        <v>302</v>
      </c>
      <c r="D100" s="350" t="s">
        <v>978</v>
      </c>
      <c r="E100" s="164" t="s">
        <v>859</v>
      </c>
      <c r="F100" s="164" t="s">
        <v>979</v>
      </c>
      <c r="G100" s="164" t="s">
        <v>980</v>
      </c>
      <c r="H100" s="80">
        <v>3</v>
      </c>
      <c r="I100" s="164" t="s">
        <v>981</v>
      </c>
      <c r="J100" s="165">
        <v>43423</v>
      </c>
      <c r="K100" s="165">
        <v>43399</v>
      </c>
      <c r="L100" s="166" t="s">
        <v>308</v>
      </c>
      <c r="M100" s="166" t="s">
        <v>982</v>
      </c>
      <c r="N100" s="167" t="s">
        <v>310</v>
      </c>
      <c r="O100" s="166">
        <v>9</v>
      </c>
      <c r="P100" s="168" t="s">
        <v>311</v>
      </c>
      <c r="Q100" s="169" t="s">
        <v>344</v>
      </c>
      <c r="R100" s="170" t="s">
        <v>345</v>
      </c>
      <c r="S100" s="170" t="s">
        <v>940</v>
      </c>
      <c r="T100" s="171">
        <v>1</v>
      </c>
      <c r="U100" s="166" t="s">
        <v>347</v>
      </c>
      <c r="V100" s="166" t="s">
        <v>70</v>
      </c>
      <c r="W100" s="166" t="s">
        <v>274</v>
      </c>
      <c r="X100" s="166" t="s">
        <v>153</v>
      </c>
      <c r="Y100" s="166" t="s">
        <v>316</v>
      </c>
      <c r="Z100" s="166">
        <v>10</v>
      </c>
      <c r="AA100" s="166" t="s">
        <v>153</v>
      </c>
      <c r="AB100" s="166" t="s">
        <v>274</v>
      </c>
      <c r="AC100" s="166">
        <v>0</v>
      </c>
      <c r="AD100" s="166">
        <v>11</v>
      </c>
      <c r="AE100" s="198" t="s">
        <v>153</v>
      </c>
    </row>
    <row r="101" spans="1:31" ht="51">
      <c r="A101" s="80">
        <v>100</v>
      </c>
      <c r="B101" s="188" t="s">
        <v>301</v>
      </c>
      <c r="C101" s="81" t="s">
        <v>302</v>
      </c>
      <c r="D101" s="350" t="s">
        <v>983</v>
      </c>
      <c r="E101" s="164" t="s">
        <v>859</v>
      </c>
      <c r="F101" s="164" t="s">
        <v>984</v>
      </c>
      <c r="G101" s="164" t="s">
        <v>985</v>
      </c>
      <c r="H101" s="80">
        <v>3</v>
      </c>
      <c r="I101" s="164" t="s">
        <v>986</v>
      </c>
      <c r="J101" s="165">
        <v>43423</v>
      </c>
      <c r="K101" s="165">
        <v>43399</v>
      </c>
      <c r="L101" s="166" t="s">
        <v>308</v>
      </c>
      <c r="M101" s="166" t="s">
        <v>987</v>
      </c>
      <c r="N101" s="167" t="s">
        <v>310</v>
      </c>
      <c r="O101" s="166">
        <v>9</v>
      </c>
      <c r="P101" s="168" t="s">
        <v>311</v>
      </c>
      <c r="Q101" s="169" t="s">
        <v>344</v>
      </c>
      <c r="R101" s="170" t="s">
        <v>345</v>
      </c>
      <c r="S101" s="170" t="s">
        <v>953</v>
      </c>
      <c r="T101" s="171">
        <v>1</v>
      </c>
      <c r="U101" s="166" t="s">
        <v>347</v>
      </c>
      <c r="V101" s="166" t="s">
        <v>70</v>
      </c>
      <c r="W101" s="166" t="s">
        <v>274</v>
      </c>
      <c r="X101" s="166" t="s">
        <v>153</v>
      </c>
      <c r="Y101" s="166" t="s">
        <v>316</v>
      </c>
      <c r="Z101" s="166">
        <v>11</v>
      </c>
      <c r="AA101" s="166" t="s">
        <v>153</v>
      </c>
      <c r="AB101" s="166" t="s">
        <v>274</v>
      </c>
      <c r="AC101" s="166">
        <v>7</v>
      </c>
      <c r="AD101" s="166">
        <v>14</v>
      </c>
      <c r="AE101" s="198" t="s">
        <v>153</v>
      </c>
    </row>
    <row r="102" spans="1:31" ht="51">
      <c r="A102" s="80">
        <v>101</v>
      </c>
      <c r="B102" s="188" t="s">
        <v>301</v>
      </c>
      <c r="C102" s="81" t="s">
        <v>302</v>
      </c>
      <c r="D102" s="350" t="s">
        <v>988</v>
      </c>
      <c r="E102" s="164" t="s">
        <v>859</v>
      </c>
      <c r="F102" s="164" t="s">
        <v>989</v>
      </c>
      <c r="G102" s="164" t="s">
        <v>990</v>
      </c>
      <c r="H102" s="80">
        <v>3</v>
      </c>
      <c r="I102" s="164" t="s">
        <v>991</v>
      </c>
      <c r="J102" s="165">
        <v>43423</v>
      </c>
      <c r="K102" s="165">
        <v>43399</v>
      </c>
      <c r="L102" s="166" t="s">
        <v>308</v>
      </c>
      <c r="M102" s="166" t="s">
        <v>992</v>
      </c>
      <c r="N102" s="167" t="s">
        <v>310</v>
      </c>
      <c r="O102" s="166">
        <v>9</v>
      </c>
      <c r="P102" s="168" t="s">
        <v>934</v>
      </c>
      <c r="Q102" s="169" t="s">
        <v>344</v>
      </c>
      <c r="R102" s="170" t="s">
        <v>345</v>
      </c>
      <c r="S102" s="170" t="s">
        <v>993</v>
      </c>
      <c r="T102" s="171">
        <v>1</v>
      </c>
      <c r="U102" s="166" t="s">
        <v>347</v>
      </c>
      <c r="V102" s="166" t="s">
        <v>70</v>
      </c>
      <c r="W102" s="166" t="s">
        <v>274</v>
      </c>
      <c r="X102" s="166" t="s">
        <v>153</v>
      </c>
      <c r="Y102" s="166" t="s">
        <v>316</v>
      </c>
      <c r="Z102" s="166">
        <v>5</v>
      </c>
      <c r="AA102" s="166" t="s">
        <v>153</v>
      </c>
      <c r="AB102" s="166" t="s">
        <v>274</v>
      </c>
      <c r="AC102" s="166">
        <v>7</v>
      </c>
      <c r="AD102" s="166">
        <v>14</v>
      </c>
      <c r="AE102" s="198" t="s">
        <v>153</v>
      </c>
    </row>
    <row r="103" spans="1:31" ht="51">
      <c r="A103" s="80">
        <v>102</v>
      </c>
      <c r="B103" s="188" t="s">
        <v>301</v>
      </c>
      <c r="C103" s="81" t="s">
        <v>302</v>
      </c>
      <c r="D103" s="350" t="s">
        <v>994</v>
      </c>
      <c r="E103" s="164" t="s">
        <v>859</v>
      </c>
      <c r="F103" s="164" t="s">
        <v>995</v>
      </c>
      <c r="G103" s="164" t="s">
        <v>996</v>
      </c>
      <c r="H103" s="80">
        <v>3</v>
      </c>
      <c r="I103" s="164" t="s">
        <v>997</v>
      </c>
      <c r="J103" s="165">
        <v>43423</v>
      </c>
      <c r="K103" s="165">
        <v>43398</v>
      </c>
      <c r="L103" s="166" t="s">
        <v>308</v>
      </c>
      <c r="M103" s="166" t="s">
        <v>998</v>
      </c>
      <c r="N103" s="167" t="s">
        <v>310</v>
      </c>
      <c r="O103" s="166">
        <v>9</v>
      </c>
      <c r="P103" s="168" t="s">
        <v>311</v>
      </c>
      <c r="Q103" s="169" t="s">
        <v>312</v>
      </c>
      <c r="R103" s="170" t="s">
        <v>313</v>
      </c>
      <c r="S103" s="170" t="s">
        <v>977</v>
      </c>
      <c r="T103" s="171">
        <v>1</v>
      </c>
      <c r="U103" s="166" t="s">
        <v>315</v>
      </c>
      <c r="V103" s="166" t="s">
        <v>70</v>
      </c>
      <c r="W103" s="166" t="s">
        <v>274</v>
      </c>
      <c r="X103" s="166" t="s">
        <v>153</v>
      </c>
      <c r="Y103" s="166" t="s">
        <v>316</v>
      </c>
      <c r="Z103" s="166">
        <v>5</v>
      </c>
      <c r="AA103" s="166" t="s">
        <v>153</v>
      </c>
      <c r="AB103" s="166" t="s">
        <v>274</v>
      </c>
      <c r="AC103" s="166">
        <v>11</v>
      </c>
      <c r="AD103" s="166">
        <v>21</v>
      </c>
      <c r="AE103" s="198" t="s">
        <v>153</v>
      </c>
    </row>
    <row r="104" spans="1:31" ht="51">
      <c r="A104" s="80">
        <v>103</v>
      </c>
      <c r="B104" s="188" t="s">
        <v>301</v>
      </c>
      <c r="C104" s="81" t="s">
        <v>302</v>
      </c>
      <c r="D104" s="350" t="s">
        <v>999</v>
      </c>
      <c r="E104" s="164" t="s">
        <v>859</v>
      </c>
      <c r="F104" s="164" t="s">
        <v>1000</v>
      </c>
      <c r="G104" s="164" t="s">
        <v>1001</v>
      </c>
      <c r="H104" s="80">
        <v>3</v>
      </c>
      <c r="I104" s="164" t="s">
        <v>1002</v>
      </c>
      <c r="J104" s="165">
        <v>43423</v>
      </c>
      <c r="K104" s="165">
        <v>43399</v>
      </c>
      <c r="L104" s="166" t="s">
        <v>308</v>
      </c>
      <c r="M104" s="166" t="s">
        <v>1003</v>
      </c>
      <c r="N104" s="167" t="s">
        <v>354</v>
      </c>
      <c r="O104" s="166">
        <v>9</v>
      </c>
      <c r="P104" s="168" t="s">
        <v>311</v>
      </c>
      <c r="Q104" s="169" t="s">
        <v>882</v>
      </c>
      <c r="R104" s="170" t="s">
        <v>345</v>
      </c>
      <c r="S104" s="170" t="s">
        <v>977</v>
      </c>
      <c r="T104" s="171">
        <v>1</v>
      </c>
      <c r="U104" s="166" t="s">
        <v>347</v>
      </c>
      <c r="V104" s="166" t="s">
        <v>70</v>
      </c>
      <c r="W104" s="166" t="s">
        <v>274</v>
      </c>
      <c r="X104" s="166" t="s">
        <v>153</v>
      </c>
      <c r="Y104" s="166" t="s">
        <v>316</v>
      </c>
      <c r="Z104" s="166">
        <v>8</v>
      </c>
      <c r="AA104" s="166" t="s">
        <v>153</v>
      </c>
      <c r="AB104" s="166" t="s">
        <v>274</v>
      </c>
      <c r="AC104" s="166">
        <v>11</v>
      </c>
      <c r="AD104" s="166">
        <v>18</v>
      </c>
      <c r="AE104" s="198" t="s">
        <v>153</v>
      </c>
    </row>
    <row r="105" spans="1:31" ht="51">
      <c r="A105" s="80">
        <v>104</v>
      </c>
      <c r="B105" s="188" t="s">
        <v>301</v>
      </c>
      <c r="C105" s="81" t="s">
        <v>302</v>
      </c>
      <c r="D105" s="350" t="s">
        <v>1004</v>
      </c>
      <c r="E105" s="164" t="s">
        <v>859</v>
      </c>
      <c r="F105" s="164" t="s">
        <v>1005</v>
      </c>
      <c r="G105" s="164" t="s">
        <v>1006</v>
      </c>
      <c r="H105" s="80">
        <v>3</v>
      </c>
      <c r="I105" s="164" t="s">
        <v>1007</v>
      </c>
      <c r="J105" s="165">
        <v>43423</v>
      </c>
      <c r="K105" s="165">
        <v>43399</v>
      </c>
      <c r="L105" s="166" t="s">
        <v>308</v>
      </c>
      <c r="M105" s="166" t="s">
        <v>1008</v>
      </c>
      <c r="N105" s="167" t="s">
        <v>354</v>
      </c>
      <c r="O105" s="166">
        <v>9</v>
      </c>
      <c r="P105" s="168" t="s">
        <v>311</v>
      </c>
      <c r="Q105" s="169" t="s">
        <v>882</v>
      </c>
      <c r="R105" s="170" t="s">
        <v>345</v>
      </c>
      <c r="S105" s="170" t="s">
        <v>1009</v>
      </c>
      <c r="T105" s="171">
        <v>1</v>
      </c>
      <c r="U105" s="166" t="s">
        <v>347</v>
      </c>
      <c r="V105" s="166" t="s">
        <v>70</v>
      </c>
      <c r="W105" s="166" t="s">
        <v>274</v>
      </c>
      <c r="X105" s="166" t="s">
        <v>153</v>
      </c>
      <c r="Y105" s="166" t="s">
        <v>316</v>
      </c>
      <c r="Z105" s="166">
        <v>11</v>
      </c>
      <c r="AA105" s="166" t="s">
        <v>153</v>
      </c>
      <c r="AB105" s="166" t="s">
        <v>274</v>
      </c>
      <c r="AC105" s="166">
        <v>7</v>
      </c>
      <c r="AD105" s="166">
        <v>14</v>
      </c>
      <c r="AE105" s="198" t="s">
        <v>153</v>
      </c>
    </row>
    <row r="106" spans="1:31" ht="63.75">
      <c r="A106" s="80">
        <v>105</v>
      </c>
      <c r="B106" s="188" t="s">
        <v>301</v>
      </c>
      <c r="C106" s="81" t="s">
        <v>302</v>
      </c>
      <c r="D106" s="350" t="s">
        <v>1010</v>
      </c>
      <c r="E106" s="164" t="s">
        <v>1011</v>
      </c>
      <c r="F106" s="164" t="s">
        <v>1012</v>
      </c>
      <c r="G106" s="164" t="s">
        <v>1013</v>
      </c>
      <c r="H106" s="80">
        <v>4</v>
      </c>
      <c r="I106" s="164" t="s">
        <v>1014</v>
      </c>
      <c r="J106" s="165">
        <v>43423</v>
      </c>
      <c r="K106" s="165">
        <v>43413</v>
      </c>
      <c r="L106" s="166" t="s">
        <v>322</v>
      </c>
      <c r="M106" s="166" t="s">
        <v>1015</v>
      </c>
      <c r="N106" s="167" t="s">
        <v>472</v>
      </c>
      <c r="O106" s="166">
        <v>12</v>
      </c>
      <c r="P106" s="168" t="s">
        <v>382</v>
      </c>
      <c r="Q106" s="169" t="s">
        <v>474</v>
      </c>
      <c r="R106" s="170" t="s">
        <v>327</v>
      </c>
      <c r="S106" s="170" t="s">
        <v>1016</v>
      </c>
      <c r="T106" s="171">
        <v>1</v>
      </c>
      <c r="U106" s="166" t="s">
        <v>476</v>
      </c>
      <c r="V106" s="166" t="s">
        <v>70</v>
      </c>
      <c r="W106" s="166" t="s">
        <v>274</v>
      </c>
      <c r="X106" s="166" t="s">
        <v>153</v>
      </c>
      <c r="Y106" s="166" t="s">
        <v>316</v>
      </c>
      <c r="Z106" s="166">
        <v>23</v>
      </c>
      <c r="AA106" s="166" t="s">
        <v>153</v>
      </c>
      <c r="AB106" s="166" t="s">
        <v>274</v>
      </c>
      <c r="AC106" s="166">
        <v>0</v>
      </c>
      <c r="AD106" s="166">
        <v>14</v>
      </c>
      <c r="AE106" s="198" t="s">
        <v>153</v>
      </c>
    </row>
    <row r="107" spans="1:31" ht="51">
      <c r="A107" s="80">
        <v>106</v>
      </c>
      <c r="B107" s="188" t="s">
        <v>301</v>
      </c>
      <c r="C107" s="81" t="s">
        <v>302</v>
      </c>
      <c r="D107" s="350" t="s">
        <v>1017</v>
      </c>
      <c r="E107" s="164" t="s">
        <v>1011</v>
      </c>
      <c r="F107" s="164" t="s">
        <v>1018</v>
      </c>
      <c r="G107" s="164" t="s">
        <v>1019</v>
      </c>
      <c r="H107" s="80">
        <v>3</v>
      </c>
      <c r="I107" s="164" t="s">
        <v>1020</v>
      </c>
      <c r="J107" s="165">
        <v>43423</v>
      </c>
      <c r="K107" s="165">
        <v>43414</v>
      </c>
      <c r="L107" s="166" t="s">
        <v>308</v>
      </c>
      <c r="M107" s="166" t="s">
        <v>1021</v>
      </c>
      <c r="N107" s="167" t="s">
        <v>462</v>
      </c>
      <c r="O107" s="166">
        <v>9</v>
      </c>
      <c r="P107" s="168" t="s">
        <v>934</v>
      </c>
      <c r="Q107" s="169" t="s">
        <v>464</v>
      </c>
      <c r="R107" s="170" t="s">
        <v>313</v>
      </c>
      <c r="S107" s="170" t="s">
        <v>586</v>
      </c>
      <c r="T107" s="171">
        <v>1</v>
      </c>
      <c r="U107" s="166" t="s">
        <v>466</v>
      </c>
      <c r="V107" s="166" t="s">
        <v>70</v>
      </c>
      <c r="W107" s="166" t="s">
        <v>316</v>
      </c>
      <c r="X107" s="166">
        <v>37</v>
      </c>
      <c r="Y107" s="166" t="s">
        <v>316</v>
      </c>
      <c r="Z107" s="166">
        <v>33</v>
      </c>
      <c r="AA107" s="166" t="s">
        <v>153</v>
      </c>
      <c r="AB107" s="166" t="s">
        <v>274</v>
      </c>
      <c r="AC107" s="166">
        <v>0</v>
      </c>
      <c r="AD107" s="166">
        <v>4</v>
      </c>
      <c r="AE107" s="198" t="s">
        <v>153</v>
      </c>
    </row>
    <row r="108" spans="1:31" ht="63.75">
      <c r="A108" s="80">
        <v>107</v>
      </c>
      <c r="B108" s="188" t="s">
        <v>301</v>
      </c>
      <c r="C108" s="81" t="s">
        <v>302</v>
      </c>
      <c r="D108" s="350" t="s">
        <v>1022</v>
      </c>
      <c r="E108" s="164" t="s">
        <v>1011</v>
      </c>
      <c r="F108" s="164" t="s">
        <v>1023</v>
      </c>
      <c r="G108" s="164" t="s">
        <v>1024</v>
      </c>
      <c r="H108" s="80">
        <v>4</v>
      </c>
      <c r="I108" s="164" t="s">
        <v>1025</v>
      </c>
      <c r="J108" s="165">
        <v>43423</v>
      </c>
      <c r="K108" s="165">
        <v>43414</v>
      </c>
      <c r="L108" s="166" t="s">
        <v>322</v>
      </c>
      <c r="M108" s="166" t="s">
        <v>1026</v>
      </c>
      <c r="N108" s="167" t="s">
        <v>472</v>
      </c>
      <c r="O108" s="166">
        <v>12</v>
      </c>
      <c r="P108" s="168" t="s">
        <v>1027</v>
      </c>
      <c r="Q108" s="169" t="s">
        <v>474</v>
      </c>
      <c r="R108" s="170" t="s">
        <v>327</v>
      </c>
      <c r="S108" s="170" t="s">
        <v>1028</v>
      </c>
      <c r="T108" s="171">
        <v>1</v>
      </c>
      <c r="U108" s="166" t="s">
        <v>476</v>
      </c>
      <c r="V108" s="166" t="s">
        <v>70</v>
      </c>
      <c r="W108" s="166" t="s">
        <v>274</v>
      </c>
      <c r="X108" s="166" t="s">
        <v>153</v>
      </c>
      <c r="Y108" s="166" t="s">
        <v>316</v>
      </c>
      <c r="Z108" s="166">
        <v>20</v>
      </c>
      <c r="AA108" s="166" t="s">
        <v>153</v>
      </c>
      <c r="AB108" s="166" t="s">
        <v>274</v>
      </c>
      <c r="AC108" s="166">
        <v>0</v>
      </c>
      <c r="AD108" s="166">
        <v>7</v>
      </c>
      <c r="AE108" s="198" t="s">
        <v>153</v>
      </c>
    </row>
    <row r="109" spans="1:31" ht="63.75">
      <c r="A109" s="80">
        <v>108</v>
      </c>
      <c r="B109" s="188" t="s">
        <v>301</v>
      </c>
      <c r="C109" s="81" t="s">
        <v>302</v>
      </c>
      <c r="D109" s="350" t="s">
        <v>1029</v>
      </c>
      <c r="E109" s="164" t="s">
        <v>1011</v>
      </c>
      <c r="F109" s="164" t="s">
        <v>1030</v>
      </c>
      <c r="G109" s="164" t="s">
        <v>1031</v>
      </c>
      <c r="H109" s="80">
        <v>4</v>
      </c>
      <c r="I109" s="164" t="s">
        <v>1032</v>
      </c>
      <c r="J109" s="165">
        <v>43423</v>
      </c>
      <c r="K109" s="165">
        <v>43414</v>
      </c>
      <c r="L109" s="166" t="s">
        <v>322</v>
      </c>
      <c r="M109" s="166" t="s">
        <v>1033</v>
      </c>
      <c r="N109" s="167" t="s">
        <v>472</v>
      </c>
      <c r="O109" s="166">
        <v>12</v>
      </c>
      <c r="P109" s="168" t="s">
        <v>1034</v>
      </c>
      <c r="Q109" s="169" t="s">
        <v>1035</v>
      </c>
      <c r="R109" s="170" t="s">
        <v>327</v>
      </c>
      <c r="S109" s="170" t="s">
        <v>1036</v>
      </c>
      <c r="T109" s="171">
        <v>1</v>
      </c>
      <c r="U109" s="166" t="s">
        <v>476</v>
      </c>
      <c r="V109" s="166" t="s">
        <v>70</v>
      </c>
      <c r="W109" s="166" t="s">
        <v>316</v>
      </c>
      <c r="X109" s="166">
        <v>36</v>
      </c>
      <c r="Y109" s="166" t="s">
        <v>316</v>
      </c>
      <c r="Z109" s="166">
        <v>32</v>
      </c>
      <c r="AA109" s="166" t="s">
        <v>153</v>
      </c>
      <c r="AB109" s="166" t="s">
        <v>274</v>
      </c>
      <c r="AC109" s="166">
        <v>0</v>
      </c>
      <c r="AD109" s="166">
        <v>4</v>
      </c>
      <c r="AE109" s="198" t="s">
        <v>1037</v>
      </c>
    </row>
    <row r="110" spans="1:31" ht="51">
      <c r="A110" s="80">
        <v>109</v>
      </c>
      <c r="B110" s="188" t="s">
        <v>301</v>
      </c>
      <c r="C110" s="81" t="s">
        <v>302</v>
      </c>
      <c r="D110" s="350" t="s">
        <v>1038</v>
      </c>
      <c r="E110" s="164" t="s">
        <v>1011</v>
      </c>
      <c r="F110" s="164" t="s">
        <v>1039</v>
      </c>
      <c r="G110" s="164" t="s">
        <v>1040</v>
      </c>
      <c r="H110" s="80">
        <v>3</v>
      </c>
      <c r="I110" s="164" t="s">
        <v>1041</v>
      </c>
      <c r="J110" s="165">
        <v>43423</v>
      </c>
      <c r="K110" s="165">
        <v>43413</v>
      </c>
      <c r="L110" s="166" t="s">
        <v>308</v>
      </c>
      <c r="M110" s="166" t="s">
        <v>1042</v>
      </c>
      <c r="N110" s="167" t="s">
        <v>462</v>
      </c>
      <c r="O110" s="166">
        <v>9</v>
      </c>
      <c r="P110" s="168" t="s">
        <v>934</v>
      </c>
      <c r="Q110" s="169" t="s">
        <v>464</v>
      </c>
      <c r="R110" s="170" t="s">
        <v>313</v>
      </c>
      <c r="S110" s="170" t="s">
        <v>586</v>
      </c>
      <c r="T110" s="171">
        <v>1</v>
      </c>
      <c r="U110" s="166" t="s">
        <v>466</v>
      </c>
      <c r="V110" s="166" t="s">
        <v>70</v>
      </c>
      <c r="W110" s="166" t="s">
        <v>316</v>
      </c>
      <c r="X110" s="166">
        <v>37</v>
      </c>
      <c r="Y110" s="166" t="s">
        <v>316</v>
      </c>
      <c r="Z110" s="166">
        <v>30</v>
      </c>
      <c r="AA110" s="166" t="s">
        <v>153</v>
      </c>
      <c r="AB110" s="166" t="s">
        <v>274</v>
      </c>
      <c r="AC110" s="166">
        <v>0</v>
      </c>
      <c r="AD110" s="166">
        <v>7</v>
      </c>
      <c r="AE110" s="198" t="s">
        <v>153</v>
      </c>
    </row>
    <row r="111" spans="1:31" ht="63.75">
      <c r="A111" s="80">
        <v>110</v>
      </c>
      <c r="B111" s="188" t="s">
        <v>301</v>
      </c>
      <c r="C111" s="81" t="s">
        <v>302</v>
      </c>
      <c r="D111" s="350" t="s">
        <v>1043</v>
      </c>
      <c r="E111" s="164" t="s">
        <v>1011</v>
      </c>
      <c r="F111" s="164" t="s">
        <v>1044</v>
      </c>
      <c r="G111" s="164" t="s">
        <v>1045</v>
      </c>
      <c r="H111" s="80">
        <v>4</v>
      </c>
      <c r="I111" s="164" t="s">
        <v>1046</v>
      </c>
      <c r="J111" s="165">
        <v>43423</v>
      </c>
      <c r="K111" s="165">
        <v>43413</v>
      </c>
      <c r="L111" s="166" t="s">
        <v>322</v>
      </c>
      <c r="M111" s="166" t="s">
        <v>1047</v>
      </c>
      <c r="N111" s="167" t="s">
        <v>472</v>
      </c>
      <c r="O111" s="166">
        <v>12</v>
      </c>
      <c r="P111" s="168" t="s">
        <v>434</v>
      </c>
      <c r="Q111" s="169" t="s">
        <v>474</v>
      </c>
      <c r="R111" s="170" t="s">
        <v>327</v>
      </c>
      <c r="S111" s="170" t="s">
        <v>1048</v>
      </c>
      <c r="T111" s="171">
        <v>1</v>
      </c>
      <c r="U111" s="166" t="s">
        <v>476</v>
      </c>
      <c r="V111" s="166" t="s">
        <v>70</v>
      </c>
      <c r="W111" s="166" t="s">
        <v>316</v>
      </c>
      <c r="X111" s="166">
        <v>36</v>
      </c>
      <c r="Y111" s="166" t="s">
        <v>316</v>
      </c>
      <c r="Z111" s="166">
        <v>32</v>
      </c>
      <c r="AA111" s="166" t="s">
        <v>153</v>
      </c>
      <c r="AB111" s="166" t="s">
        <v>274</v>
      </c>
      <c r="AC111" s="166">
        <v>0</v>
      </c>
      <c r="AD111" s="166">
        <v>4</v>
      </c>
      <c r="AE111" s="198" t="s">
        <v>153</v>
      </c>
    </row>
    <row r="112" spans="1:31" ht="63.75">
      <c r="A112" s="80">
        <v>111</v>
      </c>
      <c r="B112" s="188" t="s">
        <v>301</v>
      </c>
      <c r="C112" s="81" t="s">
        <v>302</v>
      </c>
      <c r="D112" s="350" t="s">
        <v>1049</v>
      </c>
      <c r="E112" s="164" t="s">
        <v>1011</v>
      </c>
      <c r="F112" s="164" t="s">
        <v>1050</v>
      </c>
      <c r="G112" s="164" t="s">
        <v>1051</v>
      </c>
      <c r="H112" s="80">
        <v>4</v>
      </c>
      <c r="I112" s="164" t="s">
        <v>1052</v>
      </c>
      <c r="J112" s="165">
        <v>43423</v>
      </c>
      <c r="K112" s="165">
        <v>43415</v>
      </c>
      <c r="L112" s="166" t="s">
        <v>322</v>
      </c>
      <c r="M112" s="166" t="s">
        <v>1053</v>
      </c>
      <c r="N112" s="167" t="s">
        <v>472</v>
      </c>
      <c r="O112" s="166">
        <v>12</v>
      </c>
      <c r="P112" s="168" t="s">
        <v>1054</v>
      </c>
      <c r="Q112" s="169" t="s">
        <v>474</v>
      </c>
      <c r="R112" s="170" t="s">
        <v>327</v>
      </c>
      <c r="S112" s="170" t="s">
        <v>1055</v>
      </c>
      <c r="T112" s="171">
        <v>1</v>
      </c>
      <c r="U112" s="166" t="s">
        <v>476</v>
      </c>
      <c r="V112" s="166" t="s">
        <v>70</v>
      </c>
      <c r="W112" s="166" t="s">
        <v>274</v>
      </c>
      <c r="X112" s="166" t="s">
        <v>153</v>
      </c>
      <c r="Y112" s="166" t="s">
        <v>316</v>
      </c>
      <c r="Z112" s="166">
        <v>22</v>
      </c>
      <c r="AA112" s="166" t="s">
        <v>153</v>
      </c>
      <c r="AB112" s="166" t="s">
        <v>274</v>
      </c>
      <c r="AC112" s="166">
        <v>0</v>
      </c>
      <c r="AD112" s="166" t="s">
        <v>580</v>
      </c>
      <c r="AE112" s="198" t="s">
        <v>153</v>
      </c>
    </row>
    <row r="113" spans="1:31" ht="51">
      <c r="A113" s="80">
        <v>112</v>
      </c>
      <c r="B113" s="188" t="s">
        <v>301</v>
      </c>
      <c r="C113" s="81" t="s">
        <v>302</v>
      </c>
      <c r="D113" s="350" t="s">
        <v>1056</v>
      </c>
      <c r="E113" s="164" t="s">
        <v>1011</v>
      </c>
      <c r="F113" s="164" t="s">
        <v>1057</v>
      </c>
      <c r="G113" s="164" t="s">
        <v>1058</v>
      </c>
      <c r="H113" s="80">
        <v>3</v>
      </c>
      <c r="I113" s="164" t="s">
        <v>1059</v>
      </c>
      <c r="J113" s="165">
        <v>43423</v>
      </c>
      <c r="K113" s="165">
        <v>43413</v>
      </c>
      <c r="L113" s="166" t="s">
        <v>308</v>
      </c>
      <c r="M113" s="166" t="s">
        <v>1060</v>
      </c>
      <c r="N113" s="167" t="s">
        <v>462</v>
      </c>
      <c r="O113" s="166">
        <v>9</v>
      </c>
      <c r="P113" s="168" t="s">
        <v>311</v>
      </c>
      <c r="Q113" s="169" t="s">
        <v>464</v>
      </c>
      <c r="R113" s="170" t="s">
        <v>313</v>
      </c>
      <c r="S113" s="170" t="s">
        <v>1061</v>
      </c>
      <c r="T113" s="171">
        <v>1</v>
      </c>
      <c r="U113" s="166" t="s">
        <v>466</v>
      </c>
      <c r="V113" s="166" t="s">
        <v>70</v>
      </c>
      <c r="W113" s="166" t="s">
        <v>316</v>
      </c>
      <c r="X113" s="166">
        <v>37</v>
      </c>
      <c r="Y113" s="166" t="s">
        <v>316</v>
      </c>
      <c r="Z113" s="166">
        <v>33</v>
      </c>
      <c r="AA113" s="166" t="s">
        <v>153</v>
      </c>
      <c r="AB113" s="166" t="s">
        <v>274</v>
      </c>
      <c r="AC113" s="166">
        <v>0</v>
      </c>
      <c r="AD113" s="166">
        <v>4</v>
      </c>
      <c r="AE113" s="198" t="s">
        <v>153</v>
      </c>
    </row>
    <row r="114" spans="1:31" ht="63.75">
      <c r="A114" s="80">
        <v>113</v>
      </c>
      <c r="B114" s="188" t="s">
        <v>301</v>
      </c>
      <c r="C114" s="81" t="s">
        <v>302</v>
      </c>
      <c r="D114" s="350" t="s">
        <v>1062</v>
      </c>
      <c r="E114" s="164" t="s">
        <v>1011</v>
      </c>
      <c r="F114" s="164" t="s">
        <v>1063</v>
      </c>
      <c r="G114" s="164" t="s">
        <v>1064</v>
      </c>
      <c r="H114" s="80">
        <v>4</v>
      </c>
      <c r="I114" s="164" t="s">
        <v>1065</v>
      </c>
      <c r="J114" s="165">
        <v>43423</v>
      </c>
      <c r="K114" s="165">
        <v>43413</v>
      </c>
      <c r="L114" s="166" t="s">
        <v>322</v>
      </c>
      <c r="M114" s="166" t="s">
        <v>1066</v>
      </c>
      <c r="N114" s="167" t="s">
        <v>472</v>
      </c>
      <c r="O114" s="166">
        <v>12</v>
      </c>
      <c r="P114" s="168" t="s">
        <v>623</v>
      </c>
      <c r="Q114" s="169" t="s">
        <v>474</v>
      </c>
      <c r="R114" s="170" t="s">
        <v>327</v>
      </c>
      <c r="S114" s="170" t="s">
        <v>1067</v>
      </c>
      <c r="T114" s="171">
        <v>1</v>
      </c>
      <c r="U114" s="166" t="s">
        <v>476</v>
      </c>
      <c r="V114" s="166" t="s">
        <v>70</v>
      </c>
      <c r="W114" s="166" t="s">
        <v>316</v>
      </c>
      <c r="X114" s="166">
        <v>36</v>
      </c>
      <c r="Y114" s="166" t="s">
        <v>316</v>
      </c>
      <c r="Z114" s="166">
        <v>25</v>
      </c>
      <c r="AA114" s="166" t="s">
        <v>153</v>
      </c>
      <c r="AB114" s="166" t="s">
        <v>274</v>
      </c>
      <c r="AC114" s="166">
        <v>0</v>
      </c>
      <c r="AD114" s="166">
        <v>11</v>
      </c>
      <c r="AE114" s="198" t="s">
        <v>153</v>
      </c>
    </row>
    <row r="115" spans="1:31" ht="51">
      <c r="A115" s="80">
        <v>114</v>
      </c>
      <c r="B115" s="188" t="s">
        <v>301</v>
      </c>
      <c r="C115" s="81" t="s">
        <v>302</v>
      </c>
      <c r="D115" s="350" t="s">
        <v>1068</v>
      </c>
      <c r="E115" s="164" t="s">
        <v>1011</v>
      </c>
      <c r="F115" s="164" t="s">
        <v>1069</v>
      </c>
      <c r="G115" s="164" t="s">
        <v>1070</v>
      </c>
      <c r="H115" s="80">
        <v>3</v>
      </c>
      <c r="I115" s="164" t="s">
        <v>1071</v>
      </c>
      <c r="J115" s="165">
        <v>43423</v>
      </c>
      <c r="K115" s="165">
        <v>43413</v>
      </c>
      <c r="L115" s="166" t="s">
        <v>308</v>
      </c>
      <c r="M115" s="166" t="s">
        <v>1072</v>
      </c>
      <c r="N115" s="167" t="s">
        <v>482</v>
      </c>
      <c r="O115" s="166">
        <v>9</v>
      </c>
      <c r="P115" s="168" t="s">
        <v>311</v>
      </c>
      <c r="Q115" s="169" t="s">
        <v>483</v>
      </c>
      <c r="R115" s="170" t="s">
        <v>313</v>
      </c>
      <c r="S115" s="170" t="s">
        <v>1073</v>
      </c>
      <c r="T115" s="171">
        <v>1</v>
      </c>
      <c r="U115" s="166" t="s">
        <v>466</v>
      </c>
      <c r="V115" s="166" t="s">
        <v>70</v>
      </c>
      <c r="W115" s="166" t="s">
        <v>316</v>
      </c>
      <c r="X115" s="166">
        <v>39</v>
      </c>
      <c r="Y115" s="166" t="s">
        <v>316</v>
      </c>
      <c r="Z115" s="166">
        <v>35</v>
      </c>
      <c r="AA115" s="166" t="s">
        <v>153</v>
      </c>
      <c r="AB115" s="166" t="s">
        <v>274</v>
      </c>
      <c r="AC115" s="166">
        <v>0</v>
      </c>
      <c r="AD115" s="166">
        <v>4</v>
      </c>
      <c r="AE115" s="198" t="s">
        <v>153</v>
      </c>
    </row>
    <row r="116" spans="1:31" ht="51">
      <c r="A116" s="80">
        <v>115</v>
      </c>
      <c r="B116" s="188" t="s">
        <v>301</v>
      </c>
      <c r="C116" s="81" t="s">
        <v>302</v>
      </c>
      <c r="D116" s="350" t="s">
        <v>1074</v>
      </c>
      <c r="E116" s="164" t="s">
        <v>1011</v>
      </c>
      <c r="F116" s="164" t="s">
        <v>1075</v>
      </c>
      <c r="G116" s="164" t="s">
        <v>1076</v>
      </c>
      <c r="H116" s="80">
        <v>3</v>
      </c>
      <c r="I116" s="164" t="s">
        <v>1077</v>
      </c>
      <c r="J116" s="165">
        <v>43423</v>
      </c>
      <c r="K116" s="165">
        <v>43413</v>
      </c>
      <c r="L116" s="166" t="s">
        <v>308</v>
      </c>
      <c r="M116" s="166" t="s">
        <v>1078</v>
      </c>
      <c r="N116" s="167" t="s">
        <v>462</v>
      </c>
      <c r="O116" s="166">
        <v>9</v>
      </c>
      <c r="P116" s="168" t="s">
        <v>389</v>
      </c>
      <c r="Q116" s="169" t="s">
        <v>464</v>
      </c>
      <c r="R116" s="170" t="s">
        <v>313</v>
      </c>
      <c r="S116" s="170" t="s">
        <v>1073</v>
      </c>
      <c r="T116" s="171">
        <v>1</v>
      </c>
      <c r="U116" s="166" t="s">
        <v>466</v>
      </c>
      <c r="V116" s="166" t="s">
        <v>70</v>
      </c>
      <c r="W116" s="166" t="s">
        <v>316</v>
      </c>
      <c r="X116" s="166">
        <v>39</v>
      </c>
      <c r="Y116" s="166" t="s">
        <v>316</v>
      </c>
      <c r="Z116" s="166">
        <v>32</v>
      </c>
      <c r="AA116" s="166" t="s">
        <v>153</v>
      </c>
      <c r="AB116" s="166" t="s">
        <v>274</v>
      </c>
      <c r="AC116" s="166">
        <v>0</v>
      </c>
      <c r="AD116" s="166">
        <v>7</v>
      </c>
      <c r="AE116" s="198" t="s">
        <v>153</v>
      </c>
    </row>
    <row r="117" spans="1:31" ht="63.75">
      <c r="A117" s="80">
        <v>116</v>
      </c>
      <c r="B117" s="188" t="s">
        <v>301</v>
      </c>
      <c r="C117" s="81" t="s">
        <v>302</v>
      </c>
      <c r="D117" s="350" t="s">
        <v>1079</v>
      </c>
      <c r="E117" s="164" t="s">
        <v>1011</v>
      </c>
      <c r="F117" s="164" t="s">
        <v>1080</v>
      </c>
      <c r="G117" s="164" t="s">
        <v>1081</v>
      </c>
      <c r="H117" s="80">
        <v>4</v>
      </c>
      <c r="I117" s="164" t="s">
        <v>1082</v>
      </c>
      <c r="J117" s="165">
        <v>43423</v>
      </c>
      <c r="K117" s="165">
        <v>43414</v>
      </c>
      <c r="L117" s="166" t="s">
        <v>322</v>
      </c>
      <c r="M117" s="166" t="s">
        <v>1083</v>
      </c>
      <c r="N117" s="167" t="s">
        <v>1084</v>
      </c>
      <c r="O117" s="166">
        <v>12</v>
      </c>
      <c r="P117" s="168" t="s">
        <v>1085</v>
      </c>
      <c r="Q117" s="169" t="s">
        <v>1086</v>
      </c>
      <c r="R117" s="170" t="s">
        <v>327</v>
      </c>
      <c r="S117" s="170" t="s">
        <v>1087</v>
      </c>
      <c r="T117" s="171">
        <v>1</v>
      </c>
      <c r="U117" s="166" t="s">
        <v>476</v>
      </c>
      <c r="V117" s="166" t="s">
        <v>70</v>
      </c>
      <c r="W117" s="166" t="s">
        <v>274</v>
      </c>
      <c r="X117" s="166" t="s">
        <v>153</v>
      </c>
      <c r="Y117" s="166" t="s">
        <v>316</v>
      </c>
      <c r="Z117" s="166">
        <v>22</v>
      </c>
      <c r="AA117" s="166" t="s">
        <v>153</v>
      </c>
      <c r="AB117" s="166" t="s">
        <v>274</v>
      </c>
      <c r="AC117" s="166">
        <v>0</v>
      </c>
      <c r="AD117" s="166">
        <v>14</v>
      </c>
      <c r="AE117" s="198" t="s">
        <v>153</v>
      </c>
    </row>
    <row r="118" spans="1:31" ht="63.75">
      <c r="A118" s="80">
        <v>117</v>
      </c>
      <c r="B118" s="188" t="s">
        <v>301</v>
      </c>
      <c r="C118" s="81" t="s">
        <v>302</v>
      </c>
      <c r="D118" s="350" t="s">
        <v>1088</v>
      </c>
      <c r="E118" s="164" t="s">
        <v>1011</v>
      </c>
      <c r="F118" s="164" t="s">
        <v>1089</v>
      </c>
      <c r="G118" s="164" t="s">
        <v>1090</v>
      </c>
      <c r="H118" s="80">
        <v>4</v>
      </c>
      <c r="I118" s="164" t="s">
        <v>1091</v>
      </c>
      <c r="J118" s="165">
        <v>43423</v>
      </c>
      <c r="K118" s="165">
        <v>43413</v>
      </c>
      <c r="L118" s="166" t="s">
        <v>322</v>
      </c>
      <c r="M118" s="166" t="s">
        <v>1092</v>
      </c>
      <c r="N118" s="167" t="s">
        <v>472</v>
      </c>
      <c r="O118" s="166">
        <v>12</v>
      </c>
      <c r="P118" s="168" t="s">
        <v>1093</v>
      </c>
      <c r="Q118" s="169" t="s">
        <v>474</v>
      </c>
      <c r="R118" s="170" t="s">
        <v>327</v>
      </c>
      <c r="S118" s="170" t="s">
        <v>1094</v>
      </c>
      <c r="T118" s="171">
        <v>1</v>
      </c>
      <c r="U118" s="166" t="s">
        <v>476</v>
      </c>
      <c r="V118" s="166" t="s">
        <v>70</v>
      </c>
      <c r="W118" s="166" t="s">
        <v>316</v>
      </c>
      <c r="X118" s="166">
        <v>37</v>
      </c>
      <c r="Y118" s="166" t="s">
        <v>316</v>
      </c>
      <c r="Z118" s="166">
        <v>30</v>
      </c>
      <c r="AA118" s="166" t="s">
        <v>153</v>
      </c>
      <c r="AB118" s="166" t="s">
        <v>274</v>
      </c>
      <c r="AC118" s="166">
        <v>0</v>
      </c>
      <c r="AD118" s="166">
        <v>7</v>
      </c>
      <c r="AE118" s="198" t="s">
        <v>153</v>
      </c>
    </row>
    <row r="119" spans="1:31" ht="51">
      <c r="A119" s="80">
        <v>118</v>
      </c>
      <c r="B119" s="188" t="s">
        <v>301</v>
      </c>
      <c r="C119" s="81" t="s">
        <v>302</v>
      </c>
      <c r="D119" s="350" t="s">
        <v>1095</v>
      </c>
      <c r="E119" s="164" t="s">
        <v>1011</v>
      </c>
      <c r="F119" s="164" t="s">
        <v>1096</v>
      </c>
      <c r="G119" s="164" t="s">
        <v>1097</v>
      </c>
      <c r="H119" s="80">
        <v>3</v>
      </c>
      <c r="I119" s="164" t="s">
        <v>1098</v>
      </c>
      <c r="J119" s="165">
        <v>43423</v>
      </c>
      <c r="K119" s="165">
        <v>43414</v>
      </c>
      <c r="L119" s="166" t="s">
        <v>308</v>
      </c>
      <c r="M119" s="166" t="s">
        <v>1099</v>
      </c>
      <c r="N119" s="167" t="s">
        <v>482</v>
      </c>
      <c r="O119" s="166">
        <v>9</v>
      </c>
      <c r="P119" s="168" t="s">
        <v>355</v>
      </c>
      <c r="Q119" s="169" t="s">
        <v>483</v>
      </c>
      <c r="R119" s="170" t="s">
        <v>313</v>
      </c>
      <c r="S119" s="170" t="s">
        <v>1100</v>
      </c>
      <c r="T119" s="171">
        <v>1</v>
      </c>
      <c r="U119" s="166" t="s">
        <v>466</v>
      </c>
      <c r="V119" s="166" t="s">
        <v>70</v>
      </c>
      <c r="W119" s="166" t="s">
        <v>316</v>
      </c>
      <c r="X119" s="166">
        <v>35</v>
      </c>
      <c r="Y119" s="166" t="s">
        <v>316</v>
      </c>
      <c r="Z119" s="166">
        <v>31</v>
      </c>
      <c r="AA119" s="166" t="s">
        <v>153</v>
      </c>
      <c r="AB119" s="166" t="s">
        <v>274</v>
      </c>
      <c r="AC119" s="166">
        <v>0</v>
      </c>
      <c r="AD119" s="166">
        <v>4</v>
      </c>
      <c r="AE119" s="198" t="s">
        <v>153</v>
      </c>
    </row>
    <row r="120" spans="1:31" ht="51">
      <c r="A120" s="80">
        <v>119</v>
      </c>
      <c r="B120" s="188" t="s">
        <v>301</v>
      </c>
      <c r="C120" s="81" t="s">
        <v>302</v>
      </c>
      <c r="D120" s="350" t="s">
        <v>1101</v>
      </c>
      <c r="E120" s="164" t="s">
        <v>1011</v>
      </c>
      <c r="F120" s="164" t="s">
        <v>1102</v>
      </c>
      <c r="G120" s="164" t="s">
        <v>1103</v>
      </c>
      <c r="H120" s="80">
        <v>4</v>
      </c>
      <c r="I120" s="164" t="s">
        <v>1104</v>
      </c>
      <c r="J120" s="165">
        <v>43423</v>
      </c>
      <c r="K120" s="165">
        <v>43415</v>
      </c>
      <c r="L120" s="166" t="s">
        <v>322</v>
      </c>
      <c r="M120" s="166" t="s">
        <v>1105</v>
      </c>
      <c r="N120" s="167" t="s">
        <v>472</v>
      </c>
      <c r="O120" s="166">
        <v>10</v>
      </c>
      <c r="P120" s="168" t="s">
        <v>1106</v>
      </c>
      <c r="Q120" s="169" t="s">
        <v>498</v>
      </c>
      <c r="R120" s="170" t="s">
        <v>327</v>
      </c>
      <c r="S120" s="170" t="s">
        <v>1107</v>
      </c>
      <c r="T120" s="171">
        <v>1</v>
      </c>
      <c r="U120" s="166" t="s">
        <v>476</v>
      </c>
      <c r="V120" s="166" t="s">
        <v>70</v>
      </c>
      <c r="W120" s="166" t="s">
        <v>316</v>
      </c>
      <c r="X120" s="166">
        <v>34</v>
      </c>
      <c r="Y120" s="166" t="s">
        <v>316</v>
      </c>
      <c r="Z120" s="166">
        <v>30</v>
      </c>
      <c r="AA120" s="166" t="s">
        <v>153</v>
      </c>
      <c r="AB120" s="166" t="s">
        <v>274</v>
      </c>
      <c r="AC120" s="166">
        <v>37.5</v>
      </c>
      <c r="AD120" s="166">
        <v>4</v>
      </c>
      <c r="AE120" s="198" t="s">
        <v>153</v>
      </c>
    </row>
    <row r="121" spans="1:31" ht="63.75">
      <c r="A121" s="80">
        <v>120</v>
      </c>
      <c r="B121" s="188" t="s">
        <v>301</v>
      </c>
      <c r="C121" s="81" t="s">
        <v>302</v>
      </c>
      <c r="D121" s="350" t="s">
        <v>1108</v>
      </c>
      <c r="E121" s="164" t="s">
        <v>1011</v>
      </c>
      <c r="F121" s="164" t="s">
        <v>1109</v>
      </c>
      <c r="G121" s="164" t="s">
        <v>1110</v>
      </c>
      <c r="H121" s="80">
        <v>4</v>
      </c>
      <c r="I121" s="164" t="s">
        <v>1111</v>
      </c>
      <c r="J121" s="165">
        <v>43423</v>
      </c>
      <c r="K121" s="165">
        <v>43415</v>
      </c>
      <c r="L121" s="166" t="s">
        <v>322</v>
      </c>
      <c r="M121" s="166" t="s">
        <v>1112</v>
      </c>
      <c r="N121" s="167" t="s">
        <v>1084</v>
      </c>
      <c r="O121" s="166">
        <v>12</v>
      </c>
      <c r="P121" s="168" t="s">
        <v>434</v>
      </c>
      <c r="Q121" s="169" t="s">
        <v>1086</v>
      </c>
      <c r="R121" s="170" t="s">
        <v>327</v>
      </c>
      <c r="S121" s="170" t="s">
        <v>1113</v>
      </c>
      <c r="T121" s="171">
        <v>1</v>
      </c>
      <c r="U121" s="166" t="s">
        <v>476</v>
      </c>
      <c r="V121" s="166" t="s">
        <v>70</v>
      </c>
      <c r="W121" s="166" t="s">
        <v>316</v>
      </c>
      <c r="X121" s="166">
        <v>37</v>
      </c>
      <c r="Y121" s="166" t="s">
        <v>316</v>
      </c>
      <c r="Z121" s="166">
        <v>26</v>
      </c>
      <c r="AA121" s="166" t="s">
        <v>153</v>
      </c>
      <c r="AB121" s="166" t="s">
        <v>274</v>
      </c>
      <c r="AC121" s="166">
        <v>0</v>
      </c>
      <c r="AD121" s="166">
        <v>11</v>
      </c>
      <c r="AE121" s="198" t="s">
        <v>153</v>
      </c>
    </row>
    <row r="122" spans="1:31" ht="51">
      <c r="A122" s="80">
        <v>121</v>
      </c>
      <c r="B122" s="188" t="s">
        <v>301</v>
      </c>
      <c r="C122" s="81" t="s">
        <v>302</v>
      </c>
      <c r="D122" s="350" t="s">
        <v>1114</v>
      </c>
      <c r="E122" s="164" t="s">
        <v>1115</v>
      </c>
      <c r="F122" s="164" t="s">
        <v>1116</v>
      </c>
      <c r="G122" s="164" t="s">
        <v>1117</v>
      </c>
      <c r="H122" s="80">
        <v>3</v>
      </c>
      <c r="I122" s="164" t="s">
        <v>1118</v>
      </c>
      <c r="J122" s="165">
        <v>43423</v>
      </c>
      <c r="K122" s="165">
        <v>43404</v>
      </c>
      <c r="L122" s="166" t="s">
        <v>308</v>
      </c>
      <c r="M122" s="166" t="s">
        <v>1119</v>
      </c>
      <c r="N122" s="167" t="s">
        <v>675</v>
      </c>
      <c r="O122" s="166">
        <v>9</v>
      </c>
      <c r="P122" s="168" t="s">
        <v>952</v>
      </c>
      <c r="Q122" s="169" t="s">
        <v>676</v>
      </c>
      <c r="R122" s="170" t="s">
        <v>345</v>
      </c>
      <c r="S122" s="170" t="s">
        <v>1120</v>
      </c>
      <c r="T122" s="171">
        <v>1</v>
      </c>
      <c r="U122" s="166" t="s">
        <v>347</v>
      </c>
      <c r="V122" s="166" t="s">
        <v>70</v>
      </c>
      <c r="W122" s="166" t="s">
        <v>274</v>
      </c>
      <c r="X122" s="166" t="s">
        <v>153</v>
      </c>
      <c r="Y122" s="166" t="s">
        <v>316</v>
      </c>
      <c r="Z122" s="166">
        <v>5</v>
      </c>
      <c r="AA122" s="166" t="s">
        <v>153</v>
      </c>
      <c r="AB122" s="166" t="s">
        <v>274</v>
      </c>
      <c r="AC122" s="166">
        <v>14</v>
      </c>
      <c r="AD122" s="166">
        <v>21</v>
      </c>
      <c r="AE122" s="198" t="s">
        <v>153</v>
      </c>
    </row>
    <row r="123" spans="1:31" ht="51">
      <c r="A123" s="80">
        <v>122</v>
      </c>
      <c r="B123" s="188" t="s">
        <v>301</v>
      </c>
      <c r="C123" s="81" t="s">
        <v>302</v>
      </c>
      <c r="D123" s="350" t="s">
        <v>1121</v>
      </c>
      <c r="E123" s="164" t="s">
        <v>1115</v>
      </c>
      <c r="F123" s="164" t="s">
        <v>1122</v>
      </c>
      <c r="G123" s="164" t="s">
        <v>1123</v>
      </c>
      <c r="H123" s="80">
        <v>3</v>
      </c>
      <c r="I123" s="164" t="s">
        <v>1124</v>
      </c>
      <c r="J123" s="165">
        <v>43423</v>
      </c>
      <c r="K123" s="165">
        <v>43404</v>
      </c>
      <c r="L123" s="166" t="s">
        <v>308</v>
      </c>
      <c r="M123" s="166" t="s">
        <v>1125</v>
      </c>
      <c r="N123" s="167" t="s">
        <v>675</v>
      </c>
      <c r="O123" s="166">
        <v>9</v>
      </c>
      <c r="P123" s="168" t="s">
        <v>311</v>
      </c>
      <c r="Q123" s="169" t="s">
        <v>676</v>
      </c>
      <c r="R123" s="170" t="s">
        <v>345</v>
      </c>
      <c r="S123" s="170" t="s">
        <v>1126</v>
      </c>
      <c r="T123" s="171">
        <v>1</v>
      </c>
      <c r="U123" s="166" t="s">
        <v>347</v>
      </c>
      <c r="V123" s="166" t="s">
        <v>70</v>
      </c>
      <c r="W123" s="166" t="s">
        <v>274</v>
      </c>
      <c r="X123" s="166" t="s">
        <v>153</v>
      </c>
      <c r="Y123" s="166" t="s">
        <v>316</v>
      </c>
      <c r="Z123" s="166">
        <v>9</v>
      </c>
      <c r="AA123" s="166" t="s">
        <v>153</v>
      </c>
      <c r="AB123" s="166" t="s">
        <v>274</v>
      </c>
      <c r="AC123" s="166">
        <v>11</v>
      </c>
      <c r="AD123" s="166">
        <v>11</v>
      </c>
      <c r="AE123" s="198" t="s">
        <v>153</v>
      </c>
    </row>
    <row r="124" spans="1:31" ht="51">
      <c r="A124" s="80">
        <v>123</v>
      </c>
      <c r="B124" s="188" t="s">
        <v>301</v>
      </c>
      <c r="C124" s="81" t="s">
        <v>302</v>
      </c>
      <c r="D124" s="350" t="s">
        <v>1127</v>
      </c>
      <c r="E124" s="164" t="s">
        <v>1115</v>
      </c>
      <c r="F124" s="164" t="s">
        <v>1128</v>
      </c>
      <c r="G124" s="164" t="s">
        <v>1129</v>
      </c>
      <c r="H124" s="80">
        <v>3</v>
      </c>
      <c r="I124" s="164" t="s">
        <v>1130</v>
      </c>
      <c r="J124" s="165">
        <v>43423</v>
      </c>
      <c r="K124" s="165">
        <v>43404</v>
      </c>
      <c r="L124" s="166" t="s">
        <v>308</v>
      </c>
      <c r="M124" s="166" t="s">
        <v>1131</v>
      </c>
      <c r="N124" s="167" t="s">
        <v>675</v>
      </c>
      <c r="O124" s="166">
        <v>9</v>
      </c>
      <c r="P124" s="168" t="s">
        <v>311</v>
      </c>
      <c r="Q124" s="169" t="s">
        <v>683</v>
      </c>
      <c r="R124" s="170" t="s">
        <v>313</v>
      </c>
      <c r="S124" s="170" t="s">
        <v>1132</v>
      </c>
      <c r="T124" s="171">
        <v>1</v>
      </c>
      <c r="U124" s="166" t="s">
        <v>315</v>
      </c>
      <c r="V124" s="166" t="s">
        <v>70</v>
      </c>
      <c r="W124" s="166" t="s">
        <v>316</v>
      </c>
      <c r="X124" s="166">
        <v>41</v>
      </c>
      <c r="Y124" s="166" t="s">
        <v>316</v>
      </c>
      <c r="Z124" s="166">
        <v>30</v>
      </c>
      <c r="AA124" s="166" t="s">
        <v>153</v>
      </c>
      <c r="AB124" s="166" t="s">
        <v>274</v>
      </c>
      <c r="AC124" s="166">
        <v>0</v>
      </c>
      <c r="AD124" s="166">
        <v>11</v>
      </c>
      <c r="AE124" s="198" t="s">
        <v>153</v>
      </c>
    </row>
    <row r="125" spans="1:31" ht="51">
      <c r="A125" s="80">
        <v>124</v>
      </c>
      <c r="B125" s="188" t="s">
        <v>301</v>
      </c>
      <c r="C125" s="81" t="s">
        <v>302</v>
      </c>
      <c r="D125" s="350" t="s">
        <v>1133</v>
      </c>
      <c r="E125" s="164" t="s">
        <v>1115</v>
      </c>
      <c r="F125" s="164" t="s">
        <v>1134</v>
      </c>
      <c r="G125" s="164" t="s">
        <v>1135</v>
      </c>
      <c r="H125" s="80">
        <v>3</v>
      </c>
      <c r="I125" s="164" t="s">
        <v>1136</v>
      </c>
      <c r="J125" s="165">
        <v>43423</v>
      </c>
      <c r="K125" s="165">
        <v>43404</v>
      </c>
      <c r="L125" s="166" t="s">
        <v>308</v>
      </c>
      <c r="M125" s="166" t="s">
        <v>1137</v>
      </c>
      <c r="N125" s="167" t="s">
        <v>675</v>
      </c>
      <c r="O125" s="166">
        <v>9</v>
      </c>
      <c r="P125" s="168" t="s">
        <v>311</v>
      </c>
      <c r="Q125" s="169" t="s">
        <v>676</v>
      </c>
      <c r="R125" s="170" t="s">
        <v>345</v>
      </c>
      <c r="S125" s="170" t="s">
        <v>1073</v>
      </c>
      <c r="T125" s="171">
        <v>1</v>
      </c>
      <c r="U125" s="166" t="s">
        <v>347</v>
      </c>
      <c r="V125" s="166" t="s">
        <v>70</v>
      </c>
      <c r="W125" s="166" t="s">
        <v>274</v>
      </c>
      <c r="X125" s="166" t="s">
        <v>153</v>
      </c>
      <c r="Y125" s="166" t="s">
        <v>316</v>
      </c>
      <c r="Z125" s="166">
        <v>18</v>
      </c>
      <c r="AA125" s="166" t="s">
        <v>153</v>
      </c>
      <c r="AB125" s="166" t="s">
        <v>274</v>
      </c>
      <c r="AC125" s="166">
        <v>18</v>
      </c>
      <c r="AD125" s="166">
        <v>21</v>
      </c>
      <c r="AE125" s="198" t="s">
        <v>153</v>
      </c>
    </row>
    <row r="126" spans="1:31" ht="63.75">
      <c r="A126" s="80">
        <v>125</v>
      </c>
      <c r="B126" s="188" t="s">
        <v>301</v>
      </c>
      <c r="C126" s="81" t="s">
        <v>302</v>
      </c>
      <c r="D126" s="350" t="s">
        <v>1138</v>
      </c>
      <c r="E126" s="164" t="s">
        <v>1115</v>
      </c>
      <c r="F126" s="164" t="s">
        <v>1139</v>
      </c>
      <c r="G126" s="164" t="s">
        <v>1140</v>
      </c>
      <c r="H126" s="80">
        <v>4</v>
      </c>
      <c r="I126" s="164" t="s">
        <v>1141</v>
      </c>
      <c r="J126" s="165">
        <v>43423</v>
      </c>
      <c r="K126" s="165">
        <v>43403</v>
      </c>
      <c r="L126" s="166" t="s">
        <v>322</v>
      </c>
      <c r="M126" s="166" t="s">
        <v>1142</v>
      </c>
      <c r="N126" s="167" t="s">
        <v>666</v>
      </c>
      <c r="O126" s="166">
        <v>12</v>
      </c>
      <c r="P126" s="168" t="s">
        <v>382</v>
      </c>
      <c r="Q126" s="169" t="s">
        <v>1143</v>
      </c>
      <c r="R126" s="170" t="s">
        <v>327</v>
      </c>
      <c r="S126" s="170" t="s">
        <v>1144</v>
      </c>
      <c r="T126" s="171">
        <v>1</v>
      </c>
      <c r="U126" s="166" t="s">
        <v>329</v>
      </c>
      <c r="V126" s="166" t="s">
        <v>70</v>
      </c>
      <c r="W126" s="166" t="s">
        <v>316</v>
      </c>
      <c r="X126" s="166">
        <v>32</v>
      </c>
      <c r="Y126" s="166" t="s">
        <v>316</v>
      </c>
      <c r="Z126" s="166">
        <v>21</v>
      </c>
      <c r="AA126" s="166" t="s">
        <v>153</v>
      </c>
      <c r="AB126" s="166" t="s">
        <v>274</v>
      </c>
      <c r="AC126" s="166">
        <v>0</v>
      </c>
      <c r="AD126" s="166">
        <v>11</v>
      </c>
      <c r="AE126" s="198" t="s">
        <v>153</v>
      </c>
    </row>
    <row r="127" spans="1:31" ht="63.75">
      <c r="A127" s="80">
        <v>126</v>
      </c>
      <c r="B127" s="188" t="s">
        <v>301</v>
      </c>
      <c r="C127" s="81" t="s">
        <v>302</v>
      </c>
      <c r="D127" s="350" t="s">
        <v>1145</v>
      </c>
      <c r="E127" s="164" t="s">
        <v>1115</v>
      </c>
      <c r="F127" s="164" t="s">
        <v>1146</v>
      </c>
      <c r="G127" s="164" t="s">
        <v>1147</v>
      </c>
      <c r="H127" s="80">
        <v>4</v>
      </c>
      <c r="I127" s="164" t="s">
        <v>1148</v>
      </c>
      <c r="J127" s="165">
        <v>43423</v>
      </c>
      <c r="K127" s="165">
        <v>43403</v>
      </c>
      <c r="L127" s="166" t="s">
        <v>322</v>
      </c>
      <c r="M127" s="166" t="s">
        <v>1149</v>
      </c>
      <c r="N127" s="167" t="s">
        <v>666</v>
      </c>
      <c r="O127" s="166">
        <v>12</v>
      </c>
      <c r="P127" s="168" t="s">
        <v>1150</v>
      </c>
      <c r="Q127" s="169" t="s">
        <v>1143</v>
      </c>
      <c r="R127" s="170" t="s">
        <v>327</v>
      </c>
      <c r="S127" s="170" t="s">
        <v>1151</v>
      </c>
      <c r="T127" s="171">
        <v>1</v>
      </c>
      <c r="U127" s="166" t="s">
        <v>329</v>
      </c>
      <c r="V127" s="166" t="s">
        <v>70</v>
      </c>
      <c r="W127" s="166" t="s">
        <v>274</v>
      </c>
      <c r="X127" s="166" t="s">
        <v>153</v>
      </c>
      <c r="Y127" s="166" t="s">
        <v>316</v>
      </c>
      <c r="Z127" s="166">
        <v>8</v>
      </c>
      <c r="AA127" s="166" t="s">
        <v>153</v>
      </c>
      <c r="AB127" s="166" t="s">
        <v>274</v>
      </c>
      <c r="AC127" s="166">
        <v>7</v>
      </c>
      <c r="AD127" s="166">
        <v>14</v>
      </c>
      <c r="AE127" s="198" t="s">
        <v>153</v>
      </c>
    </row>
    <row r="128" spans="1:31" ht="51">
      <c r="A128" s="80">
        <v>127</v>
      </c>
      <c r="B128" s="188" t="s">
        <v>301</v>
      </c>
      <c r="C128" s="81" t="s">
        <v>302</v>
      </c>
      <c r="D128" s="350" t="s">
        <v>1152</v>
      </c>
      <c r="E128" s="164" t="s">
        <v>1115</v>
      </c>
      <c r="F128" s="164" t="s">
        <v>1153</v>
      </c>
      <c r="G128" s="164" t="s">
        <v>1154</v>
      </c>
      <c r="H128" s="80">
        <v>3</v>
      </c>
      <c r="I128" s="164" t="s">
        <v>1155</v>
      </c>
      <c r="J128" s="165">
        <v>43423</v>
      </c>
      <c r="K128" s="165">
        <v>43404</v>
      </c>
      <c r="L128" s="166" t="s">
        <v>308</v>
      </c>
      <c r="M128" s="166" t="s">
        <v>1156</v>
      </c>
      <c r="N128" s="167" t="s">
        <v>675</v>
      </c>
      <c r="O128" s="166">
        <v>9</v>
      </c>
      <c r="P128" s="168" t="s">
        <v>311</v>
      </c>
      <c r="Q128" s="169" t="s">
        <v>676</v>
      </c>
      <c r="R128" s="170" t="s">
        <v>345</v>
      </c>
      <c r="S128" s="170" t="s">
        <v>396</v>
      </c>
      <c r="T128" s="171">
        <v>1</v>
      </c>
      <c r="U128" s="166" t="s">
        <v>347</v>
      </c>
      <c r="V128" s="166" t="s">
        <v>70</v>
      </c>
      <c r="W128" s="166" t="s">
        <v>274</v>
      </c>
      <c r="X128" s="166" t="s">
        <v>153</v>
      </c>
      <c r="Y128" s="166" t="s">
        <v>316</v>
      </c>
      <c r="Z128" s="166">
        <v>16</v>
      </c>
      <c r="AA128" s="166" t="s">
        <v>153</v>
      </c>
      <c r="AB128" s="166" t="s">
        <v>274</v>
      </c>
      <c r="AC128" s="166">
        <v>0</v>
      </c>
      <c r="AD128" s="166">
        <v>11</v>
      </c>
      <c r="AE128" s="198" t="s">
        <v>153</v>
      </c>
    </row>
    <row r="129" spans="1:31" ht="51">
      <c r="A129" s="80">
        <v>128</v>
      </c>
      <c r="B129" s="188" t="s">
        <v>301</v>
      </c>
      <c r="C129" s="81" t="s">
        <v>302</v>
      </c>
      <c r="D129" s="350" t="s">
        <v>1157</v>
      </c>
      <c r="E129" s="164" t="s">
        <v>1115</v>
      </c>
      <c r="F129" s="164" t="s">
        <v>1158</v>
      </c>
      <c r="G129" s="164" t="s">
        <v>1159</v>
      </c>
      <c r="H129" s="80">
        <v>3</v>
      </c>
      <c r="I129" s="164" t="s">
        <v>1160</v>
      </c>
      <c r="J129" s="165">
        <v>43423</v>
      </c>
      <c r="K129" s="165">
        <v>43403</v>
      </c>
      <c r="L129" s="166" t="s">
        <v>308</v>
      </c>
      <c r="M129" s="166" t="s">
        <v>1161</v>
      </c>
      <c r="N129" s="167" t="s">
        <v>675</v>
      </c>
      <c r="O129" s="166">
        <v>9</v>
      </c>
      <c r="P129" s="168" t="s">
        <v>463</v>
      </c>
      <c r="Q129" s="169" t="s">
        <v>683</v>
      </c>
      <c r="R129" s="170" t="s">
        <v>313</v>
      </c>
      <c r="S129" s="170" t="s">
        <v>1162</v>
      </c>
      <c r="T129" s="171">
        <v>1</v>
      </c>
      <c r="U129" s="166" t="s">
        <v>315</v>
      </c>
      <c r="V129" s="166" t="s">
        <v>70</v>
      </c>
      <c r="W129" s="166" t="s">
        <v>274</v>
      </c>
      <c r="X129" s="166" t="s">
        <v>153</v>
      </c>
      <c r="Y129" s="166" t="s">
        <v>316</v>
      </c>
      <c r="Z129" s="166">
        <v>6</v>
      </c>
      <c r="AA129" s="166" t="s">
        <v>153</v>
      </c>
      <c r="AB129" s="166" t="s">
        <v>274</v>
      </c>
      <c r="AC129" s="166">
        <v>0</v>
      </c>
      <c r="AD129" s="166">
        <v>14</v>
      </c>
      <c r="AE129" s="198" t="s">
        <v>153</v>
      </c>
    </row>
    <row r="130" spans="1:31" ht="51">
      <c r="A130" s="80">
        <v>129</v>
      </c>
      <c r="B130" s="188" t="s">
        <v>301</v>
      </c>
      <c r="C130" s="81" t="s">
        <v>302</v>
      </c>
      <c r="D130" s="350" t="s">
        <v>1163</v>
      </c>
      <c r="E130" s="164" t="s">
        <v>1115</v>
      </c>
      <c r="F130" s="164" t="s">
        <v>1164</v>
      </c>
      <c r="G130" s="164" t="s">
        <v>1165</v>
      </c>
      <c r="H130" s="80">
        <v>3</v>
      </c>
      <c r="I130" s="164" t="s">
        <v>1166</v>
      </c>
      <c r="J130" s="165">
        <v>43423</v>
      </c>
      <c r="K130" s="165">
        <v>43403</v>
      </c>
      <c r="L130" s="166" t="s">
        <v>308</v>
      </c>
      <c r="M130" s="166" t="s">
        <v>1167</v>
      </c>
      <c r="N130" s="167" t="s">
        <v>675</v>
      </c>
      <c r="O130" s="166">
        <v>9</v>
      </c>
      <c r="P130" s="168" t="s">
        <v>463</v>
      </c>
      <c r="Q130" s="169" t="s">
        <v>683</v>
      </c>
      <c r="R130" s="170" t="s">
        <v>313</v>
      </c>
      <c r="S130" s="170" t="s">
        <v>1168</v>
      </c>
      <c r="T130" s="171">
        <v>1</v>
      </c>
      <c r="U130" s="166" t="s">
        <v>315</v>
      </c>
      <c r="V130" s="166" t="s">
        <v>70</v>
      </c>
      <c r="W130" s="166" t="s">
        <v>274</v>
      </c>
      <c r="X130" s="166" t="s">
        <v>153</v>
      </c>
      <c r="Y130" s="166" t="s">
        <v>316</v>
      </c>
      <c r="Z130" s="166">
        <v>6</v>
      </c>
      <c r="AA130" s="166" t="s">
        <v>153</v>
      </c>
      <c r="AB130" s="166" t="s">
        <v>274</v>
      </c>
      <c r="AC130" s="166">
        <v>11</v>
      </c>
      <c r="AD130" s="166">
        <v>18</v>
      </c>
      <c r="AE130" s="198" t="s">
        <v>153</v>
      </c>
    </row>
    <row r="131" spans="1:31" ht="63.75">
      <c r="A131" s="80">
        <v>130</v>
      </c>
      <c r="B131" s="188" t="s">
        <v>301</v>
      </c>
      <c r="C131" s="81" t="s">
        <v>302</v>
      </c>
      <c r="D131" s="350" t="s">
        <v>1169</v>
      </c>
      <c r="E131" s="164" t="s">
        <v>1115</v>
      </c>
      <c r="F131" s="164" t="s">
        <v>1170</v>
      </c>
      <c r="G131" s="164" t="s">
        <v>1171</v>
      </c>
      <c r="H131" s="80">
        <v>4</v>
      </c>
      <c r="I131" s="164" t="s">
        <v>1172</v>
      </c>
      <c r="J131" s="165">
        <v>43423</v>
      </c>
      <c r="K131" s="165">
        <v>43403</v>
      </c>
      <c r="L131" s="166" t="s">
        <v>322</v>
      </c>
      <c r="M131" s="166" t="s">
        <v>1173</v>
      </c>
      <c r="N131" s="167" t="s">
        <v>666</v>
      </c>
      <c r="O131" s="166">
        <v>12</v>
      </c>
      <c r="P131" s="168" t="s">
        <v>382</v>
      </c>
      <c r="Q131" s="169" t="s">
        <v>1143</v>
      </c>
      <c r="R131" s="170" t="s">
        <v>327</v>
      </c>
      <c r="S131" s="170" t="s">
        <v>1174</v>
      </c>
      <c r="T131" s="171">
        <v>1</v>
      </c>
      <c r="U131" s="166" t="s">
        <v>329</v>
      </c>
      <c r="V131" s="166" t="s">
        <v>70</v>
      </c>
      <c r="W131" s="166" t="s">
        <v>274</v>
      </c>
      <c r="X131" s="166" t="s">
        <v>153</v>
      </c>
      <c r="Y131" s="166" t="s">
        <v>316</v>
      </c>
      <c r="Z131" s="166">
        <v>7</v>
      </c>
      <c r="AA131" s="166" t="s">
        <v>153</v>
      </c>
      <c r="AB131" s="166" t="s">
        <v>274</v>
      </c>
      <c r="AC131" s="166">
        <v>0</v>
      </c>
      <c r="AD131" s="166">
        <v>21</v>
      </c>
      <c r="AE131" s="198" t="s">
        <v>153</v>
      </c>
    </row>
    <row r="132" spans="1:31" ht="51">
      <c r="A132" s="80">
        <v>131</v>
      </c>
      <c r="B132" s="188" t="s">
        <v>301</v>
      </c>
      <c r="C132" s="81" t="s">
        <v>302</v>
      </c>
      <c r="D132" s="350" t="s">
        <v>1175</v>
      </c>
      <c r="E132" s="164" t="s">
        <v>1115</v>
      </c>
      <c r="F132" s="164" t="s">
        <v>1176</v>
      </c>
      <c r="G132" s="164" t="s">
        <v>1177</v>
      </c>
      <c r="H132" s="80">
        <v>3</v>
      </c>
      <c r="I132" s="164" t="s">
        <v>1178</v>
      </c>
      <c r="J132" s="165">
        <v>43423</v>
      </c>
      <c r="K132" s="165">
        <v>43404</v>
      </c>
      <c r="L132" s="166" t="s">
        <v>308</v>
      </c>
      <c r="M132" s="166" t="s">
        <v>1179</v>
      </c>
      <c r="N132" s="167" t="s">
        <v>675</v>
      </c>
      <c r="O132" s="166">
        <v>9</v>
      </c>
      <c r="P132" s="168" t="s">
        <v>311</v>
      </c>
      <c r="Q132" s="169" t="s">
        <v>683</v>
      </c>
      <c r="R132" s="170" t="s">
        <v>313</v>
      </c>
      <c r="S132" s="170" t="s">
        <v>876</v>
      </c>
      <c r="T132" s="171">
        <v>1</v>
      </c>
      <c r="U132" s="166" t="s">
        <v>315</v>
      </c>
      <c r="V132" s="166" t="s">
        <v>70</v>
      </c>
      <c r="W132" s="166" t="s">
        <v>274</v>
      </c>
      <c r="X132" s="166" t="s">
        <v>153</v>
      </c>
      <c r="Y132" s="166" t="s">
        <v>316</v>
      </c>
      <c r="Z132" s="166">
        <v>11</v>
      </c>
      <c r="AA132" s="166" t="s">
        <v>153</v>
      </c>
      <c r="AB132" s="166" t="s">
        <v>274</v>
      </c>
      <c r="AC132" s="166">
        <v>14</v>
      </c>
      <c r="AD132" s="166">
        <v>18</v>
      </c>
      <c r="AE132" s="198" t="s">
        <v>153</v>
      </c>
    </row>
    <row r="133" spans="1:31" ht="51">
      <c r="A133" s="80">
        <v>132</v>
      </c>
      <c r="B133" s="188" t="s">
        <v>301</v>
      </c>
      <c r="C133" s="81" t="s">
        <v>302</v>
      </c>
      <c r="D133" s="350" t="s">
        <v>1180</v>
      </c>
      <c r="E133" s="164" t="s">
        <v>1115</v>
      </c>
      <c r="F133" s="164" t="s">
        <v>1181</v>
      </c>
      <c r="G133" s="164" t="s">
        <v>1182</v>
      </c>
      <c r="H133" s="80">
        <v>3</v>
      </c>
      <c r="I133" s="164" t="s">
        <v>1183</v>
      </c>
      <c r="J133" s="165">
        <v>43423</v>
      </c>
      <c r="K133" s="165">
        <v>43404</v>
      </c>
      <c r="L133" s="166" t="s">
        <v>308</v>
      </c>
      <c r="M133" s="166" t="s">
        <v>1184</v>
      </c>
      <c r="N133" s="167" t="s">
        <v>675</v>
      </c>
      <c r="O133" s="166">
        <v>9</v>
      </c>
      <c r="P133" s="168" t="s">
        <v>311</v>
      </c>
      <c r="Q133" s="169" t="s">
        <v>683</v>
      </c>
      <c r="R133" s="170" t="s">
        <v>313</v>
      </c>
      <c r="S133" s="170" t="s">
        <v>1185</v>
      </c>
      <c r="T133" s="171">
        <v>1</v>
      </c>
      <c r="U133" s="166" t="s">
        <v>315</v>
      </c>
      <c r="V133" s="166" t="s">
        <v>70</v>
      </c>
      <c r="W133" s="166" t="s">
        <v>274</v>
      </c>
      <c r="X133" s="166" t="s">
        <v>153</v>
      </c>
      <c r="Y133" s="166" t="s">
        <v>316</v>
      </c>
      <c r="Z133" s="166">
        <v>1</v>
      </c>
      <c r="AA133" s="166" t="s">
        <v>153</v>
      </c>
      <c r="AB133" s="166" t="s">
        <v>316</v>
      </c>
      <c r="AC133" s="166">
        <v>18</v>
      </c>
      <c r="AD133" s="166">
        <v>25</v>
      </c>
      <c r="AE133" s="198" t="s">
        <v>153</v>
      </c>
    </row>
    <row r="134" spans="1:31" ht="51">
      <c r="A134" s="80">
        <v>133</v>
      </c>
      <c r="B134" s="188" t="s">
        <v>301</v>
      </c>
      <c r="C134" s="81" t="s">
        <v>302</v>
      </c>
      <c r="D134" s="350" t="s">
        <v>1186</v>
      </c>
      <c r="E134" s="164" t="s">
        <v>1115</v>
      </c>
      <c r="F134" s="164" t="s">
        <v>1187</v>
      </c>
      <c r="G134" s="164" t="s">
        <v>1188</v>
      </c>
      <c r="H134" s="80">
        <v>3</v>
      </c>
      <c r="I134" s="164" t="s">
        <v>1189</v>
      </c>
      <c r="J134" s="165">
        <v>43423</v>
      </c>
      <c r="K134" s="165">
        <v>43404</v>
      </c>
      <c r="L134" s="166" t="s">
        <v>308</v>
      </c>
      <c r="M134" s="166" t="s">
        <v>1190</v>
      </c>
      <c r="N134" s="167" t="s">
        <v>675</v>
      </c>
      <c r="O134" s="166">
        <v>9</v>
      </c>
      <c r="P134" s="168" t="s">
        <v>355</v>
      </c>
      <c r="Q134" s="169" t="s">
        <v>683</v>
      </c>
      <c r="R134" s="170" t="s">
        <v>313</v>
      </c>
      <c r="S134" s="170" t="s">
        <v>511</v>
      </c>
      <c r="T134" s="171">
        <v>1</v>
      </c>
      <c r="U134" s="166" t="s">
        <v>315</v>
      </c>
      <c r="V134" s="166" t="s">
        <v>70</v>
      </c>
      <c r="W134" s="166" t="s">
        <v>274</v>
      </c>
      <c r="X134" s="166" t="s">
        <v>153</v>
      </c>
      <c r="Y134" s="166" t="s">
        <v>316</v>
      </c>
      <c r="Z134" s="166">
        <v>26</v>
      </c>
      <c r="AA134" s="166" t="s">
        <v>153</v>
      </c>
      <c r="AB134" s="166" t="s">
        <v>274</v>
      </c>
      <c r="AC134" s="166">
        <v>0</v>
      </c>
      <c r="AD134" s="166">
        <v>7</v>
      </c>
      <c r="AE134" s="198" t="s">
        <v>153</v>
      </c>
    </row>
    <row r="135" spans="1:31" ht="51">
      <c r="A135" s="80">
        <v>134</v>
      </c>
      <c r="B135" s="188" t="s">
        <v>301</v>
      </c>
      <c r="C135" s="81" t="s">
        <v>302</v>
      </c>
      <c r="D135" s="350" t="s">
        <v>1191</v>
      </c>
      <c r="E135" s="164" t="s">
        <v>1115</v>
      </c>
      <c r="F135" s="164" t="s">
        <v>1192</v>
      </c>
      <c r="G135" s="164" t="s">
        <v>1193</v>
      </c>
      <c r="H135" s="80">
        <v>3</v>
      </c>
      <c r="I135" s="164" t="s">
        <v>1194</v>
      </c>
      <c r="J135" s="165">
        <v>43423</v>
      </c>
      <c r="K135" s="165">
        <v>43404</v>
      </c>
      <c r="L135" s="166" t="s">
        <v>308</v>
      </c>
      <c r="M135" s="166" t="s">
        <v>1195</v>
      </c>
      <c r="N135" s="167" t="s">
        <v>675</v>
      </c>
      <c r="O135" s="166">
        <v>9</v>
      </c>
      <c r="P135" s="168" t="s">
        <v>389</v>
      </c>
      <c r="Q135" s="169" t="s">
        <v>683</v>
      </c>
      <c r="R135" s="170" t="s">
        <v>313</v>
      </c>
      <c r="S135" s="170" t="s">
        <v>696</v>
      </c>
      <c r="T135" s="171">
        <v>1</v>
      </c>
      <c r="U135" s="166" t="s">
        <v>315</v>
      </c>
      <c r="V135" s="166" t="s">
        <v>70</v>
      </c>
      <c r="W135" s="166" t="s">
        <v>274</v>
      </c>
      <c r="X135" s="166" t="s">
        <v>153</v>
      </c>
      <c r="Y135" s="166" t="s">
        <v>316</v>
      </c>
      <c r="Z135" s="166">
        <v>9</v>
      </c>
      <c r="AA135" s="166" t="s">
        <v>153</v>
      </c>
      <c r="AB135" s="166" t="s">
        <v>274</v>
      </c>
      <c r="AC135" s="166">
        <v>11</v>
      </c>
      <c r="AD135" s="166" t="s">
        <v>574</v>
      </c>
      <c r="AE135" s="198" t="s">
        <v>153</v>
      </c>
    </row>
    <row r="136" spans="1:31" ht="51">
      <c r="A136" s="80">
        <v>135</v>
      </c>
      <c r="B136" s="188" t="s">
        <v>301</v>
      </c>
      <c r="C136" s="81" t="s">
        <v>302</v>
      </c>
      <c r="D136" s="350" t="s">
        <v>1196</v>
      </c>
      <c r="E136" s="164" t="s">
        <v>1115</v>
      </c>
      <c r="F136" s="164" t="s">
        <v>1197</v>
      </c>
      <c r="G136" s="164" t="s">
        <v>1198</v>
      </c>
      <c r="H136" s="80">
        <v>3</v>
      </c>
      <c r="I136" s="164" t="s">
        <v>1199</v>
      </c>
      <c r="J136" s="165">
        <v>43423</v>
      </c>
      <c r="K136" s="165">
        <v>43404</v>
      </c>
      <c r="L136" s="166" t="s">
        <v>308</v>
      </c>
      <c r="M136" s="166" t="s">
        <v>1200</v>
      </c>
      <c r="N136" s="167" t="s">
        <v>675</v>
      </c>
      <c r="O136" s="166">
        <v>9</v>
      </c>
      <c r="P136" s="168" t="s">
        <v>311</v>
      </c>
      <c r="Q136" s="169" t="s">
        <v>683</v>
      </c>
      <c r="R136" s="170" t="s">
        <v>313</v>
      </c>
      <c r="S136" s="170" t="s">
        <v>314</v>
      </c>
      <c r="T136" s="171">
        <v>1</v>
      </c>
      <c r="U136" s="166" t="s">
        <v>315</v>
      </c>
      <c r="V136" s="166" t="s">
        <v>70</v>
      </c>
      <c r="W136" s="166" t="s">
        <v>274</v>
      </c>
      <c r="X136" s="166" t="s">
        <v>153</v>
      </c>
      <c r="Y136" s="166" t="s">
        <v>316</v>
      </c>
      <c r="Z136" s="166">
        <v>18</v>
      </c>
      <c r="AA136" s="166" t="s">
        <v>153</v>
      </c>
      <c r="AB136" s="166" t="s">
        <v>274</v>
      </c>
      <c r="AC136" s="166">
        <v>18</v>
      </c>
      <c r="AD136" s="166" t="s">
        <v>1201</v>
      </c>
      <c r="AE136" s="198" t="s">
        <v>153</v>
      </c>
    </row>
    <row r="137" spans="1:31" ht="51">
      <c r="A137" s="80">
        <v>136</v>
      </c>
      <c r="B137" s="188" t="s">
        <v>301</v>
      </c>
      <c r="C137" s="81" t="s">
        <v>302</v>
      </c>
      <c r="D137" s="350" t="s">
        <v>1202</v>
      </c>
      <c r="E137" s="164" t="s">
        <v>1115</v>
      </c>
      <c r="F137" s="164" t="s">
        <v>1203</v>
      </c>
      <c r="G137" s="164" t="s">
        <v>1204</v>
      </c>
      <c r="H137" s="80">
        <v>3</v>
      </c>
      <c r="I137" s="164" t="s">
        <v>1205</v>
      </c>
      <c r="J137" s="165">
        <v>43423</v>
      </c>
      <c r="K137" s="165">
        <v>43404</v>
      </c>
      <c r="L137" s="166" t="s">
        <v>308</v>
      </c>
      <c r="M137" s="166" t="s">
        <v>1206</v>
      </c>
      <c r="N137" s="167" t="s">
        <v>675</v>
      </c>
      <c r="O137" s="166">
        <v>9</v>
      </c>
      <c r="P137" s="168" t="s">
        <v>311</v>
      </c>
      <c r="Q137" s="169" t="s">
        <v>676</v>
      </c>
      <c r="R137" s="170" t="s">
        <v>345</v>
      </c>
      <c r="S137" s="170" t="s">
        <v>1207</v>
      </c>
      <c r="T137" s="171">
        <v>1</v>
      </c>
      <c r="U137" s="166" t="s">
        <v>347</v>
      </c>
      <c r="V137" s="166" t="s">
        <v>70</v>
      </c>
      <c r="W137" s="166" t="s">
        <v>274</v>
      </c>
      <c r="X137" s="166" t="s">
        <v>153</v>
      </c>
      <c r="Y137" s="166" t="s">
        <v>316</v>
      </c>
      <c r="Z137" s="166">
        <v>9</v>
      </c>
      <c r="AA137" s="166" t="s">
        <v>153</v>
      </c>
      <c r="AB137" s="166" t="s">
        <v>274</v>
      </c>
      <c r="AC137" s="166">
        <v>11</v>
      </c>
      <c r="AD137" s="166">
        <v>21</v>
      </c>
      <c r="AE137" s="198" t="s">
        <v>153</v>
      </c>
    </row>
    <row r="138" spans="1:31" ht="51">
      <c r="A138" s="80">
        <v>137</v>
      </c>
      <c r="B138" s="188" t="s">
        <v>301</v>
      </c>
      <c r="C138" s="81" t="s">
        <v>302</v>
      </c>
      <c r="D138" s="350" t="s">
        <v>1208</v>
      </c>
      <c r="E138" s="164" t="s">
        <v>1115</v>
      </c>
      <c r="F138" s="164" t="s">
        <v>1209</v>
      </c>
      <c r="G138" s="164" t="s">
        <v>1210</v>
      </c>
      <c r="H138" s="80">
        <v>3</v>
      </c>
      <c r="I138" s="164" t="s">
        <v>1211</v>
      </c>
      <c r="J138" s="165">
        <v>43423</v>
      </c>
      <c r="K138" s="165">
        <v>43404</v>
      </c>
      <c r="L138" s="166" t="s">
        <v>308</v>
      </c>
      <c r="M138" s="166" t="s">
        <v>1212</v>
      </c>
      <c r="N138" s="167" t="s">
        <v>675</v>
      </c>
      <c r="O138" s="166">
        <v>9</v>
      </c>
      <c r="P138" s="168" t="s">
        <v>311</v>
      </c>
      <c r="Q138" s="169" t="s">
        <v>676</v>
      </c>
      <c r="R138" s="170" t="s">
        <v>345</v>
      </c>
      <c r="S138" s="170" t="s">
        <v>1213</v>
      </c>
      <c r="T138" s="171">
        <v>1</v>
      </c>
      <c r="U138" s="166" t="s">
        <v>347</v>
      </c>
      <c r="V138" s="166" t="s">
        <v>70</v>
      </c>
      <c r="W138" s="166" t="s">
        <v>274</v>
      </c>
      <c r="X138" s="166" t="s">
        <v>153</v>
      </c>
      <c r="Y138" s="166" t="s">
        <v>316</v>
      </c>
      <c r="Z138" s="166">
        <v>16</v>
      </c>
      <c r="AA138" s="166" t="s">
        <v>153</v>
      </c>
      <c r="AB138" s="166" t="s">
        <v>274</v>
      </c>
      <c r="AC138" s="166">
        <v>18</v>
      </c>
      <c r="AD138" s="166" t="s">
        <v>1201</v>
      </c>
      <c r="AE138" s="198" t="s">
        <v>153</v>
      </c>
    </row>
    <row r="139" spans="1:31" ht="51">
      <c r="A139" s="80">
        <v>138</v>
      </c>
      <c r="B139" s="188" t="s">
        <v>301</v>
      </c>
      <c r="C139" s="81" t="s">
        <v>302</v>
      </c>
      <c r="D139" s="350" t="s">
        <v>1214</v>
      </c>
      <c r="E139" s="164" t="s">
        <v>1115</v>
      </c>
      <c r="F139" s="164" t="s">
        <v>1215</v>
      </c>
      <c r="G139" s="164" t="s">
        <v>1216</v>
      </c>
      <c r="H139" s="80">
        <v>4</v>
      </c>
      <c r="I139" s="164" t="s">
        <v>1217</v>
      </c>
      <c r="J139" s="165">
        <v>43423</v>
      </c>
      <c r="K139" s="165">
        <v>43403</v>
      </c>
      <c r="L139" s="166" t="s">
        <v>322</v>
      </c>
      <c r="M139" s="166" t="s">
        <v>1218</v>
      </c>
      <c r="N139" s="167" t="s">
        <v>666</v>
      </c>
      <c r="O139" s="166">
        <v>10</v>
      </c>
      <c r="P139" s="168" t="s">
        <v>1219</v>
      </c>
      <c r="Q139" s="169" t="s">
        <v>1220</v>
      </c>
      <c r="R139" s="170" t="s">
        <v>327</v>
      </c>
      <c r="S139" s="170" t="s">
        <v>1221</v>
      </c>
      <c r="T139" s="171">
        <v>1</v>
      </c>
      <c r="U139" s="166" t="s">
        <v>329</v>
      </c>
      <c r="V139" s="166" t="s">
        <v>70</v>
      </c>
      <c r="W139" s="166" t="s">
        <v>274</v>
      </c>
      <c r="X139" s="166" t="s">
        <v>153</v>
      </c>
      <c r="Y139" s="166" t="s">
        <v>316</v>
      </c>
      <c r="Z139" s="166">
        <v>9</v>
      </c>
      <c r="AA139" s="166" t="s">
        <v>153</v>
      </c>
      <c r="AB139" s="166" t="s">
        <v>274</v>
      </c>
      <c r="AC139" s="166">
        <v>7</v>
      </c>
      <c r="AD139" s="166">
        <v>11</v>
      </c>
      <c r="AE139" s="198" t="s">
        <v>153</v>
      </c>
    </row>
    <row r="140" spans="1:31" ht="51">
      <c r="A140" s="80">
        <v>139</v>
      </c>
      <c r="B140" s="188" t="s">
        <v>301</v>
      </c>
      <c r="C140" s="81" t="s">
        <v>302</v>
      </c>
      <c r="D140" s="350" t="s">
        <v>1222</v>
      </c>
      <c r="E140" s="164" t="s">
        <v>1115</v>
      </c>
      <c r="F140" s="164" t="s">
        <v>1223</v>
      </c>
      <c r="G140" s="164" t="s">
        <v>1224</v>
      </c>
      <c r="H140" s="80">
        <v>3</v>
      </c>
      <c r="I140" s="164" t="s">
        <v>1225</v>
      </c>
      <c r="J140" s="165">
        <v>43423</v>
      </c>
      <c r="K140" s="165">
        <v>43403</v>
      </c>
      <c r="L140" s="166" t="s">
        <v>308</v>
      </c>
      <c r="M140" s="166" t="s">
        <v>1226</v>
      </c>
      <c r="N140" s="167" t="s">
        <v>675</v>
      </c>
      <c r="O140" s="166">
        <v>9</v>
      </c>
      <c r="P140" s="168" t="s">
        <v>311</v>
      </c>
      <c r="Q140" s="169" t="s">
        <v>683</v>
      </c>
      <c r="R140" s="170" t="s">
        <v>313</v>
      </c>
      <c r="S140" s="170" t="s">
        <v>314</v>
      </c>
      <c r="T140" s="171">
        <v>1</v>
      </c>
      <c r="U140" s="166" t="s">
        <v>315</v>
      </c>
      <c r="V140" s="166" t="s">
        <v>70</v>
      </c>
      <c r="W140" s="166" t="s">
        <v>274</v>
      </c>
      <c r="X140" s="166" t="s">
        <v>153</v>
      </c>
      <c r="Y140" s="166" t="s">
        <v>316</v>
      </c>
      <c r="Z140" s="166">
        <v>22</v>
      </c>
      <c r="AA140" s="166" t="s">
        <v>153</v>
      </c>
      <c r="AB140" s="166" t="s">
        <v>274</v>
      </c>
      <c r="AC140" s="166">
        <v>0</v>
      </c>
      <c r="AD140" s="166">
        <v>14</v>
      </c>
      <c r="AE140" s="198" t="s">
        <v>153</v>
      </c>
    </row>
    <row r="141" spans="1:31" ht="51">
      <c r="A141" s="80">
        <v>140</v>
      </c>
      <c r="B141" s="188" t="s">
        <v>301</v>
      </c>
      <c r="C141" s="81" t="s">
        <v>302</v>
      </c>
      <c r="D141" s="350" t="s">
        <v>1227</v>
      </c>
      <c r="E141" s="164" t="s">
        <v>1115</v>
      </c>
      <c r="F141" s="164" t="s">
        <v>1228</v>
      </c>
      <c r="G141" s="164" t="s">
        <v>1229</v>
      </c>
      <c r="H141" s="80">
        <v>3</v>
      </c>
      <c r="I141" s="164" t="s">
        <v>1230</v>
      </c>
      <c r="J141" s="165">
        <v>43423</v>
      </c>
      <c r="K141" s="165">
        <v>43403</v>
      </c>
      <c r="L141" s="166" t="s">
        <v>308</v>
      </c>
      <c r="M141" s="166" t="s">
        <v>1231</v>
      </c>
      <c r="N141" s="167" t="s">
        <v>675</v>
      </c>
      <c r="O141" s="166">
        <v>9</v>
      </c>
      <c r="P141" s="168" t="s">
        <v>311</v>
      </c>
      <c r="Q141" s="169" t="s">
        <v>676</v>
      </c>
      <c r="R141" s="170" t="s">
        <v>345</v>
      </c>
      <c r="S141" s="170" t="s">
        <v>737</v>
      </c>
      <c r="T141" s="171">
        <v>1</v>
      </c>
      <c r="U141" s="166" t="s">
        <v>347</v>
      </c>
      <c r="V141" s="166" t="s">
        <v>70</v>
      </c>
      <c r="W141" s="166" t="s">
        <v>274</v>
      </c>
      <c r="X141" s="166" t="s">
        <v>153</v>
      </c>
      <c r="Y141" s="166" t="s">
        <v>316</v>
      </c>
      <c r="Z141" s="166">
        <v>16</v>
      </c>
      <c r="AA141" s="166" t="s">
        <v>153</v>
      </c>
      <c r="AB141" s="166" t="s">
        <v>274</v>
      </c>
      <c r="AC141" s="166">
        <v>14</v>
      </c>
      <c r="AD141" s="166">
        <v>14</v>
      </c>
      <c r="AE141" s="198" t="s">
        <v>153</v>
      </c>
    </row>
    <row r="142" spans="1:31" ht="51">
      <c r="A142" s="80">
        <v>141</v>
      </c>
      <c r="B142" s="188" t="s">
        <v>301</v>
      </c>
      <c r="C142" s="81" t="s">
        <v>302</v>
      </c>
      <c r="D142" s="350" t="s">
        <v>1232</v>
      </c>
      <c r="E142" s="164" t="s">
        <v>1233</v>
      </c>
      <c r="F142" s="164" t="s">
        <v>1234</v>
      </c>
      <c r="G142" s="164" t="s">
        <v>1235</v>
      </c>
      <c r="H142" s="80">
        <v>4</v>
      </c>
      <c r="I142" s="164" t="s">
        <v>1236</v>
      </c>
      <c r="J142" s="165">
        <v>43423</v>
      </c>
      <c r="K142" s="165">
        <v>43421</v>
      </c>
      <c r="L142" s="166" t="s">
        <v>322</v>
      </c>
      <c r="M142" s="166" t="s">
        <v>1237</v>
      </c>
      <c r="N142" s="167" t="s">
        <v>1084</v>
      </c>
      <c r="O142" s="166">
        <v>10</v>
      </c>
      <c r="P142" s="168" t="s">
        <v>1106</v>
      </c>
      <c r="Q142" s="169" t="s">
        <v>1238</v>
      </c>
      <c r="R142" s="170" t="s">
        <v>327</v>
      </c>
      <c r="S142" s="170" t="s">
        <v>505</v>
      </c>
      <c r="T142" s="171">
        <v>1</v>
      </c>
      <c r="U142" s="166" t="s">
        <v>1239</v>
      </c>
      <c r="V142" s="166" t="s">
        <v>70</v>
      </c>
      <c r="W142" s="166" t="s">
        <v>316</v>
      </c>
      <c r="X142" s="166">
        <v>36</v>
      </c>
      <c r="Y142" s="166" t="s">
        <v>316</v>
      </c>
      <c r="Z142" s="166">
        <v>25</v>
      </c>
      <c r="AA142" s="166" t="s">
        <v>153</v>
      </c>
      <c r="AB142" s="166" t="s">
        <v>274</v>
      </c>
      <c r="AC142" s="166">
        <v>36</v>
      </c>
      <c r="AD142" s="166">
        <v>11</v>
      </c>
      <c r="AE142" s="198" t="s">
        <v>1240</v>
      </c>
    </row>
    <row r="143" spans="1:31" ht="51">
      <c r="A143" s="80">
        <v>142</v>
      </c>
      <c r="B143" s="188" t="s">
        <v>301</v>
      </c>
      <c r="C143" s="81" t="s">
        <v>302</v>
      </c>
      <c r="D143" s="350" t="s">
        <v>1241</v>
      </c>
      <c r="E143" s="164" t="s">
        <v>1233</v>
      </c>
      <c r="F143" s="164" t="s">
        <v>1242</v>
      </c>
      <c r="G143" s="164" t="s">
        <v>1243</v>
      </c>
      <c r="H143" s="80">
        <v>3</v>
      </c>
      <c r="I143" s="164" t="s">
        <v>1244</v>
      </c>
      <c r="J143" s="165">
        <v>43423</v>
      </c>
      <c r="K143" s="165">
        <v>43421</v>
      </c>
      <c r="L143" s="166" t="s">
        <v>308</v>
      </c>
      <c r="M143" s="166" t="s">
        <v>1245</v>
      </c>
      <c r="N143" s="167" t="s">
        <v>462</v>
      </c>
      <c r="O143" s="166">
        <v>10</v>
      </c>
      <c r="P143" s="168" t="s">
        <v>1246</v>
      </c>
      <c r="Q143" s="169" t="s">
        <v>1247</v>
      </c>
      <c r="R143" s="170" t="s">
        <v>313</v>
      </c>
      <c r="S143" s="170" t="s">
        <v>1248</v>
      </c>
      <c r="T143" s="171">
        <v>1</v>
      </c>
      <c r="U143" s="166" t="s">
        <v>1249</v>
      </c>
      <c r="V143" s="166" t="s">
        <v>70</v>
      </c>
      <c r="W143" s="166" t="s">
        <v>316</v>
      </c>
      <c r="X143" s="166">
        <v>35</v>
      </c>
      <c r="Y143" s="166" t="s">
        <v>316</v>
      </c>
      <c r="Z143" s="166">
        <v>24</v>
      </c>
      <c r="AA143" s="166" t="s">
        <v>153</v>
      </c>
      <c r="AB143" s="166" t="s">
        <v>274</v>
      </c>
      <c r="AC143" s="166">
        <v>35</v>
      </c>
      <c r="AD143" s="166">
        <v>11</v>
      </c>
      <c r="AE143" s="198" t="s">
        <v>153</v>
      </c>
    </row>
    <row r="144" spans="1:31" ht="63.75">
      <c r="A144" s="80">
        <v>143</v>
      </c>
      <c r="B144" s="188" t="s">
        <v>301</v>
      </c>
      <c r="C144" s="81" t="s">
        <v>302</v>
      </c>
      <c r="D144" s="350" t="s">
        <v>1250</v>
      </c>
      <c r="E144" s="164" t="s">
        <v>1233</v>
      </c>
      <c r="F144" s="164" t="s">
        <v>1251</v>
      </c>
      <c r="G144" s="164" t="s">
        <v>1252</v>
      </c>
      <c r="H144" s="80">
        <v>4</v>
      </c>
      <c r="I144" s="164" t="s">
        <v>1253</v>
      </c>
      <c r="J144" s="165">
        <v>43423</v>
      </c>
      <c r="K144" s="165">
        <v>43421</v>
      </c>
      <c r="L144" s="166" t="s">
        <v>322</v>
      </c>
      <c r="M144" s="166" t="s">
        <v>1254</v>
      </c>
      <c r="N144" s="167" t="s">
        <v>472</v>
      </c>
      <c r="O144" s="166">
        <v>12</v>
      </c>
      <c r="P144" s="168" t="s">
        <v>434</v>
      </c>
      <c r="Q144" s="169" t="s">
        <v>474</v>
      </c>
      <c r="R144" s="170" t="s">
        <v>327</v>
      </c>
      <c r="S144" s="170" t="s">
        <v>1255</v>
      </c>
      <c r="T144" s="171">
        <v>1</v>
      </c>
      <c r="U144" s="166" t="s">
        <v>476</v>
      </c>
      <c r="V144" s="166" t="s">
        <v>70</v>
      </c>
      <c r="W144" s="166" t="s">
        <v>274</v>
      </c>
      <c r="X144" s="166" t="s">
        <v>153</v>
      </c>
      <c r="Y144" s="166" t="s">
        <v>316</v>
      </c>
      <c r="Z144" s="166">
        <v>25</v>
      </c>
      <c r="AA144" s="166" t="s">
        <v>153</v>
      </c>
      <c r="AB144" s="166" t="s">
        <v>274</v>
      </c>
      <c r="AC144" s="166">
        <v>36</v>
      </c>
      <c r="AD144" s="166" t="s">
        <v>1256</v>
      </c>
      <c r="AE144" s="198" t="s">
        <v>153</v>
      </c>
    </row>
    <row r="145" spans="1:31" ht="51">
      <c r="A145" s="80">
        <v>144</v>
      </c>
      <c r="B145" s="188" t="s">
        <v>301</v>
      </c>
      <c r="C145" s="81" t="s">
        <v>302</v>
      </c>
      <c r="D145" s="350" t="s">
        <v>1257</v>
      </c>
      <c r="E145" s="164" t="s">
        <v>1233</v>
      </c>
      <c r="F145" s="164" t="s">
        <v>1258</v>
      </c>
      <c r="G145" s="164" t="s">
        <v>1259</v>
      </c>
      <c r="H145" s="80">
        <v>3</v>
      </c>
      <c r="I145" s="164" t="s">
        <v>1260</v>
      </c>
      <c r="J145" s="165">
        <v>43423</v>
      </c>
      <c r="K145" s="165">
        <v>43421</v>
      </c>
      <c r="L145" s="166" t="s">
        <v>308</v>
      </c>
      <c r="M145" s="166" t="s">
        <v>1261</v>
      </c>
      <c r="N145" s="167" t="s">
        <v>462</v>
      </c>
      <c r="O145" s="166">
        <v>10</v>
      </c>
      <c r="P145" s="168" t="s">
        <v>1246</v>
      </c>
      <c r="Q145" s="169" t="s">
        <v>1247</v>
      </c>
      <c r="R145" s="170" t="s">
        <v>313</v>
      </c>
      <c r="S145" s="170" t="s">
        <v>1262</v>
      </c>
      <c r="T145" s="171">
        <v>1</v>
      </c>
      <c r="U145" s="166" t="s">
        <v>1249</v>
      </c>
      <c r="V145" s="166" t="s">
        <v>70</v>
      </c>
      <c r="W145" s="166" t="s">
        <v>274</v>
      </c>
      <c r="X145" s="166" t="s">
        <v>153</v>
      </c>
      <c r="Y145" s="166" t="s">
        <v>316</v>
      </c>
      <c r="Z145" s="166">
        <v>21</v>
      </c>
      <c r="AA145" s="166" t="s">
        <v>153</v>
      </c>
      <c r="AB145" s="166" t="s">
        <v>274</v>
      </c>
      <c r="AC145" s="166">
        <v>32</v>
      </c>
      <c r="AD145" s="166">
        <v>11</v>
      </c>
      <c r="AE145" s="198" t="s">
        <v>153</v>
      </c>
    </row>
    <row r="146" spans="1:31" ht="51">
      <c r="A146" s="80">
        <v>145</v>
      </c>
      <c r="B146" s="188" t="s">
        <v>301</v>
      </c>
      <c r="C146" s="81" t="s">
        <v>302</v>
      </c>
      <c r="D146" s="350" t="s">
        <v>1263</v>
      </c>
      <c r="E146" s="164" t="s">
        <v>1264</v>
      </c>
      <c r="F146" s="164" t="s">
        <v>1265</v>
      </c>
      <c r="G146" s="164" t="s">
        <v>1266</v>
      </c>
      <c r="H146" s="80">
        <v>3</v>
      </c>
      <c r="I146" s="164" t="s">
        <v>1267</v>
      </c>
      <c r="J146" s="165">
        <v>43423</v>
      </c>
      <c r="K146" s="165">
        <v>43405</v>
      </c>
      <c r="L146" s="166" t="s">
        <v>308</v>
      </c>
      <c r="M146" s="166" t="s">
        <v>1268</v>
      </c>
      <c r="N146" s="167" t="s">
        <v>675</v>
      </c>
      <c r="O146" s="166">
        <v>9</v>
      </c>
      <c r="P146" s="168" t="s">
        <v>311</v>
      </c>
      <c r="Q146" s="169" t="s">
        <v>676</v>
      </c>
      <c r="R146" s="170" t="s">
        <v>345</v>
      </c>
      <c r="S146" s="170" t="s">
        <v>1269</v>
      </c>
      <c r="T146" s="171">
        <v>1</v>
      </c>
      <c r="U146" s="166" t="s">
        <v>347</v>
      </c>
      <c r="V146" s="166" t="s">
        <v>70</v>
      </c>
      <c r="W146" s="166" t="s">
        <v>274</v>
      </c>
      <c r="X146" s="166" t="s">
        <v>153</v>
      </c>
      <c r="Y146" s="166" t="s">
        <v>316</v>
      </c>
      <c r="Z146" s="166">
        <v>20</v>
      </c>
      <c r="AA146" s="166" t="s">
        <v>153</v>
      </c>
      <c r="AB146" s="166" t="s">
        <v>274</v>
      </c>
      <c r="AC146" s="166">
        <v>0</v>
      </c>
      <c r="AD146" s="166">
        <v>11</v>
      </c>
      <c r="AE146" s="198" t="s">
        <v>153</v>
      </c>
    </row>
    <row r="147" spans="1:31" ht="51">
      <c r="A147" s="80">
        <v>146</v>
      </c>
      <c r="B147" s="188" t="s">
        <v>301</v>
      </c>
      <c r="C147" s="81" t="s">
        <v>302</v>
      </c>
      <c r="D147" s="350" t="s">
        <v>1270</v>
      </c>
      <c r="E147" s="164" t="s">
        <v>1264</v>
      </c>
      <c r="F147" s="164" t="s">
        <v>1271</v>
      </c>
      <c r="G147" s="164" t="s">
        <v>1272</v>
      </c>
      <c r="H147" s="80">
        <v>3</v>
      </c>
      <c r="I147" s="164" t="s">
        <v>1273</v>
      </c>
      <c r="J147" s="165">
        <v>43423</v>
      </c>
      <c r="K147" s="165">
        <v>43405</v>
      </c>
      <c r="L147" s="166" t="s">
        <v>308</v>
      </c>
      <c r="M147" s="166" t="s">
        <v>1274</v>
      </c>
      <c r="N147" s="167" t="s">
        <v>675</v>
      </c>
      <c r="O147" s="166">
        <v>9</v>
      </c>
      <c r="P147" s="168" t="s">
        <v>1275</v>
      </c>
      <c r="Q147" s="169" t="s">
        <v>683</v>
      </c>
      <c r="R147" s="170" t="s">
        <v>313</v>
      </c>
      <c r="S147" s="170" t="s">
        <v>1276</v>
      </c>
      <c r="T147" s="171">
        <v>1</v>
      </c>
      <c r="U147" s="166" t="s">
        <v>315</v>
      </c>
      <c r="V147" s="166" t="s">
        <v>70</v>
      </c>
      <c r="W147" s="166" t="s">
        <v>316</v>
      </c>
      <c r="X147" s="166">
        <v>35</v>
      </c>
      <c r="Y147" s="166" t="s">
        <v>316</v>
      </c>
      <c r="Z147" s="166">
        <v>28</v>
      </c>
      <c r="AA147" s="166" t="s">
        <v>153</v>
      </c>
      <c r="AB147" s="166" t="s">
        <v>274</v>
      </c>
      <c r="AC147" s="166">
        <v>0</v>
      </c>
      <c r="AD147" s="166">
        <v>7</v>
      </c>
      <c r="AE147" s="198" t="s">
        <v>153</v>
      </c>
    </row>
    <row r="148" spans="1:31" ht="51">
      <c r="A148" s="80">
        <v>147</v>
      </c>
      <c r="B148" s="188" t="s">
        <v>301</v>
      </c>
      <c r="C148" s="81" t="s">
        <v>302</v>
      </c>
      <c r="D148" s="350" t="s">
        <v>1277</v>
      </c>
      <c r="E148" s="164" t="s">
        <v>1264</v>
      </c>
      <c r="F148" s="164" t="s">
        <v>1278</v>
      </c>
      <c r="G148" s="164" t="s">
        <v>1279</v>
      </c>
      <c r="H148" s="80">
        <v>3</v>
      </c>
      <c r="I148" s="164" t="s">
        <v>1280</v>
      </c>
      <c r="J148" s="165">
        <v>43423</v>
      </c>
      <c r="K148" s="165">
        <v>43405</v>
      </c>
      <c r="L148" s="166" t="s">
        <v>308</v>
      </c>
      <c r="M148" s="166" t="s">
        <v>1281</v>
      </c>
      <c r="N148" s="167" t="s">
        <v>675</v>
      </c>
      <c r="O148" s="166">
        <v>9</v>
      </c>
      <c r="P148" s="168" t="s">
        <v>311</v>
      </c>
      <c r="Q148" s="169" t="s">
        <v>676</v>
      </c>
      <c r="R148" s="170" t="s">
        <v>345</v>
      </c>
      <c r="S148" s="170" t="s">
        <v>1276</v>
      </c>
      <c r="T148" s="171">
        <v>1</v>
      </c>
      <c r="U148" s="166" t="s">
        <v>347</v>
      </c>
      <c r="V148" s="166" t="s">
        <v>70</v>
      </c>
      <c r="W148" s="166" t="s">
        <v>316</v>
      </c>
      <c r="X148" s="166">
        <v>35</v>
      </c>
      <c r="Y148" s="166" t="s">
        <v>316</v>
      </c>
      <c r="Z148" s="166">
        <v>28</v>
      </c>
      <c r="AA148" s="166" t="s">
        <v>153</v>
      </c>
      <c r="AB148" s="166" t="s">
        <v>274</v>
      </c>
      <c r="AC148" s="166">
        <v>0</v>
      </c>
      <c r="AD148" s="166">
        <v>7</v>
      </c>
      <c r="AE148" s="198" t="s">
        <v>153</v>
      </c>
    </row>
    <row r="149" spans="1:31" ht="51">
      <c r="A149" s="80">
        <v>148</v>
      </c>
      <c r="B149" s="188" t="s">
        <v>301</v>
      </c>
      <c r="C149" s="81" t="s">
        <v>302</v>
      </c>
      <c r="D149" s="350" t="s">
        <v>1282</v>
      </c>
      <c r="E149" s="164" t="s">
        <v>1264</v>
      </c>
      <c r="F149" s="164" t="s">
        <v>1283</v>
      </c>
      <c r="G149" s="164" t="s">
        <v>1284</v>
      </c>
      <c r="H149" s="80">
        <v>3</v>
      </c>
      <c r="I149" s="164" t="s">
        <v>1285</v>
      </c>
      <c r="J149" s="165">
        <v>43423</v>
      </c>
      <c r="K149" s="165">
        <v>43405</v>
      </c>
      <c r="L149" s="166" t="s">
        <v>308</v>
      </c>
      <c r="M149" s="166" t="s">
        <v>1286</v>
      </c>
      <c r="N149" s="167" t="s">
        <v>675</v>
      </c>
      <c r="O149" s="166">
        <v>9</v>
      </c>
      <c r="P149" s="168" t="s">
        <v>311</v>
      </c>
      <c r="Q149" s="169" t="s">
        <v>683</v>
      </c>
      <c r="R149" s="170" t="s">
        <v>313</v>
      </c>
      <c r="S149" s="170" t="s">
        <v>465</v>
      </c>
      <c r="T149" s="171">
        <v>1</v>
      </c>
      <c r="U149" s="166" t="s">
        <v>315</v>
      </c>
      <c r="V149" s="166" t="s">
        <v>70</v>
      </c>
      <c r="W149" s="166" t="s">
        <v>274</v>
      </c>
      <c r="X149" s="166" t="s">
        <v>153</v>
      </c>
      <c r="Y149" s="166" t="s">
        <v>316</v>
      </c>
      <c r="Z149" s="166">
        <v>25</v>
      </c>
      <c r="AA149" s="166" t="s">
        <v>153</v>
      </c>
      <c r="AB149" s="166" t="s">
        <v>274</v>
      </c>
      <c r="AC149" s="166">
        <v>0</v>
      </c>
      <c r="AD149" s="166">
        <v>11</v>
      </c>
      <c r="AE149" s="198" t="s">
        <v>153</v>
      </c>
    </row>
    <row r="150" spans="1:31" ht="51">
      <c r="A150" s="80">
        <v>149</v>
      </c>
      <c r="B150" s="188" t="s">
        <v>301</v>
      </c>
      <c r="C150" s="81" t="s">
        <v>302</v>
      </c>
      <c r="D150" s="350" t="s">
        <v>1287</v>
      </c>
      <c r="E150" s="164" t="s">
        <v>1264</v>
      </c>
      <c r="F150" s="164" t="s">
        <v>1288</v>
      </c>
      <c r="G150" s="164" t="s">
        <v>1289</v>
      </c>
      <c r="H150" s="80">
        <v>3</v>
      </c>
      <c r="I150" s="164" t="s">
        <v>1290</v>
      </c>
      <c r="J150" s="165">
        <v>43423</v>
      </c>
      <c r="K150" s="165">
        <v>43405</v>
      </c>
      <c r="L150" s="166" t="s">
        <v>308</v>
      </c>
      <c r="M150" s="166" t="s">
        <v>1291</v>
      </c>
      <c r="N150" s="167" t="s">
        <v>675</v>
      </c>
      <c r="O150" s="166">
        <v>9</v>
      </c>
      <c r="P150" s="168" t="s">
        <v>311</v>
      </c>
      <c r="Q150" s="169" t="s">
        <v>676</v>
      </c>
      <c r="R150" s="170" t="s">
        <v>345</v>
      </c>
      <c r="S150" s="170" t="s">
        <v>1292</v>
      </c>
      <c r="T150" s="171">
        <v>1</v>
      </c>
      <c r="U150" s="166" t="s">
        <v>347</v>
      </c>
      <c r="V150" s="166" t="s">
        <v>70</v>
      </c>
      <c r="W150" s="166" t="s">
        <v>274</v>
      </c>
      <c r="X150" s="166" t="s">
        <v>153</v>
      </c>
      <c r="Y150" s="166" t="s">
        <v>316</v>
      </c>
      <c r="Z150" s="166">
        <v>31</v>
      </c>
      <c r="AA150" s="166" t="s">
        <v>153</v>
      </c>
      <c r="AB150" s="166" t="s">
        <v>274</v>
      </c>
      <c r="AC150" s="166">
        <v>4</v>
      </c>
      <c r="AD150" s="166">
        <v>7</v>
      </c>
      <c r="AE150" s="198" t="s">
        <v>153</v>
      </c>
    </row>
    <row r="151" spans="1:31" ht="38.25">
      <c r="A151" s="80">
        <v>150</v>
      </c>
      <c r="B151" s="188" t="s">
        <v>301</v>
      </c>
      <c r="C151" s="81" t="s">
        <v>302</v>
      </c>
      <c r="D151" s="350" t="s">
        <v>1293</v>
      </c>
      <c r="E151" s="164" t="s">
        <v>1294</v>
      </c>
      <c r="F151" s="164" t="s">
        <v>1295</v>
      </c>
      <c r="G151" s="164" t="s">
        <v>1296</v>
      </c>
      <c r="H151" s="80">
        <v>2</v>
      </c>
      <c r="I151" s="164" t="s">
        <v>1297</v>
      </c>
      <c r="J151" s="165">
        <v>43423</v>
      </c>
      <c r="K151" s="165">
        <v>43395</v>
      </c>
      <c r="L151" s="166" t="s">
        <v>777</v>
      </c>
      <c r="M151" s="166" t="s">
        <v>1298</v>
      </c>
      <c r="N151" s="167" t="s">
        <v>1299</v>
      </c>
      <c r="O151" s="166">
        <v>6</v>
      </c>
      <c r="P151" s="168" t="s">
        <v>780</v>
      </c>
      <c r="Q151" s="169" t="s">
        <v>1300</v>
      </c>
      <c r="R151" s="170" t="s">
        <v>782</v>
      </c>
      <c r="S151" s="170" t="s">
        <v>1301</v>
      </c>
      <c r="T151" s="171">
        <v>1</v>
      </c>
      <c r="U151" s="166" t="s">
        <v>1302</v>
      </c>
      <c r="V151" s="166" t="s">
        <v>70</v>
      </c>
      <c r="W151" s="166" t="s">
        <v>274</v>
      </c>
      <c r="X151" s="166" t="s">
        <v>153</v>
      </c>
      <c r="Y151" s="166" t="s">
        <v>316</v>
      </c>
      <c r="Z151" s="166">
        <v>10</v>
      </c>
      <c r="AA151" s="166" t="s">
        <v>153</v>
      </c>
      <c r="AB151" s="166" t="s">
        <v>274</v>
      </c>
      <c r="AC151" s="166">
        <v>15</v>
      </c>
      <c r="AD151" s="166">
        <v>15</v>
      </c>
      <c r="AE151" s="198" t="s">
        <v>153</v>
      </c>
    </row>
    <row r="152" spans="1:31" ht="51">
      <c r="A152" s="80">
        <v>151</v>
      </c>
      <c r="B152" s="188" t="s">
        <v>301</v>
      </c>
      <c r="C152" s="81" t="s">
        <v>302</v>
      </c>
      <c r="D152" s="350" t="s">
        <v>1303</v>
      </c>
      <c r="E152" s="164" t="s">
        <v>1294</v>
      </c>
      <c r="F152" s="164" t="s">
        <v>1304</v>
      </c>
      <c r="G152" s="164" t="s">
        <v>1305</v>
      </c>
      <c r="H152" s="80">
        <v>3</v>
      </c>
      <c r="I152" s="164" t="s">
        <v>1306</v>
      </c>
      <c r="J152" s="165">
        <v>43423</v>
      </c>
      <c r="K152" s="165">
        <v>43395</v>
      </c>
      <c r="L152" s="166" t="s">
        <v>308</v>
      </c>
      <c r="M152" s="166" t="s">
        <v>1307</v>
      </c>
      <c r="N152" s="167" t="s">
        <v>1308</v>
      </c>
      <c r="O152" s="166">
        <v>9</v>
      </c>
      <c r="P152" s="168" t="s">
        <v>355</v>
      </c>
      <c r="Q152" s="169" t="s">
        <v>1309</v>
      </c>
      <c r="R152" s="170" t="s">
        <v>313</v>
      </c>
      <c r="S152" s="170" t="s">
        <v>1310</v>
      </c>
      <c r="T152" s="171">
        <v>1</v>
      </c>
      <c r="U152" s="166" t="s">
        <v>315</v>
      </c>
      <c r="V152" s="166" t="s">
        <v>70</v>
      </c>
      <c r="W152" s="166" t="s">
        <v>316</v>
      </c>
      <c r="X152" s="166">
        <v>36</v>
      </c>
      <c r="Y152" s="166" t="s">
        <v>316</v>
      </c>
      <c r="Z152" s="166">
        <v>32</v>
      </c>
      <c r="AA152" s="166" t="s">
        <v>153</v>
      </c>
      <c r="AB152" s="166" t="s">
        <v>274</v>
      </c>
      <c r="AC152" s="166">
        <v>0</v>
      </c>
      <c r="AD152" s="166">
        <v>4</v>
      </c>
      <c r="AE152" s="198" t="s">
        <v>153</v>
      </c>
    </row>
    <row r="153" spans="1:31" ht="51">
      <c r="A153" s="80">
        <v>152</v>
      </c>
      <c r="B153" s="188" t="s">
        <v>301</v>
      </c>
      <c r="C153" s="81" t="s">
        <v>302</v>
      </c>
      <c r="D153" s="350" t="s">
        <v>1311</v>
      </c>
      <c r="E153" s="164" t="s">
        <v>1294</v>
      </c>
      <c r="F153" s="164" t="s">
        <v>1312</v>
      </c>
      <c r="G153" s="164" t="s">
        <v>1313</v>
      </c>
      <c r="H153" s="80">
        <v>3</v>
      </c>
      <c r="I153" s="164" t="s">
        <v>1314</v>
      </c>
      <c r="J153" s="165">
        <v>43423</v>
      </c>
      <c r="K153" s="165">
        <v>43395</v>
      </c>
      <c r="L153" s="166" t="s">
        <v>308</v>
      </c>
      <c r="M153" s="166" t="s">
        <v>1315</v>
      </c>
      <c r="N153" s="167" t="s">
        <v>1308</v>
      </c>
      <c r="O153" s="166">
        <v>9</v>
      </c>
      <c r="P153" s="168" t="s">
        <v>311</v>
      </c>
      <c r="Q153" s="169" t="s">
        <v>1309</v>
      </c>
      <c r="R153" s="170" t="s">
        <v>313</v>
      </c>
      <c r="S153" s="170" t="s">
        <v>1316</v>
      </c>
      <c r="T153" s="171">
        <v>1</v>
      </c>
      <c r="U153" s="166" t="s">
        <v>315</v>
      </c>
      <c r="V153" s="166" t="s">
        <v>70</v>
      </c>
      <c r="W153" s="166" t="s">
        <v>274</v>
      </c>
      <c r="X153" s="166" t="s">
        <v>153</v>
      </c>
      <c r="Y153" s="166" t="s">
        <v>316</v>
      </c>
      <c r="Z153" s="166">
        <v>8</v>
      </c>
      <c r="AA153" s="166" t="s">
        <v>153</v>
      </c>
      <c r="AB153" s="166" t="s">
        <v>274</v>
      </c>
      <c r="AC153" s="166">
        <v>22</v>
      </c>
      <c r="AD153" s="166">
        <v>22</v>
      </c>
      <c r="AE153" s="198" t="s">
        <v>153</v>
      </c>
    </row>
    <row r="154" spans="1:31" ht="38.25">
      <c r="A154" s="80">
        <v>153</v>
      </c>
      <c r="B154" s="188" t="s">
        <v>301</v>
      </c>
      <c r="C154" s="81" t="s">
        <v>302</v>
      </c>
      <c r="D154" s="350" t="s">
        <v>1317</v>
      </c>
      <c r="E154" s="164" t="s">
        <v>1294</v>
      </c>
      <c r="F154" s="164" t="s">
        <v>1318</v>
      </c>
      <c r="G154" s="164" t="s">
        <v>1319</v>
      </c>
      <c r="H154" s="80">
        <v>2</v>
      </c>
      <c r="I154" s="164" t="s">
        <v>1320</v>
      </c>
      <c r="J154" s="165">
        <v>43423</v>
      </c>
      <c r="K154" s="165">
        <v>43395</v>
      </c>
      <c r="L154" s="166" t="s">
        <v>777</v>
      </c>
      <c r="M154" s="166" t="s">
        <v>1321</v>
      </c>
      <c r="N154" s="167" t="s">
        <v>1322</v>
      </c>
      <c r="O154" s="166">
        <v>6</v>
      </c>
      <c r="P154" s="168" t="s">
        <v>1323</v>
      </c>
      <c r="Q154" s="169" t="s">
        <v>1324</v>
      </c>
      <c r="R154" s="170" t="s">
        <v>1325</v>
      </c>
      <c r="S154" s="170" t="s">
        <v>1326</v>
      </c>
      <c r="T154" s="171">
        <v>1</v>
      </c>
      <c r="U154" s="166" t="s">
        <v>1327</v>
      </c>
      <c r="V154" s="166" t="s">
        <v>70</v>
      </c>
      <c r="W154" s="166" t="s">
        <v>316</v>
      </c>
      <c r="X154" s="166">
        <v>37</v>
      </c>
      <c r="Y154" s="166" t="s">
        <v>316</v>
      </c>
      <c r="Z154" s="166">
        <v>33</v>
      </c>
      <c r="AA154" s="166" t="s">
        <v>153</v>
      </c>
      <c r="AB154" s="166" t="s">
        <v>274</v>
      </c>
      <c r="AC154" s="166">
        <v>0</v>
      </c>
      <c r="AD154" s="166">
        <v>4</v>
      </c>
      <c r="AE154" s="198" t="s">
        <v>153</v>
      </c>
    </row>
    <row r="155" spans="1:31" ht="51">
      <c r="A155" s="80">
        <v>154</v>
      </c>
      <c r="B155" s="188" t="s">
        <v>301</v>
      </c>
      <c r="C155" s="81" t="s">
        <v>302</v>
      </c>
      <c r="D155" s="350" t="s">
        <v>1328</v>
      </c>
      <c r="E155" s="164" t="s">
        <v>1294</v>
      </c>
      <c r="F155" s="164" t="s">
        <v>1329</v>
      </c>
      <c r="G155" s="164" t="s">
        <v>1330</v>
      </c>
      <c r="H155" s="80">
        <v>3</v>
      </c>
      <c r="I155" s="164" t="s">
        <v>1331</v>
      </c>
      <c r="J155" s="165">
        <v>43423</v>
      </c>
      <c r="K155" s="165">
        <v>43395</v>
      </c>
      <c r="L155" s="166" t="s">
        <v>308</v>
      </c>
      <c r="M155" s="166" t="s">
        <v>1332</v>
      </c>
      <c r="N155" s="167" t="s">
        <v>1333</v>
      </c>
      <c r="O155" s="166">
        <v>9</v>
      </c>
      <c r="P155" s="168" t="s">
        <v>355</v>
      </c>
      <c r="Q155" s="169" t="s">
        <v>1334</v>
      </c>
      <c r="R155" s="170" t="s">
        <v>313</v>
      </c>
      <c r="S155" s="170" t="s">
        <v>1335</v>
      </c>
      <c r="T155" s="171">
        <v>1</v>
      </c>
      <c r="U155" s="166" t="s">
        <v>315</v>
      </c>
      <c r="V155" s="166" t="s">
        <v>70</v>
      </c>
      <c r="W155" s="166" t="s">
        <v>316</v>
      </c>
      <c r="X155" s="166">
        <v>37</v>
      </c>
      <c r="Y155" s="166" t="s">
        <v>316</v>
      </c>
      <c r="Z155" s="166">
        <v>30</v>
      </c>
      <c r="AA155" s="166" t="s">
        <v>153</v>
      </c>
      <c r="AB155" s="166" t="s">
        <v>274</v>
      </c>
      <c r="AC155" s="166">
        <v>0</v>
      </c>
      <c r="AD155" s="166">
        <v>7</v>
      </c>
      <c r="AE155" s="198" t="s">
        <v>153</v>
      </c>
    </row>
    <row r="156" spans="1:31" ht="51">
      <c r="A156" s="80">
        <v>155</v>
      </c>
      <c r="B156" s="188" t="s">
        <v>301</v>
      </c>
      <c r="C156" s="81" t="s">
        <v>302</v>
      </c>
      <c r="D156" s="350" t="s">
        <v>1336</v>
      </c>
      <c r="E156" s="164" t="s">
        <v>1294</v>
      </c>
      <c r="F156" s="164" t="s">
        <v>1337</v>
      </c>
      <c r="G156" s="164" t="s">
        <v>1338</v>
      </c>
      <c r="H156" s="80">
        <v>3</v>
      </c>
      <c r="I156" s="164" t="s">
        <v>1339</v>
      </c>
      <c r="J156" s="165">
        <v>43423</v>
      </c>
      <c r="K156" s="165">
        <v>43395</v>
      </c>
      <c r="L156" s="166" t="s">
        <v>308</v>
      </c>
      <c r="M156" s="166" t="s">
        <v>1340</v>
      </c>
      <c r="N156" s="167" t="s">
        <v>1333</v>
      </c>
      <c r="O156" s="166">
        <v>9</v>
      </c>
      <c r="P156" s="168" t="s">
        <v>355</v>
      </c>
      <c r="Q156" s="169" t="s">
        <v>1334</v>
      </c>
      <c r="R156" s="170" t="s">
        <v>313</v>
      </c>
      <c r="S156" s="170" t="s">
        <v>1341</v>
      </c>
      <c r="T156" s="171">
        <v>1</v>
      </c>
      <c r="U156" s="166" t="s">
        <v>315</v>
      </c>
      <c r="V156" s="166" t="s">
        <v>70</v>
      </c>
      <c r="W156" s="166" t="s">
        <v>316</v>
      </c>
      <c r="X156" s="166">
        <v>37</v>
      </c>
      <c r="Y156" s="166" t="s">
        <v>316</v>
      </c>
      <c r="Z156" s="166">
        <v>30</v>
      </c>
      <c r="AA156" s="166" t="s">
        <v>153</v>
      </c>
      <c r="AB156" s="166" t="s">
        <v>274</v>
      </c>
      <c r="AC156" s="166">
        <v>0</v>
      </c>
      <c r="AD156" s="166">
        <v>7</v>
      </c>
      <c r="AE156" s="198" t="s">
        <v>153</v>
      </c>
    </row>
    <row r="157" spans="1:31" ht="38.25">
      <c r="A157" s="80">
        <v>156</v>
      </c>
      <c r="B157" s="188" t="s">
        <v>301</v>
      </c>
      <c r="C157" s="81" t="s">
        <v>302</v>
      </c>
      <c r="D157" s="350" t="s">
        <v>1342</v>
      </c>
      <c r="E157" s="164" t="s">
        <v>1294</v>
      </c>
      <c r="F157" s="164" t="s">
        <v>1343</v>
      </c>
      <c r="G157" s="164" t="s">
        <v>1344</v>
      </c>
      <c r="H157" s="80">
        <v>2</v>
      </c>
      <c r="I157" s="164" t="s">
        <v>1345</v>
      </c>
      <c r="J157" s="165">
        <v>43423</v>
      </c>
      <c r="K157" s="165">
        <v>43396</v>
      </c>
      <c r="L157" s="166" t="s">
        <v>777</v>
      </c>
      <c r="M157" s="166" t="s">
        <v>1346</v>
      </c>
      <c r="N157" s="167" t="s">
        <v>1299</v>
      </c>
      <c r="O157" s="166">
        <v>6</v>
      </c>
      <c r="P157" s="168" t="s">
        <v>780</v>
      </c>
      <c r="Q157" s="169" t="s">
        <v>1300</v>
      </c>
      <c r="R157" s="170" t="s">
        <v>782</v>
      </c>
      <c r="S157" s="170" t="s">
        <v>1347</v>
      </c>
      <c r="T157" s="171">
        <v>1</v>
      </c>
      <c r="U157" s="166" t="s">
        <v>1302</v>
      </c>
      <c r="V157" s="166" t="s">
        <v>70</v>
      </c>
      <c r="W157" s="166" t="s">
        <v>274</v>
      </c>
      <c r="X157" s="166" t="s">
        <v>153</v>
      </c>
      <c r="Y157" s="166" t="s">
        <v>316</v>
      </c>
      <c r="Z157" s="166">
        <v>15</v>
      </c>
      <c r="AA157" s="166" t="s">
        <v>153</v>
      </c>
      <c r="AB157" s="166" t="s">
        <v>274</v>
      </c>
      <c r="AC157" s="166">
        <v>0</v>
      </c>
      <c r="AD157" s="166">
        <v>11</v>
      </c>
      <c r="AE157" s="198" t="s">
        <v>153</v>
      </c>
    </row>
    <row r="158" spans="1:31" ht="51">
      <c r="A158" s="80">
        <v>157</v>
      </c>
      <c r="B158" s="188" t="s">
        <v>301</v>
      </c>
      <c r="C158" s="81" t="s">
        <v>302</v>
      </c>
      <c r="D158" s="350" t="s">
        <v>1348</v>
      </c>
      <c r="E158" s="164" t="s">
        <v>1294</v>
      </c>
      <c r="F158" s="164" t="s">
        <v>1349</v>
      </c>
      <c r="G158" s="164" t="s">
        <v>1350</v>
      </c>
      <c r="H158" s="80">
        <v>3</v>
      </c>
      <c r="I158" s="164" t="s">
        <v>1351</v>
      </c>
      <c r="J158" s="165">
        <v>43423</v>
      </c>
      <c r="K158" s="165">
        <v>43395</v>
      </c>
      <c r="L158" s="166" t="s">
        <v>308</v>
      </c>
      <c r="M158" s="166" t="s">
        <v>1352</v>
      </c>
      <c r="N158" s="167" t="s">
        <v>1333</v>
      </c>
      <c r="O158" s="166">
        <v>9</v>
      </c>
      <c r="P158" s="168" t="s">
        <v>463</v>
      </c>
      <c r="Q158" s="169" t="s">
        <v>1334</v>
      </c>
      <c r="R158" s="170" t="s">
        <v>313</v>
      </c>
      <c r="S158" s="170" t="s">
        <v>1353</v>
      </c>
      <c r="T158" s="171">
        <v>1</v>
      </c>
      <c r="U158" s="166" t="s">
        <v>315</v>
      </c>
      <c r="V158" s="166" t="s">
        <v>70</v>
      </c>
      <c r="W158" s="166" t="s">
        <v>274</v>
      </c>
      <c r="X158" s="166" t="s">
        <v>153</v>
      </c>
      <c r="Y158" s="166" t="s">
        <v>316</v>
      </c>
      <c r="Z158" s="166">
        <v>23</v>
      </c>
      <c r="AA158" s="166" t="s">
        <v>153</v>
      </c>
      <c r="AB158" s="166" t="s">
        <v>274</v>
      </c>
      <c r="AC158" s="166">
        <v>0</v>
      </c>
      <c r="AD158" s="166">
        <v>8</v>
      </c>
      <c r="AE158" s="198" t="s">
        <v>153</v>
      </c>
    </row>
    <row r="159" spans="1:31" ht="51">
      <c r="A159" s="80">
        <v>158</v>
      </c>
      <c r="B159" s="188" t="s">
        <v>301</v>
      </c>
      <c r="C159" s="81" t="s">
        <v>302</v>
      </c>
      <c r="D159" s="350" t="s">
        <v>1354</v>
      </c>
      <c r="E159" s="164" t="s">
        <v>1294</v>
      </c>
      <c r="F159" s="164" t="s">
        <v>1355</v>
      </c>
      <c r="G159" s="164" t="s">
        <v>1356</v>
      </c>
      <c r="H159" s="80">
        <v>4</v>
      </c>
      <c r="I159" s="164" t="s">
        <v>1357</v>
      </c>
      <c r="J159" s="165">
        <v>43423</v>
      </c>
      <c r="K159" s="165">
        <v>43396</v>
      </c>
      <c r="L159" s="166" t="s">
        <v>322</v>
      </c>
      <c r="M159" s="166" t="s">
        <v>1358</v>
      </c>
      <c r="N159" s="167" t="s">
        <v>1359</v>
      </c>
      <c r="O159" s="166">
        <v>10</v>
      </c>
      <c r="P159" s="168" t="s">
        <v>729</v>
      </c>
      <c r="Q159" s="169" t="s">
        <v>1360</v>
      </c>
      <c r="R159" s="170" t="s">
        <v>327</v>
      </c>
      <c r="S159" s="170" t="s">
        <v>1361</v>
      </c>
      <c r="T159" s="171">
        <v>1</v>
      </c>
      <c r="U159" s="166" t="s">
        <v>329</v>
      </c>
      <c r="V159" s="166" t="s">
        <v>70</v>
      </c>
      <c r="W159" s="166" t="s">
        <v>274</v>
      </c>
      <c r="X159" s="166" t="s">
        <v>153</v>
      </c>
      <c r="Y159" s="166" t="s">
        <v>316</v>
      </c>
      <c r="Z159" s="166">
        <v>23</v>
      </c>
      <c r="AA159" s="166" t="s">
        <v>153</v>
      </c>
      <c r="AB159" s="166" t="s">
        <v>274</v>
      </c>
      <c r="AC159" s="166">
        <v>0</v>
      </c>
      <c r="AD159" s="166">
        <v>8</v>
      </c>
      <c r="AE159" s="198" t="s">
        <v>1362</v>
      </c>
    </row>
    <row r="160" spans="1:31" ht="38.25">
      <c r="A160" s="80">
        <v>159</v>
      </c>
      <c r="B160" s="188" t="s">
        <v>301</v>
      </c>
      <c r="C160" s="81" t="s">
        <v>302</v>
      </c>
      <c r="D160" s="350" t="s">
        <v>1363</v>
      </c>
      <c r="E160" s="164" t="s">
        <v>1294</v>
      </c>
      <c r="F160" s="164" t="s">
        <v>1364</v>
      </c>
      <c r="G160" s="164" t="s">
        <v>1365</v>
      </c>
      <c r="H160" s="80">
        <v>2</v>
      </c>
      <c r="I160" s="164" t="s">
        <v>1366</v>
      </c>
      <c r="J160" s="165">
        <v>43423</v>
      </c>
      <c r="K160" s="165">
        <v>43396</v>
      </c>
      <c r="L160" s="166" t="s">
        <v>777</v>
      </c>
      <c r="M160" s="166" t="s">
        <v>1367</v>
      </c>
      <c r="N160" s="167" t="s">
        <v>1368</v>
      </c>
      <c r="O160" s="166">
        <v>6</v>
      </c>
      <c r="P160" s="168" t="s">
        <v>780</v>
      </c>
      <c r="Q160" s="169" t="s">
        <v>1369</v>
      </c>
      <c r="R160" s="170" t="s">
        <v>782</v>
      </c>
      <c r="S160" s="170" t="s">
        <v>1370</v>
      </c>
      <c r="T160" s="171">
        <v>1</v>
      </c>
      <c r="U160" s="166" t="s">
        <v>784</v>
      </c>
      <c r="V160" s="166" t="s">
        <v>70</v>
      </c>
      <c r="W160" s="166" t="s">
        <v>316</v>
      </c>
      <c r="X160" s="166">
        <v>40</v>
      </c>
      <c r="Y160" s="166" t="s">
        <v>316</v>
      </c>
      <c r="Z160" s="166">
        <v>28</v>
      </c>
      <c r="AA160" s="166" t="s">
        <v>153</v>
      </c>
      <c r="AB160" s="166" t="s">
        <v>274</v>
      </c>
      <c r="AC160" s="166">
        <v>0</v>
      </c>
      <c r="AD160" s="166">
        <v>12</v>
      </c>
      <c r="AE160" s="198" t="s">
        <v>153</v>
      </c>
    </row>
    <row r="161" spans="1:31" ht="38.25">
      <c r="A161" s="80">
        <v>160</v>
      </c>
      <c r="B161" s="188" t="s">
        <v>301</v>
      </c>
      <c r="C161" s="81" t="s">
        <v>302</v>
      </c>
      <c r="D161" s="350" t="s">
        <v>1371</v>
      </c>
      <c r="E161" s="164" t="s">
        <v>1294</v>
      </c>
      <c r="F161" s="164" t="s">
        <v>1372</v>
      </c>
      <c r="G161" s="164" t="s">
        <v>1373</v>
      </c>
      <c r="H161" s="80">
        <v>2</v>
      </c>
      <c r="I161" s="164" t="s">
        <v>1374</v>
      </c>
      <c r="J161" s="165">
        <v>43423</v>
      </c>
      <c r="K161" s="165">
        <v>43396</v>
      </c>
      <c r="L161" s="166" t="s">
        <v>777</v>
      </c>
      <c r="M161" s="166" t="s">
        <v>1375</v>
      </c>
      <c r="N161" s="167" t="s">
        <v>1368</v>
      </c>
      <c r="O161" s="166">
        <v>6</v>
      </c>
      <c r="P161" s="168" t="s">
        <v>780</v>
      </c>
      <c r="Q161" s="169" t="s">
        <v>1369</v>
      </c>
      <c r="R161" s="170" t="s">
        <v>782</v>
      </c>
      <c r="S161" s="170" t="s">
        <v>1370</v>
      </c>
      <c r="T161" s="171">
        <v>1</v>
      </c>
      <c r="U161" s="166" t="s">
        <v>784</v>
      </c>
      <c r="V161" s="166" t="s">
        <v>70</v>
      </c>
      <c r="W161" s="166" t="s">
        <v>316</v>
      </c>
      <c r="X161" s="166">
        <v>40</v>
      </c>
      <c r="Y161" s="166" t="s">
        <v>316</v>
      </c>
      <c r="Z161" s="166">
        <v>35</v>
      </c>
      <c r="AA161" s="166" t="s">
        <v>153</v>
      </c>
      <c r="AB161" s="166" t="s">
        <v>274</v>
      </c>
      <c r="AC161" s="166">
        <v>0</v>
      </c>
      <c r="AD161" s="166">
        <v>5</v>
      </c>
      <c r="AE161" s="198" t="s">
        <v>153</v>
      </c>
    </row>
    <row r="162" spans="1:31" ht="51">
      <c r="A162" s="80">
        <v>161</v>
      </c>
      <c r="B162" s="188" t="s">
        <v>301</v>
      </c>
      <c r="C162" s="81" t="s">
        <v>302</v>
      </c>
      <c r="D162" s="350" t="s">
        <v>1376</v>
      </c>
      <c r="E162" s="164" t="s">
        <v>1294</v>
      </c>
      <c r="F162" s="164" t="s">
        <v>1377</v>
      </c>
      <c r="G162" s="164" t="s">
        <v>1378</v>
      </c>
      <c r="H162" s="80">
        <v>3</v>
      </c>
      <c r="I162" s="164" t="s">
        <v>1379</v>
      </c>
      <c r="J162" s="165">
        <v>43423</v>
      </c>
      <c r="K162" s="165">
        <v>43395</v>
      </c>
      <c r="L162" s="166" t="s">
        <v>308</v>
      </c>
      <c r="M162" s="166" t="s">
        <v>1380</v>
      </c>
      <c r="N162" s="167" t="s">
        <v>1308</v>
      </c>
      <c r="O162" s="166">
        <v>9</v>
      </c>
      <c r="P162" s="168" t="s">
        <v>355</v>
      </c>
      <c r="Q162" s="169" t="s">
        <v>1309</v>
      </c>
      <c r="R162" s="170" t="s">
        <v>313</v>
      </c>
      <c r="S162" s="170" t="s">
        <v>1381</v>
      </c>
      <c r="T162" s="171">
        <v>1</v>
      </c>
      <c r="U162" s="166" t="s">
        <v>315</v>
      </c>
      <c r="V162" s="166" t="s">
        <v>70</v>
      </c>
      <c r="W162" s="166" t="s">
        <v>316</v>
      </c>
      <c r="X162" s="166">
        <v>34</v>
      </c>
      <c r="Y162" s="166" t="s">
        <v>316</v>
      </c>
      <c r="Z162" s="166">
        <v>26</v>
      </c>
      <c r="AA162" s="166" t="s">
        <v>153</v>
      </c>
      <c r="AB162" s="166" t="s">
        <v>274</v>
      </c>
      <c r="AC162" s="166">
        <v>0</v>
      </c>
      <c r="AD162" s="166">
        <v>8</v>
      </c>
      <c r="AE162" s="198" t="s">
        <v>153</v>
      </c>
    </row>
    <row r="163" spans="1:31" ht="51">
      <c r="A163" s="80">
        <v>162</v>
      </c>
      <c r="B163" s="188" t="s">
        <v>301</v>
      </c>
      <c r="C163" s="81" t="s">
        <v>302</v>
      </c>
      <c r="D163" s="350" t="s">
        <v>1382</v>
      </c>
      <c r="E163" s="164" t="s">
        <v>1294</v>
      </c>
      <c r="F163" s="164" t="s">
        <v>1383</v>
      </c>
      <c r="G163" s="164" t="s">
        <v>1384</v>
      </c>
      <c r="H163" s="80">
        <v>3</v>
      </c>
      <c r="I163" s="164" t="s">
        <v>1385</v>
      </c>
      <c r="J163" s="165">
        <v>43423</v>
      </c>
      <c r="K163" s="165">
        <v>43396</v>
      </c>
      <c r="L163" s="166" t="s">
        <v>308</v>
      </c>
      <c r="M163" s="166" t="s">
        <v>1386</v>
      </c>
      <c r="N163" s="167" t="s">
        <v>1308</v>
      </c>
      <c r="O163" s="166">
        <v>9</v>
      </c>
      <c r="P163" s="168" t="s">
        <v>311</v>
      </c>
      <c r="Q163" s="169" t="s">
        <v>1309</v>
      </c>
      <c r="R163" s="170" t="s">
        <v>313</v>
      </c>
      <c r="S163" s="170" t="s">
        <v>1387</v>
      </c>
      <c r="T163" s="171">
        <v>1</v>
      </c>
      <c r="U163" s="166" t="s">
        <v>315</v>
      </c>
      <c r="V163" s="166" t="s">
        <v>70</v>
      </c>
      <c r="W163" s="166" t="s">
        <v>316</v>
      </c>
      <c r="X163" s="166">
        <v>38</v>
      </c>
      <c r="Y163" s="166" t="s">
        <v>316</v>
      </c>
      <c r="Z163" s="166">
        <v>33</v>
      </c>
      <c r="AA163" s="166" t="s">
        <v>153</v>
      </c>
      <c r="AB163" s="166" t="s">
        <v>274</v>
      </c>
      <c r="AC163" s="166">
        <v>0</v>
      </c>
      <c r="AD163" s="166">
        <v>5</v>
      </c>
      <c r="AE163" s="198" t="s">
        <v>153</v>
      </c>
    </row>
    <row r="164" spans="1:31" ht="51">
      <c r="A164" s="80">
        <v>163</v>
      </c>
      <c r="B164" s="188" t="s">
        <v>301</v>
      </c>
      <c r="C164" s="81" t="s">
        <v>302</v>
      </c>
      <c r="D164" s="350" t="s">
        <v>1388</v>
      </c>
      <c r="E164" s="164" t="s">
        <v>1294</v>
      </c>
      <c r="F164" s="164" t="s">
        <v>1389</v>
      </c>
      <c r="G164" s="164" t="s">
        <v>1390</v>
      </c>
      <c r="H164" s="80">
        <v>3</v>
      </c>
      <c r="I164" s="164" t="s">
        <v>1391</v>
      </c>
      <c r="J164" s="165">
        <v>43423</v>
      </c>
      <c r="K164" s="165">
        <v>43397</v>
      </c>
      <c r="L164" s="166" t="s">
        <v>308</v>
      </c>
      <c r="M164" s="166" t="s">
        <v>1392</v>
      </c>
      <c r="N164" s="167" t="s">
        <v>336</v>
      </c>
      <c r="O164" s="166">
        <v>9</v>
      </c>
      <c r="P164" s="168" t="s">
        <v>311</v>
      </c>
      <c r="Q164" s="169" t="s">
        <v>312</v>
      </c>
      <c r="R164" s="170" t="s">
        <v>313</v>
      </c>
      <c r="S164" s="170" t="s">
        <v>1393</v>
      </c>
      <c r="T164" s="171">
        <v>1</v>
      </c>
      <c r="U164" s="166" t="s">
        <v>315</v>
      </c>
      <c r="V164" s="166" t="s">
        <v>70</v>
      </c>
      <c r="W164" s="166" t="s">
        <v>274</v>
      </c>
      <c r="X164" s="166" t="s">
        <v>153</v>
      </c>
      <c r="Y164" s="166" t="s">
        <v>316</v>
      </c>
      <c r="Z164" s="166">
        <v>5</v>
      </c>
      <c r="AA164" s="166" t="s">
        <v>153</v>
      </c>
      <c r="AB164" s="166" t="s">
        <v>274</v>
      </c>
      <c r="AC164" s="166">
        <v>4</v>
      </c>
      <c r="AD164" s="166">
        <v>14</v>
      </c>
      <c r="AE164" s="198" t="s">
        <v>153</v>
      </c>
    </row>
    <row r="165" spans="1:31" ht="51">
      <c r="A165" s="80">
        <v>164</v>
      </c>
      <c r="B165" s="188" t="s">
        <v>301</v>
      </c>
      <c r="C165" s="81" t="s">
        <v>302</v>
      </c>
      <c r="D165" s="350" t="s">
        <v>1394</v>
      </c>
      <c r="E165" s="164" t="s">
        <v>1294</v>
      </c>
      <c r="F165" s="164" t="s">
        <v>1395</v>
      </c>
      <c r="G165" s="164" t="s">
        <v>1396</v>
      </c>
      <c r="H165" s="80">
        <v>3</v>
      </c>
      <c r="I165" s="164" t="s">
        <v>1397</v>
      </c>
      <c r="J165" s="165">
        <v>43423</v>
      </c>
      <c r="K165" s="165">
        <v>43397</v>
      </c>
      <c r="L165" s="166" t="s">
        <v>308</v>
      </c>
      <c r="M165" s="166" t="s">
        <v>1398</v>
      </c>
      <c r="N165" s="167" t="s">
        <v>354</v>
      </c>
      <c r="O165" s="166">
        <v>9</v>
      </c>
      <c r="P165" s="168" t="s">
        <v>311</v>
      </c>
      <c r="Q165" s="169" t="s">
        <v>356</v>
      </c>
      <c r="R165" s="170" t="s">
        <v>313</v>
      </c>
      <c r="S165" s="170" t="s">
        <v>1399</v>
      </c>
      <c r="T165" s="171">
        <v>1</v>
      </c>
      <c r="U165" s="166" t="s">
        <v>315</v>
      </c>
      <c r="V165" s="166" t="s">
        <v>70</v>
      </c>
      <c r="W165" s="166" t="s">
        <v>274</v>
      </c>
      <c r="X165" s="166" t="s">
        <v>153</v>
      </c>
      <c r="Y165" s="166" t="s">
        <v>316</v>
      </c>
      <c r="Z165" s="166">
        <v>5</v>
      </c>
      <c r="AA165" s="166" t="s">
        <v>153</v>
      </c>
      <c r="AB165" s="166" t="s">
        <v>274</v>
      </c>
      <c r="AC165" s="166">
        <v>8</v>
      </c>
      <c r="AD165" s="166">
        <v>14</v>
      </c>
      <c r="AE165" s="198" t="s">
        <v>153</v>
      </c>
    </row>
    <row r="166" spans="1:31" ht="51">
      <c r="A166" s="80">
        <v>165</v>
      </c>
      <c r="B166" s="188" t="s">
        <v>301</v>
      </c>
      <c r="C166" s="81" t="s">
        <v>302</v>
      </c>
      <c r="D166" s="350" t="s">
        <v>1400</v>
      </c>
      <c r="E166" s="164" t="s">
        <v>1294</v>
      </c>
      <c r="F166" s="164" t="s">
        <v>1401</v>
      </c>
      <c r="G166" s="164" t="s">
        <v>1402</v>
      </c>
      <c r="H166" s="80">
        <v>3</v>
      </c>
      <c r="I166" s="164" t="s">
        <v>1403</v>
      </c>
      <c r="J166" s="165">
        <v>43423</v>
      </c>
      <c r="K166" s="165">
        <v>43399</v>
      </c>
      <c r="L166" s="166" t="s">
        <v>308</v>
      </c>
      <c r="M166" s="166" t="s">
        <v>1404</v>
      </c>
      <c r="N166" s="167" t="s">
        <v>354</v>
      </c>
      <c r="O166" s="166">
        <v>9</v>
      </c>
      <c r="P166" s="168" t="s">
        <v>311</v>
      </c>
      <c r="Q166" s="169" t="s">
        <v>356</v>
      </c>
      <c r="R166" s="170" t="s">
        <v>313</v>
      </c>
      <c r="S166" s="170" t="s">
        <v>1405</v>
      </c>
      <c r="T166" s="171">
        <v>1</v>
      </c>
      <c r="U166" s="166" t="s">
        <v>315</v>
      </c>
      <c r="V166" s="166" t="s">
        <v>70</v>
      </c>
      <c r="W166" s="166" t="s">
        <v>274</v>
      </c>
      <c r="X166" s="166" t="s">
        <v>153</v>
      </c>
      <c r="Y166" s="166" t="s">
        <v>316</v>
      </c>
      <c r="Z166" s="166">
        <v>-5</v>
      </c>
      <c r="AA166" s="166" t="s">
        <v>153</v>
      </c>
      <c r="AB166" s="166" t="s">
        <v>274</v>
      </c>
      <c r="AC166" s="166">
        <v>14</v>
      </c>
      <c r="AD166" s="166">
        <v>25</v>
      </c>
      <c r="AE166" s="198" t="s">
        <v>153</v>
      </c>
    </row>
    <row r="167" spans="1:31" ht="63.75">
      <c r="A167" s="80">
        <v>166</v>
      </c>
      <c r="B167" s="188" t="s">
        <v>301</v>
      </c>
      <c r="C167" s="81" t="s">
        <v>302</v>
      </c>
      <c r="D167" s="350" t="s">
        <v>1406</v>
      </c>
      <c r="E167" s="164" t="s">
        <v>1294</v>
      </c>
      <c r="F167" s="164" t="s">
        <v>1407</v>
      </c>
      <c r="G167" s="164" t="s">
        <v>1408</v>
      </c>
      <c r="H167" s="80">
        <v>4</v>
      </c>
      <c r="I167" s="164" t="s">
        <v>1409</v>
      </c>
      <c r="J167" s="165">
        <v>43423</v>
      </c>
      <c r="K167" s="165">
        <v>43397</v>
      </c>
      <c r="L167" s="166" t="s">
        <v>322</v>
      </c>
      <c r="M167" s="166" t="s">
        <v>1410</v>
      </c>
      <c r="N167" s="167" t="s">
        <v>324</v>
      </c>
      <c r="O167" s="166">
        <v>12</v>
      </c>
      <c r="P167" s="168" t="s">
        <v>1411</v>
      </c>
      <c r="Q167" s="169" t="s">
        <v>326</v>
      </c>
      <c r="R167" s="170" t="s">
        <v>327</v>
      </c>
      <c r="S167" s="170" t="s">
        <v>1412</v>
      </c>
      <c r="T167" s="171">
        <v>1</v>
      </c>
      <c r="U167" s="166" t="s">
        <v>329</v>
      </c>
      <c r="V167" s="166" t="s">
        <v>70</v>
      </c>
      <c r="W167" s="166" t="s">
        <v>316</v>
      </c>
      <c r="X167" s="166">
        <v>37</v>
      </c>
      <c r="Y167" s="166" t="s">
        <v>316</v>
      </c>
      <c r="Z167" s="166">
        <v>26</v>
      </c>
      <c r="AA167" s="166" t="s">
        <v>153</v>
      </c>
      <c r="AB167" s="166" t="s">
        <v>274</v>
      </c>
      <c r="AC167" s="166">
        <v>0</v>
      </c>
      <c r="AD167" s="166">
        <v>11</v>
      </c>
      <c r="AE167" s="198" t="s">
        <v>153</v>
      </c>
    </row>
    <row r="168" spans="1:31" ht="51">
      <c r="A168" s="80">
        <v>167</v>
      </c>
      <c r="B168" s="188" t="s">
        <v>301</v>
      </c>
      <c r="C168" s="81" t="s">
        <v>302</v>
      </c>
      <c r="D168" s="350" t="s">
        <v>1413</v>
      </c>
      <c r="E168" s="164" t="s">
        <v>1294</v>
      </c>
      <c r="F168" s="164" t="s">
        <v>1414</v>
      </c>
      <c r="G168" s="164" t="s">
        <v>1415</v>
      </c>
      <c r="H168" s="80">
        <v>3</v>
      </c>
      <c r="I168" s="164" t="s">
        <v>1416</v>
      </c>
      <c r="J168" s="165">
        <v>43423</v>
      </c>
      <c r="K168" s="165">
        <v>43397</v>
      </c>
      <c r="L168" s="166" t="s">
        <v>308</v>
      </c>
      <c r="M168" s="166" t="s">
        <v>1417</v>
      </c>
      <c r="N168" s="167" t="s">
        <v>336</v>
      </c>
      <c r="O168" s="166">
        <v>9</v>
      </c>
      <c r="P168" s="168" t="s">
        <v>311</v>
      </c>
      <c r="Q168" s="169" t="s">
        <v>312</v>
      </c>
      <c r="R168" s="170" t="s">
        <v>313</v>
      </c>
      <c r="S168" s="170" t="s">
        <v>1418</v>
      </c>
      <c r="T168" s="171">
        <v>1</v>
      </c>
      <c r="U168" s="166" t="s">
        <v>315</v>
      </c>
      <c r="V168" s="166" t="s">
        <v>70</v>
      </c>
      <c r="W168" s="166" t="s">
        <v>274</v>
      </c>
      <c r="X168" s="166" t="s">
        <v>153</v>
      </c>
      <c r="Y168" s="166" t="s">
        <v>316</v>
      </c>
      <c r="Z168" s="166">
        <v>3</v>
      </c>
      <c r="AA168" s="166" t="s">
        <v>153</v>
      </c>
      <c r="AB168" s="166" t="s">
        <v>274</v>
      </c>
      <c r="AC168" s="166">
        <v>11</v>
      </c>
      <c r="AD168" s="166">
        <v>14</v>
      </c>
      <c r="AE168" s="198" t="s">
        <v>153</v>
      </c>
    </row>
    <row r="169" spans="1:31" ht="51">
      <c r="A169" s="80">
        <v>168</v>
      </c>
      <c r="B169" s="188" t="s">
        <v>301</v>
      </c>
      <c r="C169" s="81" t="s">
        <v>302</v>
      </c>
      <c r="D169" s="350" t="s">
        <v>1419</v>
      </c>
      <c r="E169" s="164" t="s">
        <v>1294</v>
      </c>
      <c r="F169" s="164" t="s">
        <v>1420</v>
      </c>
      <c r="G169" s="164" t="s">
        <v>1421</v>
      </c>
      <c r="H169" s="80">
        <v>3</v>
      </c>
      <c r="I169" s="164" t="s">
        <v>1422</v>
      </c>
      <c r="J169" s="165">
        <v>43423</v>
      </c>
      <c r="K169" s="165">
        <v>43397</v>
      </c>
      <c r="L169" s="166" t="s">
        <v>308</v>
      </c>
      <c r="M169" s="166" t="s">
        <v>1423</v>
      </c>
      <c r="N169" s="167" t="s">
        <v>310</v>
      </c>
      <c r="O169" s="166">
        <v>9</v>
      </c>
      <c r="P169" s="168" t="s">
        <v>311</v>
      </c>
      <c r="Q169" s="169" t="s">
        <v>344</v>
      </c>
      <c r="R169" s="170" t="s">
        <v>345</v>
      </c>
      <c r="S169" s="170" t="s">
        <v>1424</v>
      </c>
      <c r="T169" s="171">
        <v>1</v>
      </c>
      <c r="U169" s="166" t="s">
        <v>347</v>
      </c>
      <c r="V169" s="166" t="s">
        <v>70</v>
      </c>
      <c r="W169" s="166" t="s">
        <v>274</v>
      </c>
      <c r="X169" s="166" t="s">
        <v>153</v>
      </c>
      <c r="Y169" s="166" t="s">
        <v>316</v>
      </c>
      <c r="Z169" s="166">
        <v>0</v>
      </c>
      <c r="AA169" s="166" t="s">
        <v>153</v>
      </c>
      <c r="AB169" s="166" t="s">
        <v>274</v>
      </c>
      <c r="AC169" s="166">
        <v>14</v>
      </c>
      <c r="AD169" s="166">
        <v>21</v>
      </c>
      <c r="AE169" s="198" t="s">
        <v>153</v>
      </c>
    </row>
    <row r="170" spans="1:31" ht="51">
      <c r="A170" s="80">
        <v>169</v>
      </c>
      <c r="B170" s="188" t="s">
        <v>301</v>
      </c>
      <c r="C170" s="81" t="s">
        <v>302</v>
      </c>
      <c r="D170" s="350" t="s">
        <v>1425</v>
      </c>
      <c r="E170" s="164" t="s">
        <v>1294</v>
      </c>
      <c r="F170" s="164" t="s">
        <v>1426</v>
      </c>
      <c r="G170" s="164" t="s">
        <v>1427</v>
      </c>
      <c r="H170" s="80">
        <v>3</v>
      </c>
      <c r="I170" s="164" t="s">
        <v>1428</v>
      </c>
      <c r="J170" s="165">
        <v>43423</v>
      </c>
      <c r="K170" s="165">
        <v>43397</v>
      </c>
      <c r="L170" s="166" t="s">
        <v>308</v>
      </c>
      <c r="M170" s="166" t="s">
        <v>1429</v>
      </c>
      <c r="N170" s="167" t="s">
        <v>310</v>
      </c>
      <c r="O170" s="166">
        <v>9</v>
      </c>
      <c r="P170" s="168" t="s">
        <v>311</v>
      </c>
      <c r="Q170" s="169" t="s">
        <v>344</v>
      </c>
      <c r="R170" s="170" t="s">
        <v>345</v>
      </c>
      <c r="S170" s="170" t="s">
        <v>1430</v>
      </c>
      <c r="T170" s="171">
        <v>1</v>
      </c>
      <c r="U170" s="166" t="s">
        <v>347</v>
      </c>
      <c r="V170" s="166" t="s">
        <v>70</v>
      </c>
      <c r="W170" s="166" t="s">
        <v>274</v>
      </c>
      <c r="X170" s="166" t="s">
        <v>153</v>
      </c>
      <c r="Y170" s="166" t="s">
        <v>316</v>
      </c>
      <c r="Z170" s="166">
        <v>5</v>
      </c>
      <c r="AA170" s="166" t="s">
        <v>153</v>
      </c>
      <c r="AB170" s="166" t="s">
        <v>274</v>
      </c>
      <c r="AC170" s="166">
        <v>7</v>
      </c>
      <c r="AD170" s="166">
        <v>14</v>
      </c>
      <c r="AE170" s="198" t="s">
        <v>153</v>
      </c>
    </row>
    <row r="171" spans="1:31" ht="51">
      <c r="A171" s="80">
        <v>170</v>
      </c>
      <c r="B171" s="188" t="s">
        <v>301</v>
      </c>
      <c r="C171" s="81" t="s">
        <v>302</v>
      </c>
      <c r="D171" s="350" t="s">
        <v>1431</v>
      </c>
      <c r="E171" s="164" t="s">
        <v>1294</v>
      </c>
      <c r="F171" s="164" t="s">
        <v>1432</v>
      </c>
      <c r="G171" s="164" t="s">
        <v>1433</v>
      </c>
      <c r="H171" s="80">
        <v>3</v>
      </c>
      <c r="I171" s="164" t="s">
        <v>1434</v>
      </c>
      <c r="J171" s="165">
        <v>43423</v>
      </c>
      <c r="K171" s="165">
        <v>43397</v>
      </c>
      <c r="L171" s="166" t="s">
        <v>308</v>
      </c>
      <c r="M171" s="166" t="s">
        <v>1435</v>
      </c>
      <c r="N171" s="167" t="s">
        <v>354</v>
      </c>
      <c r="O171" s="166">
        <v>9</v>
      </c>
      <c r="P171" s="168" t="s">
        <v>934</v>
      </c>
      <c r="Q171" s="169" t="s">
        <v>356</v>
      </c>
      <c r="R171" s="170" t="s">
        <v>313</v>
      </c>
      <c r="S171" s="170" t="s">
        <v>1436</v>
      </c>
      <c r="T171" s="171">
        <v>1</v>
      </c>
      <c r="U171" s="166" t="s">
        <v>315</v>
      </c>
      <c r="V171" s="166" t="s">
        <v>70</v>
      </c>
      <c r="W171" s="166" t="s">
        <v>274</v>
      </c>
      <c r="X171" s="166" t="s">
        <v>153</v>
      </c>
      <c r="Y171" s="166" t="s">
        <v>316</v>
      </c>
      <c r="Z171" s="166">
        <v>-64</v>
      </c>
      <c r="AA171" s="166" t="s">
        <v>153</v>
      </c>
      <c r="AB171" s="166" t="s">
        <v>274</v>
      </c>
      <c r="AC171" s="166">
        <v>18</v>
      </c>
      <c r="AD171" s="166">
        <v>92</v>
      </c>
      <c r="AE171" s="198" t="s">
        <v>153</v>
      </c>
    </row>
    <row r="172" spans="1:31" ht="51">
      <c r="A172" s="80">
        <v>171</v>
      </c>
      <c r="B172" s="188" t="s">
        <v>301</v>
      </c>
      <c r="C172" s="81" t="s">
        <v>302</v>
      </c>
      <c r="D172" s="350" t="s">
        <v>1437</v>
      </c>
      <c r="E172" s="164" t="s">
        <v>1294</v>
      </c>
      <c r="F172" s="164" t="s">
        <v>1438</v>
      </c>
      <c r="G172" s="164" t="s">
        <v>1439</v>
      </c>
      <c r="H172" s="80">
        <v>3</v>
      </c>
      <c r="I172" s="164" t="s">
        <v>1440</v>
      </c>
      <c r="J172" s="165">
        <v>43423</v>
      </c>
      <c r="K172" s="165">
        <v>43398</v>
      </c>
      <c r="L172" s="166" t="s">
        <v>308</v>
      </c>
      <c r="M172" s="166" t="s">
        <v>1441</v>
      </c>
      <c r="N172" s="167" t="s">
        <v>310</v>
      </c>
      <c r="O172" s="166">
        <v>9</v>
      </c>
      <c r="P172" s="168" t="s">
        <v>311</v>
      </c>
      <c r="Q172" s="169" t="s">
        <v>312</v>
      </c>
      <c r="R172" s="170" t="s">
        <v>313</v>
      </c>
      <c r="S172" s="170" t="s">
        <v>1442</v>
      </c>
      <c r="T172" s="171">
        <v>1</v>
      </c>
      <c r="U172" s="166" t="s">
        <v>315</v>
      </c>
      <c r="V172" s="166" t="s">
        <v>70</v>
      </c>
      <c r="W172" s="166" t="s">
        <v>274</v>
      </c>
      <c r="X172" s="166" t="s">
        <v>153</v>
      </c>
      <c r="Y172" s="166" t="s">
        <v>316</v>
      </c>
      <c r="Z172" s="166">
        <v>-15</v>
      </c>
      <c r="AA172" s="166" t="s">
        <v>153</v>
      </c>
      <c r="AB172" s="166" t="s">
        <v>274</v>
      </c>
      <c r="AC172" s="166">
        <v>25</v>
      </c>
      <c r="AD172" s="166">
        <v>43</v>
      </c>
      <c r="AE172" s="198" t="s">
        <v>153</v>
      </c>
    </row>
    <row r="173" spans="1:31" ht="51">
      <c r="A173" s="80">
        <v>172</v>
      </c>
      <c r="B173" s="188" t="s">
        <v>301</v>
      </c>
      <c r="C173" s="81" t="s">
        <v>302</v>
      </c>
      <c r="D173" s="350" t="s">
        <v>1443</v>
      </c>
      <c r="E173" s="164" t="s">
        <v>1294</v>
      </c>
      <c r="F173" s="164" t="s">
        <v>1444</v>
      </c>
      <c r="G173" s="164" t="s">
        <v>1445</v>
      </c>
      <c r="H173" s="80">
        <v>4</v>
      </c>
      <c r="I173" s="164" t="s">
        <v>1446</v>
      </c>
      <c r="J173" s="165">
        <v>43423</v>
      </c>
      <c r="K173" s="165">
        <v>43398</v>
      </c>
      <c r="L173" s="166" t="s">
        <v>322</v>
      </c>
      <c r="M173" s="166" t="s">
        <v>1447</v>
      </c>
      <c r="N173" s="167" t="s">
        <v>324</v>
      </c>
      <c r="O173" s="166">
        <v>10</v>
      </c>
      <c r="P173" s="168" t="s">
        <v>1448</v>
      </c>
      <c r="Q173" s="169" t="s">
        <v>1449</v>
      </c>
      <c r="R173" s="170" t="s">
        <v>327</v>
      </c>
      <c r="S173" s="170" t="s">
        <v>1450</v>
      </c>
      <c r="T173" s="171">
        <v>1</v>
      </c>
      <c r="U173" s="166" t="s">
        <v>329</v>
      </c>
      <c r="V173" s="166" t="s">
        <v>70</v>
      </c>
      <c r="W173" s="166" t="s">
        <v>274</v>
      </c>
      <c r="X173" s="166" t="s">
        <v>153</v>
      </c>
      <c r="Y173" s="166" t="s">
        <v>316</v>
      </c>
      <c r="Z173" s="166">
        <v>-4</v>
      </c>
      <c r="AA173" s="166" t="s">
        <v>153</v>
      </c>
      <c r="AB173" s="166" t="s">
        <v>274</v>
      </c>
      <c r="AC173" s="166">
        <v>11</v>
      </c>
      <c r="AD173" s="166">
        <v>25</v>
      </c>
      <c r="AE173" s="198" t="s">
        <v>1362</v>
      </c>
    </row>
    <row r="174" spans="1:31" ht="51">
      <c r="A174" s="80">
        <v>173</v>
      </c>
      <c r="B174" s="188" t="s">
        <v>301</v>
      </c>
      <c r="C174" s="81" t="s">
        <v>302</v>
      </c>
      <c r="D174" s="350" t="s">
        <v>1451</v>
      </c>
      <c r="E174" s="164" t="s">
        <v>1294</v>
      </c>
      <c r="F174" s="164" t="s">
        <v>1452</v>
      </c>
      <c r="G174" s="164" t="s">
        <v>1453</v>
      </c>
      <c r="H174" s="80">
        <v>3</v>
      </c>
      <c r="I174" s="164" t="s">
        <v>1454</v>
      </c>
      <c r="J174" s="165">
        <v>43423</v>
      </c>
      <c r="K174" s="165">
        <v>43398</v>
      </c>
      <c r="L174" s="166" t="s">
        <v>308</v>
      </c>
      <c r="M174" s="166" t="s">
        <v>1455</v>
      </c>
      <c r="N174" s="167" t="s">
        <v>310</v>
      </c>
      <c r="O174" s="166">
        <v>9</v>
      </c>
      <c r="P174" s="168" t="s">
        <v>311</v>
      </c>
      <c r="Q174" s="169" t="s">
        <v>312</v>
      </c>
      <c r="R174" s="170" t="s">
        <v>313</v>
      </c>
      <c r="S174" s="170" t="s">
        <v>1430</v>
      </c>
      <c r="T174" s="171">
        <v>1</v>
      </c>
      <c r="U174" s="166" t="s">
        <v>315</v>
      </c>
      <c r="V174" s="166" t="s">
        <v>70</v>
      </c>
      <c r="W174" s="166" t="s">
        <v>274</v>
      </c>
      <c r="X174" s="166" t="s">
        <v>153</v>
      </c>
      <c r="Y174" s="166" t="s">
        <v>316</v>
      </c>
      <c r="Z174" s="166">
        <v>-51</v>
      </c>
      <c r="AA174" s="166" t="s">
        <v>153</v>
      </c>
      <c r="AB174" s="166" t="s">
        <v>274</v>
      </c>
      <c r="AC174" s="166">
        <v>11</v>
      </c>
      <c r="AD174" s="166">
        <v>70</v>
      </c>
      <c r="AE174" s="198" t="s">
        <v>153</v>
      </c>
    </row>
    <row r="175" spans="1:31" ht="51">
      <c r="A175" s="80">
        <v>174</v>
      </c>
      <c r="B175" s="188" t="s">
        <v>301</v>
      </c>
      <c r="C175" s="81" t="s">
        <v>302</v>
      </c>
      <c r="D175" s="350" t="s">
        <v>1456</v>
      </c>
      <c r="E175" s="164" t="s">
        <v>1294</v>
      </c>
      <c r="F175" s="164" t="s">
        <v>1457</v>
      </c>
      <c r="G175" s="164" t="s">
        <v>1458</v>
      </c>
      <c r="H175" s="80">
        <v>3</v>
      </c>
      <c r="I175" s="164" t="s">
        <v>1459</v>
      </c>
      <c r="J175" s="165">
        <v>43423</v>
      </c>
      <c r="K175" s="165">
        <v>43398</v>
      </c>
      <c r="L175" s="166" t="s">
        <v>308</v>
      </c>
      <c r="M175" s="166" t="s">
        <v>1460</v>
      </c>
      <c r="N175" s="167" t="s">
        <v>336</v>
      </c>
      <c r="O175" s="166">
        <v>9</v>
      </c>
      <c r="P175" s="168" t="s">
        <v>311</v>
      </c>
      <c r="Q175" s="169" t="s">
        <v>312</v>
      </c>
      <c r="R175" s="170" t="s">
        <v>313</v>
      </c>
      <c r="S175" s="170" t="s">
        <v>1461</v>
      </c>
      <c r="T175" s="171">
        <v>1</v>
      </c>
      <c r="U175" s="166" t="s">
        <v>315</v>
      </c>
      <c r="V175" s="166" t="s">
        <v>70</v>
      </c>
      <c r="W175" s="166" t="s">
        <v>274</v>
      </c>
      <c r="X175" s="166" t="s">
        <v>153</v>
      </c>
      <c r="Y175" s="166" t="s">
        <v>316</v>
      </c>
      <c r="Z175" s="166">
        <v>-29</v>
      </c>
      <c r="AA175" s="166" t="s">
        <v>153</v>
      </c>
      <c r="AB175" s="166" t="s">
        <v>274</v>
      </c>
      <c r="AC175" s="166">
        <v>11</v>
      </c>
      <c r="AD175" s="166">
        <v>50</v>
      </c>
      <c r="AE175" s="198" t="s">
        <v>153</v>
      </c>
    </row>
    <row r="176" spans="1:31" ht="51">
      <c r="A176" s="80">
        <v>175</v>
      </c>
      <c r="B176" s="188" t="s">
        <v>301</v>
      </c>
      <c r="C176" s="81" t="s">
        <v>302</v>
      </c>
      <c r="D176" s="350" t="s">
        <v>1462</v>
      </c>
      <c r="E176" s="164" t="s">
        <v>1294</v>
      </c>
      <c r="F176" s="164" t="s">
        <v>1463</v>
      </c>
      <c r="G176" s="164" t="s">
        <v>1464</v>
      </c>
      <c r="H176" s="80">
        <v>3</v>
      </c>
      <c r="I176" s="164" t="s">
        <v>1465</v>
      </c>
      <c r="J176" s="165">
        <v>43423</v>
      </c>
      <c r="K176" s="165">
        <v>43398</v>
      </c>
      <c r="L176" s="166" t="s">
        <v>308</v>
      </c>
      <c r="M176" s="166" t="s">
        <v>1466</v>
      </c>
      <c r="N176" s="167" t="s">
        <v>336</v>
      </c>
      <c r="O176" s="166">
        <v>9</v>
      </c>
      <c r="P176" s="168" t="s">
        <v>311</v>
      </c>
      <c r="Q176" s="169" t="s">
        <v>312</v>
      </c>
      <c r="R176" s="170" t="s">
        <v>313</v>
      </c>
      <c r="S176" s="170" t="s">
        <v>1461</v>
      </c>
      <c r="T176" s="171">
        <v>1</v>
      </c>
      <c r="U176" s="166" t="s">
        <v>315</v>
      </c>
      <c r="V176" s="166" t="s">
        <v>70</v>
      </c>
      <c r="W176" s="166" t="s">
        <v>274</v>
      </c>
      <c r="X176" s="166" t="s">
        <v>153</v>
      </c>
      <c r="Y176" s="166" t="s">
        <v>316</v>
      </c>
      <c r="Z176" s="166">
        <v>-4</v>
      </c>
      <c r="AA176" s="166" t="s">
        <v>153</v>
      </c>
      <c r="AB176" s="166" t="s">
        <v>274</v>
      </c>
      <c r="AC176" s="166">
        <v>8</v>
      </c>
      <c r="AD176" s="166">
        <v>25</v>
      </c>
      <c r="AE176" s="198" t="s">
        <v>153</v>
      </c>
    </row>
    <row r="177" spans="1:31" ht="51">
      <c r="A177" s="80">
        <v>176</v>
      </c>
      <c r="B177" s="188" t="s">
        <v>301</v>
      </c>
      <c r="C177" s="81" t="s">
        <v>302</v>
      </c>
      <c r="D177" s="350" t="s">
        <v>1467</v>
      </c>
      <c r="E177" s="164" t="s">
        <v>1294</v>
      </c>
      <c r="F177" s="164" t="s">
        <v>1468</v>
      </c>
      <c r="G177" s="164" t="s">
        <v>1469</v>
      </c>
      <c r="H177" s="80">
        <v>3</v>
      </c>
      <c r="I177" s="164" t="s">
        <v>1470</v>
      </c>
      <c r="J177" s="165">
        <v>43423</v>
      </c>
      <c r="K177" s="165">
        <v>43398</v>
      </c>
      <c r="L177" s="166" t="s">
        <v>308</v>
      </c>
      <c r="M177" s="166" t="s">
        <v>1471</v>
      </c>
      <c r="N177" s="167" t="s">
        <v>336</v>
      </c>
      <c r="O177" s="166">
        <v>9</v>
      </c>
      <c r="P177" s="168" t="s">
        <v>389</v>
      </c>
      <c r="Q177" s="169" t="s">
        <v>344</v>
      </c>
      <c r="R177" s="170" t="s">
        <v>345</v>
      </c>
      <c r="S177" s="170" t="s">
        <v>1472</v>
      </c>
      <c r="T177" s="171">
        <v>1</v>
      </c>
      <c r="U177" s="166" t="s">
        <v>347</v>
      </c>
      <c r="V177" s="166" t="s">
        <v>70</v>
      </c>
      <c r="W177" s="166" t="s">
        <v>274</v>
      </c>
      <c r="X177" s="166" t="s">
        <v>153</v>
      </c>
      <c r="Y177" s="166" t="s">
        <v>316</v>
      </c>
      <c r="Z177" s="166">
        <v>2</v>
      </c>
      <c r="AA177" s="166" t="s">
        <v>153</v>
      </c>
      <c r="AB177" s="166" t="s">
        <v>274</v>
      </c>
      <c r="AC177" s="166">
        <v>11</v>
      </c>
      <c r="AD177" s="166">
        <v>18</v>
      </c>
      <c r="AE177" s="198" t="s">
        <v>153</v>
      </c>
    </row>
    <row r="178" spans="1:31" ht="63.75">
      <c r="A178" s="80">
        <v>177</v>
      </c>
      <c r="B178" s="188" t="s">
        <v>301</v>
      </c>
      <c r="C178" s="81" t="s">
        <v>302</v>
      </c>
      <c r="D178" s="350" t="s">
        <v>1473</v>
      </c>
      <c r="E178" s="164" t="s">
        <v>1294</v>
      </c>
      <c r="F178" s="164" t="s">
        <v>1474</v>
      </c>
      <c r="G178" s="164" t="s">
        <v>1475</v>
      </c>
      <c r="H178" s="80">
        <v>4</v>
      </c>
      <c r="I178" s="164" t="s">
        <v>1476</v>
      </c>
      <c r="J178" s="165">
        <v>43423</v>
      </c>
      <c r="K178" s="165">
        <v>43398</v>
      </c>
      <c r="L178" s="166" t="s">
        <v>322</v>
      </c>
      <c r="M178" s="166" t="s">
        <v>1477</v>
      </c>
      <c r="N178" s="167" t="s">
        <v>324</v>
      </c>
      <c r="O178" s="166">
        <v>12</v>
      </c>
      <c r="P178" s="168" t="s">
        <v>1411</v>
      </c>
      <c r="Q178" s="169" t="s">
        <v>326</v>
      </c>
      <c r="R178" s="170" t="s">
        <v>327</v>
      </c>
      <c r="S178" s="170" t="s">
        <v>922</v>
      </c>
      <c r="T178" s="171">
        <v>1</v>
      </c>
      <c r="U178" s="166" t="s">
        <v>329</v>
      </c>
      <c r="V178" s="166" t="s">
        <v>70</v>
      </c>
      <c r="W178" s="166" t="s">
        <v>274</v>
      </c>
      <c r="X178" s="166" t="s">
        <v>153</v>
      </c>
      <c r="Y178" s="166" t="s">
        <v>316</v>
      </c>
      <c r="Z178" s="166">
        <v>-1</v>
      </c>
      <c r="AA178" s="166" t="s">
        <v>153</v>
      </c>
      <c r="AB178" s="166" t="s">
        <v>274</v>
      </c>
      <c r="AC178" s="166">
        <v>14</v>
      </c>
      <c r="AD178" s="166">
        <v>25</v>
      </c>
      <c r="AE178" s="198" t="s">
        <v>153</v>
      </c>
    </row>
    <row r="179" spans="1:31" ht="51">
      <c r="A179" s="80">
        <v>178</v>
      </c>
      <c r="B179" s="188" t="s">
        <v>301</v>
      </c>
      <c r="C179" s="81" t="s">
        <v>302</v>
      </c>
      <c r="D179" s="350" t="s">
        <v>1478</v>
      </c>
      <c r="E179" s="164" t="s">
        <v>1294</v>
      </c>
      <c r="F179" s="164" t="s">
        <v>1479</v>
      </c>
      <c r="G179" s="164" t="s">
        <v>1480</v>
      </c>
      <c r="H179" s="80">
        <v>3</v>
      </c>
      <c r="I179" s="164" t="s">
        <v>1481</v>
      </c>
      <c r="J179" s="165">
        <v>43423</v>
      </c>
      <c r="K179" s="165">
        <v>43398</v>
      </c>
      <c r="L179" s="166" t="s">
        <v>308</v>
      </c>
      <c r="M179" s="166" t="s">
        <v>1482</v>
      </c>
      <c r="N179" s="167" t="s">
        <v>336</v>
      </c>
      <c r="O179" s="166">
        <v>9</v>
      </c>
      <c r="P179" s="168" t="s">
        <v>389</v>
      </c>
      <c r="Q179" s="169" t="s">
        <v>312</v>
      </c>
      <c r="R179" s="170" t="s">
        <v>313</v>
      </c>
      <c r="S179" s="170" t="s">
        <v>1483</v>
      </c>
      <c r="T179" s="171">
        <v>1</v>
      </c>
      <c r="U179" s="166" t="s">
        <v>315</v>
      </c>
      <c r="V179" s="166" t="s">
        <v>70</v>
      </c>
      <c r="W179" s="166" t="s">
        <v>274</v>
      </c>
      <c r="X179" s="166" t="s">
        <v>153</v>
      </c>
      <c r="Y179" s="166" t="s">
        <v>316</v>
      </c>
      <c r="Z179" s="166">
        <v>-2</v>
      </c>
      <c r="AA179" s="166" t="s">
        <v>153</v>
      </c>
      <c r="AB179" s="166" t="s">
        <v>274</v>
      </c>
      <c r="AC179" s="166">
        <v>16</v>
      </c>
      <c r="AD179" s="166">
        <v>18</v>
      </c>
      <c r="AE179" s="198" t="s">
        <v>153</v>
      </c>
    </row>
    <row r="180" spans="1:31" ht="51">
      <c r="A180" s="80">
        <v>179</v>
      </c>
      <c r="B180" s="188" t="s">
        <v>301</v>
      </c>
      <c r="C180" s="81" t="s">
        <v>302</v>
      </c>
      <c r="D180" s="350" t="s">
        <v>1484</v>
      </c>
      <c r="E180" s="164" t="s">
        <v>1294</v>
      </c>
      <c r="F180" s="164" t="s">
        <v>1485</v>
      </c>
      <c r="G180" s="164" t="s">
        <v>1486</v>
      </c>
      <c r="H180" s="80">
        <v>3</v>
      </c>
      <c r="I180" s="164" t="s">
        <v>1487</v>
      </c>
      <c r="J180" s="165">
        <v>43423</v>
      </c>
      <c r="K180" s="165">
        <v>43396</v>
      </c>
      <c r="L180" s="166" t="s">
        <v>308</v>
      </c>
      <c r="M180" s="166" t="s">
        <v>1488</v>
      </c>
      <c r="N180" s="167" t="s">
        <v>1308</v>
      </c>
      <c r="O180" s="166">
        <v>9</v>
      </c>
      <c r="P180" s="168" t="s">
        <v>934</v>
      </c>
      <c r="Q180" s="169" t="s">
        <v>1309</v>
      </c>
      <c r="R180" s="170" t="s">
        <v>313</v>
      </c>
      <c r="S180" s="170" t="s">
        <v>1489</v>
      </c>
      <c r="T180" s="171">
        <v>1</v>
      </c>
      <c r="U180" s="166" t="s">
        <v>315</v>
      </c>
      <c r="V180" s="166" t="s">
        <v>70</v>
      </c>
      <c r="W180" s="166" t="s">
        <v>316</v>
      </c>
      <c r="X180" s="166">
        <v>50</v>
      </c>
      <c r="Y180" s="166" t="s">
        <v>316</v>
      </c>
      <c r="Z180" s="166">
        <v>46</v>
      </c>
      <c r="AA180" s="166" t="s">
        <v>153</v>
      </c>
      <c r="AB180" s="166" t="s">
        <v>274</v>
      </c>
      <c r="AC180" s="166">
        <v>0</v>
      </c>
      <c r="AD180" s="166">
        <v>4</v>
      </c>
      <c r="AE180" s="198" t="s">
        <v>153</v>
      </c>
    </row>
    <row r="181" spans="1:31" ht="51">
      <c r="A181" s="80">
        <v>180</v>
      </c>
      <c r="B181" s="188" t="s">
        <v>301</v>
      </c>
      <c r="C181" s="81" t="s">
        <v>302</v>
      </c>
      <c r="D181" s="350" t="s">
        <v>1490</v>
      </c>
      <c r="E181" s="164" t="s">
        <v>1294</v>
      </c>
      <c r="F181" s="164" t="s">
        <v>1491</v>
      </c>
      <c r="G181" s="164" t="s">
        <v>1492</v>
      </c>
      <c r="H181" s="80">
        <v>3</v>
      </c>
      <c r="I181" s="164" t="s">
        <v>1493</v>
      </c>
      <c r="J181" s="165">
        <v>43423</v>
      </c>
      <c r="K181" s="165">
        <v>43396</v>
      </c>
      <c r="L181" s="166" t="s">
        <v>308</v>
      </c>
      <c r="M181" s="166" t="s">
        <v>1494</v>
      </c>
      <c r="N181" s="167" t="s">
        <v>1495</v>
      </c>
      <c r="O181" s="166">
        <v>9</v>
      </c>
      <c r="P181" s="168" t="s">
        <v>311</v>
      </c>
      <c r="Q181" s="169" t="s">
        <v>1496</v>
      </c>
      <c r="R181" s="170" t="s">
        <v>345</v>
      </c>
      <c r="S181" s="170" t="s">
        <v>415</v>
      </c>
      <c r="T181" s="171">
        <v>1</v>
      </c>
      <c r="U181" s="166" t="s">
        <v>347</v>
      </c>
      <c r="V181" s="166" t="s">
        <v>70</v>
      </c>
      <c r="W181" s="166" t="s">
        <v>274</v>
      </c>
      <c r="X181" s="166" t="s">
        <v>153</v>
      </c>
      <c r="Y181" s="166" t="s">
        <v>316</v>
      </c>
      <c r="Z181" s="166">
        <v>-41</v>
      </c>
      <c r="AA181" s="166" t="s">
        <v>153</v>
      </c>
      <c r="AB181" s="166" t="s">
        <v>274</v>
      </c>
      <c r="AC181" s="166">
        <v>18</v>
      </c>
      <c r="AD181" s="166">
        <v>63</v>
      </c>
      <c r="AE181" s="198" t="s">
        <v>153</v>
      </c>
    </row>
    <row r="182" spans="1:31" ht="51">
      <c r="A182" s="80">
        <v>181</v>
      </c>
      <c r="B182" s="188" t="s">
        <v>301</v>
      </c>
      <c r="C182" s="81" t="s">
        <v>302</v>
      </c>
      <c r="D182" s="350" t="s">
        <v>1497</v>
      </c>
      <c r="E182" s="164" t="s">
        <v>1294</v>
      </c>
      <c r="F182" s="164" t="s">
        <v>1498</v>
      </c>
      <c r="G182" s="164" t="s">
        <v>1499</v>
      </c>
      <c r="H182" s="80">
        <v>3</v>
      </c>
      <c r="I182" s="164" t="s">
        <v>1500</v>
      </c>
      <c r="J182" s="165">
        <v>43423</v>
      </c>
      <c r="K182" s="165">
        <v>43399</v>
      </c>
      <c r="L182" s="166" t="s">
        <v>308</v>
      </c>
      <c r="M182" s="166" t="s">
        <v>1501</v>
      </c>
      <c r="N182" s="167" t="s">
        <v>336</v>
      </c>
      <c r="O182" s="166">
        <v>9</v>
      </c>
      <c r="P182" s="168" t="s">
        <v>311</v>
      </c>
      <c r="Q182" s="169" t="s">
        <v>312</v>
      </c>
      <c r="R182" s="170" t="s">
        <v>313</v>
      </c>
      <c r="S182" s="170" t="s">
        <v>1502</v>
      </c>
      <c r="T182" s="171">
        <v>1</v>
      </c>
      <c r="U182" s="166" t="s">
        <v>315</v>
      </c>
      <c r="V182" s="166" t="s">
        <v>70</v>
      </c>
      <c r="W182" s="166" t="s">
        <v>274</v>
      </c>
      <c r="X182" s="166" t="s">
        <v>153</v>
      </c>
      <c r="Y182" s="166" t="s">
        <v>316</v>
      </c>
      <c r="Z182" s="166">
        <v>6</v>
      </c>
      <c r="AA182" s="166" t="s">
        <v>153</v>
      </c>
      <c r="AB182" s="166" t="s">
        <v>274</v>
      </c>
      <c r="AC182" s="166">
        <v>11</v>
      </c>
      <c r="AD182" s="166">
        <v>21</v>
      </c>
      <c r="AE182" s="198" t="s">
        <v>153</v>
      </c>
    </row>
    <row r="183" spans="1:31" ht="51">
      <c r="A183" s="80">
        <v>182</v>
      </c>
      <c r="B183" s="188" t="s">
        <v>301</v>
      </c>
      <c r="C183" s="81" t="s">
        <v>302</v>
      </c>
      <c r="D183" s="350" t="s">
        <v>1503</v>
      </c>
      <c r="E183" s="164" t="s">
        <v>1294</v>
      </c>
      <c r="F183" s="164" t="s">
        <v>1504</v>
      </c>
      <c r="G183" s="164" t="s">
        <v>1505</v>
      </c>
      <c r="H183" s="80">
        <v>3</v>
      </c>
      <c r="I183" s="164" t="s">
        <v>1506</v>
      </c>
      <c r="J183" s="165">
        <v>43423</v>
      </c>
      <c r="K183" s="165">
        <v>43399</v>
      </c>
      <c r="L183" s="166" t="s">
        <v>308</v>
      </c>
      <c r="M183" s="166" t="s">
        <v>1507</v>
      </c>
      <c r="N183" s="167" t="s">
        <v>336</v>
      </c>
      <c r="O183" s="166">
        <v>9</v>
      </c>
      <c r="P183" s="168" t="s">
        <v>311</v>
      </c>
      <c r="Q183" s="169" t="s">
        <v>312</v>
      </c>
      <c r="R183" s="170" t="s">
        <v>313</v>
      </c>
      <c r="S183" s="170" t="s">
        <v>1508</v>
      </c>
      <c r="T183" s="171">
        <v>1</v>
      </c>
      <c r="U183" s="166" t="s">
        <v>315</v>
      </c>
      <c r="V183" s="166" t="s">
        <v>70</v>
      </c>
      <c r="W183" s="166" t="s">
        <v>274</v>
      </c>
      <c r="X183" s="166" t="s">
        <v>153</v>
      </c>
      <c r="Y183" s="166" t="s">
        <v>316</v>
      </c>
      <c r="Z183" s="166">
        <v>-92</v>
      </c>
      <c r="AA183" s="166" t="s">
        <v>153</v>
      </c>
      <c r="AB183" s="166" t="s">
        <v>274</v>
      </c>
      <c r="AC183" s="166">
        <v>11</v>
      </c>
      <c r="AD183" s="166">
        <v>116</v>
      </c>
      <c r="AE183" s="198" t="s">
        <v>153</v>
      </c>
    </row>
    <row r="184" spans="1:31" ht="63.75">
      <c r="A184" s="80">
        <v>183</v>
      </c>
      <c r="B184" s="188" t="s">
        <v>301</v>
      </c>
      <c r="C184" s="81" t="s">
        <v>302</v>
      </c>
      <c r="D184" s="350" t="s">
        <v>1509</v>
      </c>
      <c r="E184" s="164" t="s">
        <v>1294</v>
      </c>
      <c r="F184" s="164" t="s">
        <v>1510</v>
      </c>
      <c r="G184" s="164" t="s">
        <v>1511</v>
      </c>
      <c r="H184" s="80">
        <v>4</v>
      </c>
      <c r="I184" s="164" t="s">
        <v>1512</v>
      </c>
      <c r="J184" s="165">
        <v>43423</v>
      </c>
      <c r="K184" s="165">
        <v>43399</v>
      </c>
      <c r="L184" s="166" t="s">
        <v>322</v>
      </c>
      <c r="M184" s="166" t="s">
        <v>1513</v>
      </c>
      <c r="N184" s="167" t="s">
        <v>324</v>
      </c>
      <c r="O184" s="166">
        <v>12</v>
      </c>
      <c r="P184" s="168" t="s">
        <v>1411</v>
      </c>
      <c r="Q184" s="169" t="s">
        <v>326</v>
      </c>
      <c r="R184" s="170" t="s">
        <v>327</v>
      </c>
      <c r="S184" s="170" t="s">
        <v>1514</v>
      </c>
      <c r="T184" s="171">
        <v>1</v>
      </c>
      <c r="U184" s="166" t="s">
        <v>329</v>
      </c>
      <c r="V184" s="166" t="s">
        <v>70</v>
      </c>
      <c r="W184" s="166" t="s">
        <v>274</v>
      </c>
      <c r="X184" s="166" t="s">
        <v>153</v>
      </c>
      <c r="Y184" s="166" t="s">
        <v>316</v>
      </c>
      <c r="Z184" s="166">
        <v>-37</v>
      </c>
      <c r="AA184" s="166" t="s">
        <v>153</v>
      </c>
      <c r="AB184" s="166" t="s">
        <v>274</v>
      </c>
      <c r="AC184" s="166">
        <v>0</v>
      </c>
      <c r="AD184" s="166">
        <v>70</v>
      </c>
      <c r="AE184" s="198" t="s">
        <v>153</v>
      </c>
    </row>
    <row r="185" spans="1:31" ht="51">
      <c r="A185" s="80">
        <v>184</v>
      </c>
      <c r="B185" s="188" t="s">
        <v>301</v>
      </c>
      <c r="C185" s="81" t="s">
        <v>302</v>
      </c>
      <c r="D185" s="350" t="s">
        <v>1515</v>
      </c>
      <c r="E185" s="164" t="s">
        <v>1294</v>
      </c>
      <c r="F185" s="164" t="s">
        <v>1516</v>
      </c>
      <c r="G185" s="164" t="s">
        <v>1517</v>
      </c>
      <c r="H185" s="80">
        <v>3</v>
      </c>
      <c r="I185" s="164" t="s">
        <v>1518</v>
      </c>
      <c r="J185" s="165">
        <v>43423</v>
      </c>
      <c r="K185" s="165">
        <v>43399</v>
      </c>
      <c r="L185" s="166" t="s">
        <v>308</v>
      </c>
      <c r="M185" s="166" t="s">
        <v>1519</v>
      </c>
      <c r="N185" s="167" t="s">
        <v>354</v>
      </c>
      <c r="O185" s="166">
        <v>9</v>
      </c>
      <c r="P185" s="168" t="s">
        <v>311</v>
      </c>
      <c r="Q185" s="169" t="s">
        <v>356</v>
      </c>
      <c r="R185" s="170" t="s">
        <v>313</v>
      </c>
      <c r="S185" s="170" t="s">
        <v>1520</v>
      </c>
      <c r="T185" s="171">
        <v>1</v>
      </c>
      <c r="U185" s="166" t="s">
        <v>315</v>
      </c>
      <c r="V185" s="166" t="s">
        <v>70</v>
      </c>
      <c r="W185" s="166" t="s">
        <v>274</v>
      </c>
      <c r="X185" s="166" t="s">
        <v>153</v>
      </c>
      <c r="Y185" s="166" t="s">
        <v>316</v>
      </c>
      <c r="Z185" s="166">
        <v>3</v>
      </c>
      <c r="AA185" s="166" t="s">
        <v>153</v>
      </c>
      <c r="AB185" s="166" t="s">
        <v>274</v>
      </c>
      <c r="AC185" s="166">
        <v>7</v>
      </c>
      <c r="AD185" s="166">
        <v>14</v>
      </c>
      <c r="AE185" s="198" t="s">
        <v>153</v>
      </c>
    </row>
    <row r="186" spans="1:31" ht="51">
      <c r="A186" s="80">
        <v>185</v>
      </c>
      <c r="B186" s="188" t="s">
        <v>301</v>
      </c>
      <c r="C186" s="81" t="s">
        <v>302</v>
      </c>
      <c r="D186" s="350" t="s">
        <v>1521</v>
      </c>
      <c r="E186" s="164" t="s">
        <v>1294</v>
      </c>
      <c r="F186" s="164" t="s">
        <v>1522</v>
      </c>
      <c r="G186" s="164" t="s">
        <v>1523</v>
      </c>
      <c r="H186" s="80">
        <v>3</v>
      </c>
      <c r="I186" s="164" t="s">
        <v>1524</v>
      </c>
      <c r="J186" s="165">
        <v>43423</v>
      </c>
      <c r="K186" s="165">
        <v>43397</v>
      </c>
      <c r="L186" s="166" t="s">
        <v>308</v>
      </c>
      <c r="M186" s="166" t="s">
        <v>1525</v>
      </c>
      <c r="N186" s="167" t="s">
        <v>1308</v>
      </c>
      <c r="O186" s="166">
        <v>9</v>
      </c>
      <c r="P186" s="168" t="s">
        <v>355</v>
      </c>
      <c r="Q186" s="169" t="s">
        <v>1309</v>
      </c>
      <c r="R186" s="170" t="s">
        <v>313</v>
      </c>
      <c r="S186" s="170" t="s">
        <v>1526</v>
      </c>
      <c r="T186" s="171">
        <v>1</v>
      </c>
      <c r="U186" s="166" t="s">
        <v>315</v>
      </c>
      <c r="V186" s="166" t="s">
        <v>70</v>
      </c>
      <c r="W186" s="166" t="s">
        <v>274</v>
      </c>
      <c r="X186" s="166" t="s">
        <v>153</v>
      </c>
      <c r="Y186" s="166" t="s">
        <v>316</v>
      </c>
      <c r="Z186" s="166">
        <v>23</v>
      </c>
      <c r="AA186" s="166" t="s">
        <v>153</v>
      </c>
      <c r="AB186" s="166" t="s">
        <v>274</v>
      </c>
      <c r="AC186" s="166">
        <v>0</v>
      </c>
      <c r="AD186" s="166">
        <v>4</v>
      </c>
      <c r="AE186" s="198" t="s">
        <v>1527</v>
      </c>
    </row>
    <row r="187" spans="1:31" ht="51">
      <c r="A187" s="80">
        <v>186</v>
      </c>
      <c r="B187" s="188" t="s">
        <v>301</v>
      </c>
      <c r="C187" s="81" t="s">
        <v>302</v>
      </c>
      <c r="D187" s="350" t="s">
        <v>1528</v>
      </c>
      <c r="E187" s="164" t="s">
        <v>1294</v>
      </c>
      <c r="F187" s="164" t="s">
        <v>1529</v>
      </c>
      <c r="G187" s="164" t="s">
        <v>1530</v>
      </c>
      <c r="H187" s="80">
        <v>3</v>
      </c>
      <c r="I187" s="164" t="s">
        <v>1531</v>
      </c>
      <c r="J187" s="165">
        <v>43423</v>
      </c>
      <c r="K187" s="165">
        <v>43396</v>
      </c>
      <c r="L187" s="166" t="s">
        <v>308</v>
      </c>
      <c r="M187" s="166" t="s">
        <v>1532</v>
      </c>
      <c r="N187" s="167" t="s">
        <v>1495</v>
      </c>
      <c r="O187" s="166">
        <v>9</v>
      </c>
      <c r="P187" s="168" t="s">
        <v>311</v>
      </c>
      <c r="Q187" s="169" t="s">
        <v>1334</v>
      </c>
      <c r="R187" s="170" t="s">
        <v>313</v>
      </c>
      <c r="S187" s="170" t="s">
        <v>1533</v>
      </c>
      <c r="T187" s="171">
        <v>1</v>
      </c>
      <c r="U187" s="166" t="s">
        <v>315</v>
      </c>
      <c r="V187" s="166" t="s">
        <v>70</v>
      </c>
      <c r="W187" s="166" t="s">
        <v>274</v>
      </c>
      <c r="X187" s="166" t="s">
        <v>153</v>
      </c>
      <c r="Y187" s="166" t="s">
        <v>316</v>
      </c>
      <c r="Z187" s="166">
        <v>6</v>
      </c>
      <c r="AA187" s="166" t="s">
        <v>153</v>
      </c>
      <c r="AB187" s="166" t="s">
        <v>274</v>
      </c>
      <c r="AC187" s="166">
        <v>11</v>
      </c>
      <c r="AD187" s="166">
        <v>14</v>
      </c>
      <c r="AE187" s="198" t="s">
        <v>153</v>
      </c>
    </row>
    <row r="188" spans="1:31" ht="38.25">
      <c r="A188" s="80">
        <v>187</v>
      </c>
      <c r="B188" s="188" t="s">
        <v>301</v>
      </c>
      <c r="C188" s="81" t="s">
        <v>302</v>
      </c>
      <c r="D188" s="350" t="s">
        <v>1534</v>
      </c>
      <c r="E188" s="164" t="s">
        <v>1294</v>
      </c>
      <c r="F188" s="164" t="s">
        <v>1535</v>
      </c>
      <c r="G188" s="164" t="s">
        <v>1536</v>
      </c>
      <c r="H188" s="80">
        <v>2</v>
      </c>
      <c r="I188" s="164" t="s">
        <v>1537</v>
      </c>
      <c r="J188" s="165">
        <v>43423</v>
      </c>
      <c r="K188" s="165">
        <v>43395</v>
      </c>
      <c r="L188" s="166" t="s">
        <v>777</v>
      </c>
      <c r="M188" s="166" t="s">
        <v>1538</v>
      </c>
      <c r="N188" s="167" t="s">
        <v>1299</v>
      </c>
      <c r="O188" s="166">
        <v>6</v>
      </c>
      <c r="P188" s="168" t="s">
        <v>780</v>
      </c>
      <c r="Q188" s="169" t="s">
        <v>1300</v>
      </c>
      <c r="R188" s="170" t="s">
        <v>782</v>
      </c>
      <c r="S188" s="170" t="s">
        <v>1539</v>
      </c>
      <c r="T188" s="171">
        <v>1</v>
      </c>
      <c r="U188" s="166" t="s">
        <v>1302</v>
      </c>
      <c r="V188" s="166" t="s">
        <v>70</v>
      </c>
      <c r="W188" s="166" t="s">
        <v>274</v>
      </c>
      <c r="X188" s="166" t="s">
        <v>153</v>
      </c>
      <c r="Y188" s="166" t="s">
        <v>316</v>
      </c>
      <c r="Z188" s="166">
        <v>-8</v>
      </c>
      <c r="AA188" s="166" t="s">
        <v>153</v>
      </c>
      <c r="AB188" s="166" t="s">
        <v>274</v>
      </c>
      <c r="AC188" s="166">
        <v>22.5</v>
      </c>
      <c r="AD188" s="166">
        <v>30</v>
      </c>
      <c r="AE188" s="198" t="s">
        <v>153</v>
      </c>
    </row>
  </sheetData>
  <autoFilter ref="A1:AE1"/>
  <conditionalFormatting sqref="V1:W1 V189:W1048576">
    <cfRule type="containsText" dxfId="8" priority="9" operator="containsText" text="no">
      <formula>NOT(ISERROR(SEARCH("no",V1)))</formula>
    </cfRule>
  </conditionalFormatting>
  <conditionalFormatting sqref="V2:W2 V3:V188">
    <cfRule type="containsText" dxfId="1" priority="2" operator="containsText" text="no">
      <formula>NOT(ISERROR(SEARCH("no",V2)))</formula>
    </cfRule>
  </conditionalFormatting>
  <conditionalFormatting sqref="W3:W188">
    <cfRule type="containsText" dxfId="0" priority="1" operator="containsText" text="no">
      <formula>NOT(ISERROR(SEARCH("no",W3)))</formula>
    </cfRule>
  </conditionalFormatting>
  <pageMargins left="0.27" right="0.28999999999999998" top="0.74803149606299213" bottom="0.74803149606299213" header="0.31496062992125984" footer="0.31496062992125984"/>
  <pageSetup paperSize="9"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J2"/>
  <sheetViews>
    <sheetView topLeftCell="DI1" zoomScale="70" zoomScaleNormal="70" workbookViewId="0">
      <selection activeCell="ED8" sqref="ED8"/>
    </sheetView>
  </sheetViews>
  <sheetFormatPr defaultColWidth="9.140625" defaultRowHeight="15.75"/>
  <cols>
    <col min="1" max="1" width="5.7109375" style="39" customWidth="1"/>
    <col min="2" max="3" width="7.85546875" style="39" customWidth="1"/>
    <col min="4" max="4" width="14.5703125" bestFit="1" customWidth="1"/>
    <col min="5" max="5" width="23.28515625" style="192" customWidth="1"/>
    <col min="6" max="6" width="21.28515625" style="39" customWidth="1"/>
    <col min="7" max="7" width="52.5703125" style="40" customWidth="1"/>
    <col min="8" max="8" width="15.42578125" style="38" customWidth="1"/>
    <col min="9" max="9" width="11.42578125" style="38" customWidth="1"/>
    <col min="10" max="10" width="11.5703125" style="38" customWidth="1"/>
    <col min="11" max="11" width="10.85546875" style="38" customWidth="1"/>
    <col min="12" max="13" width="13.5703125" style="38" customWidth="1"/>
    <col min="14" max="14" width="22" style="38" customWidth="1"/>
    <col min="15" max="15" width="13.5703125" style="38" customWidth="1"/>
    <col min="16" max="16" width="16.42578125" style="38" customWidth="1"/>
    <col min="17" max="17" width="11" style="38" customWidth="1"/>
    <col min="18" max="21" width="13.5703125" style="38" customWidth="1"/>
    <col min="22" max="22" width="7.5703125" style="38" customWidth="1"/>
    <col min="23" max="23" width="8.140625" style="3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21" width="8.5703125" style="39" customWidth="1"/>
    <col min="122" max="122" width="17.28515625" style="51" customWidth="1"/>
    <col min="123" max="125" width="9.85546875" style="39" customWidth="1"/>
    <col min="126" max="126" width="9.85546875" style="38" customWidth="1"/>
    <col min="127" max="127" width="9.140625" style="52"/>
    <col min="128" max="130" width="9.140625" style="25"/>
    <col min="131" max="131" width="9.140625" style="194" customWidth="1"/>
    <col min="132" max="133" width="9.140625" style="163" customWidth="1"/>
    <col min="134" max="135" width="9.140625" style="25" customWidth="1"/>
    <col min="136" max="136" width="9.140625" style="25"/>
    <col min="137" max="137" width="9.140625" style="163"/>
    <col min="138" max="138" width="9.140625" style="163" hidden="1" customWidth="1"/>
    <col min="139" max="139" width="9.85546875" style="163" bestFit="1" customWidth="1"/>
    <col min="140" max="16384" width="9.140625" style="25"/>
  </cols>
  <sheetData>
    <row r="1" spans="1:140" ht="79.5" customHeight="1">
      <c r="A1" s="6" t="s">
        <v>0</v>
      </c>
      <c r="B1" s="6" t="s">
        <v>22</v>
      </c>
      <c r="C1" s="6" t="s">
        <v>67</v>
      </c>
      <c r="D1" s="6" t="s">
        <v>23</v>
      </c>
      <c r="E1" s="190" t="s">
        <v>68</v>
      </c>
      <c r="F1" s="6" t="s">
        <v>69</v>
      </c>
      <c r="G1" s="6" t="s">
        <v>24</v>
      </c>
      <c r="H1" s="6" t="s">
        <v>230</v>
      </c>
      <c r="I1" s="6" t="s">
        <v>11</v>
      </c>
      <c r="J1" s="6" t="s">
        <v>12</v>
      </c>
      <c r="K1" s="6" t="s">
        <v>25</v>
      </c>
      <c r="L1" s="7" t="s">
        <v>26</v>
      </c>
      <c r="M1" s="7" t="s">
        <v>27</v>
      </c>
      <c r="N1" s="6" t="s">
        <v>28</v>
      </c>
      <c r="O1" s="6" t="s">
        <v>29</v>
      </c>
      <c r="P1" s="8" t="s">
        <v>30</v>
      </c>
      <c r="Q1" s="6" t="s">
        <v>31</v>
      </c>
      <c r="R1" s="7" t="s">
        <v>32</v>
      </c>
      <c r="S1" s="7" t="s">
        <v>33</v>
      </c>
      <c r="T1" s="9" t="s">
        <v>34</v>
      </c>
      <c r="U1" s="9" t="s">
        <v>35</v>
      </c>
      <c r="V1" s="6" t="s">
        <v>13</v>
      </c>
      <c r="W1" s="6" t="s">
        <v>36</v>
      </c>
      <c r="X1" s="10" t="s">
        <v>37</v>
      </c>
      <c r="Y1" s="10" t="s">
        <v>17</v>
      </c>
      <c r="Z1" s="10" t="s">
        <v>38</v>
      </c>
      <c r="AA1" s="10" t="s">
        <v>39</v>
      </c>
      <c r="AB1" s="11" t="s">
        <v>40</v>
      </c>
      <c r="AC1" s="11" t="s">
        <v>41</v>
      </c>
      <c r="AD1" s="11" t="s">
        <v>42</v>
      </c>
      <c r="AE1" s="11" t="s">
        <v>185</v>
      </c>
      <c r="AF1" s="11" t="s">
        <v>43</v>
      </c>
      <c r="AG1" s="10" t="s">
        <v>44</v>
      </c>
      <c r="AH1" s="10" t="s">
        <v>45</v>
      </c>
      <c r="AI1" s="10" t="s">
        <v>46</v>
      </c>
      <c r="AJ1" s="10" t="s">
        <v>186</v>
      </c>
      <c r="AK1" s="10" t="s">
        <v>47</v>
      </c>
      <c r="AL1" s="10" t="s">
        <v>7</v>
      </c>
      <c r="AM1" s="10" t="s">
        <v>48</v>
      </c>
      <c r="AN1" s="12" t="s">
        <v>49</v>
      </c>
      <c r="AO1" s="12" t="s">
        <v>235</v>
      </c>
      <c r="AP1" s="12" t="s">
        <v>38</v>
      </c>
      <c r="AQ1" s="12" t="s">
        <v>39</v>
      </c>
      <c r="AR1" s="13" t="s">
        <v>40</v>
      </c>
      <c r="AS1" s="13" t="s">
        <v>41</v>
      </c>
      <c r="AT1" s="13" t="s">
        <v>42</v>
      </c>
      <c r="AU1" s="13" t="s">
        <v>185</v>
      </c>
      <c r="AV1" s="13" t="s">
        <v>43</v>
      </c>
      <c r="AW1" s="12" t="s">
        <v>44</v>
      </c>
      <c r="AX1" s="12" t="s">
        <v>45</v>
      </c>
      <c r="AY1" s="12" t="s">
        <v>46</v>
      </c>
      <c r="AZ1" s="12" t="s">
        <v>186</v>
      </c>
      <c r="BA1" s="12" t="s">
        <v>47</v>
      </c>
      <c r="BB1" s="12" t="s">
        <v>7</v>
      </c>
      <c r="BC1" s="12" t="s">
        <v>48</v>
      </c>
      <c r="BD1" s="14" t="s">
        <v>50</v>
      </c>
      <c r="BE1" s="14" t="s">
        <v>231</v>
      </c>
      <c r="BF1" s="14" t="s">
        <v>38</v>
      </c>
      <c r="BG1" s="14" t="s">
        <v>39</v>
      </c>
      <c r="BH1" s="15" t="s">
        <v>40</v>
      </c>
      <c r="BI1" s="15" t="s">
        <v>41</v>
      </c>
      <c r="BJ1" s="15" t="s">
        <v>42</v>
      </c>
      <c r="BK1" s="15" t="s">
        <v>185</v>
      </c>
      <c r="BL1" s="15" t="s">
        <v>43</v>
      </c>
      <c r="BM1" s="14" t="s">
        <v>44</v>
      </c>
      <c r="BN1" s="14" t="s">
        <v>45</v>
      </c>
      <c r="BO1" s="14" t="s">
        <v>46</v>
      </c>
      <c r="BP1" s="14" t="s">
        <v>186</v>
      </c>
      <c r="BQ1" s="14" t="s">
        <v>47</v>
      </c>
      <c r="BR1" s="14" t="s">
        <v>7</v>
      </c>
      <c r="BS1" s="14" t="s">
        <v>48</v>
      </c>
      <c r="BT1" s="16" t="s">
        <v>51</v>
      </c>
      <c r="BU1" s="16" t="s">
        <v>232</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233</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234</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203</v>
      </c>
      <c r="DU1" s="24" t="s">
        <v>64</v>
      </c>
      <c r="DV1" s="24" t="s">
        <v>65</v>
      </c>
      <c r="DW1" s="21" t="s">
        <v>66</v>
      </c>
      <c r="DX1" s="160" t="s">
        <v>20</v>
      </c>
      <c r="DY1" s="160" t="s">
        <v>21</v>
      </c>
      <c r="DZ1" s="160" t="s">
        <v>71</v>
      </c>
      <c r="EA1" s="186" t="s">
        <v>259</v>
      </c>
      <c r="EB1" s="186" t="s">
        <v>257</v>
      </c>
      <c r="EC1" s="219" t="s">
        <v>266</v>
      </c>
      <c r="ED1" s="220" t="s">
        <v>297</v>
      </c>
      <c r="EE1" s="221" t="s">
        <v>298</v>
      </c>
      <c r="EF1" s="159" t="s">
        <v>199</v>
      </c>
      <c r="EG1" s="159" t="s">
        <v>200</v>
      </c>
      <c r="EH1" s="159" t="s">
        <v>201</v>
      </c>
      <c r="EI1" s="159" t="s">
        <v>214</v>
      </c>
      <c r="EJ1" s="23"/>
    </row>
    <row r="2" spans="1:140" ht="56.25">
      <c r="A2" s="53">
        <f>Tonghop!A2</f>
        <v>1</v>
      </c>
      <c r="B2" s="26">
        <v>5</v>
      </c>
      <c r="C2" s="37">
        <v>0</v>
      </c>
      <c r="D2" s="37">
        <v>1700738</v>
      </c>
      <c r="E2" s="191" t="s">
        <v>287</v>
      </c>
      <c r="F2" s="54" t="s">
        <v>262</v>
      </c>
      <c r="G2" s="28" t="s">
        <v>268</v>
      </c>
      <c r="H2" s="27" t="s">
        <v>269</v>
      </c>
      <c r="I2" s="27" t="s">
        <v>270</v>
      </c>
      <c r="J2" s="27" t="s">
        <v>271</v>
      </c>
      <c r="K2" s="128" t="s">
        <v>272</v>
      </c>
      <c r="L2" s="130">
        <v>43066</v>
      </c>
      <c r="M2" s="130">
        <v>43039</v>
      </c>
      <c r="N2" s="29" t="str">
        <f t="shared" ref="N2" si="0">IF(LEN(O2)=4,"B0"&amp;O2&amp;P2&amp;Q2,IF(LEN(O2)=3,"B00"&amp;O2&amp;P2&amp;Q2,IF(LEN(O2)=2,"B000"&amp;O2&amp;P2&amp;Q2,IF(LEN(O2)=1,"B0000"&amp;O2&amp;P2&amp;Q2,"B"&amp;O2&amp;P2&amp;Q2))))</f>
        <v>B00410011217TG05</v>
      </c>
      <c r="O2" s="82">
        <v>410</v>
      </c>
      <c r="P2" s="30" t="str">
        <f t="shared" ref="P2" si="1">TEXT($T$2,"ddmmyy")</f>
        <v>011217</v>
      </c>
      <c r="Q2" s="29" t="s">
        <v>228</v>
      </c>
      <c r="R2" s="30" t="str">
        <f t="shared" ref="R2" si="2">TEXT(T2,"dd/mm/yyyy")</f>
        <v>01/12/2017</v>
      </c>
      <c r="S2" s="30" t="str">
        <f t="shared" ref="S2" si="3">TEXT(U2,"dd/mm/yyyy")</f>
        <v>01/12/2022</v>
      </c>
      <c r="T2" s="139" t="s">
        <v>283</v>
      </c>
      <c r="U2" s="139" t="s">
        <v>284</v>
      </c>
      <c r="V2" s="27">
        <v>1</v>
      </c>
      <c r="W2" s="27" t="s">
        <v>273</v>
      </c>
      <c r="X2" s="31" t="s">
        <v>262</v>
      </c>
      <c r="Y2" s="31" t="s">
        <v>278</v>
      </c>
      <c r="Z2" s="31" t="s">
        <v>279</v>
      </c>
      <c r="AA2" s="31">
        <v>3</v>
      </c>
      <c r="AB2" s="131" t="s">
        <v>263</v>
      </c>
      <c r="AC2" s="131" t="s">
        <v>263</v>
      </c>
      <c r="AD2" s="131" t="s">
        <v>263</v>
      </c>
      <c r="AE2" s="131"/>
      <c r="AF2" s="132" t="str">
        <f t="shared" ref="AF2" si="4">IF(AA2=1,AB2,IF(AA2=2,AB2&amp;"/"&amp;AC2,IF(AA2=3,AB2&amp;"/"&amp;AC2&amp;"/"&amp;AD2,IF(AA2=4,AB2&amp;"/"&amp;AC2&amp;"/"&amp;AD2&amp;"/"&amp;AE2,""))))</f>
        <v>4/4/4</v>
      </c>
      <c r="AG2" s="131" t="s">
        <v>281</v>
      </c>
      <c r="AH2" s="131" t="s">
        <v>281</v>
      </c>
      <c r="AI2" s="131" t="s">
        <v>281</v>
      </c>
      <c r="AJ2" s="131"/>
      <c r="AK2" s="27" t="str">
        <f>IF(AA2=1,AG2&amp;"W",IF(AA2=2,AG2&amp;"W/"&amp;AH2&amp;"W",IF(AA2=3,AG2&amp;"W/"&amp;AH2&amp;"W/"&amp;AI2&amp;"W",IF(AA2=4,AG2&amp;"W/"&amp;AH2&amp;"W/"&amp;AI2&amp;"W/"&amp;AJ2&amp;"W",""))))</f>
        <v>60W/60W/60W</v>
      </c>
      <c r="AL2" s="31" t="s">
        <v>264</v>
      </c>
      <c r="AM2" s="31" t="s">
        <v>280</v>
      </c>
      <c r="AN2" s="32"/>
      <c r="AO2" s="32"/>
      <c r="AP2" s="32"/>
      <c r="AQ2" s="32"/>
      <c r="AR2" s="133"/>
      <c r="AS2" s="133"/>
      <c r="AT2" s="133"/>
      <c r="AU2" s="133"/>
      <c r="AV2" s="132" t="str">
        <f t="shared" ref="AV2" si="5">IF(AQ2=1,AR2,IF(AQ2=2,AR2&amp;"/"&amp;AS2,IF(AQ2=3,AR2&amp;"/"&amp;AS2&amp;"/"&amp;AT2,IF(AQ2=4,AR2&amp;"/"&amp;AS2&amp;"/"&amp;AT2&amp;"/"&amp;AU2,""))))</f>
        <v/>
      </c>
      <c r="AW2" s="133"/>
      <c r="AX2" s="133"/>
      <c r="AY2" s="133"/>
      <c r="AZ2" s="133"/>
      <c r="BA2" s="27" t="str">
        <f>IF(AQ2=1,AW2&amp;"W",IF(AQ2=2,AW2&amp;"W/"&amp;AX2&amp;"W",IF(AQ2=3,AW2&amp;"W/"&amp;AX2&amp;"W/"&amp;AY2&amp;"W",IF(AQ2=4,AW2&amp;"W/"&amp;AX2&amp;"W/"&amp;AY2&amp;"W/"&amp;AZ2&amp;"W",""))))</f>
        <v/>
      </c>
      <c r="BB2" s="32"/>
      <c r="BC2" s="32"/>
      <c r="BD2" s="129"/>
      <c r="BE2" s="129"/>
      <c r="BF2" s="129"/>
      <c r="BG2" s="129"/>
      <c r="BH2" s="129"/>
      <c r="BI2" s="129"/>
      <c r="BJ2" s="129"/>
      <c r="BK2" s="129"/>
      <c r="BL2" s="132" t="str">
        <f t="shared" ref="BL2" si="6">IF(BG2=1,BH2,IF(BG2=2,BH2&amp;"/"&amp;BI2,IF(BG2=3,BH2&amp;"/"&amp;BI2&amp;"/"&amp;BJ2,IF(BG2=4,BH2&amp;"/"&amp;BI2&amp;"/"&amp;BJ2&amp;"/"&amp;BK2,""))))</f>
        <v/>
      </c>
      <c r="BM2" s="129"/>
      <c r="BN2" s="129"/>
      <c r="BO2" s="129"/>
      <c r="BP2" s="129"/>
      <c r="BQ2" s="27" t="str">
        <f>IF(BG2=1,BM2&amp;"W",IF(BG2=2,BM2&amp;"W/"&amp;BN2&amp;"W",IF(BG2=3,BM2&amp;"W/"&amp;BN2&amp;"W/"&amp;BO2&amp;"W",IF(BG2=4,BM2&amp;"W/"&amp;BN2&amp;"W/"&amp;BO2&amp;"W/"&amp;BP2&amp;"W",""))))</f>
        <v/>
      </c>
      <c r="BR2" s="129"/>
      <c r="BS2" s="129"/>
      <c r="BT2" s="33" t="s">
        <v>153</v>
      </c>
      <c r="BU2" s="33" t="s">
        <v>153</v>
      </c>
      <c r="BV2" s="33" t="s">
        <v>153</v>
      </c>
      <c r="BW2" s="33" t="s">
        <v>153</v>
      </c>
      <c r="BX2" s="34" t="s">
        <v>153</v>
      </c>
      <c r="BY2" s="34" t="s">
        <v>153</v>
      </c>
      <c r="BZ2" s="34" t="s">
        <v>153</v>
      </c>
      <c r="CA2" s="132" t="str">
        <f t="shared" ref="CA2" si="7">IF(BW2=1,BX2,IF(BW2=2,BX2&amp;"/"&amp;BY2,IF(BW2=3,BX2&amp;"/"&amp;BY2&amp;"/"&amp;BZ2,"")))</f>
        <v/>
      </c>
      <c r="CB2" s="34" t="s">
        <v>153</v>
      </c>
      <c r="CC2" s="34" t="s">
        <v>153</v>
      </c>
      <c r="CD2" s="34" t="s">
        <v>153</v>
      </c>
      <c r="CE2" s="27" t="str">
        <f>IF(BW2=1,CB2&amp;"W",IF(BW2=2,CB2&amp;"W/"&amp;CC2&amp;"W",IF(BW2=3,CB2&amp;"W/"&amp;CC2&amp;"W/"&amp;CD2&amp;"W","")))</f>
        <v/>
      </c>
      <c r="CF2" s="33" t="s">
        <v>153</v>
      </c>
      <c r="CG2" s="33" t="s">
        <v>153</v>
      </c>
      <c r="CH2" s="35" t="s">
        <v>153</v>
      </c>
      <c r="CI2" s="35" t="s">
        <v>153</v>
      </c>
      <c r="CJ2" s="35" t="s">
        <v>153</v>
      </c>
      <c r="CK2" s="35" t="s">
        <v>153</v>
      </c>
      <c r="CL2" s="134" t="s">
        <v>153</v>
      </c>
      <c r="CM2" s="134" t="s">
        <v>153</v>
      </c>
      <c r="CN2" s="134" t="s">
        <v>153</v>
      </c>
      <c r="CO2" s="132" t="str">
        <f t="shared" ref="CO2" si="8">IF(CK2=1,CL2,IF(CK2=2,CL2&amp;"/"&amp;CM2,IF(CK2=3,CL2&amp;"/"&amp;CM2&amp;"/"&amp;CN2,"")))</f>
        <v/>
      </c>
      <c r="CP2" s="134" t="s">
        <v>153</v>
      </c>
      <c r="CQ2" s="134" t="s">
        <v>153</v>
      </c>
      <c r="CR2" s="134" t="s">
        <v>153</v>
      </c>
      <c r="CS2" s="27" t="str">
        <f>IF(CK2=1,CP2&amp;"W",IF(CK2=2,CP2&amp;"W/"&amp;CQ2&amp;"W",IF(CK2=3,CP2&amp;"W/"&amp;CQ2&amp;"W/"&amp;CR2&amp;"W","")))</f>
        <v/>
      </c>
      <c r="CT2" s="35" t="s">
        <v>153</v>
      </c>
      <c r="CU2" s="35" t="s">
        <v>153</v>
      </c>
      <c r="CV2" s="36" t="s">
        <v>153</v>
      </c>
      <c r="CW2" s="36" t="s">
        <v>153</v>
      </c>
      <c r="CX2" s="36" t="s">
        <v>153</v>
      </c>
      <c r="CY2" s="36" t="s">
        <v>153</v>
      </c>
      <c r="CZ2" s="135" t="s">
        <v>153</v>
      </c>
      <c r="DA2" s="135" t="s">
        <v>153</v>
      </c>
      <c r="DB2" s="135" t="s">
        <v>153</v>
      </c>
      <c r="DC2" s="132" t="str">
        <f t="shared" ref="DC2" si="9">IF(CY2=1,CZ2,IF(CY2=2,CZ2&amp;"/"&amp;DA2,IF(CY2=3,CZ2&amp;"/"&amp;DA2&amp;"/"&amp;DB2,"")))</f>
        <v/>
      </c>
      <c r="DD2" s="135" t="s">
        <v>153</v>
      </c>
      <c r="DE2" s="135" t="s">
        <v>153</v>
      </c>
      <c r="DF2" s="135" t="s">
        <v>153</v>
      </c>
      <c r="DG2" s="27" t="str">
        <f>IF(CY2=1,DD2&amp;"W",IF(CY2=2,DD2&amp;"W/"&amp;DE2&amp;"W",IF(CY2=3,DD2&amp;"W/"&amp;DE2&amp;"W/"&amp;DF2&amp;"W","")))</f>
        <v/>
      </c>
      <c r="DH2" s="36" t="s">
        <v>153</v>
      </c>
      <c r="DI2" s="36" t="s">
        <v>153</v>
      </c>
      <c r="DJ2" s="128">
        <f t="shared" ref="DJ2" si="10">IF(LEN(CV2)&lt;&gt;0,6,IF(LEN(CH2)&lt;&gt;0,5,IF(LEN(BT2)&lt;&gt;0,4,IF(LEN(BD2)&lt;&gt;0,3,IF(LEN(AN2)&lt;&gt;0,2,IF(LEN(X2)&lt;&gt;0,1,FALSE))))))</f>
        <v>1</v>
      </c>
      <c r="DK2" s="128" t="str">
        <f t="shared" ref="DK2" si="11">DJ2&amp;"-"&amp;DQ2</f>
        <v>1-1</v>
      </c>
      <c r="DL2" s="128" t="str">
        <f t="shared" ref="DL2" si="12">IF(AN2=0,"",IF(AND(AN2&lt;&gt;0,AN2=X2),"CHUNG","KHÁC"))</f>
        <v/>
      </c>
      <c r="DM2" s="128" t="str">
        <f t="shared" ref="DM2" si="13">IF(BD2=0,"",IF(AND(BD2&lt;&gt;0,BD2=X2),"CHUNG","KHÁC"))</f>
        <v/>
      </c>
      <c r="DN2" s="128" t="str">
        <f t="shared" ref="DN2" si="14">IF(BT2=0,"",IF(AND(BT2&lt;&gt;0,BT2=X2),"CHUNG","KHÁC"))</f>
        <v>KHÁC</v>
      </c>
      <c r="DO2" s="128" t="str">
        <f t="shared" ref="DO2" si="15">IF(CH2=0,"",IF(AND(CH2&lt;&gt;0,CH2=X2),"CHUNG","KHÁC"))</f>
        <v>KHÁC</v>
      </c>
      <c r="DP2" s="128" t="str">
        <f t="shared" ref="DP2" si="16">IF(CV2=0,"",IF(AND(CV2&lt;&gt;0,CV2=X2),"CHUNG","KHÁC"))</f>
        <v>KHÁC</v>
      </c>
      <c r="DQ2" s="128">
        <f t="shared" ref="DQ2" si="17">IF(COUNTIF(DL2:DP2,"CHUNG")=0,1,COUNTIF(DL2:DP2,"CHUNG")+1)</f>
        <v>1</v>
      </c>
      <c r="DR2" s="136" t="s">
        <v>282</v>
      </c>
      <c r="DS2" s="137" t="b">
        <f t="shared" ref="DS2" si="18">RIGHT(G2,LEN(H2)+1)=(H2&amp;".")</f>
        <v>1</v>
      </c>
      <c r="DT2" s="137" t="b">
        <f t="shared" ref="DT2" si="19" xml:space="preserve"> IF((L2-M2)&gt;120,FALSE,TRUE)</f>
        <v>1</v>
      </c>
      <c r="DU2" s="137" t="b">
        <f>IF((S2-R2)&lt;&gt;1826,FALSE,TRUE)</f>
        <v>1</v>
      </c>
      <c r="DV2" s="128" t="b">
        <f>IF(IF(LEN(CV2)&lt;&gt;0,6,IF(LEN(CH2)&lt;&gt;0,5,IF(LEN(BT2)&lt;&gt;0,4,IF(LEN(BD2)&lt;&gt;0,3,IF(LEN(AN2)&lt;&gt;0,2,IF(LEN(X2)&lt;&gt;0,1,FALSE))))))&lt;&gt;V2,FALSE,TRUE)</f>
        <v>1</v>
      </c>
      <c r="DW2" s="128" t="b">
        <f t="shared" ref="DW2" si="20">NOT(OR(AND(X2&lt;&gt;AN2,OR(X2=BD2,X2=BT2,X2=CH2,X2=CV2)),AND(AN2&lt;&gt;BD2,OR(AN2=BT2,AN2=CH2,AN2=CV2)),AND(BD2&lt;&gt;BT2,OR(BD2=CH2,BD2=CV2)),AND(BT2&lt;&gt;CH2,BT2=CV2)))</f>
        <v>1</v>
      </c>
      <c r="DX2" s="128"/>
      <c r="DY2" s="128"/>
      <c r="DZ2" s="128" t="s">
        <v>153</v>
      </c>
      <c r="EA2" s="193"/>
      <c r="EB2" s="193"/>
      <c r="EC2" s="37"/>
      <c r="ED2" s="161"/>
      <c r="EE2" s="161"/>
      <c r="EF2" s="37" t="str">
        <f t="shared" ref="EF2" si="21">IF(EH2=0,"No","Yes")</f>
        <v>No</v>
      </c>
      <c r="EG2" s="37">
        <f t="shared" ref="EG2" si="22">DQ2</f>
        <v>1</v>
      </c>
      <c r="EH2" s="37">
        <f t="shared" ref="EH2" si="23">V2-DQ2</f>
        <v>0</v>
      </c>
      <c r="EI2" s="37" t="str">
        <f t="shared" ref="EI2" si="24">IF(EH2=0,"No","Yes")</f>
        <v>No</v>
      </c>
      <c r="EJ2" s="161"/>
    </row>
  </sheetData>
  <autoFilter ref="A1:EJ2"/>
  <conditionalFormatting sqref="DS1:DW63536">
    <cfRule type="cellIs" dxfId="7" priority="53" stopIfTrue="1" operator="notEqual">
      <formula>TRUE</formula>
    </cfRule>
  </conditionalFormatting>
  <conditionalFormatting sqref="BW1 CK1 CY1">
    <cfRule type="cellIs" dxfId="6" priority="52" stopIfTrue="1" operator="notEqual">
      <formula>3</formula>
    </cfRule>
  </conditionalFormatting>
  <conditionalFormatting sqref="BG1:BG63536 AQ1:AQ63536 AA1:AA63536 BW1:BW63536 CK1:CK63536 CY1:CY63536">
    <cfRule type="cellIs" dxfId="5" priority="51" stopIfTrue="1" operator="notEqual">
      <formula>3</formula>
    </cfRule>
  </conditionalFormatting>
  <conditionalFormatting sqref="BW2">
    <cfRule type="cellIs" dxfId="4" priority="49" operator="notEqual">
      <formula>3</formula>
    </cfRule>
    <cfRule type="cellIs" priority="50" operator="equal">
      <formula>3</formula>
    </cfRule>
  </conditionalFormatting>
  <conditionalFormatting sqref="DX1:DY1048576">
    <cfRule type="containsText" dxfId="3" priority="28"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0" workbookViewId="0">
      <selection activeCell="R16" sqref="R16:T16"/>
    </sheetView>
  </sheetViews>
  <sheetFormatPr defaultColWidth="9.140625" defaultRowHeight="15.75"/>
  <cols>
    <col min="1" max="13" width="3.140625" style="140" customWidth="1"/>
    <col min="14" max="14" width="8.42578125" style="140" customWidth="1"/>
    <col min="15" max="25" width="3.140625" style="140" customWidth="1"/>
    <col min="26" max="26" width="3.5703125" style="140" customWidth="1"/>
    <col min="27" max="29" width="3.140625" style="140" customWidth="1"/>
    <col min="30" max="30" width="10.5703125" style="140" bestFit="1" customWidth="1"/>
    <col min="31" max="31" width="11.85546875" style="140" bestFit="1" customWidth="1"/>
    <col min="32" max="32" width="10.5703125" style="140" bestFit="1" customWidth="1"/>
    <col min="33" max="33" width="9.85546875" style="140" bestFit="1" customWidth="1"/>
    <col min="34" max="34" width="11.85546875" style="140" bestFit="1" customWidth="1"/>
    <col min="35" max="16384" width="9.140625" style="140"/>
  </cols>
  <sheetData>
    <row r="1" spans="1:34" ht="16.5">
      <c r="A1" s="225" t="s">
        <v>140</v>
      </c>
      <c r="B1" s="225"/>
      <c r="C1" s="225"/>
      <c r="D1" s="225"/>
      <c r="E1" s="225"/>
      <c r="F1" s="225"/>
      <c r="G1" s="225"/>
      <c r="H1" s="225"/>
      <c r="I1" s="225"/>
      <c r="J1" s="225"/>
      <c r="N1" s="226" t="s">
        <v>104</v>
      </c>
      <c r="O1" s="226"/>
      <c r="P1" s="226"/>
      <c r="Q1" s="226"/>
      <c r="R1" s="226"/>
      <c r="S1" s="226"/>
      <c r="T1" s="226"/>
      <c r="U1" s="226"/>
      <c r="V1" s="226"/>
      <c r="W1" s="226"/>
      <c r="X1" s="226"/>
      <c r="Y1" s="226"/>
      <c r="Z1" s="226"/>
      <c r="AA1" s="113"/>
    </row>
    <row r="2" spans="1:34" ht="16.5" customHeight="1">
      <c r="A2" s="226" t="s">
        <v>103</v>
      </c>
      <c r="B2" s="226"/>
      <c r="C2" s="226"/>
      <c r="D2" s="226"/>
      <c r="E2" s="226"/>
      <c r="F2" s="226"/>
      <c r="G2" s="226"/>
      <c r="H2" s="226"/>
      <c r="I2" s="226"/>
      <c r="J2" s="226"/>
      <c r="N2" s="252" t="s">
        <v>177</v>
      </c>
      <c r="O2" s="252"/>
      <c r="P2" s="252"/>
      <c r="Q2" s="252"/>
      <c r="R2" s="252"/>
      <c r="S2" s="252"/>
      <c r="T2" s="252"/>
      <c r="U2" s="252"/>
      <c r="V2" s="252"/>
      <c r="W2" s="252"/>
      <c r="X2" s="252"/>
      <c r="Y2" s="252"/>
      <c r="Z2" s="252"/>
    </row>
    <row r="3" spans="1:34" ht="16.5">
      <c r="A3" s="226" t="s">
        <v>105</v>
      </c>
      <c r="B3" s="226"/>
      <c r="C3" s="226"/>
      <c r="D3" s="226"/>
      <c r="E3" s="226"/>
      <c r="F3" s="226"/>
      <c r="G3" s="226"/>
      <c r="H3" s="226"/>
      <c r="I3" s="226"/>
      <c r="J3" s="226"/>
      <c r="O3" s="145"/>
      <c r="P3" s="145"/>
      <c r="Q3" s="145"/>
      <c r="R3" s="145"/>
      <c r="S3" s="145"/>
      <c r="T3" s="145"/>
      <c r="U3" s="145"/>
      <c r="V3" s="145"/>
      <c r="W3" s="145"/>
    </row>
    <row r="4" spans="1:34" ht="21.75" customHeight="1">
      <c r="C4" s="229" t="str">
        <f>IF(LEN(AD4)=1,"Số: 0"&amp;AD4&amp;"/LPKĐ-TT2","Số: "&amp;AD4&amp;"/LPKĐ-TT2")</f>
        <v>Số: 38/LPKĐ-TT2</v>
      </c>
      <c r="D4" s="229"/>
      <c r="E4" s="229"/>
      <c r="F4" s="229"/>
      <c r="G4" s="229"/>
      <c r="H4" s="229"/>
      <c r="N4" s="232" t="str">
        <f>"TP. Hồ Chí Minh, ngày "&amp;AF4&amp;" tháng "&amp;AG4&amp;" năm "&amp;AH4</f>
        <v>TP. Hồ Chí Minh, ngày 11 tháng 7 năm 2014</v>
      </c>
      <c r="O4" s="232"/>
      <c r="P4" s="232"/>
      <c r="Q4" s="232"/>
      <c r="R4" s="232"/>
      <c r="S4" s="232"/>
      <c r="T4" s="232"/>
      <c r="U4" s="232"/>
      <c r="V4" s="232"/>
      <c r="W4" s="232"/>
      <c r="X4" s="232"/>
      <c r="Y4" s="232"/>
      <c r="Z4" s="232"/>
      <c r="AD4" s="141" t="s">
        <v>246</v>
      </c>
      <c r="AE4" s="142" t="s">
        <v>254</v>
      </c>
      <c r="AF4" s="140">
        <f>DAY(AE4)</f>
        <v>11</v>
      </c>
      <c r="AG4" s="140">
        <f>MONTH(AE4)</f>
        <v>7</v>
      </c>
      <c r="AH4" s="140">
        <f>YEAR(AE4)</f>
        <v>2014</v>
      </c>
    </row>
    <row r="6" spans="1:34" ht="8.25" customHeight="1">
      <c r="O6" s="113"/>
    </row>
    <row r="7" spans="1:34" ht="18.75">
      <c r="C7" s="231" t="s">
        <v>175</v>
      </c>
      <c r="D7" s="231"/>
      <c r="E7" s="231"/>
      <c r="F7" s="231"/>
      <c r="G7" s="231"/>
      <c r="H7" s="231"/>
      <c r="I7" s="231"/>
      <c r="J7" s="231"/>
      <c r="K7" s="231"/>
      <c r="L7" s="231"/>
      <c r="M7" s="231"/>
      <c r="N7" s="231"/>
      <c r="O7" s="231"/>
      <c r="P7" s="231"/>
      <c r="Q7" s="231"/>
      <c r="R7" s="231"/>
      <c r="S7" s="231"/>
      <c r="T7" s="231"/>
      <c r="U7" s="231"/>
      <c r="V7" s="231"/>
      <c r="W7" s="231"/>
      <c r="X7" s="231"/>
    </row>
    <row r="8" spans="1:34" ht="18.75">
      <c r="C8" s="231" t="s">
        <v>107</v>
      </c>
      <c r="D8" s="231"/>
      <c r="E8" s="231"/>
      <c r="F8" s="231"/>
      <c r="G8" s="231"/>
      <c r="H8" s="231"/>
      <c r="I8" s="231"/>
      <c r="J8" s="231"/>
      <c r="K8" s="231"/>
      <c r="L8" s="231"/>
      <c r="M8" s="231"/>
      <c r="N8" s="231"/>
      <c r="O8" s="231"/>
      <c r="P8" s="231"/>
      <c r="Q8" s="231"/>
      <c r="R8" s="231"/>
      <c r="S8" s="231"/>
      <c r="T8" s="231"/>
      <c r="U8" s="231"/>
      <c r="V8" s="231"/>
      <c r="W8" s="231"/>
      <c r="X8" s="231"/>
    </row>
    <row r="10" spans="1:34" ht="16.5">
      <c r="D10" s="225" t="str">
        <f>"Kính gửi: "&amp;AD10</f>
        <v>Kính gửi: Trung tâm Thông tin di động khu vực II</v>
      </c>
      <c r="E10" s="225"/>
      <c r="F10" s="225"/>
      <c r="G10" s="225"/>
      <c r="H10" s="225"/>
      <c r="I10" s="225"/>
      <c r="J10" s="225"/>
      <c r="K10" s="225"/>
      <c r="L10" s="225"/>
      <c r="M10" s="225"/>
      <c r="N10" s="225"/>
      <c r="O10" s="225"/>
      <c r="P10" s="225"/>
      <c r="Q10" s="225"/>
      <c r="R10" s="225"/>
      <c r="S10" s="225"/>
      <c r="T10" s="225"/>
      <c r="U10" s="225"/>
      <c r="V10" s="225"/>
      <c r="W10" s="225"/>
      <c r="AD10" s="140" t="s">
        <v>253</v>
      </c>
    </row>
    <row r="11" spans="1:34" ht="15.75" customHeight="1">
      <c r="A11" s="115"/>
      <c r="B11" s="115"/>
      <c r="D11" s="230" t="s">
        <v>178</v>
      </c>
      <c r="E11" s="230"/>
      <c r="F11" s="230"/>
      <c r="G11" s="253" t="str">
        <f>AD11</f>
        <v>Số MM18, đường Trường Sơn, phường 14, quận 10, thành phố Hồ Chí Minh.</v>
      </c>
      <c r="H11" s="253"/>
      <c r="I11" s="253"/>
      <c r="J11" s="253"/>
      <c r="K11" s="253"/>
      <c r="L11" s="253"/>
      <c r="M11" s="253"/>
      <c r="N11" s="253"/>
      <c r="O11" s="253"/>
      <c r="P11" s="253"/>
      <c r="Q11" s="253"/>
      <c r="R11" s="253"/>
      <c r="S11" s="253"/>
      <c r="T11" s="253"/>
      <c r="U11" s="253"/>
      <c r="V11" s="253"/>
      <c r="W11" s="253"/>
      <c r="X11" s="114"/>
      <c r="Y11" s="114"/>
      <c r="Z11" s="114"/>
      <c r="AD11" s="140" t="s">
        <v>252</v>
      </c>
    </row>
    <row r="12" spans="1:34">
      <c r="A12" s="115"/>
      <c r="B12" s="115"/>
      <c r="C12" s="115"/>
      <c r="D12" s="115"/>
      <c r="E12" s="115"/>
      <c r="F12" s="114"/>
      <c r="G12" s="253"/>
      <c r="H12" s="253"/>
      <c r="I12" s="253"/>
      <c r="J12" s="253"/>
      <c r="K12" s="253"/>
      <c r="L12" s="253"/>
      <c r="M12" s="253"/>
      <c r="N12" s="253"/>
      <c r="O12" s="253"/>
      <c r="P12" s="253"/>
      <c r="Q12" s="253"/>
      <c r="R12" s="253"/>
      <c r="S12" s="253"/>
      <c r="T12" s="253"/>
      <c r="U12" s="253"/>
      <c r="V12" s="253"/>
      <c r="W12" s="253"/>
      <c r="X12" s="114"/>
      <c r="Y12" s="114"/>
      <c r="Z12" s="114"/>
    </row>
    <row r="13" spans="1:34" ht="20.25" customHeight="1">
      <c r="A13" s="115"/>
      <c r="B13" s="115"/>
      <c r="D13" s="115" t="s">
        <v>179</v>
      </c>
      <c r="E13" s="115"/>
      <c r="F13" s="115"/>
      <c r="G13" s="230" t="str">
        <f>AD13</f>
        <v>08 38662387</v>
      </c>
      <c r="H13" s="230"/>
      <c r="I13" s="230"/>
      <c r="J13" s="230"/>
      <c r="K13" s="230"/>
      <c r="L13" s="230"/>
      <c r="M13" s="230"/>
      <c r="N13" s="115"/>
      <c r="O13" s="115" t="s">
        <v>141</v>
      </c>
      <c r="P13" s="115"/>
      <c r="Q13" s="230" t="str">
        <f>AH13</f>
        <v>08 38662388</v>
      </c>
      <c r="R13" s="230"/>
      <c r="S13" s="230"/>
      <c r="T13" s="230"/>
      <c r="U13" s="230"/>
      <c r="V13" s="230"/>
      <c r="W13" s="230"/>
      <c r="X13" s="115"/>
      <c r="Y13" s="115"/>
      <c r="Z13" s="115"/>
      <c r="AD13" s="140" t="s">
        <v>251</v>
      </c>
      <c r="AH13" s="140" t="s">
        <v>250</v>
      </c>
    </row>
    <row r="14" spans="1:34" ht="55.15" customHeight="1">
      <c r="A14" s="22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27"/>
      <c r="C14" s="227"/>
      <c r="D14" s="227"/>
      <c r="E14" s="227"/>
      <c r="F14" s="227"/>
      <c r="G14" s="227"/>
      <c r="H14" s="227"/>
      <c r="I14" s="227"/>
      <c r="J14" s="227"/>
      <c r="K14" s="227"/>
      <c r="L14" s="227"/>
      <c r="M14" s="227"/>
      <c r="N14" s="227"/>
      <c r="O14" s="227"/>
      <c r="P14" s="227"/>
      <c r="Q14" s="227"/>
      <c r="R14" s="227"/>
      <c r="S14" s="227"/>
      <c r="T14" s="227"/>
      <c r="U14" s="227"/>
      <c r="V14" s="227"/>
      <c r="W14" s="227"/>
      <c r="X14" s="227"/>
      <c r="Y14" s="227"/>
      <c r="Z14" s="227"/>
      <c r="AD14" s="140" t="s">
        <v>249</v>
      </c>
      <c r="AE14" s="142" t="s">
        <v>248</v>
      </c>
      <c r="AF14" s="140">
        <f>DAY(AE14)</f>
        <v>25</v>
      </c>
      <c r="AG14" s="140">
        <f>MONTH(AE14)</f>
        <v>12</v>
      </c>
      <c r="AH14" s="140">
        <f>YEAR(AE14)</f>
        <v>2013</v>
      </c>
    </row>
    <row r="15" spans="1:34" ht="87.75" customHeight="1">
      <c r="A15" s="228" t="s">
        <v>237</v>
      </c>
      <c r="B15" s="228"/>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row>
    <row r="16" spans="1:34" ht="33" customHeight="1">
      <c r="B16" s="238" t="s">
        <v>0</v>
      </c>
      <c r="C16" s="240"/>
      <c r="D16" s="238" t="s">
        <v>139</v>
      </c>
      <c r="E16" s="239"/>
      <c r="F16" s="239"/>
      <c r="G16" s="239"/>
      <c r="H16" s="239"/>
      <c r="I16" s="239"/>
      <c r="J16" s="239"/>
      <c r="K16" s="239"/>
      <c r="L16" s="239"/>
      <c r="M16" s="239"/>
      <c r="N16" s="240"/>
      <c r="O16" s="237" t="s">
        <v>202</v>
      </c>
      <c r="P16" s="237"/>
      <c r="Q16" s="237"/>
      <c r="R16" s="237" t="s">
        <v>256</v>
      </c>
      <c r="S16" s="237"/>
      <c r="T16" s="237"/>
      <c r="U16" s="237" t="s">
        <v>142</v>
      </c>
      <c r="V16" s="237"/>
      <c r="W16" s="237"/>
      <c r="X16" s="237"/>
      <c r="Y16" s="237"/>
    </row>
    <row r="17" spans="1:44" ht="18.75" customHeight="1">
      <c r="B17" s="249">
        <v>1</v>
      </c>
      <c r="C17" s="250"/>
      <c r="D17" s="241" t="s">
        <v>143</v>
      </c>
      <c r="E17" s="242"/>
      <c r="F17" s="242"/>
      <c r="G17" s="242"/>
      <c r="H17" s="242"/>
      <c r="I17" s="242"/>
      <c r="J17" s="242"/>
      <c r="K17" s="242"/>
      <c r="L17" s="242"/>
      <c r="M17" s="242"/>
      <c r="N17" s="242"/>
      <c r="O17" s="243">
        <v>50000</v>
      </c>
      <c r="P17" s="244"/>
      <c r="Q17" s="245"/>
      <c r="R17" s="234">
        <f>AD17</f>
        <v>116</v>
      </c>
      <c r="S17" s="235"/>
      <c r="T17" s="236"/>
      <c r="U17" s="243">
        <f>O17*R17</f>
        <v>5800000</v>
      </c>
      <c r="V17" s="244"/>
      <c r="W17" s="244"/>
      <c r="X17" s="244"/>
      <c r="Y17" s="245"/>
      <c r="AD17" s="140">
        <v>116</v>
      </c>
    </row>
    <row r="18" spans="1:44" ht="18.75" customHeight="1">
      <c r="B18" s="238" t="s">
        <v>144</v>
      </c>
      <c r="C18" s="239"/>
      <c r="D18" s="239"/>
      <c r="E18" s="239"/>
      <c r="F18" s="239"/>
      <c r="G18" s="239"/>
      <c r="H18" s="239"/>
      <c r="I18" s="239"/>
      <c r="J18" s="239"/>
      <c r="K18" s="239"/>
      <c r="L18" s="239"/>
      <c r="M18" s="239"/>
      <c r="N18" s="239"/>
      <c r="O18" s="239"/>
      <c r="P18" s="239"/>
      <c r="Q18" s="239"/>
      <c r="R18" s="239"/>
      <c r="S18" s="239"/>
      <c r="T18" s="240"/>
      <c r="U18" s="246">
        <f>U17</f>
        <v>5800000</v>
      </c>
      <c r="V18" s="247"/>
      <c r="W18" s="247"/>
      <c r="X18" s="247"/>
      <c r="Y18" s="248"/>
      <c r="AD18" s="162">
        <f>U18</f>
        <v>5800000</v>
      </c>
    </row>
    <row r="19" spans="1:44">
      <c r="B19" s="234" t="str">
        <f>"Bằng chữ: "&amp;AD19</f>
        <v>Bằng chữ: Ba triệu năm trăm ngàn đồng chẵn.</v>
      </c>
      <c r="C19" s="235"/>
      <c r="D19" s="235"/>
      <c r="E19" s="235"/>
      <c r="F19" s="235"/>
      <c r="G19" s="235"/>
      <c r="H19" s="235"/>
      <c r="I19" s="235"/>
      <c r="J19" s="235"/>
      <c r="K19" s="235"/>
      <c r="L19" s="235"/>
      <c r="M19" s="235"/>
      <c r="N19" s="235"/>
      <c r="O19" s="235"/>
      <c r="P19" s="235"/>
      <c r="Q19" s="235"/>
      <c r="R19" s="235"/>
      <c r="S19" s="235"/>
      <c r="T19" s="235"/>
      <c r="U19" s="235"/>
      <c r="V19" s="235"/>
      <c r="W19" s="235"/>
      <c r="X19" s="235"/>
      <c r="Y19" s="236"/>
      <c r="AD19" s="140" t="s">
        <v>247</v>
      </c>
    </row>
    <row r="20" spans="1:44" ht="7.5" customHeight="1"/>
    <row r="21" spans="1:44" ht="18" customHeight="1">
      <c r="B21" s="233" t="s">
        <v>145</v>
      </c>
      <c r="C21" s="233"/>
      <c r="D21" s="233"/>
      <c r="E21" s="233"/>
      <c r="F21" s="233"/>
      <c r="G21" s="233"/>
      <c r="H21" s="233"/>
      <c r="I21" s="233"/>
      <c r="J21" s="233" t="s">
        <v>148</v>
      </c>
      <c r="K21" s="233"/>
      <c r="L21" s="233"/>
      <c r="M21" s="233"/>
      <c r="N21" s="233"/>
      <c r="O21" s="233"/>
      <c r="P21" s="233"/>
      <c r="Q21" s="233"/>
      <c r="R21" s="233"/>
      <c r="S21" s="233"/>
      <c r="T21" s="233"/>
      <c r="U21" s="233"/>
      <c r="V21" s="233"/>
      <c r="W21" s="233"/>
      <c r="X21" s="233"/>
      <c r="Y21" s="233"/>
    </row>
    <row r="22" spans="1:44" ht="18.75" customHeight="1">
      <c r="B22" s="233" t="s">
        <v>146</v>
      </c>
      <c r="C22" s="233"/>
      <c r="D22" s="233"/>
      <c r="E22" s="233"/>
      <c r="F22" s="233"/>
      <c r="G22" s="233"/>
      <c r="H22" s="233"/>
      <c r="I22" s="233"/>
      <c r="J22" s="233" t="s">
        <v>149</v>
      </c>
      <c r="K22" s="233"/>
      <c r="L22" s="233"/>
      <c r="M22" s="233"/>
      <c r="N22" s="233"/>
      <c r="O22" s="233"/>
      <c r="P22" s="233"/>
      <c r="Q22" s="233"/>
      <c r="R22" s="233"/>
      <c r="S22" s="233"/>
      <c r="T22" s="233"/>
      <c r="U22" s="233"/>
      <c r="V22" s="233"/>
      <c r="W22" s="233"/>
      <c r="X22" s="233"/>
      <c r="Y22" s="233"/>
    </row>
    <row r="23" spans="1:44" ht="18" customHeight="1">
      <c r="B23" s="255"/>
      <c r="C23" s="255"/>
      <c r="D23" s="255"/>
      <c r="E23" s="255"/>
      <c r="F23" s="255"/>
      <c r="G23" s="255"/>
      <c r="H23" s="255"/>
      <c r="I23" s="255"/>
      <c r="J23" s="233" t="s">
        <v>236</v>
      </c>
      <c r="K23" s="233"/>
      <c r="L23" s="233"/>
      <c r="M23" s="233"/>
      <c r="N23" s="233"/>
      <c r="O23" s="233"/>
      <c r="P23" s="233"/>
      <c r="Q23" s="233"/>
      <c r="R23" s="233"/>
      <c r="S23" s="233"/>
      <c r="T23" s="233"/>
      <c r="U23" s="233"/>
      <c r="V23" s="233"/>
      <c r="W23" s="233"/>
      <c r="X23" s="233"/>
      <c r="Y23" s="233"/>
    </row>
    <row r="24" spans="1:44" ht="16.5" customHeight="1">
      <c r="B24" s="233" t="s">
        <v>147</v>
      </c>
      <c r="C24" s="233"/>
      <c r="D24" s="233"/>
      <c r="E24" s="233"/>
      <c r="F24" s="233"/>
      <c r="G24" s="233"/>
      <c r="H24" s="233"/>
      <c r="I24" s="233"/>
      <c r="J24" s="233" t="s">
        <v>255</v>
      </c>
      <c r="K24" s="233"/>
      <c r="L24" s="233"/>
      <c r="M24" s="233"/>
      <c r="N24" s="233"/>
      <c r="O24" s="233"/>
      <c r="P24" s="233"/>
      <c r="Q24" s="233"/>
      <c r="R24" s="233"/>
      <c r="S24" s="233"/>
      <c r="T24" s="233"/>
      <c r="U24" s="233"/>
      <c r="V24" s="233"/>
      <c r="W24" s="233"/>
      <c r="X24" s="233"/>
      <c r="Y24" s="233"/>
    </row>
    <row r="25" spans="1:44" ht="17.25" customHeight="1">
      <c r="J25" s="233" t="s">
        <v>150</v>
      </c>
      <c r="K25" s="233"/>
      <c r="L25" s="233"/>
      <c r="M25" s="233"/>
      <c r="N25" s="233"/>
      <c r="O25" s="233"/>
      <c r="P25" s="233"/>
      <c r="Q25" s="233"/>
      <c r="R25" s="233"/>
      <c r="S25" s="233"/>
      <c r="T25" s="233"/>
      <c r="U25" s="233"/>
      <c r="V25" s="233"/>
      <c r="W25" s="233"/>
      <c r="X25" s="233"/>
      <c r="Y25" s="233"/>
    </row>
    <row r="26" spans="1:44" ht="47.25" customHeight="1">
      <c r="A26" s="227" t="s">
        <v>238</v>
      </c>
      <c r="B26" s="227"/>
      <c r="C26" s="227"/>
      <c r="D26" s="227"/>
      <c r="E26" s="227"/>
      <c r="F26" s="227"/>
      <c r="G26" s="227"/>
      <c r="H26" s="227"/>
      <c r="I26" s="227"/>
      <c r="J26" s="227"/>
      <c r="K26" s="227"/>
      <c r="L26" s="227"/>
      <c r="M26" s="227"/>
      <c r="N26" s="227"/>
      <c r="O26" s="227"/>
      <c r="P26" s="227"/>
      <c r="Q26" s="227"/>
      <c r="R26" s="227"/>
      <c r="S26" s="227"/>
      <c r="T26" s="227"/>
      <c r="U26" s="227"/>
      <c r="V26" s="227"/>
      <c r="W26" s="227"/>
      <c r="X26" s="227"/>
      <c r="Y26" s="227"/>
      <c r="Z26" s="227"/>
    </row>
    <row r="27" spans="1:44" ht="14.25" customHeight="1">
      <c r="AD27" s="84"/>
      <c r="AE27" s="84" t="s">
        <v>126</v>
      </c>
      <c r="AF27" s="84"/>
      <c r="AG27" s="140" t="s">
        <v>211</v>
      </c>
      <c r="AI27" s="84" t="s">
        <v>210</v>
      </c>
      <c r="AK27" s="84"/>
      <c r="AL27" s="84"/>
      <c r="AN27" s="84"/>
      <c r="AO27" s="84"/>
      <c r="AP27" s="84"/>
      <c r="AQ27" s="84"/>
      <c r="AR27" s="84"/>
    </row>
    <row r="28" spans="1:44" ht="16.5">
      <c r="A28" s="254" t="s">
        <v>151</v>
      </c>
      <c r="B28" s="254"/>
      <c r="C28" s="254"/>
      <c r="D28" s="254"/>
      <c r="E28" s="254"/>
      <c r="F28" s="254"/>
      <c r="G28" s="254"/>
      <c r="H28" s="254"/>
      <c r="I28" s="254"/>
      <c r="J28" s="254"/>
      <c r="K28" s="254"/>
      <c r="L28" s="254"/>
      <c r="M28" s="254"/>
      <c r="O28" s="226" t="str">
        <f>IF(AD34=0,AG27,IF(AD34=1,AE27,AI27))</f>
        <v>KT. GIÁM ĐỐC</v>
      </c>
      <c r="P28" s="226"/>
      <c r="Q28" s="226"/>
      <c r="R28" s="226"/>
      <c r="S28" s="226"/>
      <c r="T28" s="226"/>
      <c r="U28" s="226"/>
      <c r="V28" s="226"/>
      <c r="W28" s="226"/>
      <c r="X28" s="226"/>
      <c r="Y28" s="226"/>
      <c r="Z28" s="226"/>
      <c r="AD28" s="84"/>
      <c r="AF28" s="84"/>
      <c r="AG28" s="84" t="s">
        <v>208</v>
      </c>
      <c r="AH28" s="84"/>
      <c r="AI28" s="84" t="s">
        <v>158</v>
      </c>
      <c r="AK28" s="84"/>
      <c r="AL28" s="84"/>
      <c r="AN28" s="84"/>
      <c r="AO28" s="84"/>
      <c r="AP28" s="84"/>
      <c r="AQ28" s="84"/>
      <c r="AR28" s="84"/>
    </row>
    <row r="29" spans="1:44">
      <c r="A29" s="143" t="s">
        <v>152</v>
      </c>
      <c r="B29" s="115"/>
      <c r="C29" s="115"/>
      <c r="D29" s="115"/>
      <c r="E29" s="115"/>
      <c r="F29" s="115"/>
      <c r="O29" s="251" t="str">
        <f>IF(AD34=0,AG28,IF(AD34=1,"",AI28))</f>
        <v>PHÓ GIÁM ĐỐC</v>
      </c>
      <c r="P29" s="251"/>
      <c r="Q29" s="251"/>
      <c r="R29" s="251"/>
      <c r="S29" s="251"/>
      <c r="T29" s="251"/>
      <c r="U29" s="251"/>
      <c r="V29" s="251"/>
      <c r="W29" s="251"/>
      <c r="X29" s="251"/>
      <c r="Y29" s="251"/>
      <c r="Z29" s="251"/>
      <c r="AD29" s="84"/>
      <c r="AE29" s="84"/>
      <c r="AF29" s="84"/>
      <c r="AG29" s="84"/>
      <c r="AH29" s="84"/>
      <c r="AI29" s="84"/>
      <c r="AK29" s="84"/>
      <c r="AL29" s="84"/>
      <c r="AM29" s="84"/>
      <c r="AN29" s="84"/>
      <c r="AO29" s="84"/>
      <c r="AP29" s="84"/>
      <c r="AQ29" s="84"/>
      <c r="AR29" s="84"/>
    </row>
    <row r="30" spans="1:44">
      <c r="A30" s="143" t="str">
        <f>IF(AD34=1,AD31,AD30:AD31)</f>
        <v>-    GĐTT (để báo cáo);</v>
      </c>
      <c r="B30" s="115"/>
      <c r="C30" s="115"/>
      <c r="D30" s="115"/>
      <c r="E30" s="115"/>
      <c r="F30" s="115"/>
      <c r="AD30" s="143" t="s">
        <v>212</v>
      </c>
      <c r="AE30" s="84"/>
      <c r="AF30" s="84"/>
      <c r="AG30" s="84"/>
      <c r="AH30" s="84"/>
      <c r="AI30" s="84"/>
      <c r="AK30" s="84"/>
      <c r="AL30" s="84"/>
      <c r="AM30" s="84"/>
      <c r="AN30" s="84"/>
      <c r="AO30" s="84"/>
      <c r="AP30" s="84"/>
      <c r="AQ30" s="84"/>
      <c r="AR30" s="84"/>
    </row>
    <row r="31" spans="1:44" ht="16.5" customHeight="1">
      <c r="A31" s="143" t="str">
        <f>IF(AD34=1,"",AD31)</f>
        <v>-    Lưu: PTH, PKĐ.</v>
      </c>
      <c r="AD31" s="143" t="s">
        <v>245</v>
      </c>
      <c r="AE31" s="84"/>
      <c r="AF31" s="84"/>
      <c r="AG31" s="84"/>
      <c r="AH31" s="84"/>
      <c r="AI31" s="84"/>
      <c r="AK31" s="84"/>
      <c r="AL31" s="84"/>
      <c r="AM31" s="84"/>
      <c r="AN31" s="84"/>
      <c r="AO31" s="84"/>
      <c r="AP31" s="84"/>
      <c r="AQ31" s="84"/>
      <c r="AR31" s="84"/>
    </row>
    <row r="32" spans="1:44" ht="16.5" customHeight="1">
      <c r="AD32" s="84"/>
      <c r="AE32" s="84"/>
      <c r="AF32" s="84"/>
      <c r="AG32" s="84"/>
      <c r="AH32" s="84"/>
      <c r="AI32" s="84"/>
      <c r="AK32" s="84"/>
      <c r="AL32" s="84"/>
      <c r="AM32" s="84"/>
      <c r="AN32" s="84"/>
      <c r="AO32" s="84"/>
      <c r="AP32" s="84"/>
      <c r="AQ32" s="84"/>
      <c r="AR32" s="84"/>
    </row>
    <row r="33" spans="15:44" ht="16.5" customHeight="1">
      <c r="O33" s="144"/>
      <c r="P33" s="144"/>
      <c r="Q33" s="144"/>
      <c r="R33" s="144"/>
      <c r="S33" s="144"/>
      <c r="T33" s="144"/>
      <c r="U33" s="144"/>
      <c r="V33" s="144"/>
      <c r="W33" s="144"/>
      <c r="X33" s="144"/>
      <c r="Y33" s="144"/>
      <c r="Z33" s="144"/>
      <c r="AD33" s="84"/>
      <c r="AE33" s="84"/>
      <c r="AF33" s="84"/>
      <c r="AG33" s="84"/>
      <c r="AH33" s="84"/>
      <c r="AI33" s="84"/>
      <c r="AK33" s="84"/>
      <c r="AL33" s="84"/>
      <c r="AM33" s="84"/>
      <c r="AN33" s="84"/>
      <c r="AO33" s="84"/>
      <c r="AP33" s="84"/>
      <c r="AQ33" s="84"/>
      <c r="AR33" s="84"/>
    </row>
    <row r="34" spans="15:44" ht="16.5" customHeight="1">
      <c r="O34" s="226" t="str">
        <f>IF(AD34=0,AG34,IF(AD34=1,AE34,AI34))</f>
        <v>Trần Công Khanh</v>
      </c>
      <c r="P34" s="226"/>
      <c r="Q34" s="226"/>
      <c r="R34" s="226"/>
      <c r="S34" s="226"/>
      <c r="T34" s="226"/>
      <c r="U34" s="226"/>
      <c r="V34" s="226"/>
      <c r="W34" s="226"/>
      <c r="X34" s="226"/>
      <c r="Y34" s="226"/>
      <c r="Z34" s="226"/>
      <c r="AD34" s="84">
        <v>0</v>
      </c>
      <c r="AE34" s="84" t="s">
        <v>132</v>
      </c>
      <c r="AF34" s="84"/>
      <c r="AG34" s="84" t="s">
        <v>209</v>
      </c>
      <c r="AH34" s="84"/>
      <c r="AI34" s="84" t="s">
        <v>154</v>
      </c>
      <c r="AK34" s="84"/>
      <c r="AL34" s="84"/>
      <c r="AM34" s="84"/>
      <c r="AO34" s="84"/>
      <c r="AP34" s="84"/>
      <c r="AQ34" s="84"/>
      <c r="AR34" s="84"/>
    </row>
  </sheetData>
  <mergeCells count="43">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
  <sheetViews>
    <sheetView view="pageLayout" zoomScale="70" zoomScalePageLayoutView="70" workbookViewId="0">
      <selection activeCell="J7" sqref="J7"/>
    </sheetView>
  </sheetViews>
  <sheetFormatPr defaultColWidth="9.140625" defaultRowHeight="15"/>
  <cols>
    <col min="1" max="1" width="6.7109375" style="146" customWidth="1"/>
    <col min="2" max="2" width="13" style="146" customWidth="1"/>
    <col min="3" max="3" width="46.7109375" style="146" customWidth="1"/>
    <col min="4" max="4" width="20.42578125" style="146" customWidth="1"/>
    <col min="5" max="5" width="3" customWidth="1"/>
    <col min="6" max="6" width="9.28515625" customWidth="1"/>
    <col min="7" max="7" width="10" customWidth="1"/>
    <col min="8" max="8" width="25.140625" customWidth="1"/>
    <col min="9" max="9" width="10.28515625" customWidth="1"/>
    <col min="10" max="10" width="6.140625" customWidth="1"/>
    <col min="11" max="11" width="6.28515625" customWidth="1"/>
    <col min="12" max="12" width="4.85546875" customWidth="1"/>
    <col min="13" max="13" width="13.28515625" customWidth="1"/>
    <col min="14" max="107" width="3.140625" customWidth="1"/>
  </cols>
  <sheetData>
    <row r="1" spans="1:13" ht="16.5" customHeight="1">
      <c r="A1" s="256" t="s">
        <v>172</v>
      </c>
      <c r="B1" s="256"/>
      <c r="C1" s="256"/>
      <c r="D1" s="256"/>
      <c r="E1" s="256" t="s">
        <v>172</v>
      </c>
      <c r="F1" s="256"/>
      <c r="G1" s="256"/>
      <c r="H1" s="256"/>
      <c r="I1" s="256"/>
      <c r="J1" s="256"/>
      <c r="K1" s="256"/>
      <c r="L1" s="256"/>
      <c r="M1" s="256"/>
    </row>
    <row r="2" spans="1:13" ht="15.75" customHeight="1">
      <c r="A2" s="257" t="s">
        <v>289</v>
      </c>
      <c r="B2" s="257"/>
      <c r="C2" s="257"/>
      <c r="D2" s="257"/>
      <c r="E2" s="257" t="s">
        <v>296</v>
      </c>
      <c r="F2" s="257"/>
      <c r="G2" s="257"/>
      <c r="H2" s="257"/>
      <c r="I2" s="257"/>
      <c r="J2" s="257"/>
      <c r="K2" s="257"/>
      <c r="L2" s="257"/>
      <c r="M2" s="257"/>
    </row>
    <row r="3" spans="1:13" s="127" customFormat="1" ht="15.75" customHeight="1">
      <c r="A3" s="258"/>
      <c r="B3" s="258"/>
      <c r="C3" s="258"/>
      <c r="D3" s="258"/>
    </row>
    <row r="4" spans="1:13" ht="94.5">
      <c r="A4" s="158" t="s">
        <v>0</v>
      </c>
      <c r="B4" s="158" t="s">
        <v>17</v>
      </c>
      <c r="C4" s="158" t="s">
        <v>24</v>
      </c>
      <c r="D4" s="158" t="s">
        <v>173</v>
      </c>
      <c r="E4" s="218" t="s">
        <v>0</v>
      </c>
      <c r="F4" s="218" t="s">
        <v>290</v>
      </c>
      <c r="G4" s="218" t="s">
        <v>17</v>
      </c>
      <c r="H4" s="218" t="s">
        <v>24</v>
      </c>
      <c r="I4" s="218" t="s">
        <v>291</v>
      </c>
      <c r="J4" s="218" t="s">
        <v>292</v>
      </c>
      <c r="K4" s="218" t="s">
        <v>36</v>
      </c>
      <c r="L4" s="218" t="s">
        <v>293</v>
      </c>
      <c r="M4" s="218" t="s">
        <v>294</v>
      </c>
    </row>
    <row r="5" spans="1:13" ht="38.25">
      <c r="A5" s="196">
        <v>1</v>
      </c>
      <c r="B5" s="196" t="s">
        <v>278</v>
      </c>
      <c r="C5" s="213" t="s">
        <v>268</v>
      </c>
      <c r="D5" s="214" t="s">
        <v>286</v>
      </c>
      <c r="E5" s="215">
        <f>A5</f>
        <v>1</v>
      </c>
      <c r="F5" s="216">
        <v>1703176</v>
      </c>
      <c r="G5" s="216">
        <v>308073</v>
      </c>
      <c r="H5" s="217" t="str">
        <f>C5</f>
        <v>Số 1096, đường Lạc Long Quân, phường 8, quận Tân Bình, thành phố Hồ Chí Minh.</v>
      </c>
      <c r="I5" s="216" t="s">
        <v>295</v>
      </c>
      <c r="J5" s="215" t="s">
        <v>274</v>
      </c>
      <c r="K5" s="216" t="s">
        <v>274</v>
      </c>
      <c r="L5" s="215"/>
      <c r="M5" s="216" t="str">
        <f>D5</f>
        <v>B00410011217TG05</v>
      </c>
    </row>
  </sheetData>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4"/>
  <sheetViews>
    <sheetView workbookViewId="0">
      <selection activeCell="A7" sqref="A6:XFD7"/>
    </sheetView>
  </sheetViews>
  <sheetFormatPr defaultColWidth="9.140625" defaultRowHeight="15"/>
  <cols>
    <col min="1" max="1" width="5.140625" style="202" customWidth="1"/>
    <col min="2" max="2" width="39.140625" style="124" customWidth="1"/>
    <col min="3" max="3" width="13.140625" style="202" customWidth="1"/>
    <col min="4" max="4" width="20.5703125" style="202" customWidth="1"/>
    <col min="5" max="5" width="21.28515625" style="202" customWidth="1"/>
    <col min="6" max="6" width="8.85546875" style="112" bestFit="1" customWidth="1"/>
    <col min="7" max="7" width="9.28515625" style="202" customWidth="1"/>
    <col min="8" max="8" width="16.28515625" style="202" customWidth="1"/>
    <col min="9" max="9" width="27.42578125" style="112" hidden="1" customWidth="1"/>
    <col min="10" max="10" width="12.140625" style="112" hidden="1" customWidth="1"/>
    <col min="11" max="19" width="0" style="112" hidden="1" customWidth="1"/>
    <col min="20" max="20" width="24.140625" style="112" hidden="1" customWidth="1"/>
    <col min="21" max="21" width="11.42578125" style="112" hidden="1" customWidth="1"/>
    <col min="22" max="22" width="26.28515625" style="112" hidden="1" customWidth="1"/>
    <col min="23" max="23" width="45.5703125" style="197" customWidth="1"/>
    <col min="24" max="16384" width="9.140625" style="112"/>
  </cols>
  <sheetData>
    <row r="1" spans="1:23" ht="7.5" customHeight="1">
      <c r="A1" s="205"/>
      <c r="B1" s="207"/>
      <c r="C1" s="205"/>
      <c r="D1" s="205"/>
      <c r="E1" s="201"/>
      <c r="F1" s="172"/>
      <c r="G1" s="201"/>
      <c r="H1" s="201"/>
      <c r="I1" s="172"/>
      <c r="J1" s="172"/>
      <c r="K1" s="172"/>
      <c r="L1" s="172"/>
      <c r="M1" s="172"/>
      <c r="N1" s="172"/>
      <c r="O1" s="172"/>
      <c r="P1" s="172"/>
      <c r="Q1" s="172"/>
      <c r="R1" s="172"/>
      <c r="S1" s="172"/>
      <c r="T1" s="172"/>
      <c r="U1" s="172"/>
      <c r="V1" s="172"/>
    </row>
    <row r="2" spans="1:23" ht="17.25">
      <c r="B2" s="259" t="s">
        <v>198</v>
      </c>
      <c r="C2" s="259"/>
      <c r="D2" s="259"/>
      <c r="E2" s="259"/>
      <c r="F2" s="259"/>
      <c r="O2" s="184" t="s">
        <v>227</v>
      </c>
      <c r="T2" s="184" t="s">
        <v>226</v>
      </c>
    </row>
    <row r="3" spans="1:23" ht="9.75" customHeight="1">
      <c r="A3" s="203"/>
      <c r="B3" s="208"/>
      <c r="C3" s="203"/>
      <c r="D3" s="203"/>
      <c r="E3" s="203"/>
      <c r="F3" s="173"/>
      <c r="G3" s="203"/>
      <c r="H3" s="203"/>
      <c r="I3" s="173"/>
      <c r="J3" s="173"/>
      <c r="K3" s="173"/>
      <c r="L3" s="173"/>
      <c r="M3" s="173"/>
      <c r="N3" s="173"/>
      <c r="O3" s="173"/>
      <c r="P3" s="173"/>
      <c r="Q3" s="173"/>
      <c r="R3" s="173"/>
      <c r="S3" s="173"/>
      <c r="T3" s="173"/>
      <c r="U3" s="173"/>
      <c r="V3" s="173"/>
    </row>
    <row r="4" spans="1:23" ht="36" customHeight="1">
      <c r="A4" s="212" t="s">
        <v>0</v>
      </c>
      <c r="B4" s="209" t="s">
        <v>24</v>
      </c>
      <c r="C4" s="212" t="s">
        <v>1</v>
      </c>
      <c r="D4" s="175" t="s">
        <v>225</v>
      </c>
      <c r="E4" s="175" t="s">
        <v>14</v>
      </c>
      <c r="F4" s="176" t="s">
        <v>32</v>
      </c>
      <c r="G4" s="176" t="s">
        <v>229</v>
      </c>
      <c r="H4" s="176" t="s">
        <v>102</v>
      </c>
      <c r="I4" s="176" t="s">
        <v>38</v>
      </c>
      <c r="J4" s="176" t="s">
        <v>39</v>
      </c>
      <c r="K4" s="177" t="s">
        <v>215</v>
      </c>
      <c r="L4" s="177" t="s">
        <v>216</v>
      </c>
      <c r="M4" s="177" t="s">
        <v>217</v>
      </c>
      <c r="N4" s="177" t="s">
        <v>218</v>
      </c>
      <c r="O4" s="177" t="s">
        <v>219</v>
      </c>
      <c r="P4" s="176" t="s">
        <v>220</v>
      </c>
      <c r="Q4" s="176" t="s">
        <v>221</v>
      </c>
      <c r="R4" s="176" t="s">
        <v>222</v>
      </c>
      <c r="S4" s="176" t="s">
        <v>223</v>
      </c>
      <c r="T4" s="176" t="s">
        <v>224</v>
      </c>
      <c r="U4" s="176" t="s">
        <v>7</v>
      </c>
      <c r="V4" s="176" t="s">
        <v>48</v>
      </c>
      <c r="W4" s="175" t="s">
        <v>187</v>
      </c>
    </row>
    <row r="5" spans="1:23" s="179" customFormat="1" ht="30">
      <c r="A5" s="178">
        <v>1</v>
      </c>
      <c r="B5" s="210" t="s">
        <v>275</v>
      </c>
      <c r="C5" s="206" t="s">
        <v>269</v>
      </c>
      <c r="D5" s="178" t="s">
        <v>285</v>
      </c>
      <c r="E5" s="178" t="s">
        <v>276</v>
      </c>
      <c r="F5" s="200">
        <v>43066</v>
      </c>
      <c r="G5" s="178">
        <v>0</v>
      </c>
      <c r="H5" s="178" t="s">
        <v>288</v>
      </c>
      <c r="I5" s="178">
        <v>0</v>
      </c>
      <c r="J5" s="178">
        <v>0.5</v>
      </c>
      <c r="K5" s="180" t="s">
        <v>153</v>
      </c>
      <c r="L5" s="180" t="s">
        <v>153</v>
      </c>
      <c r="M5" s="180" t="s">
        <v>153</v>
      </c>
      <c r="N5" s="180"/>
      <c r="O5" s="178" t="str">
        <f>IF(J5=1,K5,IF(J5=2,K5&amp;"/"&amp;L5,IF(J5=3,K5&amp;"/"&amp;L5&amp;"/"&amp;M5,IF(J5=4,K5&amp;"/"&amp;L5&amp;"/"&amp;M5&amp;"/"&amp;N5,""))))</f>
        <v/>
      </c>
      <c r="P5" s="180" t="s">
        <v>153</v>
      </c>
      <c r="Q5" s="180" t="e">
        <v>#VALUE!</v>
      </c>
      <c r="R5" s="180" t="e">
        <v>#VALUE!</v>
      </c>
      <c r="S5" s="180"/>
      <c r="T5" s="181" t="str">
        <f>IF(J5=1,TEXT(P5,"#,00")&amp;"W",IF(J5=2,TEXT(P5,"#,00")&amp;"W/"&amp;TEXT(Q5,"#,00")&amp;"W",IF(J5=3,TEXT(P5,"#,00")&amp;"W/"&amp;TEXT(Q5,"#,00")&amp;"W/"&amp;TEXT(R5,"#,00")&amp;"W",IF(J5=4,TEXT(P5,"#,00")&amp;"W/"&amp;TEXT(Q5,"#,00")&amp;"W/"&amp;TEXT(R5,"#,00")&amp;"W/"&amp;TEXT(S5,"#,00")&amp;"W",""))))</f>
        <v/>
      </c>
      <c r="U5" s="178">
        <v>0</v>
      </c>
      <c r="V5" s="178" t="s">
        <v>277</v>
      </c>
      <c r="W5" s="204">
        <v>0</v>
      </c>
    </row>
    <row r="14" spans="1:23">
      <c r="A14" s="206"/>
      <c r="B14" s="211"/>
      <c r="C14" s="206"/>
      <c r="D14" s="206"/>
    </row>
  </sheetData>
  <mergeCells count="1">
    <mergeCell ref="B2:F2"/>
  </mergeCells>
  <conditionalFormatting sqref="J4:J5">
    <cfRule type="cellIs" dxfId="2" priority="14" stopIfTrue="1" operator="notEqual">
      <formula>3</formula>
    </cfRule>
  </conditionalFormatting>
  <pageMargins left="0.59055118110236227" right="0.39370078740157483" top="0.59055118110236227" bottom="0.59055118110236227" header="0.31496062992125984" footer="0.31496062992125984"/>
  <pageSetup paperSize="9"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workbookViewId="0">
      <selection activeCell="AO29" sqref="AO29:AR29"/>
    </sheetView>
  </sheetViews>
  <sheetFormatPr defaultColWidth="3.140625" defaultRowHeight="12.75"/>
  <cols>
    <col min="1" max="1" width="3.140625" style="84"/>
    <col min="2" max="2" width="2" style="84" customWidth="1"/>
    <col min="3" max="15" width="3.140625" style="84"/>
    <col min="16" max="29" width="3.140625" style="84" customWidth="1"/>
    <col min="30" max="30" width="6" style="84" customWidth="1"/>
    <col min="31" max="31" width="3.140625" style="111" customWidth="1"/>
    <col min="32" max="32" width="3.140625" style="84"/>
    <col min="33" max="33" width="3.5703125" style="84" bestFit="1" customWidth="1"/>
    <col min="34" max="44" width="3.140625" style="84"/>
    <col min="45" max="45" width="5" style="84" bestFit="1" customWidth="1"/>
    <col min="46" max="16384" width="3.140625" style="84"/>
  </cols>
  <sheetData>
    <row r="1" spans="2:45" ht="19.7" customHeight="1">
      <c r="B1" s="295" t="s">
        <v>103</v>
      </c>
      <c r="C1" s="295"/>
      <c r="D1" s="295"/>
      <c r="E1" s="295"/>
      <c r="F1" s="295"/>
      <c r="G1" s="295"/>
      <c r="H1" s="295"/>
      <c r="I1" s="295"/>
      <c r="J1" s="295"/>
      <c r="K1" s="295"/>
      <c r="L1" s="295"/>
      <c r="M1" s="295"/>
      <c r="P1" s="286" t="s">
        <v>104</v>
      </c>
      <c r="Q1" s="286"/>
      <c r="R1" s="286"/>
      <c r="S1" s="286"/>
      <c r="T1" s="286"/>
      <c r="U1" s="286"/>
      <c r="V1" s="286"/>
      <c r="W1" s="286"/>
      <c r="X1" s="286"/>
      <c r="Y1" s="286"/>
      <c r="Z1" s="286"/>
      <c r="AA1" s="286"/>
      <c r="AB1" s="286"/>
      <c r="AC1" s="286"/>
      <c r="AD1" s="286"/>
      <c r="AE1" s="103"/>
    </row>
    <row r="2" spans="2:45" ht="19.7" customHeight="1">
      <c r="C2" s="295" t="s">
        <v>105</v>
      </c>
      <c r="D2" s="295"/>
      <c r="E2" s="295"/>
      <c r="F2" s="295"/>
      <c r="G2" s="295"/>
      <c r="H2" s="295"/>
      <c r="I2" s="295"/>
      <c r="J2" s="295"/>
      <c r="K2" s="295"/>
      <c r="L2" s="295"/>
      <c r="N2" s="86"/>
      <c r="P2" s="287" t="s">
        <v>177</v>
      </c>
      <c r="Q2" s="287"/>
      <c r="R2" s="287"/>
      <c r="S2" s="287"/>
      <c r="T2" s="287"/>
      <c r="U2" s="287"/>
      <c r="V2" s="287"/>
      <c r="W2" s="287"/>
      <c r="X2" s="287"/>
      <c r="Y2" s="287"/>
      <c r="Z2" s="287"/>
      <c r="AA2" s="287"/>
      <c r="AB2" s="287"/>
      <c r="AC2" s="287"/>
      <c r="AD2" s="287"/>
    </row>
    <row r="3" spans="2:45" ht="12" customHeight="1">
      <c r="C3" s="87"/>
      <c r="D3" s="87"/>
      <c r="E3" s="147"/>
      <c r="F3" s="147"/>
      <c r="G3" s="147"/>
      <c r="H3" s="147"/>
      <c r="I3" s="147"/>
      <c r="J3" s="147"/>
      <c r="K3" s="87"/>
      <c r="L3" s="88"/>
      <c r="M3" s="87"/>
      <c r="N3" s="87"/>
      <c r="O3" s="87"/>
      <c r="P3" s="87"/>
      <c r="Q3" s="89"/>
      <c r="R3" s="89"/>
      <c r="S3" s="147"/>
      <c r="T3" s="147"/>
      <c r="U3" s="147"/>
      <c r="V3" s="147"/>
      <c r="W3" s="147"/>
      <c r="X3" s="147"/>
      <c r="Y3" s="147"/>
      <c r="Z3" s="147"/>
      <c r="AA3" s="147"/>
    </row>
    <row r="4" spans="2:45" ht="8.25" customHeight="1">
      <c r="C4" s="90"/>
      <c r="D4" s="90"/>
      <c r="E4" s="91"/>
      <c r="F4" s="91"/>
      <c r="G4" s="91"/>
      <c r="H4" s="91"/>
      <c r="I4" s="91"/>
      <c r="J4" s="91"/>
      <c r="K4" s="91"/>
      <c r="L4" s="92"/>
      <c r="M4" s="92"/>
      <c r="N4" s="92"/>
      <c r="O4" s="92"/>
      <c r="P4" s="91"/>
      <c r="Q4" s="93"/>
      <c r="R4" s="93"/>
      <c r="S4" s="93"/>
      <c r="T4" s="93"/>
      <c r="U4" s="93"/>
      <c r="V4" s="93"/>
      <c r="W4" s="93"/>
      <c r="X4" s="93"/>
      <c r="Y4" s="93"/>
      <c r="Z4" s="93"/>
      <c r="AA4" s="93"/>
      <c r="AB4" s="93"/>
      <c r="AC4" s="93"/>
      <c r="AD4" s="93"/>
    </row>
    <row r="5" spans="2:45" ht="9.75" hidden="1" customHeight="1">
      <c r="C5" s="94"/>
      <c r="D5" s="94"/>
      <c r="E5" s="87"/>
      <c r="F5" s="87"/>
      <c r="G5" s="87"/>
      <c r="H5" s="87"/>
      <c r="I5" s="87"/>
      <c r="J5" s="87"/>
      <c r="K5" s="87"/>
      <c r="L5" s="87"/>
      <c r="M5" s="87"/>
      <c r="N5" s="87"/>
      <c r="O5" s="87"/>
      <c r="P5" s="87"/>
      <c r="Q5" s="87"/>
      <c r="R5" s="87"/>
      <c r="S5" s="87"/>
      <c r="T5" s="87"/>
      <c r="U5" s="87"/>
      <c r="V5" s="87"/>
      <c r="W5" s="87"/>
      <c r="X5" s="87"/>
      <c r="Y5" s="87"/>
      <c r="Z5" s="87"/>
      <c r="AA5" s="87"/>
    </row>
    <row r="6" spans="2:45" ht="19.7" customHeight="1">
      <c r="C6" s="288" t="s">
        <v>106</v>
      </c>
      <c r="D6" s="288"/>
      <c r="E6" s="288"/>
      <c r="F6" s="288"/>
      <c r="G6" s="288"/>
      <c r="H6" s="288"/>
      <c r="I6" s="288"/>
      <c r="J6" s="288"/>
      <c r="K6" s="288"/>
      <c r="L6" s="288"/>
      <c r="M6" s="288"/>
      <c r="N6" s="288"/>
      <c r="O6" s="288"/>
      <c r="P6" s="288"/>
      <c r="Q6" s="288"/>
      <c r="R6" s="288"/>
      <c r="S6" s="288"/>
      <c r="T6" s="288"/>
      <c r="U6" s="288"/>
      <c r="V6" s="288"/>
      <c r="W6" s="288"/>
      <c r="X6" s="288"/>
      <c r="Y6" s="288"/>
      <c r="Z6" s="288"/>
      <c r="AA6" s="288"/>
      <c r="AB6" s="288"/>
      <c r="AC6" s="288"/>
      <c r="AD6" s="288"/>
    </row>
    <row r="7" spans="2:45" ht="19.7" customHeight="1">
      <c r="C7" s="288" t="s">
        <v>107</v>
      </c>
      <c r="D7" s="288"/>
      <c r="E7" s="288"/>
      <c r="F7" s="288"/>
      <c r="G7" s="288"/>
      <c r="H7" s="288"/>
      <c r="I7" s="288"/>
      <c r="J7" s="288"/>
      <c r="K7" s="288"/>
      <c r="L7" s="288"/>
      <c r="M7" s="288"/>
      <c r="N7" s="288"/>
      <c r="O7" s="288"/>
      <c r="P7" s="288"/>
      <c r="Q7" s="288"/>
      <c r="R7" s="288"/>
      <c r="S7" s="288"/>
      <c r="T7" s="288"/>
      <c r="U7" s="288"/>
      <c r="V7" s="288"/>
      <c r="W7" s="288"/>
      <c r="X7" s="288"/>
      <c r="Y7" s="288"/>
      <c r="Z7" s="288"/>
      <c r="AA7" s="288"/>
      <c r="AB7" s="288"/>
      <c r="AC7" s="288"/>
      <c r="AD7" s="288"/>
    </row>
    <row r="8" spans="2:45" ht="10.5" customHeight="1">
      <c r="C8" s="148"/>
      <c r="D8" s="149"/>
      <c r="E8" s="149"/>
      <c r="F8" s="149"/>
      <c r="G8" s="149"/>
      <c r="H8" s="149"/>
      <c r="I8" s="149"/>
      <c r="J8" s="149"/>
      <c r="K8" s="149"/>
      <c r="L8" s="149"/>
      <c r="M8" s="149"/>
      <c r="N8" s="149"/>
      <c r="O8" s="149"/>
      <c r="P8" s="149"/>
      <c r="Q8" s="149"/>
      <c r="R8" s="149"/>
      <c r="S8" s="149"/>
      <c r="T8" s="149"/>
      <c r="U8" s="149"/>
      <c r="V8" s="149"/>
      <c r="W8" s="149"/>
      <c r="X8" s="149"/>
      <c r="Y8" s="149"/>
      <c r="Z8" s="149"/>
      <c r="AA8" s="149"/>
      <c r="AB8" s="85"/>
      <c r="AC8" s="85"/>
      <c r="AD8" s="85"/>
    </row>
    <row r="9" spans="2:45" ht="15.75" customHeight="1">
      <c r="C9" s="296" t="str">
        <f>"Số: "&amp;AG9</f>
        <v>Số: B08600120811TG05</v>
      </c>
      <c r="D9" s="296"/>
      <c r="E9" s="296"/>
      <c r="F9" s="296"/>
      <c r="G9" s="296"/>
      <c r="H9" s="296"/>
      <c r="I9" s="296"/>
      <c r="J9" s="296"/>
      <c r="K9" s="296"/>
      <c r="L9" s="296"/>
      <c r="M9" s="296"/>
      <c r="N9" s="296"/>
      <c r="O9" s="296"/>
      <c r="P9" s="296"/>
      <c r="Q9" s="296"/>
      <c r="R9" s="296"/>
      <c r="S9" s="296"/>
      <c r="T9" s="296"/>
      <c r="U9" s="296"/>
      <c r="V9" s="296"/>
      <c r="W9" s="296"/>
      <c r="X9" s="296"/>
      <c r="Y9" s="296"/>
      <c r="Z9" s="296"/>
      <c r="AA9" s="296"/>
      <c r="AB9" s="296"/>
      <c r="AC9" s="296"/>
      <c r="AD9" s="296"/>
      <c r="AG9" s="96" t="s">
        <v>213</v>
      </c>
    </row>
    <row r="10" spans="2:45" ht="11.25" customHeight="1">
      <c r="C10" s="150"/>
      <c r="D10" s="149"/>
      <c r="E10" s="149"/>
      <c r="F10" s="149"/>
      <c r="G10" s="149"/>
      <c r="H10" s="149"/>
      <c r="I10" s="149"/>
      <c r="J10" s="149"/>
      <c r="K10" s="149"/>
      <c r="L10" s="149"/>
      <c r="M10" s="149"/>
      <c r="N10" s="149"/>
      <c r="O10" s="149"/>
      <c r="P10" s="149"/>
      <c r="Q10" s="149"/>
      <c r="R10" s="149"/>
      <c r="S10" s="149"/>
      <c r="T10" s="149"/>
      <c r="U10" s="149"/>
      <c r="V10" s="149"/>
      <c r="W10" s="149"/>
      <c r="X10" s="149"/>
      <c r="Y10" s="149"/>
      <c r="Z10" s="149"/>
      <c r="AA10" s="149"/>
      <c r="AB10" s="85"/>
      <c r="AC10" s="85"/>
      <c r="AD10" s="85"/>
    </row>
    <row r="11" spans="2:45" ht="19.7" customHeight="1">
      <c r="C11" s="288" t="s">
        <v>108</v>
      </c>
      <c r="D11" s="288"/>
      <c r="E11" s="288"/>
      <c r="F11" s="288"/>
      <c r="G11" s="288"/>
      <c r="H11" s="288"/>
      <c r="I11" s="288"/>
      <c r="J11" s="288"/>
      <c r="K11" s="288"/>
      <c r="L11" s="288"/>
      <c r="M11" s="288"/>
      <c r="N11" s="288"/>
      <c r="O11" s="288"/>
      <c r="P11" s="288"/>
      <c r="Q11" s="288"/>
      <c r="R11" s="288"/>
      <c r="S11" s="288"/>
      <c r="T11" s="288"/>
      <c r="U11" s="288"/>
      <c r="V11" s="288"/>
      <c r="W11" s="288"/>
      <c r="X11" s="288"/>
      <c r="Y11" s="288"/>
      <c r="Z11" s="288"/>
      <c r="AA11" s="288"/>
      <c r="AB11" s="288"/>
      <c r="AC11" s="288"/>
      <c r="AD11" s="288"/>
    </row>
    <row r="12" spans="2:45" ht="19.7" customHeight="1">
      <c r="C12" s="288" t="s">
        <v>109</v>
      </c>
      <c r="D12" s="288"/>
      <c r="E12" s="288"/>
      <c r="F12" s="288"/>
      <c r="G12" s="288"/>
      <c r="H12" s="288"/>
      <c r="I12" s="288"/>
      <c r="J12" s="288"/>
      <c r="K12" s="288"/>
      <c r="L12" s="288"/>
      <c r="M12" s="288"/>
      <c r="N12" s="288"/>
      <c r="O12" s="288"/>
      <c r="P12" s="288"/>
      <c r="Q12" s="288"/>
      <c r="R12" s="288"/>
      <c r="S12" s="288"/>
      <c r="T12" s="288"/>
      <c r="U12" s="288"/>
      <c r="V12" s="288"/>
      <c r="W12" s="288"/>
      <c r="X12" s="288"/>
      <c r="Y12" s="288"/>
      <c r="Z12" s="288"/>
      <c r="AA12" s="288"/>
      <c r="AB12" s="288"/>
      <c r="AC12" s="288"/>
      <c r="AD12" s="288"/>
    </row>
    <row r="13" spans="2:45" ht="7.5" customHeight="1">
      <c r="C13" s="117"/>
      <c r="D13" s="87"/>
      <c r="E13" s="87"/>
      <c r="F13" s="87"/>
      <c r="G13" s="87"/>
      <c r="H13" s="87"/>
      <c r="I13" s="87"/>
      <c r="J13" s="87"/>
      <c r="K13" s="87"/>
      <c r="L13" s="87"/>
      <c r="M13" s="87"/>
      <c r="N13" s="87"/>
      <c r="O13" s="87"/>
      <c r="P13" s="87"/>
      <c r="Q13" s="87"/>
      <c r="R13" s="87"/>
      <c r="S13" s="87"/>
      <c r="T13" s="87"/>
      <c r="U13" s="87"/>
      <c r="V13" s="87"/>
      <c r="W13" s="87"/>
      <c r="X13" s="87"/>
      <c r="Y13" s="87"/>
      <c r="Z13" s="87"/>
      <c r="AA13" s="87"/>
    </row>
    <row r="14" spans="2:45" ht="3" hidden="1" customHeight="1">
      <c r="C14" s="95"/>
      <c r="D14" s="87"/>
      <c r="E14" s="87"/>
      <c r="F14" s="87"/>
      <c r="G14" s="87"/>
      <c r="H14" s="87"/>
      <c r="I14" s="87"/>
      <c r="J14" s="87"/>
      <c r="K14" s="87"/>
      <c r="L14" s="87"/>
      <c r="M14" s="87"/>
      <c r="N14" s="87"/>
      <c r="O14" s="87"/>
      <c r="P14" s="87"/>
      <c r="Q14" s="87"/>
      <c r="R14" s="87"/>
      <c r="S14" s="87"/>
      <c r="T14" s="87"/>
      <c r="U14" s="87"/>
      <c r="V14" s="87"/>
      <c r="W14" s="87"/>
      <c r="X14" s="87"/>
      <c r="Y14" s="87"/>
      <c r="Z14" s="87"/>
      <c r="AA14" s="87"/>
    </row>
    <row r="15" spans="2:45" ht="25.5" customHeight="1">
      <c r="C15" s="289" t="s">
        <v>107</v>
      </c>
      <c r="D15" s="290"/>
      <c r="E15" s="290"/>
      <c r="F15" s="290"/>
      <c r="G15" s="290"/>
      <c r="H15" s="290"/>
      <c r="I15" s="290"/>
      <c r="J15" s="290"/>
      <c r="K15" s="290"/>
      <c r="L15" s="290"/>
      <c r="M15" s="290"/>
      <c r="N15" s="290"/>
      <c r="O15" s="290"/>
      <c r="P15" s="290"/>
      <c r="Q15" s="290"/>
      <c r="R15" s="290"/>
      <c r="S15" s="290"/>
      <c r="T15" s="290"/>
      <c r="U15" s="290"/>
      <c r="V15" s="290"/>
      <c r="W15" s="290"/>
      <c r="X15" s="290"/>
      <c r="Y15" s="290"/>
      <c r="Z15" s="290"/>
      <c r="AA15" s="290"/>
      <c r="AB15" s="290"/>
      <c r="AC15" s="290"/>
      <c r="AD15" s="291"/>
      <c r="AE15" s="118"/>
      <c r="AG15" s="98">
        <v>1</v>
      </c>
      <c r="AH15" s="98"/>
      <c r="AI15" s="98"/>
      <c r="AJ15" s="98"/>
      <c r="AK15" s="98">
        <v>2</v>
      </c>
      <c r="AL15" s="98"/>
      <c r="AM15" s="98"/>
      <c r="AN15" s="98"/>
      <c r="AO15" s="98">
        <v>3</v>
      </c>
      <c r="AS15" s="84">
        <v>4</v>
      </c>
    </row>
    <row r="16" spans="2:45" ht="40.5" customHeight="1">
      <c r="C16" s="270" t="s">
        <v>24</v>
      </c>
      <c r="D16" s="271"/>
      <c r="E16" s="271"/>
      <c r="F16" s="271"/>
      <c r="G16" s="271"/>
      <c r="H16" s="271"/>
      <c r="I16" s="271"/>
      <c r="J16" s="271"/>
      <c r="K16" s="271"/>
      <c r="L16" s="272"/>
      <c r="M16" s="297" t="str">
        <f>AG16</f>
        <v>Ấp Bàu Trâu, xã Phước Thạnh, huyện Củ Chi, thành phố Hồ Chí Minh.</v>
      </c>
      <c r="N16" s="298"/>
      <c r="O16" s="298"/>
      <c r="P16" s="298"/>
      <c r="Q16" s="298"/>
      <c r="R16" s="298"/>
      <c r="S16" s="298"/>
      <c r="T16" s="298"/>
      <c r="U16" s="298"/>
      <c r="V16" s="298"/>
      <c r="W16" s="298"/>
      <c r="X16" s="298"/>
      <c r="Y16" s="298"/>
      <c r="Z16" s="298"/>
      <c r="AA16" s="298"/>
      <c r="AB16" s="298"/>
      <c r="AC16" s="298"/>
      <c r="AD16" s="299"/>
      <c r="AE16" s="118"/>
      <c r="AG16" s="185" t="s">
        <v>110</v>
      </c>
    </row>
    <row r="17" spans="3:48" ht="19.5" customHeight="1">
      <c r="C17" s="270" t="s">
        <v>17</v>
      </c>
      <c r="D17" s="271"/>
      <c r="E17" s="271"/>
      <c r="F17" s="271"/>
      <c r="G17" s="271"/>
      <c r="H17" s="271"/>
      <c r="I17" s="271"/>
      <c r="J17" s="271"/>
      <c r="K17" s="271"/>
      <c r="L17" s="272"/>
      <c r="M17" s="265" t="str">
        <f>IF(AG17="","",AG17)</f>
        <v/>
      </c>
      <c r="N17" s="266"/>
      <c r="O17" s="266"/>
      <c r="P17" s="266"/>
      <c r="Q17" s="266"/>
      <c r="R17" s="266"/>
      <c r="S17" s="266"/>
      <c r="T17" s="266"/>
      <c r="U17" s="266"/>
      <c r="V17" s="266"/>
      <c r="W17" s="266"/>
      <c r="X17" s="266"/>
      <c r="Y17" s="266"/>
      <c r="Z17" s="266"/>
      <c r="AA17" s="266"/>
      <c r="AB17" s="266"/>
      <c r="AC17" s="266"/>
      <c r="AD17" s="267"/>
      <c r="AE17" s="118"/>
    </row>
    <row r="18" spans="3:48" ht="33.950000000000003" customHeight="1">
      <c r="C18" s="292" t="s">
        <v>9</v>
      </c>
      <c r="D18" s="293"/>
      <c r="E18" s="293"/>
      <c r="F18" s="293"/>
      <c r="G18" s="293"/>
      <c r="H18" s="293"/>
      <c r="I18" s="293"/>
      <c r="J18" s="293"/>
      <c r="K18" s="293"/>
      <c r="L18" s="294"/>
      <c r="M18" s="265" t="str">
        <f>AG18</f>
        <v>CÔNG TY CỔ PHẦN VIỄN THÔNG DI ĐỘNG TOÀN CẦU</v>
      </c>
      <c r="N18" s="266"/>
      <c r="O18" s="266"/>
      <c r="P18" s="266"/>
      <c r="Q18" s="266"/>
      <c r="R18" s="266"/>
      <c r="S18" s="266"/>
      <c r="T18" s="266"/>
      <c r="U18" s="266"/>
      <c r="V18" s="266"/>
      <c r="W18" s="266"/>
      <c r="X18" s="266"/>
      <c r="Y18" s="266"/>
      <c r="Z18" s="266"/>
      <c r="AA18" s="266"/>
      <c r="AB18" s="266"/>
      <c r="AC18" s="266"/>
      <c r="AD18" s="267"/>
      <c r="AE18" s="118"/>
      <c r="AG18" s="96" t="s">
        <v>155</v>
      </c>
    </row>
    <row r="19" spans="3:48" ht="33.950000000000003" customHeight="1">
      <c r="C19" s="292" t="s">
        <v>16</v>
      </c>
      <c r="D19" s="293"/>
      <c r="E19" s="293"/>
      <c r="F19" s="293"/>
      <c r="G19" s="293"/>
      <c r="H19" s="293"/>
      <c r="I19" s="293"/>
      <c r="J19" s="293"/>
      <c r="K19" s="293"/>
      <c r="L19" s="294"/>
      <c r="M19" s="265" t="str">
        <f>AG19</f>
        <v>CÔNG TY CỔ PHẦN VIỄN THÔNG DI ĐỘNG TOÀN CẦU</v>
      </c>
      <c r="N19" s="266"/>
      <c r="O19" s="266"/>
      <c r="P19" s="266"/>
      <c r="Q19" s="266"/>
      <c r="R19" s="266"/>
      <c r="S19" s="266"/>
      <c r="T19" s="266"/>
      <c r="U19" s="266"/>
      <c r="V19" s="266"/>
      <c r="W19" s="266"/>
      <c r="X19" s="266"/>
      <c r="Y19" s="266"/>
      <c r="Z19" s="266"/>
      <c r="AA19" s="266"/>
      <c r="AB19" s="266"/>
      <c r="AC19" s="266"/>
      <c r="AD19" s="267"/>
      <c r="AE19" s="119"/>
      <c r="AG19" s="96" t="s">
        <v>155</v>
      </c>
    </row>
    <row r="20" spans="3:48" ht="21" customHeight="1">
      <c r="C20" s="279" t="s">
        <v>111</v>
      </c>
      <c r="D20" s="280"/>
      <c r="E20" s="280"/>
      <c r="F20" s="280"/>
      <c r="G20" s="280"/>
      <c r="H20" s="280"/>
      <c r="I20" s="280"/>
      <c r="J20" s="280"/>
      <c r="K20" s="280"/>
      <c r="L20" s="280"/>
      <c r="M20" s="280"/>
      <c r="N20" s="280"/>
      <c r="O20" s="280"/>
      <c r="P20" s="280"/>
      <c r="Q20" s="280"/>
      <c r="R20" s="280"/>
      <c r="S20" s="280"/>
      <c r="T20" s="280"/>
      <c r="U20" s="280"/>
      <c r="V20" s="280"/>
      <c r="W20" s="280"/>
      <c r="X20" s="280"/>
      <c r="Y20" s="280"/>
      <c r="Z20" s="280"/>
      <c r="AA20" s="280"/>
      <c r="AB20" s="280"/>
      <c r="AC20" s="280"/>
      <c r="AD20" s="281"/>
      <c r="AE20" s="120"/>
    </row>
    <row r="21" spans="3:48" ht="33.950000000000003" customHeight="1">
      <c r="C21" s="273" t="s">
        <v>112</v>
      </c>
      <c r="D21" s="273"/>
      <c r="E21" s="273"/>
      <c r="F21" s="273"/>
      <c r="G21" s="273"/>
      <c r="H21" s="273"/>
      <c r="I21" s="273"/>
      <c r="J21" s="273"/>
      <c r="K21" s="273"/>
      <c r="L21" s="273"/>
      <c r="M21" s="265" t="str">
        <f>AG21</f>
        <v>A</v>
      </c>
      <c r="N21" s="266"/>
      <c r="O21" s="266"/>
      <c r="P21" s="266"/>
      <c r="Q21" s="266"/>
      <c r="R21" s="266"/>
      <c r="S21" s="266"/>
      <c r="T21" s="266"/>
      <c r="U21" s="266"/>
      <c r="V21" s="266"/>
      <c r="W21" s="266"/>
      <c r="X21" s="266"/>
      <c r="Y21" s="266"/>
      <c r="Z21" s="266"/>
      <c r="AA21" s="266"/>
      <c r="AB21" s="266"/>
      <c r="AC21" s="266"/>
      <c r="AD21" s="267"/>
      <c r="AE21" s="118"/>
      <c r="AG21" s="96" t="s">
        <v>113</v>
      </c>
      <c r="AK21" s="96" t="s">
        <v>114</v>
      </c>
      <c r="AO21" s="96" t="s">
        <v>115</v>
      </c>
      <c r="AS21" s="96" t="s">
        <v>116</v>
      </c>
    </row>
    <row r="22" spans="3:48" ht="19.7" customHeight="1">
      <c r="C22" s="282" t="s">
        <v>117</v>
      </c>
      <c r="D22" s="283"/>
      <c r="E22" s="283"/>
      <c r="F22" s="283"/>
      <c r="G22" s="283"/>
      <c r="H22" s="283"/>
      <c r="I22" s="283"/>
      <c r="J22" s="283"/>
      <c r="K22" s="283"/>
      <c r="L22" s="284"/>
      <c r="M22" s="265">
        <f>AG22</f>
        <v>4</v>
      </c>
      <c r="N22" s="266"/>
      <c r="O22" s="266"/>
      <c r="P22" s="266"/>
      <c r="Q22" s="266"/>
      <c r="R22" s="266"/>
      <c r="S22" s="266"/>
      <c r="T22" s="266"/>
      <c r="U22" s="266"/>
      <c r="V22" s="266"/>
      <c r="W22" s="266"/>
      <c r="X22" s="266"/>
      <c r="Y22" s="266"/>
      <c r="Z22" s="266"/>
      <c r="AA22" s="266"/>
      <c r="AB22" s="266"/>
      <c r="AC22" s="266"/>
      <c r="AD22" s="267"/>
      <c r="AE22" s="118"/>
      <c r="AG22" s="98">
        <v>4</v>
      </c>
      <c r="AH22" s="98"/>
      <c r="AI22" s="98"/>
      <c r="AJ22" s="98"/>
      <c r="AK22" s="98">
        <v>1</v>
      </c>
      <c r="AL22" s="98"/>
      <c r="AM22" s="98"/>
      <c r="AN22" s="98"/>
      <c r="AO22" s="98">
        <v>3</v>
      </c>
      <c r="AS22" s="84">
        <v>1</v>
      </c>
    </row>
    <row r="23" spans="3:48" ht="19.7" customHeight="1">
      <c r="C23" s="273" t="s">
        <v>118</v>
      </c>
      <c r="D23" s="273"/>
      <c r="E23" s="273"/>
      <c r="F23" s="273"/>
      <c r="G23" s="273"/>
      <c r="H23" s="273"/>
      <c r="I23" s="273"/>
      <c r="J23" s="273"/>
      <c r="K23" s="273"/>
      <c r="L23" s="273"/>
      <c r="M23" s="276" t="str">
        <f>AG23</f>
        <v>4/4/4</v>
      </c>
      <c r="N23" s="277"/>
      <c r="O23" s="277"/>
      <c r="P23" s="277"/>
      <c r="Q23" s="277"/>
      <c r="R23" s="277"/>
      <c r="S23" s="277"/>
      <c r="T23" s="277"/>
      <c r="U23" s="277"/>
      <c r="V23" s="277"/>
      <c r="W23" s="277"/>
      <c r="X23" s="277"/>
      <c r="Y23" s="277"/>
      <c r="Z23" s="277"/>
      <c r="AA23" s="277"/>
      <c r="AB23" s="277"/>
      <c r="AC23" s="277"/>
      <c r="AD23" s="278"/>
      <c r="AE23" s="121"/>
      <c r="AG23" s="100" t="s">
        <v>119</v>
      </c>
      <c r="AH23" s="101"/>
      <c r="AI23" s="101"/>
      <c r="AJ23" s="101"/>
      <c r="AK23" s="100" t="s">
        <v>120</v>
      </c>
      <c r="AL23" s="101"/>
      <c r="AM23" s="101"/>
      <c r="AN23" s="101"/>
      <c r="AO23" s="100" t="s">
        <v>121</v>
      </c>
      <c r="AP23" s="101"/>
      <c r="AQ23" s="101"/>
      <c r="AR23" s="101"/>
      <c r="AS23" s="100" t="s">
        <v>122</v>
      </c>
    </row>
    <row r="24" spans="3:48" ht="19.7" customHeight="1">
      <c r="C24" s="282" t="s">
        <v>156</v>
      </c>
      <c r="D24" s="283"/>
      <c r="E24" s="283"/>
      <c r="F24" s="283"/>
      <c r="G24" s="283"/>
      <c r="H24" s="283"/>
      <c r="I24" s="283"/>
      <c r="J24" s="283"/>
      <c r="K24" s="283"/>
      <c r="L24" s="284"/>
      <c r="M24" s="265" t="str">
        <f>IF(M22=4,AG24&amp;"W/ "&amp;AH24&amp;"W/ "&amp;AI24&amp;"W/ "&amp;AJ24&amp;"W",IF(M22=3,AG24&amp;"W/ "&amp;AH24&amp;"W/ "&amp;AI24&amp;"W",IF(M22=2,AG24&amp;"W/ "&amp;AH24&amp;"W",AG24&amp;"W")))</f>
        <v>20W/ 20W/ 20W/ 20W</v>
      </c>
      <c r="N24" s="266"/>
      <c r="O24" s="266"/>
      <c r="P24" s="266"/>
      <c r="Q24" s="266"/>
      <c r="R24" s="266"/>
      <c r="S24" s="266"/>
      <c r="T24" s="266"/>
      <c r="U24" s="266"/>
      <c r="V24" s="266"/>
      <c r="W24" s="266"/>
      <c r="X24" s="266"/>
      <c r="Y24" s="266"/>
      <c r="Z24" s="266"/>
      <c r="AA24" s="266"/>
      <c r="AB24" s="266"/>
      <c r="AC24" s="266"/>
      <c r="AD24" s="267"/>
      <c r="AE24" s="119"/>
      <c r="AG24" s="84">
        <v>20</v>
      </c>
      <c r="AH24" s="84">
        <v>20</v>
      </c>
      <c r="AI24" s="84">
        <v>20</v>
      </c>
      <c r="AJ24" s="84">
        <v>20</v>
      </c>
      <c r="AK24" s="84">
        <v>40</v>
      </c>
      <c r="AL24" s="84">
        <v>40</v>
      </c>
      <c r="AM24" s="84">
        <v>40</v>
      </c>
      <c r="AN24" s="84">
        <v>20</v>
      </c>
      <c r="AO24" s="84">
        <v>60</v>
      </c>
      <c r="AP24" s="84">
        <v>60</v>
      </c>
      <c r="AQ24" s="84">
        <v>60</v>
      </c>
      <c r="AR24" s="84">
        <v>60</v>
      </c>
      <c r="AS24" s="84">
        <v>80</v>
      </c>
      <c r="AT24" s="84">
        <v>80</v>
      </c>
      <c r="AU24" s="84">
        <v>80</v>
      </c>
      <c r="AV24" s="84">
        <v>80</v>
      </c>
    </row>
    <row r="25" spans="3:48" ht="19.7" customHeight="1">
      <c r="C25" s="273" t="s">
        <v>123</v>
      </c>
      <c r="D25" s="273"/>
      <c r="E25" s="273"/>
      <c r="F25" s="273"/>
      <c r="G25" s="273"/>
      <c r="H25" s="273"/>
      <c r="I25" s="273"/>
      <c r="J25" s="273"/>
      <c r="K25" s="273"/>
      <c r="L25" s="273"/>
      <c r="M25" s="265" t="str">
        <f>IF(AG25="900 &amp; 1800","900MHz &amp; 1800MHz",IF(AG25="900 &amp; 2100","900MHz &amp; 2100MHz",IF(AG25="1800 &amp; 2100","1800MHz &amp; 2100MHz",AG25&amp;"MHz")))</f>
        <v>900MHz</v>
      </c>
      <c r="N25" s="266"/>
      <c r="O25" s="266"/>
      <c r="P25" s="266"/>
      <c r="Q25" s="266"/>
      <c r="R25" s="266"/>
      <c r="S25" s="266"/>
      <c r="T25" s="266"/>
      <c r="U25" s="266"/>
      <c r="V25" s="266"/>
      <c r="W25" s="266"/>
      <c r="X25" s="266"/>
      <c r="Y25" s="266"/>
      <c r="Z25" s="266"/>
      <c r="AA25" s="266"/>
      <c r="AB25" s="266"/>
      <c r="AC25" s="266"/>
      <c r="AD25" s="267"/>
      <c r="AE25" s="118"/>
      <c r="AG25" s="84">
        <v>900</v>
      </c>
      <c r="AK25" s="84">
        <v>1800</v>
      </c>
      <c r="AO25" s="84">
        <v>2100</v>
      </c>
      <c r="AS25" s="96" t="s">
        <v>204</v>
      </c>
    </row>
    <row r="26" spans="3:48" ht="33.950000000000003" customHeight="1">
      <c r="C26" s="273" t="s">
        <v>170</v>
      </c>
      <c r="D26" s="273"/>
      <c r="E26" s="273"/>
      <c r="F26" s="273"/>
      <c r="G26" s="273"/>
      <c r="H26" s="273"/>
      <c r="I26" s="273"/>
      <c r="J26" s="273"/>
      <c r="K26" s="273"/>
      <c r="L26" s="273"/>
      <c r="M26" s="265">
        <f>AG26</f>
        <v>15</v>
      </c>
      <c r="N26" s="266"/>
      <c r="O26" s="266"/>
      <c r="P26" s="266"/>
      <c r="Q26" s="266"/>
      <c r="R26" s="266"/>
      <c r="S26" s="266"/>
      <c r="T26" s="266"/>
      <c r="U26" s="266"/>
      <c r="V26" s="266"/>
      <c r="W26" s="266"/>
      <c r="X26" s="266"/>
      <c r="Y26" s="266"/>
      <c r="Z26" s="266"/>
      <c r="AA26" s="266"/>
      <c r="AB26" s="266"/>
      <c r="AC26" s="266"/>
      <c r="AD26" s="267"/>
      <c r="AE26" s="119"/>
      <c r="AG26" s="84">
        <v>15</v>
      </c>
      <c r="AK26" s="84">
        <v>16</v>
      </c>
      <c r="AO26" s="84">
        <v>17</v>
      </c>
      <c r="AS26" s="84">
        <v>18</v>
      </c>
    </row>
    <row r="27" spans="3:48" ht="25.5" customHeight="1">
      <c r="C27" s="274" t="s">
        <v>125</v>
      </c>
      <c r="D27" s="274"/>
      <c r="E27" s="274"/>
      <c r="F27" s="274"/>
      <c r="G27" s="274"/>
      <c r="H27" s="274"/>
      <c r="I27" s="274"/>
      <c r="J27" s="274"/>
      <c r="K27" s="274"/>
      <c r="L27" s="274"/>
      <c r="M27" s="274"/>
      <c r="N27" s="274"/>
      <c r="O27" s="274"/>
      <c r="P27" s="274"/>
      <c r="Q27" s="274"/>
      <c r="R27" s="274"/>
      <c r="S27" s="274"/>
      <c r="T27" s="274"/>
      <c r="U27" s="274"/>
      <c r="V27" s="274"/>
      <c r="W27" s="274"/>
      <c r="X27" s="274"/>
      <c r="Y27" s="274"/>
      <c r="Z27" s="274"/>
      <c r="AA27" s="274"/>
      <c r="AB27" s="102"/>
      <c r="AC27" s="102"/>
      <c r="AD27" s="102"/>
    </row>
    <row r="28" spans="3:48" ht="24.75" customHeight="1">
      <c r="C28" s="28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85"/>
      <c r="E28" s="285"/>
      <c r="F28" s="285"/>
      <c r="G28" s="285"/>
      <c r="H28" s="285"/>
      <c r="I28" s="285"/>
      <c r="J28" s="285"/>
      <c r="K28" s="285"/>
      <c r="L28" s="285"/>
      <c r="M28" s="285"/>
      <c r="N28" s="285"/>
      <c r="O28" s="285"/>
      <c r="P28" s="285"/>
      <c r="Q28" s="285"/>
      <c r="R28" s="285"/>
      <c r="S28" s="285"/>
      <c r="T28" s="285"/>
      <c r="U28" s="285"/>
      <c r="V28" s="285"/>
      <c r="W28" s="285"/>
      <c r="X28" s="285"/>
      <c r="Y28" s="285"/>
      <c r="Z28" s="285"/>
      <c r="AA28" s="285"/>
      <c r="AB28" s="285"/>
      <c r="AC28" s="285"/>
      <c r="AD28" s="285"/>
      <c r="AG28" s="84">
        <v>30</v>
      </c>
      <c r="AO28" s="84" t="s">
        <v>258</v>
      </c>
    </row>
    <row r="29" spans="3:48" ht="24.75" customHeight="1">
      <c r="C29" s="285"/>
      <c r="D29" s="285"/>
      <c r="E29" s="285"/>
      <c r="F29" s="285"/>
      <c r="G29" s="285"/>
      <c r="H29" s="285"/>
      <c r="I29" s="285"/>
      <c r="J29" s="285"/>
      <c r="K29" s="285"/>
      <c r="L29" s="285"/>
      <c r="M29" s="285"/>
      <c r="N29" s="285"/>
      <c r="O29" s="285"/>
      <c r="P29" s="285"/>
      <c r="Q29" s="285"/>
      <c r="R29" s="285"/>
      <c r="S29" s="285"/>
      <c r="T29" s="285"/>
      <c r="U29" s="285"/>
      <c r="V29" s="285"/>
      <c r="W29" s="285"/>
      <c r="X29" s="285"/>
      <c r="Y29" s="285"/>
      <c r="Z29" s="285"/>
      <c r="AA29" s="285"/>
      <c r="AB29" s="285"/>
      <c r="AC29" s="285"/>
      <c r="AD29" s="285"/>
      <c r="AG29" s="84">
        <v>1</v>
      </c>
      <c r="AO29" s="84"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4" t="s">
        <v>260</v>
      </c>
      <c r="AQ29" s="84" t="str">
        <f>IF(AG28&gt;=0," cao hơn "," thấp hơn ")</f>
        <v xml:space="preserve"> cao hơn </v>
      </c>
      <c r="AR29" s="84" t="s">
        <v>261</v>
      </c>
    </row>
    <row r="30" spans="3:48" ht="16.5" customHeight="1">
      <c r="C30" s="275" t="str">
        <f>IF(AG31=1,AO31,IF(AG31=2,AO30))</f>
        <v>Trạm gốc điện thoại di động mặt đất công cộng này có mức an toàn phơi nhiễm trường điện từ tuân thủ quy chuẩn kỹ thuật trên.</v>
      </c>
      <c r="D30" s="275"/>
      <c r="E30" s="275"/>
      <c r="F30" s="275"/>
      <c r="G30" s="275"/>
      <c r="H30" s="275"/>
      <c r="I30" s="275"/>
      <c r="J30" s="275"/>
      <c r="K30" s="275"/>
      <c r="L30" s="275"/>
      <c r="M30" s="275"/>
      <c r="N30" s="275"/>
      <c r="O30" s="275"/>
      <c r="P30" s="275"/>
      <c r="Q30" s="275"/>
      <c r="R30" s="275"/>
      <c r="S30" s="275"/>
      <c r="T30" s="275"/>
      <c r="U30" s="275"/>
      <c r="V30" s="275"/>
      <c r="W30" s="275"/>
      <c r="X30" s="275"/>
      <c r="Y30" s="275"/>
      <c r="Z30" s="275"/>
      <c r="AA30" s="275"/>
      <c r="AB30" s="275"/>
      <c r="AC30" s="275"/>
      <c r="AD30" s="275"/>
      <c r="AG30" s="84">
        <v>20</v>
      </c>
      <c r="AO30" s="84" t="s">
        <v>171</v>
      </c>
    </row>
    <row r="31" spans="3:48" ht="16.5" customHeight="1">
      <c r="C31" s="275"/>
      <c r="D31" s="275"/>
      <c r="E31" s="275"/>
      <c r="F31" s="275"/>
      <c r="G31" s="275"/>
      <c r="H31" s="275"/>
      <c r="I31" s="275"/>
      <c r="J31" s="275"/>
      <c r="K31" s="275"/>
      <c r="L31" s="275"/>
      <c r="M31" s="275"/>
      <c r="N31" s="275"/>
      <c r="O31" s="275"/>
      <c r="P31" s="275"/>
      <c r="Q31" s="275"/>
      <c r="R31" s="275"/>
      <c r="S31" s="275"/>
      <c r="T31" s="275"/>
      <c r="U31" s="275"/>
      <c r="V31" s="275"/>
      <c r="W31" s="275"/>
      <c r="X31" s="275"/>
      <c r="Y31" s="275"/>
      <c r="Z31" s="275"/>
      <c r="AA31" s="275"/>
      <c r="AB31" s="275"/>
      <c r="AC31" s="275"/>
      <c r="AD31" s="275"/>
      <c r="AG31" s="84">
        <v>2</v>
      </c>
      <c r="AO31" s="156"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264" t="s">
        <v>171</v>
      </c>
      <c r="D32" s="264"/>
      <c r="E32" s="264"/>
      <c r="F32" s="264"/>
      <c r="G32" s="264"/>
      <c r="H32" s="264"/>
      <c r="I32" s="264"/>
      <c r="J32" s="264"/>
      <c r="K32" s="264"/>
      <c r="L32" s="264"/>
      <c r="M32" s="264"/>
      <c r="N32" s="264"/>
      <c r="O32" s="264"/>
      <c r="P32" s="264"/>
      <c r="Q32" s="264"/>
      <c r="R32" s="264"/>
      <c r="S32" s="264"/>
      <c r="T32" s="264"/>
      <c r="U32" s="264"/>
      <c r="V32" s="264"/>
      <c r="W32" s="264"/>
      <c r="X32" s="264"/>
      <c r="Y32" s="264"/>
      <c r="Z32" s="264"/>
      <c r="AA32" s="264"/>
      <c r="AB32" s="264"/>
      <c r="AC32" s="264"/>
      <c r="AD32" s="264"/>
    </row>
    <row r="33" spans="1:48" ht="17.100000000000001" customHeight="1">
      <c r="C33" s="264"/>
      <c r="D33" s="264"/>
      <c r="E33" s="264"/>
      <c r="F33" s="264"/>
      <c r="G33" s="264"/>
      <c r="H33" s="264"/>
      <c r="I33" s="264"/>
      <c r="J33" s="264"/>
      <c r="K33" s="264"/>
      <c r="L33" s="264"/>
      <c r="M33" s="264"/>
      <c r="N33" s="264"/>
      <c r="O33" s="264"/>
      <c r="P33" s="264"/>
      <c r="Q33" s="264"/>
      <c r="R33" s="264"/>
      <c r="S33" s="264"/>
      <c r="T33" s="264"/>
      <c r="U33" s="264"/>
      <c r="V33" s="264"/>
      <c r="W33" s="264"/>
      <c r="X33" s="264"/>
      <c r="Y33" s="264"/>
      <c r="Z33" s="264"/>
      <c r="AA33" s="264"/>
      <c r="AB33" s="264"/>
      <c r="AC33" s="264"/>
      <c r="AD33" s="264"/>
      <c r="AE33" s="126"/>
    </row>
    <row r="34" spans="1:48" ht="17.100000000000001" customHeight="1">
      <c r="C34" s="305"/>
      <c r="D34" s="305"/>
      <c r="E34" s="305"/>
      <c r="F34" s="305"/>
      <c r="G34" s="305"/>
      <c r="H34" s="102"/>
      <c r="I34" s="306"/>
      <c r="J34" s="306"/>
      <c r="K34" s="306"/>
      <c r="L34" s="306"/>
      <c r="M34" s="306"/>
      <c r="N34" s="306"/>
      <c r="O34" s="102"/>
      <c r="P34" s="103"/>
      <c r="Q34" s="103"/>
      <c r="R34" s="103"/>
      <c r="S34" s="103"/>
      <c r="T34" s="300" t="str">
        <f>IF(AI41=0,AN34,IF(AI41=1,AK34,AR34))</f>
        <v>KT. GIÁM ĐỐC</v>
      </c>
      <c r="U34" s="300"/>
      <c r="V34" s="300"/>
      <c r="W34" s="300"/>
      <c r="X34" s="300"/>
      <c r="Y34" s="300"/>
      <c r="Z34" s="300"/>
      <c r="AA34" s="300"/>
      <c r="AB34" s="300"/>
      <c r="AC34" s="300"/>
      <c r="AD34" s="300"/>
      <c r="AE34" s="300"/>
      <c r="AK34" s="84" t="s">
        <v>126</v>
      </c>
      <c r="AN34" s="84" t="s">
        <v>211</v>
      </c>
      <c r="AR34" s="84" t="s">
        <v>210</v>
      </c>
    </row>
    <row r="35" spans="1:48" ht="17.100000000000001" customHeight="1">
      <c r="C35" s="301" t="s">
        <v>127</v>
      </c>
      <c r="D35" s="301"/>
      <c r="E35" s="301"/>
      <c r="F35" s="301"/>
      <c r="G35" s="301"/>
      <c r="H35" s="106" t="s">
        <v>128</v>
      </c>
      <c r="I35" s="303" t="s">
        <v>129</v>
      </c>
      <c r="J35" s="303"/>
      <c r="K35" s="303"/>
      <c r="L35" s="303"/>
      <c r="M35" s="303"/>
      <c r="N35" s="303"/>
      <c r="O35" s="105"/>
      <c r="P35" s="105"/>
      <c r="Q35" s="102"/>
      <c r="R35" s="102"/>
      <c r="S35" s="102"/>
      <c r="T35" s="300" t="str">
        <f>IF(AI41=0,AN35,IF(AI41=1,"",AR35))</f>
        <v>PHÓ GIÁM ĐỐC</v>
      </c>
      <c r="U35" s="300"/>
      <c r="V35" s="300"/>
      <c r="W35" s="300"/>
      <c r="X35" s="300"/>
      <c r="Y35" s="300"/>
      <c r="Z35" s="300"/>
      <c r="AA35" s="300"/>
      <c r="AB35" s="300"/>
      <c r="AC35" s="300"/>
      <c r="AD35" s="300"/>
      <c r="AE35" s="300"/>
      <c r="AN35" s="84" t="s">
        <v>208</v>
      </c>
      <c r="AR35" s="84" t="s">
        <v>158</v>
      </c>
    </row>
    <row r="36" spans="1:48" ht="17.100000000000001" customHeight="1">
      <c r="C36" s="301" t="s">
        <v>130</v>
      </c>
      <c r="D36" s="301"/>
      <c r="E36" s="301"/>
      <c r="F36" s="301"/>
      <c r="G36" s="301"/>
      <c r="H36" s="106" t="s">
        <v>128</v>
      </c>
      <c r="I36" s="302">
        <f>AG36</f>
        <v>40806</v>
      </c>
      <c r="J36" s="303"/>
      <c r="K36" s="303"/>
      <c r="L36" s="303"/>
      <c r="M36" s="303"/>
      <c r="N36" s="107"/>
      <c r="O36" s="107"/>
      <c r="P36" s="107"/>
      <c r="Q36" s="102"/>
      <c r="R36" s="102"/>
      <c r="S36" s="102"/>
      <c r="T36" s="102"/>
      <c r="U36" s="102"/>
      <c r="V36" s="102"/>
      <c r="W36" s="102"/>
      <c r="X36" s="102"/>
      <c r="Y36" s="102"/>
      <c r="Z36" s="102"/>
      <c r="AA36" s="102"/>
      <c r="AB36" s="102"/>
      <c r="AC36" s="102"/>
      <c r="AD36" s="102"/>
      <c r="AG36" s="108">
        <v>40806</v>
      </c>
    </row>
    <row r="37" spans="1:48" ht="17.100000000000001" customHeight="1">
      <c r="C37" s="301" t="s">
        <v>131</v>
      </c>
      <c r="D37" s="301"/>
      <c r="E37" s="301"/>
      <c r="F37" s="301"/>
      <c r="G37" s="301"/>
      <c r="H37" s="106" t="s">
        <v>128</v>
      </c>
      <c r="I37" s="302">
        <f>AG37</f>
        <v>42633</v>
      </c>
      <c r="J37" s="303"/>
      <c r="K37" s="303"/>
      <c r="L37" s="303"/>
      <c r="M37" s="303"/>
      <c r="N37" s="107"/>
      <c r="O37" s="107"/>
      <c r="P37" s="107"/>
      <c r="Q37" s="102"/>
      <c r="R37" s="102"/>
      <c r="S37" s="102"/>
      <c r="T37" s="102"/>
      <c r="U37" s="102"/>
      <c r="V37" s="102"/>
      <c r="W37" s="102"/>
      <c r="X37" s="102"/>
      <c r="Y37" s="102"/>
      <c r="Z37" s="102"/>
      <c r="AA37" s="102"/>
      <c r="AB37" s="102"/>
      <c r="AC37" s="102"/>
      <c r="AD37" s="102"/>
      <c r="AG37" s="108">
        <v>42633</v>
      </c>
    </row>
    <row r="38" spans="1:48" ht="17.100000000000001" customHeight="1">
      <c r="C38" s="109"/>
      <c r="D38" s="109"/>
      <c r="E38" s="109"/>
      <c r="F38" s="94"/>
      <c r="G38" s="87"/>
      <c r="H38" s="87"/>
      <c r="I38" s="87"/>
      <c r="J38" s="87"/>
      <c r="K38" s="87"/>
      <c r="L38" s="87"/>
      <c r="M38" s="87"/>
      <c r="N38" s="87"/>
      <c r="O38" s="87"/>
      <c r="P38" s="87"/>
      <c r="Q38" s="87"/>
      <c r="R38" s="87"/>
      <c r="S38" s="87"/>
      <c r="T38" s="87"/>
      <c r="U38" s="87"/>
      <c r="V38" s="87"/>
      <c r="W38" s="87"/>
      <c r="X38" s="87"/>
      <c r="Y38" s="87"/>
      <c r="Z38" s="87"/>
      <c r="AA38" s="87"/>
      <c r="AB38" s="102"/>
      <c r="AC38" s="102"/>
      <c r="AD38" s="102"/>
    </row>
    <row r="39" spans="1:48" ht="17.100000000000001" customHeight="1">
      <c r="C39" s="109"/>
      <c r="D39" s="109"/>
      <c r="E39" s="109"/>
      <c r="F39" s="94"/>
      <c r="G39" s="87"/>
      <c r="H39" s="87"/>
      <c r="I39" s="87"/>
      <c r="J39" s="87"/>
      <c r="K39" s="87"/>
      <c r="L39" s="87"/>
      <c r="M39" s="87"/>
      <c r="N39" s="87"/>
      <c r="O39" s="87"/>
      <c r="P39" s="87"/>
      <c r="Q39" s="87"/>
      <c r="R39" s="87"/>
      <c r="S39" s="87"/>
      <c r="T39" s="304"/>
      <c r="U39" s="304"/>
      <c r="V39" s="304"/>
      <c r="W39" s="304"/>
      <c r="X39" s="304"/>
      <c r="Y39" s="304"/>
      <c r="Z39" s="304"/>
      <c r="AA39" s="304"/>
      <c r="AB39" s="304"/>
      <c r="AC39" s="304"/>
      <c r="AD39" s="304"/>
      <c r="AE39" s="304"/>
    </row>
    <row r="40" spans="1:48" ht="17.100000000000001" customHeight="1">
      <c r="C40" s="109"/>
      <c r="D40" s="109"/>
      <c r="E40" s="109"/>
      <c r="F40" s="94"/>
      <c r="G40" s="87"/>
      <c r="H40" s="87"/>
      <c r="I40" s="87"/>
      <c r="J40" s="87"/>
      <c r="K40" s="87"/>
      <c r="L40" s="87"/>
      <c r="M40" s="87"/>
      <c r="N40" s="87"/>
      <c r="O40" s="87"/>
      <c r="P40" s="103"/>
      <c r="Q40" s="103"/>
      <c r="R40" s="103"/>
      <c r="S40" s="103"/>
      <c r="T40" s="286"/>
      <c r="U40" s="286"/>
      <c r="V40" s="286"/>
      <c r="W40" s="286"/>
      <c r="X40" s="286"/>
      <c r="Y40" s="286"/>
      <c r="Z40" s="286"/>
      <c r="AA40" s="286"/>
      <c r="AB40" s="286"/>
      <c r="AC40" s="286"/>
      <c r="AD40" s="286"/>
      <c r="AE40" s="286"/>
    </row>
    <row r="41" spans="1:48" ht="17.100000000000001" customHeight="1">
      <c r="C41" s="109"/>
      <c r="D41" s="109"/>
      <c r="E41" s="109"/>
      <c r="F41" s="94"/>
      <c r="G41" s="87"/>
      <c r="H41" s="87"/>
      <c r="I41" s="87"/>
      <c r="J41" s="87"/>
      <c r="K41" s="87"/>
      <c r="L41" s="87"/>
      <c r="M41" s="87"/>
      <c r="N41" s="87"/>
      <c r="O41" s="87"/>
      <c r="P41" s="87"/>
      <c r="Q41" s="87"/>
      <c r="R41" s="87"/>
      <c r="S41" s="87"/>
      <c r="T41" s="286" t="str">
        <f>IF(AI41=0,AO41,IF(AI41=1,AK41,AS41))</f>
        <v>Trần Công Khanh</v>
      </c>
      <c r="U41" s="286"/>
      <c r="V41" s="286"/>
      <c r="W41" s="286"/>
      <c r="X41" s="286"/>
      <c r="Y41" s="286"/>
      <c r="Z41" s="286"/>
      <c r="AA41" s="286"/>
      <c r="AB41" s="286"/>
      <c r="AC41" s="286"/>
      <c r="AD41" s="286"/>
      <c r="AE41" s="286"/>
      <c r="AI41" s="84">
        <v>0</v>
      </c>
      <c r="AK41" s="84" t="s">
        <v>132</v>
      </c>
      <c r="AO41" s="84" t="s">
        <v>209</v>
      </c>
      <c r="AS41" s="84" t="s">
        <v>154</v>
      </c>
    </row>
    <row r="42" spans="1:48" ht="16.5">
      <c r="A42" s="111"/>
      <c r="B42" s="111"/>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110"/>
      <c r="AC42" s="110"/>
      <c r="AD42" s="110"/>
    </row>
    <row r="43" spans="1:48" s="98" customFormat="1" ht="16.5" customHeight="1">
      <c r="A43" s="174"/>
      <c r="B43" s="268" t="s">
        <v>133</v>
      </c>
      <c r="C43" s="268"/>
      <c r="D43" s="268"/>
      <c r="E43" s="268"/>
      <c r="F43" s="268"/>
      <c r="G43" s="268"/>
      <c r="H43" s="269" t="s">
        <v>111</v>
      </c>
      <c r="I43" s="269"/>
      <c r="J43" s="269"/>
      <c r="K43" s="269"/>
      <c r="L43" s="269"/>
      <c r="M43" s="269"/>
      <c r="N43" s="269"/>
      <c r="O43" s="269"/>
      <c r="P43" s="269"/>
      <c r="Q43" s="269"/>
      <c r="R43" s="269"/>
      <c r="S43" s="269"/>
      <c r="T43" s="269"/>
      <c r="U43" s="269"/>
      <c r="V43" s="269"/>
      <c r="W43" s="269"/>
      <c r="X43" s="269"/>
      <c r="Y43" s="269"/>
      <c r="Z43" s="269"/>
      <c r="AA43" s="269"/>
      <c r="AB43" s="269"/>
      <c r="AC43" s="269"/>
      <c r="AD43" s="269"/>
      <c r="AE43" s="183"/>
    </row>
    <row r="44" spans="1:48" ht="16.5" customHeight="1">
      <c r="A44" s="111"/>
      <c r="B44" s="268"/>
      <c r="C44" s="268"/>
      <c r="D44" s="268"/>
      <c r="E44" s="268"/>
      <c r="F44" s="268"/>
      <c r="G44" s="268"/>
      <c r="H44" s="269"/>
      <c r="I44" s="269"/>
      <c r="J44" s="269"/>
      <c r="K44" s="269"/>
      <c r="L44" s="269"/>
      <c r="M44" s="269"/>
      <c r="N44" s="269"/>
      <c r="O44" s="269"/>
      <c r="P44" s="269"/>
      <c r="Q44" s="269"/>
      <c r="R44" s="269"/>
      <c r="S44" s="269"/>
      <c r="T44" s="269"/>
      <c r="U44" s="269"/>
      <c r="V44" s="269"/>
      <c r="W44" s="269"/>
      <c r="X44" s="269"/>
      <c r="Y44" s="269"/>
      <c r="Z44" s="269"/>
      <c r="AA44" s="269"/>
      <c r="AB44" s="269"/>
      <c r="AC44" s="269"/>
      <c r="AD44" s="269"/>
      <c r="AE44" s="183"/>
    </row>
    <row r="45" spans="1:48" ht="16.5" customHeight="1">
      <c r="A45" s="111"/>
      <c r="B45" s="268"/>
      <c r="C45" s="268"/>
      <c r="D45" s="268"/>
      <c r="E45" s="268"/>
      <c r="F45" s="268"/>
      <c r="G45" s="268"/>
      <c r="H45" s="260" t="s">
        <v>3</v>
      </c>
      <c r="I45" s="260"/>
      <c r="J45" s="260"/>
      <c r="K45" s="260"/>
      <c r="L45" s="260" t="s">
        <v>4</v>
      </c>
      <c r="M45" s="260"/>
      <c r="N45" s="260" t="s">
        <v>134</v>
      </c>
      <c r="O45" s="260"/>
      <c r="P45" s="260"/>
      <c r="Q45" s="260" t="s">
        <v>6</v>
      </c>
      <c r="R45" s="260"/>
      <c r="S45" s="260"/>
      <c r="T45" s="260"/>
      <c r="U45" s="260"/>
      <c r="V45" s="260" t="s">
        <v>135</v>
      </c>
      <c r="W45" s="260"/>
      <c r="X45" s="260"/>
      <c r="Y45" s="260" t="s">
        <v>136</v>
      </c>
      <c r="Z45" s="260"/>
      <c r="AA45" s="260"/>
      <c r="AB45" s="260"/>
      <c r="AC45" s="260"/>
      <c r="AD45" s="260"/>
      <c r="AE45" s="182"/>
    </row>
    <row r="46" spans="1:48" ht="16.5" customHeight="1">
      <c r="A46" s="111"/>
      <c r="B46" s="268"/>
      <c r="C46" s="268"/>
      <c r="D46" s="268"/>
      <c r="E46" s="268"/>
      <c r="F46" s="268"/>
      <c r="G46" s="268"/>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c r="AE46" s="182"/>
    </row>
    <row r="47" spans="1:48" ht="16.5" customHeight="1">
      <c r="A47" s="111"/>
      <c r="B47" s="268"/>
      <c r="C47" s="268"/>
      <c r="D47" s="268"/>
      <c r="E47" s="268"/>
      <c r="F47" s="268"/>
      <c r="G47" s="268"/>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182"/>
    </row>
    <row r="48" spans="1:48" ht="16.5" customHeight="1">
      <c r="A48" s="111"/>
      <c r="B48" s="268"/>
      <c r="C48" s="268"/>
      <c r="D48" s="268"/>
      <c r="E48" s="268"/>
      <c r="F48" s="268"/>
      <c r="G48" s="268"/>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c r="AE48" s="182"/>
      <c r="AG48" s="84">
        <v>33</v>
      </c>
      <c r="AI48" s="84">
        <v>35</v>
      </c>
      <c r="AL48" s="84">
        <v>38</v>
      </c>
      <c r="AO48" s="84">
        <v>41</v>
      </c>
      <c r="AP48" s="84">
        <v>42</v>
      </c>
      <c r="AQ48" s="84">
        <v>43</v>
      </c>
      <c r="AR48" s="84">
        <v>44</v>
      </c>
      <c r="AS48" s="84">
        <v>45</v>
      </c>
      <c r="AT48" s="84">
        <v>46</v>
      </c>
      <c r="AU48" s="84">
        <v>47</v>
      </c>
      <c r="AV48" s="84">
        <v>48</v>
      </c>
    </row>
    <row r="49" spans="1:46" ht="18.75" customHeight="1">
      <c r="A49" s="111"/>
      <c r="B49" s="260" t="str">
        <f>AG49</f>
        <v>CÔNG TY CỔ PHẦN VIỄN THÔNG DI ĐỘNG TOÀN CẦU</v>
      </c>
      <c r="C49" s="260"/>
      <c r="D49" s="260"/>
      <c r="E49" s="260"/>
      <c r="F49" s="260"/>
      <c r="G49" s="260"/>
      <c r="H49" s="261" t="str">
        <f>AI49</f>
        <v>TB1</v>
      </c>
      <c r="I49" s="261"/>
      <c r="J49" s="261"/>
      <c r="K49" s="261"/>
      <c r="L49" s="262">
        <v>2</v>
      </c>
      <c r="M49" s="262"/>
      <c r="N49" s="263" t="str">
        <f>AL49</f>
        <v>4/4/4</v>
      </c>
      <c r="O49" s="263"/>
      <c r="P49" s="263"/>
      <c r="Q49" s="260" t="str">
        <f>IF(L49=4,AO49&amp;"W/ "&amp;AP49&amp;"W/ "&amp;AQ49&amp;"W/ "&amp;AR49&amp;"W",IF(L49=3,AO49&amp;"W/ "&amp;AP49&amp;"W/ "&amp;AQ49&amp;"W",IF(L49=2,AO49&amp;"W/ "&amp;AP49&amp;"W",AO49&amp;"W")))</f>
        <v>20W/ 30W</v>
      </c>
      <c r="R49" s="260"/>
      <c r="S49" s="260"/>
      <c r="T49" s="260"/>
      <c r="U49" s="260"/>
      <c r="V49" s="260" t="str">
        <f>IF(AS49="900 &amp; 1800","900MHz &amp; 1800MHz",IF(AS49="900 &amp; 2100","900MHz &amp; 2100MHz",IF(AS49="1800 &amp; 2100","1800MHz &amp; 2100MHz",AS49&amp;"MHz")))</f>
        <v>900MHz</v>
      </c>
      <c r="W49" s="260"/>
      <c r="X49" s="260"/>
      <c r="Y49" s="260">
        <f>AT49</f>
        <v>15</v>
      </c>
      <c r="Z49" s="260"/>
      <c r="AA49" s="260"/>
      <c r="AB49" s="260"/>
      <c r="AC49" s="260"/>
      <c r="AD49" s="260"/>
      <c r="AE49" s="182"/>
      <c r="AG49" s="96" t="s">
        <v>155</v>
      </c>
      <c r="AI49" s="96" t="s">
        <v>137</v>
      </c>
      <c r="AJ49" s="96"/>
      <c r="AL49" s="100" t="s">
        <v>119</v>
      </c>
      <c r="AO49" s="84">
        <v>20</v>
      </c>
      <c r="AP49" s="84">
        <v>30</v>
      </c>
      <c r="AQ49" s="84">
        <v>40</v>
      </c>
      <c r="AR49" s="84">
        <v>50</v>
      </c>
      <c r="AS49" s="84">
        <v>900</v>
      </c>
      <c r="AT49" s="84">
        <v>15</v>
      </c>
    </row>
    <row r="50" spans="1:46" ht="18.75" customHeight="1">
      <c r="A50" s="111"/>
      <c r="B50" s="260"/>
      <c r="C50" s="260"/>
      <c r="D50" s="260"/>
      <c r="E50" s="260"/>
      <c r="F50" s="260"/>
      <c r="G50" s="260"/>
      <c r="H50" s="261"/>
      <c r="I50" s="261"/>
      <c r="J50" s="261"/>
      <c r="K50" s="261"/>
      <c r="L50" s="262"/>
      <c r="M50" s="262"/>
      <c r="N50" s="263"/>
      <c r="O50" s="263"/>
      <c r="P50" s="263"/>
      <c r="Q50" s="260"/>
      <c r="R50" s="260"/>
      <c r="S50" s="260"/>
      <c r="T50" s="260"/>
      <c r="U50" s="260"/>
      <c r="V50" s="260"/>
      <c r="W50" s="260"/>
      <c r="X50" s="260"/>
      <c r="Y50" s="260"/>
      <c r="Z50" s="260"/>
      <c r="AA50" s="260"/>
      <c r="AB50" s="260"/>
      <c r="AC50" s="260"/>
      <c r="AD50" s="260"/>
      <c r="AE50" s="182"/>
    </row>
    <row r="51" spans="1:46" ht="18.75" customHeight="1">
      <c r="A51" s="111"/>
      <c r="B51" s="260"/>
      <c r="C51" s="260"/>
      <c r="D51" s="260"/>
      <c r="E51" s="260"/>
      <c r="F51" s="260"/>
      <c r="G51" s="260"/>
      <c r="H51" s="261"/>
      <c r="I51" s="261"/>
      <c r="J51" s="261"/>
      <c r="K51" s="261"/>
      <c r="L51" s="262"/>
      <c r="M51" s="262"/>
      <c r="N51" s="263"/>
      <c r="O51" s="263"/>
      <c r="P51" s="263"/>
      <c r="Q51" s="260"/>
      <c r="R51" s="260"/>
      <c r="S51" s="260"/>
      <c r="T51" s="260"/>
      <c r="U51" s="260"/>
      <c r="V51" s="260"/>
      <c r="W51" s="260"/>
      <c r="X51" s="260"/>
      <c r="Y51" s="260"/>
      <c r="Z51" s="260"/>
      <c r="AA51" s="260"/>
      <c r="AB51" s="260"/>
      <c r="AC51" s="260"/>
      <c r="AD51" s="260"/>
      <c r="AE51" s="182"/>
    </row>
    <row r="52" spans="1:46" ht="18.75" customHeight="1">
      <c r="A52" s="111"/>
      <c r="B52" s="260"/>
      <c r="C52" s="260"/>
      <c r="D52" s="260"/>
      <c r="E52" s="260"/>
      <c r="F52" s="260"/>
      <c r="G52" s="260"/>
      <c r="H52" s="261"/>
      <c r="I52" s="261"/>
      <c r="J52" s="261"/>
      <c r="K52" s="261"/>
      <c r="L52" s="262"/>
      <c r="M52" s="262"/>
      <c r="N52" s="263"/>
      <c r="O52" s="263"/>
      <c r="P52" s="263"/>
      <c r="Q52" s="260"/>
      <c r="R52" s="260"/>
      <c r="S52" s="260"/>
      <c r="T52" s="260"/>
      <c r="U52" s="260"/>
      <c r="V52" s="260"/>
      <c r="W52" s="260"/>
      <c r="X52" s="260"/>
      <c r="Y52" s="260"/>
      <c r="Z52" s="260"/>
      <c r="AA52" s="260"/>
      <c r="AB52" s="260"/>
      <c r="AC52" s="260"/>
      <c r="AD52" s="260"/>
      <c r="AE52" s="182"/>
    </row>
    <row r="53" spans="1:46" ht="18.75" customHeight="1">
      <c r="A53" s="111"/>
      <c r="B53" s="260" t="str">
        <f t="shared" ref="B53" si="0">AG53</f>
        <v>CÔNG TY CỔ PHẦN VIỄN THÔNG DI ĐỘNG TOÀN CẦU</v>
      </c>
      <c r="C53" s="260"/>
      <c r="D53" s="260"/>
      <c r="E53" s="260"/>
      <c r="F53" s="260"/>
      <c r="G53" s="260"/>
      <c r="H53" s="261" t="str">
        <f>AI53</f>
        <v>TB1</v>
      </c>
      <c r="I53" s="261"/>
      <c r="J53" s="261"/>
      <c r="K53" s="261"/>
      <c r="L53" s="262">
        <v>4</v>
      </c>
      <c r="M53" s="262"/>
      <c r="N53" s="263" t="str">
        <f>AL53</f>
        <v>4/4/4</v>
      </c>
      <c r="O53" s="263"/>
      <c r="P53" s="263"/>
      <c r="Q53" s="260" t="str">
        <f>IF(L53=4,AO53&amp;"W/ "&amp;AP53&amp;"W/ "&amp;AQ53&amp;"W/ "&amp;AR53&amp;"W",IF(L53=3,AO53&amp;"W/ "&amp;AP53&amp;"W/ "&amp;AQ53&amp;"W",IF(L53=2,AO53&amp;"W/ "&amp;AP53&amp;"W",AO53&amp;"W")))</f>
        <v>20W/ 30W/ 40W/ 50W</v>
      </c>
      <c r="R53" s="260"/>
      <c r="S53" s="260"/>
      <c r="T53" s="260"/>
      <c r="U53" s="260"/>
      <c r="V53" s="260" t="str">
        <f>IF(AS53="900 &amp; 1800","900MHz &amp; 1800MHz",IF(AS53="900 &amp; 2100","900MHz &amp; 2100MHz",IF(AS53="1800 &amp; 2100","1800MHz &amp; 2100MHz",AS53&amp;"MHz")))</f>
        <v>1800MHz</v>
      </c>
      <c r="W53" s="260"/>
      <c r="X53" s="260"/>
      <c r="Y53" s="260">
        <f>AT53</f>
        <v>15</v>
      </c>
      <c r="Z53" s="260"/>
      <c r="AA53" s="260"/>
      <c r="AB53" s="260"/>
      <c r="AC53" s="260"/>
      <c r="AD53" s="260"/>
      <c r="AE53" s="182"/>
      <c r="AG53" s="96" t="s">
        <v>155</v>
      </c>
      <c r="AI53" s="96" t="s">
        <v>137</v>
      </c>
      <c r="AJ53" s="96"/>
      <c r="AL53" s="100" t="s">
        <v>119</v>
      </c>
      <c r="AO53" s="84">
        <v>20</v>
      </c>
      <c r="AP53" s="84">
        <v>30</v>
      </c>
      <c r="AQ53" s="84">
        <v>40</v>
      </c>
      <c r="AR53" s="84">
        <v>50</v>
      </c>
      <c r="AS53" s="84">
        <v>1800</v>
      </c>
      <c r="AT53" s="84">
        <v>15</v>
      </c>
    </row>
    <row r="54" spans="1:46" ht="18.75" customHeight="1">
      <c r="A54" s="111"/>
      <c r="B54" s="260"/>
      <c r="C54" s="260"/>
      <c r="D54" s="260"/>
      <c r="E54" s="260"/>
      <c r="F54" s="260"/>
      <c r="G54" s="260"/>
      <c r="H54" s="261"/>
      <c r="I54" s="261"/>
      <c r="J54" s="261"/>
      <c r="K54" s="261"/>
      <c r="L54" s="262"/>
      <c r="M54" s="262"/>
      <c r="N54" s="263"/>
      <c r="O54" s="263"/>
      <c r="P54" s="263"/>
      <c r="Q54" s="260"/>
      <c r="R54" s="260"/>
      <c r="S54" s="260"/>
      <c r="T54" s="260"/>
      <c r="U54" s="260"/>
      <c r="V54" s="260"/>
      <c r="W54" s="260"/>
      <c r="X54" s="260"/>
      <c r="Y54" s="260"/>
      <c r="Z54" s="260"/>
      <c r="AA54" s="260"/>
      <c r="AB54" s="260"/>
      <c r="AC54" s="260"/>
      <c r="AD54" s="260"/>
      <c r="AE54" s="182"/>
      <c r="AG54" s="96"/>
      <c r="AI54" s="96"/>
      <c r="AJ54" s="96"/>
      <c r="AL54" s="100"/>
    </row>
    <row r="55" spans="1:46" ht="18.75" customHeight="1">
      <c r="A55" s="111"/>
      <c r="B55" s="260"/>
      <c r="C55" s="260"/>
      <c r="D55" s="260"/>
      <c r="E55" s="260"/>
      <c r="F55" s="260"/>
      <c r="G55" s="260"/>
      <c r="H55" s="261"/>
      <c r="I55" s="261"/>
      <c r="J55" s="261"/>
      <c r="K55" s="261"/>
      <c r="L55" s="262"/>
      <c r="M55" s="262"/>
      <c r="N55" s="263"/>
      <c r="O55" s="263"/>
      <c r="P55" s="263"/>
      <c r="Q55" s="260"/>
      <c r="R55" s="260"/>
      <c r="S55" s="260"/>
      <c r="T55" s="260"/>
      <c r="U55" s="260"/>
      <c r="V55" s="260"/>
      <c r="W55" s="260"/>
      <c r="X55" s="260"/>
      <c r="Y55" s="260"/>
      <c r="Z55" s="260"/>
      <c r="AA55" s="260"/>
      <c r="AB55" s="260"/>
      <c r="AC55" s="260"/>
      <c r="AD55" s="260"/>
      <c r="AE55" s="182"/>
    </row>
    <row r="56" spans="1:46" ht="18.75" customHeight="1">
      <c r="A56" s="111"/>
      <c r="B56" s="260"/>
      <c r="C56" s="260"/>
      <c r="D56" s="260"/>
      <c r="E56" s="260"/>
      <c r="F56" s="260"/>
      <c r="G56" s="260"/>
      <c r="H56" s="261"/>
      <c r="I56" s="261"/>
      <c r="J56" s="261"/>
      <c r="K56" s="261"/>
      <c r="L56" s="262"/>
      <c r="M56" s="262"/>
      <c r="N56" s="263"/>
      <c r="O56" s="263"/>
      <c r="P56" s="263"/>
      <c r="Q56" s="260"/>
      <c r="R56" s="260"/>
      <c r="S56" s="260"/>
      <c r="T56" s="260"/>
      <c r="U56" s="260"/>
      <c r="V56" s="260"/>
      <c r="W56" s="260"/>
      <c r="X56" s="260"/>
      <c r="Y56" s="260"/>
      <c r="Z56" s="260"/>
      <c r="AA56" s="260"/>
      <c r="AB56" s="260"/>
      <c r="AC56" s="260"/>
      <c r="AD56" s="260"/>
      <c r="AE56" s="182"/>
    </row>
    <row r="57" spans="1:46" ht="18.75" customHeight="1">
      <c r="A57" s="111"/>
      <c r="B57" s="260" t="str">
        <f t="shared" ref="B57" si="1">AG57</f>
        <v>CÔNG TY CỔ PHẦN VIỄN THÔNG DI ĐỘNG TOÀN CẦU</v>
      </c>
      <c r="C57" s="260"/>
      <c r="D57" s="260"/>
      <c r="E57" s="260"/>
      <c r="F57" s="260"/>
      <c r="G57" s="260"/>
      <c r="H57" s="261" t="str">
        <f>AI57</f>
        <v>TB1</v>
      </c>
      <c r="I57" s="261"/>
      <c r="J57" s="261"/>
      <c r="K57" s="261"/>
      <c r="L57" s="262">
        <v>3</v>
      </c>
      <c r="M57" s="262"/>
      <c r="N57" s="263" t="str">
        <f t="shared" ref="N57" si="2">AL57</f>
        <v>4/4/4</v>
      </c>
      <c r="O57" s="263"/>
      <c r="P57" s="263"/>
      <c r="Q57" s="260" t="str">
        <f>IF(L57=4,AO57&amp;"W/ "&amp;AP57&amp;"W/ "&amp;AQ57&amp;"W/ "&amp;AR57&amp;"W",IF(L57=3,AO57&amp;"W/ "&amp;AP57&amp;"W/ "&amp;AQ57&amp;"W",IF(L57=2,AO57&amp;"W/ "&amp;AP57&amp;"W",AO57&amp;"W")))</f>
        <v>20W/ 30W/ 40W</v>
      </c>
      <c r="R57" s="260"/>
      <c r="S57" s="260"/>
      <c r="T57" s="260"/>
      <c r="U57" s="260"/>
      <c r="V57" s="260" t="str">
        <f>IF(AS57="900 &amp; 1800","900MHz &amp; 1800MHz",IF(AS57="900 &amp; 2100","900MHz &amp; 2100MHz",IF(AS57="1800 &amp; 2100","1800MHz &amp; 2100MHz",AS57&amp;"MHz")))</f>
        <v>9000 &amp; 1800MHz</v>
      </c>
      <c r="W57" s="260"/>
      <c r="X57" s="260"/>
      <c r="Y57" s="260">
        <f>AT57</f>
        <v>15</v>
      </c>
      <c r="Z57" s="260"/>
      <c r="AA57" s="260"/>
      <c r="AB57" s="260"/>
      <c r="AC57" s="260"/>
      <c r="AD57" s="260"/>
      <c r="AE57" s="182"/>
      <c r="AG57" s="96" t="s">
        <v>155</v>
      </c>
      <c r="AI57" s="96" t="s">
        <v>137</v>
      </c>
      <c r="AJ57" s="96"/>
      <c r="AL57" s="100" t="s">
        <v>119</v>
      </c>
      <c r="AO57" s="84">
        <v>20</v>
      </c>
      <c r="AP57" s="84">
        <v>30</v>
      </c>
      <c r="AQ57" s="84">
        <v>40</v>
      </c>
      <c r="AR57" s="84">
        <v>50</v>
      </c>
      <c r="AS57" s="84" t="s">
        <v>205</v>
      </c>
      <c r="AT57" s="84">
        <v>15</v>
      </c>
    </row>
    <row r="58" spans="1:46" ht="18.75" customHeight="1">
      <c r="A58" s="111"/>
      <c r="B58" s="260"/>
      <c r="C58" s="260"/>
      <c r="D58" s="260"/>
      <c r="E58" s="260"/>
      <c r="F58" s="260"/>
      <c r="G58" s="260"/>
      <c r="H58" s="261"/>
      <c r="I58" s="261"/>
      <c r="J58" s="261"/>
      <c r="K58" s="261"/>
      <c r="L58" s="262"/>
      <c r="M58" s="262"/>
      <c r="N58" s="263"/>
      <c r="O58" s="263"/>
      <c r="P58" s="263"/>
      <c r="Q58" s="260"/>
      <c r="R58" s="260"/>
      <c r="S58" s="260"/>
      <c r="T58" s="260"/>
      <c r="U58" s="260"/>
      <c r="V58" s="260"/>
      <c r="W58" s="260"/>
      <c r="X58" s="260"/>
      <c r="Y58" s="260"/>
      <c r="Z58" s="260"/>
      <c r="AA58" s="260"/>
      <c r="AB58" s="260"/>
      <c r="AC58" s="260"/>
      <c r="AD58" s="260"/>
      <c r="AE58" s="182"/>
      <c r="AG58" s="96"/>
      <c r="AI58" s="96"/>
      <c r="AJ58" s="96"/>
      <c r="AL58" s="100"/>
    </row>
    <row r="59" spans="1:46" ht="18.75" customHeight="1">
      <c r="A59" s="111"/>
      <c r="B59" s="260"/>
      <c r="C59" s="260"/>
      <c r="D59" s="260"/>
      <c r="E59" s="260"/>
      <c r="F59" s="260"/>
      <c r="G59" s="260"/>
      <c r="H59" s="261"/>
      <c r="I59" s="261"/>
      <c r="J59" s="261"/>
      <c r="K59" s="261"/>
      <c r="L59" s="262"/>
      <c r="M59" s="262"/>
      <c r="N59" s="263"/>
      <c r="O59" s="263"/>
      <c r="P59" s="263"/>
      <c r="Q59" s="260"/>
      <c r="R59" s="260"/>
      <c r="S59" s="260"/>
      <c r="T59" s="260"/>
      <c r="U59" s="260"/>
      <c r="V59" s="260"/>
      <c r="W59" s="260"/>
      <c r="X59" s="260"/>
      <c r="Y59" s="260"/>
      <c r="Z59" s="260"/>
      <c r="AA59" s="260"/>
      <c r="AB59" s="260"/>
      <c r="AC59" s="260"/>
      <c r="AD59" s="260"/>
      <c r="AE59" s="182"/>
    </row>
    <row r="60" spans="1:46" ht="18.75" customHeight="1">
      <c r="A60" s="111"/>
      <c r="B60" s="260"/>
      <c r="C60" s="260"/>
      <c r="D60" s="260"/>
      <c r="E60" s="260"/>
      <c r="F60" s="260"/>
      <c r="G60" s="260"/>
      <c r="H60" s="261"/>
      <c r="I60" s="261"/>
      <c r="J60" s="261"/>
      <c r="K60" s="261"/>
      <c r="L60" s="262"/>
      <c r="M60" s="262"/>
      <c r="N60" s="263"/>
      <c r="O60" s="263"/>
      <c r="P60" s="263"/>
      <c r="Q60" s="260"/>
      <c r="R60" s="260"/>
      <c r="S60" s="260"/>
      <c r="T60" s="260"/>
      <c r="U60" s="260"/>
      <c r="V60" s="260"/>
      <c r="W60" s="260"/>
      <c r="X60" s="260"/>
      <c r="Y60" s="260"/>
      <c r="Z60" s="260"/>
      <c r="AA60" s="260"/>
      <c r="AB60" s="260"/>
      <c r="AC60" s="260"/>
      <c r="AD60" s="260"/>
      <c r="AE60" s="182"/>
    </row>
    <row r="61" spans="1:46" ht="18.75" customHeight="1">
      <c r="A61" s="111"/>
      <c r="B61" s="260" t="str">
        <f t="shared" ref="B61" si="3">AG61</f>
        <v>CÔNG TY CỔ PHẦN VIỄN THÔNG DI ĐỘNG TOÀN CẦU</v>
      </c>
      <c r="C61" s="260"/>
      <c r="D61" s="260"/>
      <c r="E61" s="260"/>
      <c r="F61" s="260"/>
      <c r="G61" s="260"/>
      <c r="H61" s="261" t="str">
        <f>AI61</f>
        <v>TB1</v>
      </c>
      <c r="I61" s="261"/>
      <c r="J61" s="261"/>
      <c r="K61" s="261"/>
      <c r="L61" s="262">
        <v>2</v>
      </c>
      <c r="M61" s="262"/>
      <c r="N61" s="263" t="str">
        <f t="shared" ref="N61" si="4">AL61</f>
        <v>4/4/4</v>
      </c>
      <c r="O61" s="263"/>
      <c r="P61" s="263"/>
      <c r="Q61" s="260" t="str">
        <f>IF(L61=4,AO61&amp;"W/ "&amp;AP61&amp;"W/ "&amp;AQ61&amp;"W/ "&amp;AR61&amp;"W",IF(L61=3,AO61&amp;"W/ "&amp;AP61&amp;"W/ "&amp;AQ61&amp;"W",IF(L61=2,AO61&amp;"W/ "&amp;AP61&amp;"W",AO61&amp;"W")))</f>
        <v>20W/ 30W</v>
      </c>
      <c r="R61" s="260"/>
      <c r="S61" s="260"/>
      <c r="T61" s="260"/>
      <c r="U61" s="260"/>
      <c r="V61" s="260" t="str">
        <f>IF(AS61="900 &amp; 1800","900MHz &amp; 1800MHz",IF(AS61="900 &amp; 2100","900MHz &amp; 2100MHz",IF(AS61="1800 &amp; 2100","1800MHz &amp; 2100MHz",AS61&amp;"MHz")))</f>
        <v>9000 &amp; 2100MHz</v>
      </c>
      <c r="W61" s="260"/>
      <c r="X61" s="260"/>
      <c r="Y61" s="260">
        <f>AT61</f>
        <v>15</v>
      </c>
      <c r="Z61" s="260"/>
      <c r="AA61" s="260"/>
      <c r="AB61" s="260"/>
      <c r="AC61" s="260"/>
      <c r="AD61" s="260"/>
      <c r="AE61" s="182"/>
      <c r="AG61" s="96" t="s">
        <v>155</v>
      </c>
      <c r="AI61" s="96" t="s">
        <v>137</v>
      </c>
      <c r="AJ61" s="96"/>
      <c r="AL61" s="100" t="s">
        <v>119</v>
      </c>
      <c r="AO61" s="84">
        <v>20</v>
      </c>
      <c r="AP61" s="84">
        <v>30</v>
      </c>
      <c r="AQ61" s="84">
        <v>40</v>
      </c>
      <c r="AR61" s="84">
        <v>50</v>
      </c>
      <c r="AS61" s="84" t="s">
        <v>206</v>
      </c>
      <c r="AT61" s="84">
        <v>15</v>
      </c>
    </row>
    <row r="62" spans="1:46" ht="18.75" customHeight="1">
      <c r="A62" s="111"/>
      <c r="B62" s="260"/>
      <c r="C62" s="260"/>
      <c r="D62" s="260"/>
      <c r="E62" s="260"/>
      <c r="F62" s="260"/>
      <c r="G62" s="260"/>
      <c r="H62" s="261"/>
      <c r="I62" s="261"/>
      <c r="J62" s="261"/>
      <c r="K62" s="261"/>
      <c r="L62" s="262"/>
      <c r="M62" s="262"/>
      <c r="N62" s="263"/>
      <c r="O62" s="263"/>
      <c r="P62" s="263"/>
      <c r="Q62" s="260"/>
      <c r="R62" s="260"/>
      <c r="S62" s="260"/>
      <c r="T62" s="260"/>
      <c r="U62" s="260"/>
      <c r="V62" s="260"/>
      <c r="W62" s="260"/>
      <c r="X62" s="260"/>
      <c r="Y62" s="260"/>
      <c r="Z62" s="260"/>
      <c r="AA62" s="260"/>
      <c r="AB62" s="260"/>
      <c r="AC62" s="260"/>
      <c r="AD62" s="260"/>
      <c r="AE62" s="182"/>
      <c r="AG62" s="96"/>
      <c r="AI62" s="96"/>
      <c r="AJ62" s="96"/>
      <c r="AL62" s="100"/>
    </row>
    <row r="63" spans="1:46" ht="18.75" customHeight="1">
      <c r="A63" s="111"/>
      <c r="B63" s="260"/>
      <c r="C63" s="260"/>
      <c r="D63" s="260"/>
      <c r="E63" s="260"/>
      <c r="F63" s="260"/>
      <c r="G63" s="260"/>
      <c r="H63" s="261"/>
      <c r="I63" s="261"/>
      <c r="J63" s="261"/>
      <c r="K63" s="261"/>
      <c r="L63" s="262"/>
      <c r="M63" s="262"/>
      <c r="N63" s="263"/>
      <c r="O63" s="263"/>
      <c r="P63" s="263"/>
      <c r="Q63" s="260"/>
      <c r="R63" s="260"/>
      <c r="S63" s="260"/>
      <c r="T63" s="260"/>
      <c r="U63" s="260"/>
      <c r="V63" s="260"/>
      <c r="W63" s="260"/>
      <c r="X63" s="260"/>
      <c r="Y63" s="260"/>
      <c r="Z63" s="260"/>
      <c r="AA63" s="260"/>
      <c r="AB63" s="260"/>
      <c r="AC63" s="260"/>
      <c r="AD63" s="260"/>
      <c r="AE63" s="182"/>
    </row>
    <row r="64" spans="1:46" ht="18.75" customHeight="1">
      <c r="A64" s="111"/>
      <c r="B64" s="260"/>
      <c r="C64" s="260"/>
      <c r="D64" s="260"/>
      <c r="E64" s="260"/>
      <c r="F64" s="260"/>
      <c r="G64" s="260"/>
      <c r="H64" s="261"/>
      <c r="I64" s="261"/>
      <c r="J64" s="261"/>
      <c r="K64" s="261"/>
      <c r="L64" s="262"/>
      <c r="M64" s="262"/>
      <c r="N64" s="263"/>
      <c r="O64" s="263"/>
      <c r="P64" s="263"/>
      <c r="Q64" s="260"/>
      <c r="R64" s="260"/>
      <c r="S64" s="260"/>
      <c r="T64" s="260"/>
      <c r="U64" s="260"/>
      <c r="V64" s="260"/>
      <c r="W64" s="260"/>
      <c r="X64" s="260"/>
      <c r="Y64" s="260"/>
      <c r="Z64" s="260"/>
      <c r="AA64" s="260"/>
      <c r="AB64" s="260"/>
      <c r="AC64" s="260"/>
      <c r="AD64" s="260"/>
      <c r="AE64" s="182"/>
    </row>
    <row r="65" spans="1:48" ht="18.75" customHeight="1">
      <c r="A65" s="111"/>
      <c r="B65" s="260" t="str">
        <f t="shared" ref="B65" si="5">AG65</f>
        <v>CÔNG TY CỔ PHẦN VIỄN THÔNG DI ĐỘNG TOÀN CẦU</v>
      </c>
      <c r="C65" s="260"/>
      <c r="D65" s="260"/>
      <c r="E65" s="260"/>
      <c r="F65" s="260"/>
      <c r="G65" s="260"/>
      <c r="H65" s="261" t="str">
        <f>AI65</f>
        <v>TB1</v>
      </c>
      <c r="I65" s="261"/>
      <c r="J65" s="261"/>
      <c r="K65" s="261"/>
      <c r="L65" s="262">
        <v>1</v>
      </c>
      <c r="M65" s="262"/>
      <c r="N65" s="263" t="str">
        <f t="shared" ref="N65" si="6">AL65</f>
        <v>4/4/4</v>
      </c>
      <c r="O65" s="263"/>
      <c r="P65" s="263"/>
      <c r="Q65" s="260" t="str">
        <f>IF(L65=4,AO65&amp;"W/ "&amp;AP65&amp;"W/ "&amp;AQ65&amp;"W/ "&amp;AR65&amp;"W",IF(L65=3,AO65&amp;"W/ "&amp;AP65&amp;"W/ "&amp;AQ65&amp;"W",IF(L65=2,AO65&amp;"W/ "&amp;AP65&amp;"W",AO65&amp;"W")))</f>
        <v>20W</v>
      </c>
      <c r="R65" s="260"/>
      <c r="S65" s="260"/>
      <c r="T65" s="260"/>
      <c r="U65" s="260"/>
      <c r="V65" s="260" t="str">
        <f>IF(AS65="900 &amp; 1800","900MHz &amp; 1800MHz",IF(AS65="900 &amp; 2100","900MHz &amp; 2100MHz",IF(AS65="1800 &amp; 2100","1800MHz &amp; 2100MHz",AS65&amp;"MHz")))</f>
        <v>1800MHz &amp; 2100MHz</v>
      </c>
      <c r="W65" s="260"/>
      <c r="X65" s="260"/>
      <c r="Y65" s="260">
        <f>AT65</f>
        <v>15</v>
      </c>
      <c r="Z65" s="260"/>
      <c r="AA65" s="260"/>
      <c r="AB65" s="260"/>
      <c r="AC65" s="260"/>
      <c r="AD65" s="260"/>
      <c r="AE65" s="182"/>
      <c r="AG65" s="96" t="s">
        <v>155</v>
      </c>
      <c r="AI65" s="96" t="s">
        <v>137</v>
      </c>
      <c r="AJ65" s="96"/>
      <c r="AL65" s="100" t="s">
        <v>119</v>
      </c>
      <c r="AO65" s="84">
        <v>20</v>
      </c>
      <c r="AP65" s="84">
        <v>30</v>
      </c>
      <c r="AQ65" s="84">
        <v>40</v>
      </c>
      <c r="AR65" s="84">
        <v>50</v>
      </c>
      <c r="AS65" s="84" t="s">
        <v>207</v>
      </c>
      <c r="AT65" s="84">
        <v>15</v>
      </c>
      <c r="AU65" s="84">
        <v>16</v>
      </c>
      <c r="AV65" s="84">
        <v>17</v>
      </c>
    </row>
    <row r="66" spans="1:48" ht="18.75" customHeight="1">
      <c r="A66" s="111"/>
      <c r="B66" s="260"/>
      <c r="C66" s="260"/>
      <c r="D66" s="260"/>
      <c r="E66" s="260"/>
      <c r="F66" s="260"/>
      <c r="G66" s="260"/>
      <c r="H66" s="261"/>
      <c r="I66" s="261"/>
      <c r="J66" s="261"/>
      <c r="K66" s="261"/>
      <c r="L66" s="262"/>
      <c r="M66" s="262"/>
      <c r="N66" s="263"/>
      <c r="O66" s="263"/>
      <c r="P66" s="263"/>
      <c r="Q66" s="260"/>
      <c r="R66" s="260"/>
      <c r="S66" s="260"/>
      <c r="T66" s="260"/>
      <c r="U66" s="260"/>
      <c r="V66" s="260"/>
      <c r="W66" s="260"/>
      <c r="X66" s="260"/>
      <c r="Y66" s="260"/>
      <c r="Z66" s="260"/>
      <c r="AA66" s="260"/>
      <c r="AB66" s="260"/>
      <c r="AC66" s="260"/>
      <c r="AD66" s="260"/>
      <c r="AE66" s="182"/>
      <c r="AG66" s="96"/>
      <c r="AI66" s="96"/>
      <c r="AJ66" s="96"/>
      <c r="AL66" s="100"/>
    </row>
    <row r="67" spans="1:48" ht="18.75" customHeight="1">
      <c r="A67" s="111"/>
      <c r="B67" s="260"/>
      <c r="C67" s="260"/>
      <c r="D67" s="260"/>
      <c r="E67" s="260"/>
      <c r="F67" s="260"/>
      <c r="G67" s="260"/>
      <c r="H67" s="261"/>
      <c r="I67" s="261"/>
      <c r="J67" s="261"/>
      <c r="K67" s="261"/>
      <c r="L67" s="262"/>
      <c r="M67" s="262"/>
      <c r="N67" s="263"/>
      <c r="O67" s="263"/>
      <c r="P67" s="263"/>
      <c r="Q67" s="260"/>
      <c r="R67" s="260"/>
      <c r="S67" s="260"/>
      <c r="T67" s="260"/>
      <c r="U67" s="260"/>
      <c r="V67" s="260"/>
      <c r="W67" s="260"/>
      <c r="X67" s="260"/>
      <c r="Y67" s="260"/>
      <c r="Z67" s="260"/>
      <c r="AA67" s="260"/>
      <c r="AB67" s="260"/>
      <c r="AC67" s="260"/>
      <c r="AD67" s="260"/>
      <c r="AE67" s="182"/>
    </row>
    <row r="68" spans="1:48" ht="18.75" customHeight="1">
      <c r="A68" s="111"/>
      <c r="B68" s="260"/>
      <c r="C68" s="260"/>
      <c r="D68" s="260"/>
      <c r="E68" s="260"/>
      <c r="F68" s="260"/>
      <c r="G68" s="260"/>
      <c r="H68" s="261"/>
      <c r="I68" s="261"/>
      <c r="J68" s="261"/>
      <c r="K68" s="261"/>
      <c r="L68" s="262"/>
      <c r="M68" s="262"/>
      <c r="N68" s="263"/>
      <c r="O68" s="263"/>
      <c r="P68" s="263"/>
      <c r="Q68" s="260"/>
      <c r="R68" s="260"/>
      <c r="S68" s="260"/>
      <c r="T68" s="260"/>
      <c r="U68" s="260"/>
      <c r="V68" s="260"/>
      <c r="W68" s="260"/>
      <c r="X68" s="260"/>
      <c r="Y68" s="260"/>
      <c r="Z68" s="260"/>
      <c r="AA68" s="260"/>
      <c r="AB68" s="260"/>
      <c r="AC68" s="260"/>
      <c r="AD68" s="260"/>
      <c r="AE68" s="182"/>
    </row>
    <row r="69" spans="1:48" ht="18.75" customHeight="1">
      <c r="A69" s="111"/>
      <c r="B69" s="11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row>
    <row r="70" spans="1:48" ht="18.75" customHeight="1">
      <c r="A70" s="111"/>
      <c r="B70" s="11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row>
    <row r="71" spans="1:48" ht="18.75" customHeight="1">
      <c r="A71" s="111"/>
      <c r="B71" s="11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row>
    <row r="72" spans="1:48" ht="18.75" customHeight="1">
      <c r="A72" s="111"/>
      <c r="B72" s="11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row>
    <row r="73" spans="1:48" ht="18.75" customHeight="1">
      <c r="A73" s="111"/>
      <c r="B73" s="11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row>
    <row r="74" spans="1:48" ht="18.75" customHeight="1">
      <c r="A74" s="111"/>
      <c r="B74" s="11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row>
    <row r="75" spans="1:48" ht="18.75" customHeight="1">
      <c r="A75" s="111"/>
      <c r="B75" s="11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row>
    <row r="76" spans="1:48" ht="18.75" customHeight="1">
      <c r="A76" s="111"/>
      <c r="B76" s="11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row>
    <row r="77" spans="1:48" ht="18.75" customHeight="1">
      <c r="A77" s="111"/>
      <c r="B77" s="11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row>
    <row r="78" spans="1:48" ht="18.75" customHeight="1">
      <c r="A78" s="111"/>
      <c r="B78" s="11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row>
    <row r="79" spans="1:48" ht="18.75" customHeight="1">
      <c r="A79" s="111"/>
      <c r="B79" s="11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row>
    <row r="80" spans="1:48" ht="18.75" customHeight="1">
      <c r="A80" s="111"/>
      <c r="B80" s="11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row>
    <row r="81" spans="1:30" ht="18.75" customHeight="1">
      <c r="A81" s="111"/>
      <c r="B81" s="11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row>
    <row r="82" spans="1:30" ht="18.75" customHeight="1">
      <c r="A82" s="111"/>
      <c r="B82" s="11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row>
    <row r="83" spans="1:30" ht="18.75" customHeight="1">
      <c r="A83" s="111"/>
      <c r="B83" s="11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row>
    <row r="84" spans="1:30" ht="18.75" customHeight="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row>
    <row r="85" spans="1:30" ht="18.75" customHeight="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row>
    <row r="86" spans="1:30" ht="18.75" customHeight="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row>
    <row r="87" spans="1:30" ht="18.75" customHeight="1">
      <c r="C87" s="111"/>
      <c r="D87" s="111"/>
      <c r="E87" s="111"/>
      <c r="F87" s="111"/>
      <c r="G87" s="111"/>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row>
    <row r="88" spans="1:30" ht="18.75" customHeight="1">
      <c r="C88" s="111"/>
      <c r="D88" s="111"/>
      <c r="E88" s="111"/>
      <c r="F88" s="111"/>
      <c r="G88" s="111"/>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row>
    <row r="89" spans="1:30" ht="18.75" customHeight="1">
      <c r="C89" s="111"/>
      <c r="D89" s="111"/>
      <c r="E89" s="111"/>
      <c r="F89" s="111"/>
      <c r="G89" s="111"/>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row>
    <row r="90" spans="1:30" ht="18.75" customHeight="1">
      <c r="C90" s="111"/>
      <c r="D90" s="111"/>
      <c r="E90" s="111"/>
      <c r="F90" s="111"/>
      <c r="G90" s="111"/>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row>
    <row r="91" spans="1:30" ht="18.75" customHeight="1">
      <c r="C91" s="111"/>
      <c r="D91" s="111"/>
      <c r="E91" s="111"/>
      <c r="F91" s="111"/>
      <c r="G91" s="111"/>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row>
    <row r="92" spans="1:30">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row>
    <row r="93" spans="1:30">
      <c r="C93" s="111"/>
      <c r="D93" s="111"/>
      <c r="E93" s="111"/>
      <c r="F93" s="111"/>
      <c r="G93" s="111"/>
      <c r="H93" s="111"/>
      <c r="I93" s="111"/>
      <c r="J93" s="111"/>
      <c r="K93" s="111"/>
      <c r="L93" s="111"/>
      <c r="M93" s="111"/>
      <c r="N93" s="111"/>
      <c r="O93" s="111"/>
      <c r="P93" s="111"/>
      <c r="Q93" s="111"/>
      <c r="R93" s="111"/>
      <c r="S93" s="111"/>
      <c r="T93" s="111"/>
      <c r="U93" s="111"/>
      <c r="V93" s="111"/>
      <c r="W93" s="111"/>
      <c r="X93" s="111"/>
      <c r="Y93" s="111"/>
      <c r="Z93" s="111"/>
      <c r="AA93" s="111"/>
      <c r="AB93" s="111"/>
      <c r="AC93" s="111"/>
      <c r="AD93" s="111"/>
    </row>
    <row r="94" spans="1:30">
      <c r="C94" s="111"/>
      <c r="D94" s="111"/>
      <c r="E94" s="111"/>
      <c r="F94" s="111"/>
      <c r="G94" s="111"/>
      <c r="H94" s="111"/>
      <c r="I94" s="111"/>
      <c r="J94" s="111"/>
      <c r="K94" s="111"/>
      <c r="L94" s="111"/>
      <c r="M94" s="111"/>
      <c r="N94" s="111"/>
      <c r="O94" s="111"/>
      <c r="P94" s="111"/>
      <c r="Q94" s="111"/>
      <c r="R94" s="111"/>
      <c r="S94" s="111"/>
      <c r="T94" s="111"/>
      <c r="U94" s="111"/>
      <c r="V94" s="111"/>
      <c r="W94" s="111"/>
      <c r="X94" s="111"/>
      <c r="Y94" s="111"/>
      <c r="Z94" s="111"/>
      <c r="AA94" s="111"/>
      <c r="AB94" s="111"/>
      <c r="AC94" s="111"/>
      <c r="AD94" s="111"/>
    </row>
    <row r="95" spans="1:30">
      <c r="C95" s="111"/>
      <c r="D95" s="111"/>
      <c r="E95" s="111"/>
      <c r="F95" s="111"/>
      <c r="G95" s="111"/>
      <c r="H95" s="111"/>
      <c r="I95" s="111"/>
      <c r="J95" s="111"/>
      <c r="K95" s="111"/>
      <c r="L95" s="111"/>
      <c r="M95" s="111"/>
      <c r="N95" s="111"/>
      <c r="O95" s="111"/>
      <c r="P95" s="111"/>
      <c r="Q95" s="111"/>
      <c r="R95" s="111"/>
      <c r="S95" s="111"/>
      <c r="T95" s="111"/>
      <c r="U95" s="111"/>
      <c r="V95" s="111"/>
      <c r="W95" s="111"/>
      <c r="X95" s="111"/>
      <c r="Y95" s="111"/>
      <c r="Z95" s="111"/>
      <c r="AA95" s="111"/>
      <c r="AB95" s="111"/>
      <c r="AC95" s="111"/>
      <c r="AD95" s="111"/>
    </row>
    <row r="96" spans="1:30">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row>
    <row r="97" spans="3:30">
      <c r="C97" s="111"/>
      <c r="D97" s="111"/>
      <c r="E97" s="111"/>
      <c r="F97" s="111"/>
      <c r="G97" s="111"/>
      <c r="H97" s="111"/>
      <c r="I97" s="111"/>
      <c r="J97" s="111"/>
      <c r="K97" s="111"/>
      <c r="L97" s="111"/>
      <c r="M97" s="111"/>
      <c r="N97" s="111"/>
      <c r="O97" s="111"/>
      <c r="P97" s="111"/>
      <c r="Q97" s="111"/>
      <c r="R97" s="111"/>
      <c r="S97" s="111"/>
      <c r="T97" s="111"/>
      <c r="U97" s="111"/>
      <c r="V97" s="111"/>
      <c r="W97" s="111"/>
      <c r="X97" s="111"/>
      <c r="Y97" s="111"/>
      <c r="Z97" s="111"/>
      <c r="AA97" s="111"/>
      <c r="AB97" s="111"/>
      <c r="AC97" s="111"/>
      <c r="AD97" s="111"/>
    </row>
    <row r="98" spans="3:30">
      <c r="C98" s="111"/>
      <c r="D98" s="111"/>
      <c r="E98" s="111"/>
      <c r="F98" s="111"/>
      <c r="G98" s="111"/>
      <c r="H98" s="111"/>
      <c r="I98" s="111"/>
      <c r="J98" s="111"/>
      <c r="K98" s="111"/>
      <c r="L98" s="111"/>
      <c r="M98" s="111"/>
      <c r="N98" s="111"/>
      <c r="O98" s="111"/>
      <c r="P98" s="111"/>
      <c r="Q98" s="111"/>
      <c r="R98" s="111"/>
      <c r="S98" s="111"/>
      <c r="T98" s="111"/>
      <c r="U98" s="111"/>
      <c r="V98" s="111"/>
      <c r="W98" s="111"/>
      <c r="X98" s="111"/>
      <c r="Y98" s="111"/>
      <c r="Z98" s="111"/>
      <c r="AA98" s="111"/>
      <c r="AB98" s="111"/>
      <c r="AC98" s="111"/>
      <c r="AD98" s="111"/>
    </row>
  </sheetData>
  <mergeCells count="91">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22" workbookViewId="0">
      <selection activeCell="AO29" sqref="AO29:AR29"/>
    </sheetView>
  </sheetViews>
  <sheetFormatPr defaultColWidth="9.140625" defaultRowHeight="12.75"/>
  <cols>
    <col min="1" max="15" width="3.140625" style="84" customWidth="1"/>
    <col min="16" max="30" width="3.28515625" style="84" customWidth="1"/>
    <col min="31" max="31" width="3.28515625" style="111" customWidth="1"/>
    <col min="32" max="146" width="3.140625" style="84" customWidth="1"/>
    <col min="147" max="16384" width="9.140625" style="84"/>
  </cols>
  <sheetData>
    <row r="1" spans="2:45" ht="19.7" customHeight="1">
      <c r="B1" s="295" t="s">
        <v>103</v>
      </c>
      <c r="C1" s="295"/>
      <c r="D1" s="295"/>
      <c r="E1" s="295"/>
      <c r="F1" s="295"/>
      <c r="G1" s="295"/>
      <c r="H1" s="295"/>
      <c r="I1" s="295"/>
      <c r="J1" s="295"/>
      <c r="K1" s="295"/>
      <c r="L1" s="295"/>
      <c r="M1" s="295"/>
      <c r="N1" s="85"/>
      <c r="O1" s="85"/>
      <c r="P1" s="286" t="s">
        <v>104</v>
      </c>
      <c r="Q1" s="286"/>
      <c r="R1" s="286"/>
      <c r="S1" s="286"/>
      <c r="T1" s="286"/>
      <c r="U1" s="286"/>
      <c r="V1" s="286"/>
      <c r="W1" s="286"/>
      <c r="X1" s="286"/>
      <c r="Y1" s="286"/>
      <c r="Z1" s="286"/>
      <c r="AA1" s="286"/>
      <c r="AB1" s="286"/>
      <c r="AC1" s="286"/>
      <c r="AD1" s="286"/>
      <c r="AE1" s="103"/>
    </row>
    <row r="2" spans="2:45" ht="19.7" customHeight="1">
      <c r="C2" s="295" t="s">
        <v>105</v>
      </c>
      <c r="D2" s="295"/>
      <c r="E2" s="295"/>
      <c r="F2" s="295"/>
      <c r="G2" s="295"/>
      <c r="H2" s="295"/>
      <c r="I2" s="295"/>
      <c r="J2" s="295"/>
      <c r="K2" s="295"/>
      <c r="L2" s="295"/>
      <c r="M2" s="85"/>
      <c r="N2" s="151"/>
      <c r="O2" s="85"/>
      <c r="P2" s="296" t="s">
        <v>177</v>
      </c>
      <c r="Q2" s="296"/>
      <c r="R2" s="296"/>
      <c r="S2" s="296"/>
      <c r="T2" s="296"/>
      <c r="U2" s="296"/>
      <c r="V2" s="296"/>
      <c r="W2" s="296"/>
      <c r="X2" s="296"/>
      <c r="Y2" s="296"/>
      <c r="Z2" s="296"/>
      <c r="AA2" s="296"/>
      <c r="AB2" s="296"/>
      <c r="AC2" s="296"/>
      <c r="AD2" s="296"/>
    </row>
    <row r="3" spans="2:45" ht="12" customHeight="1">
      <c r="C3" s="149"/>
      <c r="D3" s="149"/>
      <c r="E3" s="153"/>
      <c r="F3" s="153"/>
      <c r="G3" s="153"/>
      <c r="H3" s="153"/>
      <c r="I3" s="153"/>
      <c r="J3" s="153"/>
      <c r="K3" s="149"/>
      <c r="L3" s="148"/>
      <c r="M3" s="149"/>
      <c r="N3" s="149"/>
      <c r="O3" s="149"/>
      <c r="P3" s="149"/>
      <c r="Q3" s="92"/>
      <c r="R3" s="92"/>
      <c r="S3" s="153"/>
      <c r="T3" s="153"/>
      <c r="U3" s="153"/>
      <c r="V3" s="153"/>
      <c r="W3" s="153"/>
      <c r="X3" s="153"/>
      <c r="Y3" s="153"/>
      <c r="Z3" s="153"/>
      <c r="AA3" s="153"/>
      <c r="AB3" s="85"/>
      <c r="AC3" s="85"/>
      <c r="AD3" s="85"/>
    </row>
    <row r="4" spans="2:45" ht="6.75" customHeight="1">
      <c r="C4" s="90"/>
      <c r="D4" s="90"/>
      <c r="E4" s="91"/>
      <c r="F4" s="91"/>
      <c r="G4" s="91"/>
      <c r="H4" s="91"/>
      <c r="I4" s="91"/>
      <c r="J4" s="91"/>
      <c r="K4" s="91"/>
      <c r="L4" s="92"/>
      <c r="M4" s="92"/>
      <c r="N4" s="92"/>
      <c r="O4" s="92"/>
      <c r="P4" s="91"/>
      <c r="Q4" s="151"/>
      <c r="R4" s="151"/>
      <c r="S4" s="151"/>
      <c r="T4" s="151"/>
      <c r="U4" s="151"/>
      <c r="V4" s="151"/>
      <c r="W4" s="151"/>
      <c r="X4" s="151"/>
      <c r="Y4" s="151"/>
      <c r="Z4" s="151"/>
      <c r="AA4" s="151"/>
      <c r="AB4" s="151"/>
      <c r="AC4" s="151"/>
      <c r="AD4" s="151"/>
    </row>
    <row r="5" spans="2:45" ht="0.75" customHeight="1">
      <c r="C5" s="152"/>
      <c r="D5" s="152"/>
      <c r="E5" s="149"/>
      <c r="F5" s="149"/>
      <c r="G5" s="149"/>
      <c r="H5" s="149"/>
      <c r="I5" s="149"/>
      <c r="J5" s="149"/>
      <c r="K5" s="149"/>
      <c r="L5" s="149"/>
      <c r="M5" s="149"/>
      <c r="N5" s="149"/>
      <c r="O5" s="149"/>
      <c r="P5" s="149"/>
      <c r="Q5" s="149"/>
      <c r="R5" s="149"/>
      <c r="S5" s="149"/>
      <c r="T5" s="149"/>
      <c r="U5" s="149"/>
      <c r="V5" s="149"/>
      <c r="W5" s="149"/>
      <c r="X5" s="149"/>
      <c r="Y5" s="149"/>
      <c r="Z5" s="149"/>
      <c r="AA5" s="149"/>
      <c r="AB5" s="85"/>
      <c r="AC5" s="85"/>
      <c r="AD5" s="85"/>
    </row>
    <row r="6" spans="2:45" ht="19.7" customHeight="1">
      <c r="C6" s="288" t="s">
        <v>106</v>
      </c>
      <c r="D6" s="288"/>
      <c r="E6" s="288"/>
      <c r="F6" s="288"/>
      <c r="G6" s="288"/>
      <c r="H6" s="288"/>
      <c r="I6" s="288"/>
      <c r="J6" s="288"/>
      <c r="K6" s="288"/>
      <c r="L6" s="288"/>
      <c r="M6" s="288"/>
      <c r="N6" s="288"/>
      <c r="O6" s="288"/>
      <c r="P6" s="288"/>
      <c r="Q6" s="288"/>
      <c r="R6" s="288"/>
      <c r="S6" s="288"/>
      <c r="T6" s="288"/>
      <c r="U6" s="288"/>
      <c r="V6" s="288"/>
      <c r="W6" s="288"/>
      <c r="X6" s="288"/>
      <c r="Y6" s="288"/>
      <c r="Z6" s="288"/>
      <c r="AA6" s="288"/>
      <c r="AB6" s="288"/>
      <c r="AC6" s="288"/>
      <c r="AD6" s="288"/>
    </row>
    <row r="7" spans="2:45" ht="19.7" customHeight="1">
      <c r="C7" s="288" t="s">
        <v>107</v>
      </c>
      <c r="D7" s="288"/>
      <c r="E7" s="288"/>
      <c r="F7" s="288"/>
      <c r="G7" s="288"/>
      <c r="H7" s="288"/>
      <c r="I7" s="288"/>
      <c r="J7" s="288"/>
      <c r="K7" s="288"/>
      <c r="L7" s="288"/>
      <c r="M7" s="288"/>
      <c r="N7" s="288"/>
      <c r="O7" s="288"/>
      <c r="P7" s="288"/>
      <c r="Q7" s="288"/>
      <c r="R7" s="288"/>
      <c r="S7" s="288"/>
      <c r="T7" s="288"/>
      <c r="U7" s="288"/>
      <c r="V7" s="288"/>
      <c r="W7" s="288"/>
      <c r="X7" s="288"/>
      <c r="Y7" s="288"/>
      <c r="Z7" s="288"/>
      <c r="AA7" s="288"/>
      <c r="AB7" s="288"/>
      <c r="AC7" s="288"/>
      <c r="AD7" s="288"/>
    </row>
    <row r="8" spans="2:45" ht="12.75" customHeight="1">
      <c r="C8" s="148"/>
      <c r="D8" s="149"/>
      <c r="E8" s="149"/>
      <c r="F8" s="149"/>
      <c r="G8" s="149"/>
      <c r="H8" s="149"/>
      <c r="I8" s="149"/>
      <c r="J8" s="149"/>
      <c r="K8" s="149"/>
      <c r="L8" s="149"/>
      <c r="M8" s="149"/>
      <c r="N8" s="149"/>
      <c r="O8" s="149"/>
      <c r="P8" s="149"/>
      <c r="Q8" s="149"/>
      <c r="R8" s="149"/>
      <c r="S8" s="149"/>
      <c r="T8" s="149"/>
      <c r="U8" s="149"/>
      <c r="V8" s="149"/>
      <c r="W8" s="149"/>
      <c r="X8" s="149"/>
      <c r="Y8" s="149"/>
      <c r="Z8" s="149"/>
      <c r="AA8" s="149"/>
      <c r="AB8" s="85"/>
      <c r="AC8" s="85"/>
      <c r="AD8" s="85"/>
    </row>
    <row r="9" spans="2:45" ht="15.75" customHeight="1">
      <c r="C9" s="296" t="str">
        <f>"Số: "&amp;AG9</f>
        <v>Số: B08600120811TG05</v>
      </c>
      <c r="D9" s="296"/>
      <c r="E9" s="296"/>
      <c r="F9" s="296"/>
      <c r="G9" s="296"/>
      <c r="H9" s="296"/>
      <c r="I9" s="296"/>
      <c r="J9" s="296"/>
      <c r="K9" s="296"/>
      <c r="L9" s="296"/>
      <c r="M9" s="296"/>
      <c r="N9" s="296"/>
      <c r="O9" s="296"/>
      <c r="P9" s="296"/>
      <c r="Q9" s="296"/>
      <c r="R9" s="296"/>
      <c r="S9" s="296"/>
      <c r="T9" s="296"/>
      <c r="U9" s="296"/>
      <c r="V9" s="296"/>
      <c r="W9" s="296"/>
      <c r="X9" s="296"/>
      <c r="Y9" s="296"/>
      <c r="Z9" s="296"/>
      <c r="AA9" s="296"/>
      <c r="AB9" s="296"/>
      <c r="AC9" s="296"/>
      <c r="AD9" s="296"/>
      <c r="AG9" s="96" t="s">
        <v>213</v>
      </c>
    </row>
    <row r="10" spans="2:45" ht="10.5" customHeight="1">
      <c r="C10" s="150"/>
      <c r="D10" s="149"/>
      <c r="E10" s="149"/>
      <c r="F10" s="149"/>
      <c r="G10" s="149"/>
      <c r="H10" s="149"/>
      <c r="I10" s="149"/>
      <c r="J10" s="149"/>
      <c r="K10" s="149"/>
      <c r="L10" s="149"/>
      <c r="M10" s="149"/>
      <c r="N10" s="149"/>
      <c r="O10" s="149"/>
      <c r="P10" s="149"/>
      <c r="Q10" s="149"/>
      <c r="R10" s="149"/>
      <c r="S10" s="149"/>
      <c r="T10" s="149"/>
      <c r="U10" s="149"/>
      <c r="V10" s="149"/>
      <c r="W10" s="149"/>
      <c r="X10" s="149"/>
      <c r="Y10" s="149"/>
      <c r="Z10" s="149"/>
      <c r="AA10" s="149"/>
      <c r="AB10" s="85"/>
      <c r="AC10" s="85"/>
      <c r="AD10" s="85"/>
    </row>
    <row r="11" spans="2:45" ht="19.7" customHeight="1">
      <c r="C11" s="288" t="s">
        <v>108</v>
      </c>
      <c r="D11" s="288"/>
      <c r="E11" s="288"/>
      <c r="F11" s="288"/>
      <c r="G11" s="288"/>
      <c r="H11" s="288"/>
      <c r="I11" s="288"/>
      <c r="J11" s="288"/>
      <c r="K11" s="288"/>
      <c r="L11" s="288"/>
      <c r="M11" s="288"/>
      <c r="N11" s="288"/>
      <c r="O11" s="288"/>
      <c r="P11" s="288"/>
      <c r="Q11" s="288"/>
      <c r="R11" s="288"/>
      <c r="S11" s="288"/>
      <c r="T11" s="288"/>
      <c r="U11" s="288"/>
      <c r="V11" s="288"/>
      <c r="W11" s="288"/>
      <c r="X11" s="288"/>
      <c r="Y11" s="288"/>
      <c r="Z11" s="288"/>
      <c r="AA11" s="288"/>
      <c r="AB11" s="288"/>
      <c r="AC11" s="288"/>
      <c r="AD11" s="288"/>
    </row>
    <row r="12" spans="2:45" ht="19.7" customHeight="1">
      <c r="C12" s="288" t="s">
        <v>109</v>
      </c>
      <c r="D12" s="288"/>
      <c r="E12" s="288"/>
      <c r="F12" s="288"/>
      <c r="G12" s="288"/>
      <c r="H12" s="288"/>
      <c r="I12" s="288"/>
      <c r="J12" s="288"/>
      <c r="K12" s="288"/>
      <c r="L12" s="288"/>
      <c r="M12" s="288"/>
      <c r="N12" s="288"/>
      <c r="O12" s="288"/>
      <c r="P12" s="288"/>
      <c r="Q12" s="288"/>
      <c r="R12" s="288"/>
      <c r="S12" s="288"/>
      <c r="T12" s="288"/>
      <c r="U12" s="288"/>
      <c r="V12" s="288"/>
      <c r="W12" s="288"/>
      <c r="X12" s="288"/>
      <c r="Y12" s="288"/>
      <c r="Z12" s="288"/>
      <c r="AA12" s="288"/>
      <c r="AB12" s="288"/>
      <c r="AC12" s="288"/>
      <c r="AD12" s="288"/>
    </row>
    <row r="13" spans="2:45" ht="7.5" customHeight="1">
      <c r="C13" s="97"/>
      <c r="D13" s="87"/>
      <c r="E13" s="87"/>
      <c r="F13" s="87"/>
      <c r="G13" s="87"/>
      <c r="H13" s="87"/>
      <c r="I13" s="87"/>
      <c r="J13" s="87"/>
      <c r="K13" s="87"/>
      <c r="L13" s="87"/>
      <c r="M13" s="87"/>
      <c r="N13" s="87"/>
      <c r="O13" s="87"/>
      <c r="P13" s="87"/>
      <c r="Q13" s="87"/>
      <c r="R13" s="87"/>
      <c r="S13" s="87"/>
      <c r="T13" s="87"/>
      <c r="U13" s="87"/>
      <c r="V13" s="87"/>
      <c r="W13" s="87"/>
      <c r="X13" s="87"/>
      <c r="Y13" s="87"/>
      <c r="Z13" s="87"/>
      <c r="AA13" s="87"/>
    </row>
    <row r="14" spans="2:45" ht="3" customHeight="1">
      <c r="C14" s="95"/>
      <c r="D14" s="87"/>
      <c r="E14" s="87"/>
      <c r="F14" s="87"/>
      <c r="G14" s="87"/>
      <c r="H14" s="87"/>
      <c r="I14" s="87"/>
      <c r="J14" s="87"/>
      <c r="K14" s="87"/>
      <c r="L14" s="87"/>
      <c r="M14" s="87"/>
      <c r="N14" s="87"/>
      <c r="O14" s="87"/>
      <c r="P14" s="87"/>
      <c r="Q14" s="87"/>
      <c r="R14" s="87"/>
      <c r="S14" s="87"/>
      <c r="T14" s="87"/>
      <c r="U14" s="87"/>
      <c r="V14" s="87"/>
      <c r="W14" s="87"/>
      <c r="X14" s="87"/>
      <c r="Y14" s="87"/>
      <c r="Z14" s="87"/>
      <c r="AA14" s="87"/>
    </row>
    <row r="15" spans="2:45" ht="23.25" customHeight="1">
      <c r="C15" s="289" t="s">
        <v>107</v>
      </c>
      <c r="D15" s="290"/>
      <c r="E15" s="290"/>
      <c r="F15" s="290"/>
      <c r="G15" s="290"/>
      <c r="H15" s="290"/>
      <c r="I15" s="290"/>
      <c r="J15" s="290"/>
      <c r="K15" s="290"/>
      <c r="L15" s="290"/>
      <c r="M15" s="290"/>
      <c r="N15" s="290"/>
      <c r="O15" s="290"/>
      <c r="P15" s="290"/>
      <c r="Q15" s="290"/>
      <c r="R15" s="290"/>
      <c r="S15" s="290"/>
      <c r="T15" s="290"/>
      <c r="U15" s="290"/>
      <c r="V15" s="290"/>
      <c r="W15" s="290"/>
      <c r="X15" s="290"/>
      <c r="Y15" s="290"/>
      <c r="Z15" s="290"/>
      <c r="AA15" s="290"/>
      <c r="AB15" s="290"/>
      <c r="AC15" s="290"/>
      <c r="AD15" s="291"/>
      <c r="AE15" s="118"/>
      <c r="AG15" s="98">
        <v>1</v>
      </c>
      <c r="AH15" s="98"/>
      <c r="AI15" s="98"/>
      <c r="AJ15" s="98"/>
      <c r="AK15" s="98">
        <v>2</v>
      </c>
      <c r="AL15" s="98"/>
      <c r="AM15" s="98"/>
      <c r="AN15" s="98"/>
      <c r="AO15" s="98">
        <v>3</v>
      </c>
      <c r="AS15" s="84">
        <v>4</v>
      </c>
    </row>
    <row r="16" spans="2:45" ht="38.25" customHeight="1">
      <c r="C16" s="308" t="s">
        <v>24</v>
      </c>
      <c r="D16" s="309"/>
      <c r="E16" s="309"/>
      <c r="F16" s="309"/>
      <c r="G16" s="309"/>
      <c r="H16" s="309"/>
      <c r="I16" s="309"/>
      <c r="J16" s="309"/>
      <c r="K16" s="309"/>
      <c r="L16" s="310"/>
      <c r="M16" s="297" t="str">
        <f>AG16</f>
        <v>Ấp Bàu Trâu, xã Phước Thạnh, huyện Củ Chi, thành phố Hồ Chí Minh.</v>
      </c>
      <c r="N16" s="298"/>
      <c r="O16" s="298"/>
      <c r="P16" s="298"/>
      <c r="Q16" s="298"/>
      <c r="R16" s="298"/>
      <c r="S16" s="298"/>
      <c r="T16" s="298"/>
      <c r="U16" s="298"/>
      <c r="V16" s="298"/>
      <c r="W16" s="298"/>
      <c r="X16" s="298"/>
      <c r="Y16" s="298"/>
      <c r="Z16" s="298"/>
      <c r="AA16" s="298"/>
      <c r="AB16" s="298"/>
      <c r="AC16" s="298"/>
      <c r="AD16" s="299"/>
      <c r="AE16" s="118"/>
      <c r="AG16" s="99" t="s">
        <v>110</v>
      </c>
    </row>
    <row r="17" spans="3:47" ht="21" customHeight="1">
      <c r="C17" s="270" t="s">
        <v>17</v>
      </c>
      <c r="D17" s="271"/>
      <c r="E17" s="271"/>
      <c r="F17" s="271"/>
      <c r="G17" s="271"/>
      <c r="H17" s="271"/>
      <c r="I17" s="271"/>
      <c r="J17" s="271"/>
      <c r="K17" s="271"/>
      <c r="L17" s="272"/>
      <c r="M17" s="289" t="str">
        <f>IF(AG17="","",AG17)</f>
        <v/>
      </c>
      <c r="N17" s="290"/>
      <c r="O17" s="290"/>
      <c r="P17" s="290"/>
      <c r="Q17" s="290"/>
      <c r="R17" s="290"/>
      <c r="S17" s="290"/>
      <c r="T17" s="290"/>
      <c r="U17" s="290"/>
      <c r="V17" s="290"/>
      <c r="W17" s="290"/>
      <c r="X17" s="290"/>
      <c r="Y17" s="290"/>
      <c r="Z17" s="290"/>
      <c r="AA17" s="290"/>
      <c r="AB17" s="290"/>
      <c r="AC17" s="290"/>
      <c r="AD17" s="291"/>
      <c r="AE17" s="118"/>
    </row>
    <row r="18" spans="3:47" ht="33.950000000000003" customHeight="1">
      <c r="C18" s="292" t="s">
        <v>9</v>
      </c>
      <c r="D18" s="293"/>
      <c r="E18" s="293"/>
      <c r="F18" s="293"/>
      <c r="G18" s="293"/>
      <c r="H18" s="293"/>
      <c r="I18" s="293"/>
      <c r="J18" s="293"/>
      <c r="K18" s="293"/>
      <c r="L18" s="294"/>
      <c r="M18" s="265" t="str">
        <f>AG18</f>
        <v>CÔNG TY CỔ PHẦN VIỄN THÔNG DI ĐỘNG TOÀN CẦU</v>
      </c>
      <c r="N18" s="266"/>
      <c r="O18" s="266"/>
      <c r="P18" s="266"/>
      <c r="Q18" s="266"/>
      <c r="R18" s="266"/>
      <c r="S18" s="266"/>
      <c r="T18" s="266"/>
      <c r="U18" s="266"/>
      <c r="V18" s="266"/>
      <c r="W18" s="266"/>
      <c r="X18" s="266"/>
      <c r="Y18" s="266"/>
      <c r="Z18" s="266"/>
      <c r="AA18" s="266"/>
      <c r="AB18" s="266"/>
      <c r="AC18" s="266"/>
      <c r="AD18" s="267"/>
      <c r="AE18" s="118"/>
      <c r="AG18" s="96" t="s">
        <v>155</v>
      </c>
    </row>
    <row r="19" spans="3:47" ht="33.950000000000003" customHeight="1">
      <c r="C19" s="292" t="s">
        <v>16</v>
      </c>
      <c r="D19" s="293"/>
      <c r="E19" s="293"/>
      <c r="F19" s="293"/>
      <c r="G19" s="293"/>
      <c r="H19" s="293"/>
      <c r="I19" s="293"/>
      <c r="J19" s="293"/>
      <c r="K19" s="293"/>
      <c r="L19" s="294"/>
      <c r="M19" s="265" t="str">
        <f>AG19</f>
        <v>CÔNG TY CỔ PHẦN VIỄN THÔNG DI ĐỘNG TOÀN CẦU</v>
      </c>
      <c r="N19" s="266"/>
      <c r="O19" s="266"/>
      <c r="P19" s="266"/>
      <c r="Q19" s="266"/>
      <c r="R19" s="266"/>
      <c r="S19" s="266"/>
      <c r="T19" s="266"/>
      <c r="U19" s="266"/>
      <c r="V19" s="266"/>
      <c r="W19" s="266"/>
      <c r="X19" s="266"/>
      <c r="Y19" s="266"/>
      <c r="Z19" s="266"/>
      <c r="AA19" s="266"/>
      <c r="AB19" s="266"/>
      <c r="AC19" s="266"/>
      <c r="AD19" s="267"/>
      <c r="AE19" s="119"/>
      <c r="AG19" s="96" t="s">
        <v>155</v>
      </c>
    </row>
    <row r="20" spans="3:47" ht="21" customHeight="1">
      <c r="C20" s="279" t="s">
        <v>111</v>
      </c>
      <c r="D20" s="280"/>
      <c r="E20" s="280"/>
      <c r="F20" s="280"/>
      <c r="G20" s="280"/>
      <c r="H20" s="280"/>
      <c r="I20" s="280"/>
      <c r="J20" s="280"/>
      <c r="K20" s="280"/>
      <c r="L20" s="280"/>
      <c r="M20" s="280"/>
      <c r="N20" s="280"/>
      <c r="O20" s="280"/>
      <c r="P20" s="280"/>
      <c r="Q20" s="280"/>
      <c r="R20" s="280"/>
      <c r="S20" s="280"/>
      <c r="T20" s="280"/>
      <c r="U20" s="280"/>
      <c r="V20" s="280"/>
      <c r="W20" s="280"/>
      <c r="X20" s="280"/>
      <c r="Y20" s="280"/>
      <c r="Z20" s="280"/>
      <c r="AA20" s="280"/>
      <c r="AB20" s="280"/>
      <c r="AC20" s="280"/>
      <c r="AD20" s="281"/>
      <c r="AE20" s="120"/>
    </row>
    <row r="21" spans="3:47" ht="33.950000000000003" customHeight="1">
      <c r="C21" s="273" t="s">
        <v>112</v>
      </c>
      <c r="D21" s="273"/>
      <c r="E21" s="273"/>
      <c r="F21" s="273"/>
      <c r="G21" s="273"/>
      <c r="H21" s="273"/>
      <c r="I21" s="273"/>
      <c r="J21" s="273"/>
      <c r="K21" s="273"/>
      <c r="L21" s="273"/>
      <c r="M21" s="307" t="str">
        <f>AG21</f>
        <v>MOTOROLA HORIZON II MACRO</v>
      </c>
      <c r="N21" s="307"/>
      <c r="O21" s="307"/>
      <c r="P21" s="307"/>
      <c r="Q21" s="307"/>
      <c r="R21" s="307"/>
      <c r="S21" s="307"/>
      <c r="T21" s="307"/>
      <c r="U21" s="307"/>
      <c r="V21" s="307" t="str">
        <f>AK21</f>
        <v>MOTOROLA HORIZON II MACRO</v>
      </c>
      <c r="W21" s="307"/>
      <c r="X21" s="307"/>
      <c r="Y21" s="307"/>
      <c r="Z21" s="307"/>
      <c r="AA21" s="307"/>
      <c r="AB21" s="307"/>
      <c r="AC21" s="307"/>
      <c r="AD21" s="307"/>
      <c r="AE21" s="118"/>
      <c r="AG21" s="96" t="s">
        <v>182</v>
      </c>
      <c r="AK21" s="96" t="s">
        <v>182</v>
      </c>
      <c r="AO21" s="96" t="s">
        <v>115</v>
      </c>
      <c r="AS21" s="96" t="s">
        <v>116</v>
      </c>
    </row>
    <row r="22" spans="3:47" ht="19.7" customHeight="1">
      <c r="C22" s="282" t="s">
        <v>117</v>
      </c>
      <c r="D22" s="283"/>
      <c r="E22" s="283"/>
      <c r="F22" s="283"/>
      <c r="G22" s="283"/>
      <c r="H22" s="283"/>
      <c r="I22" s="283"/>
      <c r="J22" s="283"/>
      <c r="K22" s="283"/>
      <c r="L22" s="284"/>
      <c r="M22" s="265">
        <f>AG22</f>
        <v>3</v>
      </c>
      <c r="N22" s="266"/>
      <c r="O22" s="266"/>
      <c r="P22" s="266"/>
      <c r="Q22" s="266"/>
      <c r="R22" s="266"/>
      <c r="S22" s="266"/>
      <c r="T22" s="266"/>
      <c r="U22" s="267"/>
      <c r="V22" s="265">
        <f>AK22</f>
        <v>3</v>
      </c>
      <c r="W22" s="266"/>
      <c r="X22" s="266"/>
      <c r="Y22" s="266"/>
      <c r="Z22" s="266"/>
      <c r="AA22" s="266"/>
      <c r="AB22" s="266"/>
      <c r="AC22" s="266"/>
      <c r="AD22" s="267"/>
      <c r="AE22" s="118"/>
      <c r="AG22" s="98">
        <v>3</v>
      </c>
      <c r="AH22" s="98"/>
      <c r="AI22" s="98"/>
      <c r="AJ22" s="98"/>
      <c r="AK22" s="98">
        <v>3</v>
      </c>
      <c r="AL22" s="98"/>
      <c r="AM22" s="98"/>
      <c r="AN22" s="98"/>
      <c r="AO22" s="98">
        <v>3</v>
      </c>
      <c r="AS22" s="84">
        <v>1</v>
      </c>
    </row>
    <row r="23" spans="3:47" ht="19.7" customHeight="1">
      <c r="C23" s="273" t="s">
        <v>118</v>
      </c>
      <c r="D23" s="273"/>
      <c r="E23" s="273"/>
      <c r="F23" s="273"/>
      <c r="G23" s="273"/>
      <c r="H23" s="273"/>
      <c r="I23" s="273"/>
      <c r="J23" s="273"/>
      <c r="K23" s="273"/>
      <c r="L23" s="273"/>
      <c r="M23" s="313" t="str">
        <f>AG23</f>
        <v>4/4/4</v>
      </c>
      <c r="N23" s="314"/>
      <c r="O23" s="314"/>
      <c r="P23" s="314"/>
      <c r="Q23" s="314"/>
      <c r="R23" s="314"/>
      <c r="S23" s="314"/>
      <c r="T23" s="314"/>
      <c r="U23" s="314"/>
      <c r="V23" s="277" t="str">
        <f>AK23</f>
        <v>2/2/2</v>
      </c>
      <c r="W23" s="311"/>
      <c r="X23" s="311"/>
      <c r="Y23" s="311"/>
      <c r="Z23" s="311"/>
      <c r="AA23" s="311"/>
      <c r="AB23" s="311"/>
      <c r="AC23" s="311"/>
      <c r="AD23" s="312"/>
      <c r="AE23" s="121"/>
      <c r="AG23" s="100" t="s">
        <v>119</v>
      </c>
      <c r="AH23" s="101"/>
      <c r="AI23" s="101"/>
      <c r="AJ23" s="101"/>
      <c r="AK23" s="100" t="s">
        <v>120</v>
      </c>
      <c r="AL23" s="101"/>
      <c r="AM23" s="101"/>
      <c r="AN23" s="101"/>
      <c r="AO23" s="100" t="s">
        <v>121</v>
      </c>
      <c r="AP23" s="101"/>
      <c r="AQ23" s="101"/>
      <c r="AR23" s="101"/>
      <c r="AS23" s="100" t="s">
        <v>122</v>
      </c>
    </row>
    <row r="24" spans="3:47" ht="18.75" customHeight="1">
      <c r="C24" s="282" t="s">
        <v>156</v>
      </c>
      <c r="D24" s="283"/>
      <c r="E24" s="283"/>
      <c r="F24" s="283"/>
      <c r="G24" s="283"/>
      <c r="H24" s="283"/>
      <c r="I24" s="283"/>
      <c r="J24" s="283"/>
      <c r="K24" s="283"/>
      <c r="L24" s="284"/>
      <c r="M24" s="265" t="str">
        <f>IF(M22=4,AG24&amp;"W/ "&amp;AH24&amp;"W/ "&amp;AI24&amp;"W/ "&amp;AJ24&amp;"W",IF(M22=3,AG24&amp;"W/ "&amp;AH24&amp;"W/ "&amp;AI24&amp;"W",IF(M22=2,AG24&amp;"W/ "&amp;AH24&amp;"W",AG24&amp;"W")))</f>
        <v>100,45W/ 100,45W/ 100,45W</v>
      </c>
      <c r="N24" s="266"/>
      <c r="O24" s="266"/>
      <c r="P24" s="266"/>
      <c r="Q24" s="266"/>
      <c r="R24" s="266"/>
      <c r="S24" s="266"/>
      <c r="T24" s="266"/>
      <c r="U24" s="267"/>
      <c r="V24" s="265" t="str">
        <f>IF(V22=4,AK24&amp;"W/ "&amp;AL24&amp;"W/ "&amp;AM24&amp;"W/ "&amp;AN24&amp;"W",IF(V22=3,AK24&amp;"W/ "&amp;AL24&amp;"W/ "&amp;AM24&amp;"W",IF(V22=2,AK24&amp;"W/"&amp;AL24&amp;"W",AK24&amp;"W")))</f>
        <v>40W/ 40W/ 40W</v>
      </c>
      <c r="W24" s="266"/>
      <c r="X24" s="266"/>
      <c r="Y24" s="266"/>
      <c r="Z24" s="266"/>
      <c r="AA24" s="266"/>
      <c r="AB24" s="266"/>
      <c r="AC24" s="266"/>
      <c r="AD24" s="267"/>
      <c r="AE24" s="119"/>
      <c r="AG24" s="84" t="s">
        <v>181</v>
      </c>
      <c r="AH24" s="84" t="s">
        <v>181</v>
      </c>
      <c r="AI24" s="84" t="s">
        <v>181</v>
      </c>
      <c r="AJ24" s="84" t="s">
        <v>181</v>
      </c>
      <c r="AK24" s="84">
        <v>40</v>
      </c>
      <c r="AL24" s="84">
        <v>40</v>
      </c>
      <c r="AM24" s="84">
        <v>40</v>
      </c>
      <c r="AN24" s="84">
        <v>40</v>
      </c>
      <c r="AO24" s="84">
        <v>60</v>
      </c>
      <c r="AP24" s="84">
        <v>60</v>
      </c>
      <c r="AQ24" s="84">
        <v>60</v>
      </c>
      <c r="AS24" s="84">
        <v>80</v>
      </c>
      <c r="AT24" s="84">
        <v>80</v>
      </c>
      <c r="AU24" s="84">
        <v>80</v>
      </c>
    </row>
    <row r="25" spans="3:47" ht="19.7" customHeight="1">
      <c r="C25" s="273" t="s">
        <v>123</v>
      </c>
      <c r="D25" s="273"/>
      <c r="E25" s="273"/>
      <c r="F25" s="273"/>
      <c r="G25" s="273"/>
      <c r="H25" s="273"/>
      <c r="I25" s="273"/>
      <c r="J25" s="273"/>
      <c r="K25" s="273"/>
      <c r="L25" s="273"/>
      <c r="M25" s="307" t="str">
        <f>IF(AG25="900 &amp; 1800","900MHz &amp; 1800MHz",IF(AG25="900 &amp; 2100","900MHz &amp; 2100MHz",IF(AG25="1800 &amp; 2100","1800MHz &amp; 2100MHz",AG25&amp;"MHz")))</f>
        <v>1800MHz</v>
      </c>
      <c r="N25" s="307"/>
      <c r="O25" s="307"/>
      <c r="P25" s="307"/>
      <c r="Q25" s="307"/>
      <c r="R25" s="307"/>
      <c r="S25" s="307"/>
      <c r="T25" s="307"/>
      <c r="U25" s="307"/>
      <c r="V25" s="307" t="str">
        <f>IF(AK25="900 &amp; 1800","900MHz &amp; 1800MHz",IF(AK25="900 &amp; 2100","900MHz &amp; 2100MHz",AK25&amp;"MHz"))</f>
        <v>1800MHz</v>
      </c>
      <c r="W25" s="307"/>
      <c r="X25" s="307"/>
      <c r="Y25" s="307"/>
      <c r="Z25" s="307"/>
      <c r="AA25" s="307"/>
      <c r="AB25" s="307"/>
      <c r="AC25" s="307"/>
      <c r="AD25" s="307"/>
      <c r="AE25" s="118"/>
      <c r="AG25" s="84">
        <v>1800</v>
      </c>
      <c r="AK25" s="84">
        <v>1800</v>
      </c>
      <c r="AO25" s="84">
        <v>2100</v>
      </c>
      <c r="AS25" s="96" t="s">
        <v>124</v>
      </c>
    </row>
    <row r="26" spans="3:47" ht="33.950000000000003" customHeight="1">
      <c r="C26" s="273" t="s">
        <v>169</v>
      </c>
      <c r="D26" s="273"/>
      <c r="E26" s="273"/>
      <c r="F26" s="273"/>
      <c r="G26" s="273"/>
      <c r="H26" s="273"/>
      <c r="I26" s="273"/>
      <c r="J26" s="273"/>
      <c r="K26" s="273"/>
      <c r="L26" s="273"/>
      <c r="M26" s="307">
        <f>AG26</f>
        <v>15</v>
      </c>
      <c r="N26" s="307"/>
      <c r="O26" s="307"/>
      <c r="P26" s="307"/>
      <c r="Q26" s="307"/>
      <c r="R26" s="307"/>
      <c r="S26" s="307"/>
      <c r="T26" s="307"/>
      <c r="U26" s="307"/>
      <c r="V26" s="307">
        <f>AK26</f>
        <v>16</v>
      </c>
      <c r="W26" s="307"/>
      <c r="X26" s="307"/>
      <c r="Y26" s="307"/>
      <c r="Z26" s="307"/>
      <c r="AA26" s="307"/>
      <c r="AB26" s="307"/>
      <c r="AC26" s="307"/>
      <c r="AD26" s="307"/>
      <c r="AE26" s="119"/>
      <c r="AG26" s="84">
        <v>15</v>
      </c>
      <c r="AK26" s="84">
        <v>16</v>
      </c>
      <c r="AO26" s="84">
        <v>17</v>
      </c>
      <c r="AS26" s="84">
        <v>18</v>
      </c>
    </row>
    <row r="27" spans="3:47" ht="25.5" customHeight="1">
      <c r="C27" s="274" t="s">
        <v>125</v>
      </c>
      <c r="D27" s="274"/>
      <c r="E27" s="274"/>
      <c r="F27" s="274"/>
      <c r="G27" s="274"/>
      <c r="H27" s="274"/>
      <c r="I27" s="274"/>
      <c r="J27" s="274"/>
      <c r="K27" s="274"/>
      <c r="L27" s="274"/>
      <c r="M27" s="274"/>
      <c r="N27" s="274"/>
      <c r="O27" s="274"/>
      <c r="P27" s="274"/>
      <c r="Q27" s="274"/>
      <c r="R27" s="274"/>
      <c r="S27" s="274"/>
      <c r="T27" s="274"/>
      <c r="U27" s="274"/>
      <c r="V27" s="274"/>
      <c r="W27" s="274"/>
      <c r="X27" s="274"/>
      <c r="Y27" s="274"/>
      <c r="Z27" s="274"/>
      <c r="AA27" s="274"/>
      <c r="AB27" s="102"/>
      <c r="AC27" s="102"/>
      <c r="AD27" s="102"/>
    </row>
    <row r="28" spans="3:47" ht="24.75" customHeight="1">
      <c r="C28" s="28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85"/>
      <c r="E28" s="285"/>
      <c r="F28" s="285"/>
      <c r="G28" s="285"/>
      <c r="H28" s="285"/>
      <c r="I28" s="285"/>
      <c r="J28" s="285"/>
      <c r="K28" s="285"/>
      <c r="L28" s="285"/>
      <c r="M28" s="285"/>
      <c r="N28" s="285"/>
      <c r="O28" s="285"/>
      <c r="P28" s="285"/>
      <c r="Q28" s="285"/>
      <c r="R28" s="285"/>
      <c r="S28" s="285"/>
      <c r="T28" s="285"/>
      <c r="U28" s="285"/>
      <c r="V28" s="285"/>
      <c r="W28" s="285"/>
      <c r="X28" s="285"/>
      <c r="Y28" s="285"/>
      <c r="Z28" s="285"/>
      <c r="AA28" s="285"/>
      <c r="AB28" s="285"/>
      <c r="AC28" s="285"/>
      <c r="AD28" s="285"/>
      <c r="AG28" s="84">
        <v>30</v>
      </c>
      <c r="AO28" s="84" t="s">
        <v>258</v>
      </c>
    </row>
    <row r="29" spans="3:47" ht="24.75" customHeight="1">
      <c r="C29" s="285"/>
      <c r="D29" s="285"/>
      <c r="E29" s="285"/>
      <c r="F29" s="285"/>
      <c r="G29" s="285"/>
      <c r="H29" s="285"/>
      <c r="I29" s="285"/>
      <c r="J29" s="285"/>
      <c r="K29" s="285"/>
      <c r="L29" s="285"/>
      <c r="M29" s="285"/>
      <c r="N29" s="285"/>
      <c r="O29" s="285"/>
      <c r="P29" s="285"/>
      <c r="Q29" s="285"/>
      <c r="R29" s="285"/>
      <c r="S29" s="285"/>
      <c r="T29" s="285"/>
      <c r="U29" s="285"/>
      <c r="V29" s="285"/>
      <c r="W29" s="285"/>
      <c r="X29" s="285"/>
      <c r="Y29" s="285"/>
      <c r="Z29" s="285"/>
      <c r="AA29" s="285"/>
      <c r="AB29" s="285"/>
      <c r="AC29" s="285"/>
      <c r="AD29" s="285"/>
      <c r="AG29" s="84">
        <v>1</v>
      </c>
      <c r="AO29" s="84"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4" t="s">
        <v>260</v>
      </c>
      <c r="AQ29" s="84" t="str">
        <f>IF(AG28&gt;=0," cao hơn "," thấp hơn ")</f>
        <v xml:space="preserve"> cao hơn </v>
      </c>
      <c r="AR29" s="84" t="s">
        <v>261</v>
      </c>
    </row>
    <row r="30" spans="3:47" ht="16.5" customHeight="1">
      <c r="C30" s="275" t="str">
        <f>IF(AG31=1,AO31,IF(AG31=2,AO30))</f>
        <v>Trạm gốc điện thoại di động mặt đất công cộng này có mức an toàn phơi nhiễm trường điện từ tuân thủ quy chuẩn kỹ thuật trên.</v>
      </c>
      <c r="D30" s="275"/>
      <c r="E30" s="275"/>
      <c r="F30" s="275"/>
      <c r="G30" s="275"/>
      <c r="H30" s="275"/>
      <c r="I30" s="275"/>
      <c r="J30" s="275"/>
      <c r="K30" s="275"/>
      <c r="L30" s="275"/>
      <c r="M30" s="275"/>
      <c r="N30" s="275"/>
      <c r="O30" s="275"/>
      <c r="P30" s="275"/>
      <c r="Q30" s="275"/>
      <c r="R30" s="275"/>
      <c r="S30" s="275"/>
      <c r="T30" s="275"/>
      <c r="U30" s="275"/>
      <c r="V30" s="275"/>
      <c r="W30" s="275"/>
      <c r="X30" s="275"/>
      <c r="Y30" s="275"/>
      <c r="Z30" s="275"/>
      <c r="AA30" s="275"/>
      <c r="AB30" s="275"/>
      <c r="AC30" s="275"/>
      <c r="AD30" s="275"/>
      <c r="AG30" s="84">
        <v>20</v>
      </c>
      <c r="AO30" s="84" t="s">
        <v>171</v>
      </c>
    </row>
    <row r="31" spans="3:47" ht="16.5" customHeight="1">
      <c r="C31" s="275"/>
      <c r="D31" s="275"/>
      <c r="E31" s="275"/>
      <c r="F31" s="275"/>
      <c r="G31" s="275"/>
      <c r="H31" s="275"/>
      <c r="I31" s="275"/>
      <c r="J31" s="275"/>
      <c r="K31" s="275"/>
      <c r="L31" s="275"/>
      <c r="M31" s="275"/>
      <c r="N31" s="275"/>
      <c r="O31" s="275"/>
      <c r="P31" s="275"/>
      <c r="Q31" s="275"/>
      <c r="R31" s="275"/>
      <c r="S31" s="275"/>
      <c r="T31" s="275"/>
      <c r="U31" s="275"/>
      <c r="V31" s="275"/>
      <c r="W31" s="275"/>
      <c r="X31" s="275"/>
      <c r="Y31" s="275"/>
      <c r="Z31" s="275"/>
      <c r="AA31" s="275"/>
      <c r="AB31" s="275"/>
      <c r="AC31" s="275"/>
      <c r="AD31" s="275"/>
      <c r="AG31" s="84">
        <v>2</v>
      </c>
      <c r="AO31" s="156"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264" t="s">
        <v>171</v>
      </c>
      <c r="D32" s="264"/>
      <c r="E32" s="264"/>
      <c r="F32" s="264"/>
      <c r="G32" s="264"/>
      <c r="H32" s="264"/>
      <c r="I32" s="264"/>
      <c r="J32" s="264"/>
      <c r="K32" s="264"/>
      <c r="L32" s="264"/>
      <c r="M32" s="264"/>
      <c r="N32" s="264"/>
      <c r="O32" s="264"/>
      <c r="P32" s="264"/>
      <c r="Q32" s="264"/>
      <c r="R32" s="264"/>
      <c r="S32" s="264"/>
      <c r="T32" s="264"/>
      <c r="U32" s="264"/>
      <c r="V32" s="264"/>
      <c r="W32" s="264"/>
      <c r="X32" s="264"/>
      <c r="Y32" s="264"/>
      <c r="Z32" s="264"/>
      <c r="AA32" s="264"/>
      <c r="AB32" s="264"/>
      <c r="AC32" s="264"/>
      <c r="AD32" s="264"/>
    </row>
    <row r="33" spans="2:48" ht="17.100000000000001" customHeight="1">
      <c r="C33" s="264"/>
      <c r="D33" s="264"/>
      <c r="E33" s="264"/>
      <c r="F33" s="264"/>
      <c r="G33" s="264"/>
      <c r="H33" s="264"/>
      <c r="I33" s="264"/>
      <c r="J33" s="264"/>
      <c r="K33" s="264"/>
      <c r="L33" s="264"/>
      <c r="M33" s="264"/>
      <c r="N33" s="264"/>
      <c r="O33" s="264"/>
      <c r="P33" s="264"/>
      <c r="Q33" s="264"/>
      <c r="R33" s="264"/>
      <c r="S33" s="264"/>
      <c r="T33" s="264"/>
      <c r="U33" s="264"/>
      <c r="V33" s="264"/>
      <c r="W33" s="264"/>
      <c r="X33" s="264"/>
      <c r="Y33" s="264"/>
      <c r="Z33" s="264"/>
      <c r="AA33" s="264"/>
      <c r="AB33" s="264"/>
      <c r="AC33" s="264"/>
      <c r="AD33" s="264"/>
      <c r="AE33" s="126"/>
    </row>
    <row r="34" spans="2:48" ht="17.100000000000001" customHeight="1">
      <c r="C34" s="305"/>
      <c r="D34" s="305"/>
      <c r="E34" s="305"/>
      <c r="F34" s="305"/>
      <c r="G34" s="305"/>
      <c r="H34" s="102"/>
      <c r="I34" s="306"/>
      <c r="J34" s="306"/>
      <c r="K34" s="306"/>
      <c r="L34" s="306"/>
      <c r="M34" s="306"/>
      <c r="N34" s="306"/>
      <c r="O34" s="102"/>
      <c r="P34" s="103"/>
      <c r="Q34" s="103"/>
      <c r="R34" s="103"/>
      <c r="S34" s="103"/>
      <c r="T34" s="300" t="str">
        <f>IF(AI41=0,AO34,IF(AI41=1,AK34,AS34))</f>
        <v>KT. GIÁM ĐỐC</v>
      </c>
      <c r="U34" s="300"/>
      <c r="V34" s="300"/>
      <c r="W34" s="300"/>
      <c r="X34" s="300"/>
      <c r="Y34" s="300"/>
      <c r="Z34" s="300"/>
      <c r="AA34" s="300"/>
      <c r="AB34" s="300"/>
      <c r="AC34" s="300"/>
      <c r="AD34" s="300"/>
      <c r="AE34" s="300"/>
      <c r="AK34" s="84" t="s">
        <v>126</v>
      </c>
      <c r="AO34" s="84" t="s">
        <v>211</v>
      </c>
      <c r="AS34" s="84" t="s">
        <v>210</v>
      </c>
    </row>
    <row r="35" spans="2:48" ht="17.100000000000001" customHeight="1">
      <c r="C35" s="301" t="s">
        <v>127</v>
      </c>
      <c r="D35" s="301"/>
      <c r="E35" s="301"/>
      <c r="F35" s="301"/>
      <c r="G35" s="301"/>
      <c r="H35" s="106" t="s">
        <v>128</v>
      </c>
      <c r="I35" s="303" t="s">
        <v>129</v>
      </c>
      <c r="J35" s="303"/>
      <c r="K35" s="303"/>
      <c r="L35" s="303"/>
      <c r="M35" s="303"/>
      <c r="N35" s="303"/>
      <c r="O35" s="105"/>
      <c r="P35" s="105"/>
      <c r="Q35" s="102"/>
      <c r="R35" s="102"/>
      <c r="S35" s="102"/>
      <c r="T35" s="300" t="str">
        <f>IF(AI41=0,AO35,IF(AI41=1,"",AS35))</f>
        <v>PHÓ GIÁM ĐỐC</v>
      </c>
      <c r="U35" s="300"/>
      <c r="V35" s="300"/>
      <c r="W35" s="300"/>
      <c r="X35" s="300"/>
      <c r="Y35" s="300"/>
      <c r="Z35" s="300"/>
      <c r="AA35" s="300"/>
      <c r="AB35" s="300"/>
      <c r="AC35" s="300"/>
      <c r="AD35" s="300"/>
      <c r="AE35" s="300"/>
      <c r="AO35" s="84" t="s">
        <v>208</v>
      </c>
      <c r="AS35" s="84" t="s">
        <v>158</v>
      </c>
    </row>
    <row r="36" spans="2:48" ht="17.100000000000001" customHeight="1">
      <c r="C36" s="301" t="s">
        <v>130</v>
      </c>
      <c r="D36" s="301"/>
      <c r="E36" s="301"/>
      <c r="F36" s="301"/>
      <c r="G36" s="301"/>
      <c r="H36" s="106" t="s">
        <v>128</v>
      </c>
      <c r="I36" s="302">
        <f>AG36</f>
        <v>40806</v>
      </c>
      <c r="J36" s="303"/>
      <c r="K36" s="303"/>
      <c r="L36" s="303"/>
      <c r="M36" s="303"/>
      <c r="N36" s="107"/>
      <c r="O36" s="107"/>
      <c r="P36" s="107"/>
      <c r="Q36" s="102"/>
      <c r="R36" s="102"/>
      <c r="S36" s="102"/>
      <c r="T36" s="102"/>
      <c r="U36" s="102"/>
      <c r="V36" s="102"/>
      <c r="W36" s="102"/>
      <c r="X36" s="102"/>
      <c r="Y36" s="102"/>
      <c r="Z36" s="102"/>
      <c r="AA36" s="102"/>
      <c r="AB36" s="102"/>
      <c r="AC36" s="102"/>
      <c r="AD36" s="102"/>
      <c r="AG36" s="108">
        <v>40806</v>
      </c>
    </row>
    <row r="37" spans="2:48" ht="17.100000000000001" customHeight="1">
      <c r="C37" s="301" t="s">
        <v>131</v>
      </c>
      <c r="D37" s="301"/>
      <c r="E37" s="301"/>
      <c r="F37" s="301"/>
      <c r="G37" s="301"/>
      <c r="H37" s="106" t="s">
        <v>128</v>
      </c>
      <c r="I37" s="302">
        <f>AG37</f>
        <v>42633</v>
      </c>
      <c r="J37" s="303"/>
      <c r="K37" s="303"/>
      <c r="L37" s="303"/>
      <c r="M37" s="303"/>
      <c r="N37" s="107"/>
      <c r="O37" s="107"/>
      <c r="P37" s="107"/>
      <c r="Q37" s="102"/>
      <c r="R37" s="102"/>
      <c r="S37" s="102"/>
      <c r="T37" s="102"/>
      <c r="U37" s="102"/>
      <c r="V37" s="102"/>
      <c r="W37" s="102"/>
      <c r="X37" s="102"/>
      <c r="Y37" s="102"/>
      <c r="Z37" s="102"/>
      <c r="AA37" s="102"/>
      <c r="AB37" s="102"/>
      <c r="AC37" s="102"/>
      <c r="AD37" s="102"/>
      <c r="AG37" s="108">
        <v>42633</v>
      </c>
    </row>
    <row r="38" spans="2:48" ht="17.100000000000001" customHeight="1">
      <c r="C38" s="109"/>
      <c r="D38" s="109"/>
      <c r="E38" s="109"/>
      <c r="F38" s="94"/>
      <c r="G38" s="87"/>
      <c r="H38" s="87"/>
      <c r="I38" s="87"/>
      <c r="J38" s="87"/>
      <c r="K38" s="87"/>
      <c r="L38" s="87"/>
      <c r="M38" s="87"/>
      <c r="N38" s="87"/>
      <c r="O38" s="87"/>
      <c r="P38" s="87"/>
      <c r="Q38" s="87"/>
      <c r="R38" s="87"/>
      <c r="S38" s="87"/>
      <c r="T38" s="87"/>
      <c r="U38" s="87"/>
      <c r="V38" s="87"/>
      <c r="W38" s="87"/>
      <c r="X38" s="87"/>
      <c r="Y38" s="87"/>
      <c r="Z38" s="87"/>
      <c r="AA38" s="87"/>
      <c r="AB38" s="102"/>
      <c r="AC38" s="102"/>
      <c r="AD38" s="102"/>
    </row>
    <row r="39" spans="2:48" ht="17.100000000000001" customHeight="1">
      <c r="C39" s="109"/>
      <c r="D39" s="109"/>
      <c r="E39" s="109"/>
      <c r="F39" s="94"/>
      <c r="G39" s="87"/>
      <c r="H39" s="87"/>
      <c r="I39" s="87"/>
      <c r="J39" s="87"/>
      <c r="K39" s="87"/>
      <c r="L39" s="87"/>
      <c r="M39" s="87"/>
      <c r="N39" s="87"/>
      <c r="O39" s="87"/>
      <c r="P39" s="87"/>
      <c r="Q39" s="87"/>
      <c r="R39" s="87"/>
      <c r="S39" s="87"/>
      <c r="T39" s="304"/>
      <c r="U39" s="304"/>
      <c r="V39" s="304"/>
      <c r="W39" s="304"/>
      <c r="X39" s="304"/>
      <c r="Y39" s="304"/>
      <c r="Z39" s="304"/>
      <c r="AA39" s="304"/>
      <c r="AB39" s="304"/>
      <c r="AC39" s="304"/>
      <c r="AD39" s="304"/>
      <c r="AE39" s="304"/>
    </row>
    <row r="40" spans="2:48" ht="17.100000000000001" customHeight="1">
      <c r="C40" s="109"/>
      <c r="D40" s="109"/>
      <c r="E40" s="109"/>
      <c r="F40" s="94"/>
      <c r="G40" s="87"/>
      <c r="H40" s="87"/>
      <c r="I40" s="87"/>
      <c r="J40" s="87"/>
      <c r="K40" s="87"/>
      <c r="L40" s="87"/>
      <c r="M40" s="87"/>
      <c r="N40" s="87"/>
      <c r="O40" s="87"/>
      <c r="P40" s="103"/>
      <c r="Q40" s="103"/>
      <c r="R40" s="103"/>
      <c r="S40" s="103"/>
      <c r="T40" s="286"/>
      <c r="U40" s="286"/>
      <c r="V40" s="286"/>
      <c r="W40" s="286"/>
      <c r="X40" s="286"/>
      <c r="Y40" s="286"/>
      <c r="Z40" s="286"/>
      <c r="AA40" s="286"/>
      <c r="AB40" s="286"/>
      <c r="AC40" s="286"/>
      <c r="AD40" s="286"/>
      <c r="AE40" s="286"/>
    </row>
    <row r="41" spans="2:48" ht="17.100000000000001" customHeight="1">
      <c r="C41" s="109"/>
      <c r="D41" s="109"/>
      <c r="E41" s="109"/>
      <c r="F41" s="94"/>
      <c r="G41" s="87"/>
      <c r="H41" s="87"/>
      <c r="I41" s="87"/>
      <c r="J41" s="87"/>
      <c r="K41" s="87"/>
      <c r="L41" s="87"/>
      <c r="M41" s="87"/>
      <c r="N41" s="87"/>
      <c r="O41" s="87"/>
      <c r="P41" s="87"/>
      <c r="Q41" s="87"/>
      <c r="R41" s="87"/>
      <c r="S41" s="87"/>
      <c r="T41" s="286" t="str">
        <f>IF(AI41=0,AO41,IF(AI41=1,AK41,AT41))</f>
        <v>Trần Công Khanh</v>
      </c>
      <c r="U41" s="286"/>
      <c r="V41" s="286"/>
      <c r="W41" s="286"/>
      <c r="X41" s="286"/>
      <c r="Y41" s="286"/>
      <c r="Z41" s="286"/>
      <c r="AA41" s="286"/>
      <c r="AB41" s="286"/>
      <c r="AC41" s="286"/>
      <c r="AD41" s="286"/>
      <c r="AE41" s="286"/>
      <c r="AI41" s="84">
        <v>0</v>
      </c>
      <c r="AK41" s="84" t="s">
        <v>132</v>
      </c>
      <c r="AO41" s="84" t="s">
        <v>209</v>
      </c>
      <c r="AT41" s="84" t="s">
        <v>154</v>
      </c>
    </row>
    <row r="42" spans="2:48" ht="16.5">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110"/>
      <c r="AC42" s="110"/>
      <c r="AD42" s="110"/>
    </row>
    <row r="43" spans="2:48" ht="16.5" customHeight="1">
      <c r="B43" s="268" t="s">
        <v>133</v>
      </c>
      <c r="C43" s="268"/>
      <c r="D43" s="268"/>
      <c r="E43" s="268"/>
      <c r="F43" s="268"/>
      <c r="G43" s="268"/>
      <c r="H43" s="269" t="s">
        <v>111</v>
      </c>
      <c r="I43" s="269"/>
      <c r="J43" s="269"/>
      <c r="K43" s="269"/>
      <c r="L43" s="269"/>
      <c r="M43" s="269"/>
      <c r="N43" s="269"/>
      <c r="O43" s="269"/>
      <c r="P43" s="269"/>
      <c r="Q43" s="269"/>
      <c r="R43" s="269"/>
      <c r="S43" s="269"/>
      <c r="T43" s="269"/>
      <c r="U43" s="269"/>
      <c r="V43" s="269"/>
      <c r="W43" s="269"/>
      <c r="X43" s="269"/>
      <c r="Y43" s="269"/>
      <c r="Z43" s="269"/>
      <c r="AA43" s="269"/>
      <c r="AB43" s="269"/>
      <c r="AC43" s="269"/>
      <c r="AD43" s="269"/>
    </row>
    <row r="44" spans="2:48" ht="16.5" customHeight="1">
      <c r="B44" s="268"/>
      <c r="C44" s="268"/>
      <c r="D44" s="268"/>
      <c r="E44" s="268"/>
      <c r="F44" s="268"/>
      <c r="G44" s="268"/>
      <c r="H44" s="269"/>
      <c r="I44" s="269"/>
      <c r="J44" s="269"/>
      <c r="K44" s="269"/>
      <c r="L44" s="269"/>
      <c r="M44" s="269"/>
      <c r="N44" s="269"/>
      <c r="O44" s="269"/>
      <c r="P44" s="269"/>
      <c r="Q44" s="269"/>
      <c r="R44" s="269"/>
      <c r="S44" s="269"/>
      <c r="T44" s="269"/>
      <c r="U44" s="269"/>
      <c r="V44" s="269"/>
      <c r="W44" s="269"/>
      <c r="X44" s="269"/>
      <c r="Y44" s="269"/>
      <c r="Z44" s="269"/>
      <c r="AA44" s="269"/>
      <c r="AB44" s="269"/>
      <c r="AC44" s="269"/>
      <c r="AD44" s="269"/>
    </row>
    <row r="45" spans="2:48" ht="16.5" customHeight="1">
      <c r="B45" s="268"/>
      <c r="C45" s="268"/>
      <c r="D45" s="268"/>
      <c r="E45" s="268"/>
      <c r="F45" s="268"/>
      <c r="G45" s="268"/>
      <c r="H45" s="260" t="s">
        <v>3</v>
      </c>
      <c r="I45" s="260"/>
      <c r="J45" s="260"/>
      <c r="K45" s="260"/>
      <c r="L45" s="260" t="s">
        <v>4</v>
      </c>
      <c r="M45" s="260"/>
      <c r="N45" s="260" t="s">
        <v>134</v>
      </c>
      <c r="O45" s="260"/>
      <c r="P45" s="260"/>
      <c r="Q45" s="260" t="s">
        <v>6</v>
      </c>
      <c r="R45" s="260"/>
      <c r="S45" s="260"/>
      <c r="T45" s="260"/>
      <c r="U45" s="260"/>
      <c r="V45" s="260" t="s">
        <v>135</v>
      </c>
      <c r="W45" s="260"/>
      <c r="X45" s="260"/>
      <c r="Y45" s="260" t="s">
        <v>136</v>
      </c>
      <c r="Z45" s="260"/>
      <c r="AA45" s="260"/>
      <c r="AB45" s="260"/>
      <c r="AC45" s="260"/>
      <c r="AD45" s="260"/>
    </row>
    <row r="46" spans="2:48" ht="16.5" customHeight="1">
      <c r="B46" s="268"/>
      <c r="C46" s="268"/>
      <c r="D46" s="268"/>
      <c r="E46" s="268"/>
      <c r="F46" s="268"/>
      <c r="G46" s="268"/>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2:48" ht="16.5" customHeight="1">
      <c r="B47" s="268"/>
      <c r="C47" s="268"/>
      <c r="D47" s="268"/>
      <c r="E47" s="268"/>
      <c r="F47" s="268"/>
      <c r="G47" s="268"/>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2:48" ht="16.5" customHeight="1">
      <c r="B48" s="268"/>
      <c r="C48" s="268"/>
      <c r="D48" s="268"/>
      <c r="E48" s="268"/>
      <c r="F48" s="268"/>
      <c r="G48" s="268"/>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c r="AG48" s="84">
        <v>33</v>
      </c>
      <c r="AI48" s="84">
        <v>35</v>
      </c>
      <c r="AL48" s="84">
        <v>37</v>
      </c>
      <c r="AO48" s="84">
        <v>39</v>
      </c>
      <c r="AP48" s="84">
        <v>40</v>
      </c>
      <c r="AQ48" s="84">
        <v>41</v>
      </c>
      <c r="AS48" s="84">
        <v>42</v>
      </c>
      <c r="AT48" s="84">
        <v>43</v>
      </c>
      <c r="AU48" s="84">
        <v>44</v>
      </c>
      <c r="AV48" s="84">
        <v>45</v>
      </c>
    </row>
    <row r="49" spans="2:48" ht="18.75" customHeight="1">
      <c r="B49" s="260" t="str">
        <f>AG49</f>
        <v>CÔNG TY CỔ PHẦN VIỄN THÔNG DI ĐỘNG TOÀN CẦU</v>
      </c>
      <c r="C49" s="260"/>
      <c r="D49" s="260"/>
      <c r="E49" s="260"/>
      <c r="F49" s="260"/>
      <c r="G49" s="260"/>
      <c r="H49" s="261" t="str">
        <f>AI49</f>
        <v>TB1</v>
      </c>
      <c r="I49" s="261"/>
      <c r="J49" s="261"/>
      <c r="K49" s="261"/>
      <c r="L49" s="262">
        <v>2</v>
      </c>
      <c r="M49" s="262"/>
      <c r="N49" s="263" t="str">
        <f>AL49</f>
        <v>4/4/4</v>
      </c>
      <c r="O49" s="263"/>
      <c r="P49" s="263"/>
      <c r="Q49" s="260" t="str">
        <f>IF(L49=4,AO49&amp;"W/ "&amp;AP49&amp;"W/ "&amp;AQ49&amp;"W/ "&amp;AR49&amp;"W",IF(L49=3,AO49&amp;"W/ "&amp;AP49&amp;"W/ "&amp;AQ49&amp;"W",IF(L49=2,AO49&amp;"W/ "&amp;AP49&amp;"W",AO49&amp;"W")))</f>
        <v>20W/ 30W</v>
      </c>
      <c r="R49" s="260"/>
      <c r="S49" s="260"/>
      <c r="T49" s="260"/>
      <c r="U49" s="260"/>
      <c r="V49" s="260" t="str">
        <f>IF(AS49="900 &amp; 1800","900MHz &amp; 1800MHz",IF(AS49="900 &amp; 2100","900MHz &amp; 2100MHz",IF(AS49="1800 &amp; 2100","1800MHz &amp; 2100MHz",AS49&amp;"MHz")))</f>
        <v>900MHz</v>
      </c>
      <c r="W49" s="260"/>
      <c r="X49" s="260"/>
      <c r="Y49" s="260">
        <f>AT49</f>
        <v>15</v>
      </c>
      <c r="Z49" s="260"/>
      <c r="AA49" s="260"/>
      <c r="AB49" s="260"/>
      <c r="AC49" s="260"/>
      <c r="AD49" s="260"/>
      <c r="AG49" s="96" t="s">
        <v>155</v>
      </c>
      <c r="AI49" s="96" t="s">
        <v>137</v>
      </c>
      <c r="AJ49" s="96"/>
      <c r="AL49" s="100" t="s">
        <v>119</v>
      </c>
      <c r="AO49" s="84">
        <v>20</v>
      </c>
      <c r="AP49" s="84">
        <v>30</v>
      </c>
      <c r="AQ49" s="84">
        <v>40</v>
      </c>
      <c r="AS49" s="84">
        <v>900</v>
      </c>
      <c r="AT49" s="84">
        <v>15</v>
      </c>
      <c r="AU49" s="84">
        <v>16</v>
      </c>
      <c r="AV49" s="84">
        <v>17</v>
      </c>
    </row>
    <row r="50" spans="2:48" ht="18.75" customHeight="1">
      <c r="B50" s="260"/>
      <c r="C50" s="260"/>
      <c r="D50" s="260"/>
      <c r="E50" s="260"/>
      <c r="F50" s="260"/>
      <c r="G50" s="260"/>
      <c r="H50" s="261"/>
      <c r="I50" s="261"/>
      <c r="J50" s="261"/>
      <c r="K50" s="261"/>
      <c r="L50" s="262"/>
      <c r="M50" s="262"/>
      <c r="N50" s="263"/>
      <c r="O50" s="263"/>
      <c r="P50" s="263"/>
      <c r="Q50" s="260"/>
      <c r="R50" s="260"/>
      <c r="S50" s="260"/>
      <c r="T50" s="260"/>
      <c r="U50" s="260"/>
      <c r="V50" s="260"/>
      <c r="W50" s="260"/>
      <c r="X50" s="260"/>
      <c r="Y50" s="260"/>
      <c r="Z50" s="260"/>
      <c r="AA50" s="260"/>
      <c r="AB50" s="260"/>
      <c r="AC50" s="260"/>
      <c r="AD50" s="260"/>
    </row>
    <row r="51" spans="2:48" ht="18.75" customHeight="1">
      <c r="B51" s="260"/>
      <c r="C51" s="260"/>
      <c r="D51" s="260"/>
      <c r="E51" s="260"/>
      <c r="F51" s="260"/>
      <c r="G51" s="260"/>
      <c r="H51" s="261"/>
      <c r="I51" s="261"/>
      <c r="J51" s="261"/>
      <c r="K51" s="261"/>
      <c r="L51" s="262"/>
      <c r="M51" s="262"/>
      <c r="N51" s="263"/>
      <c r="O51" s="263"/>
      <c r="P51" s="263"/>
      <c r="Q51" s="260"/>
      <c r="R51" s="260"/>
      <c r="S51" s="260"/>
      <c r="T51" s="260"/>
      <c r="U51" s="260"/>
      <c r="V51" s="260"/>
      <c r="W51" s="260"/>
      <c r="X51" s="260"/>
      <c r="Y51" s="260"/>
      <c r="Z51" s="260"/>
      <c r="AA51" s="260"/>
      <c r="AB51" s="260"/>
      <c r="AC51" s="260"/>
      <c r="AD51" s="260"/>
    </row>
    <row r="52" spans="2:48" ht="18.75" customHeight="1">
      <c r="B52" s="260"/>
      <c r="C52" s="260"/>
      <c r="D52" s="260"/>
      <c r="E52" s="260"/>
      <c r="F52" s="260"/>
      <c r="G52" s="260"/>
      <c r="H52" s="261"/>
      <c r="I52" s="261"/>
      <c r="J52" s="261"/>
      <c r="K52" s="261"/>
      <c r="L52" s="262"/>
      <c r="M52" s="262"/>
      <c r="N52" s="263"/>
      <c r="O52" s="263"/>
      <c r="P52" s="263"/>
      <c r="Q52" s="260"/>
      <c r="R52" s="260"/>
      <c r="S52" s="260"/>
      <c r="T52" s="260"/>
      <c r="U52" s="260"/>
      <c r="V52" s="260"/>
      <c r="W52" s="260"/>
      <c r="X52" s="260"/>
      <c r="Y52" s="260"/>
      <c r="Z52" s="260"/>
      <c r="AA52" s="260"/>
      <c r="AB52" s="260"/>
      <c r="AC52" s="260"/>
      <c r="AD52" s="260"/>
    </row>
    <row r="53" spans="2:48" ht="18.75" customHeight="1">
      <c r="B53" s="260" t="str">
        <f t="shared" ref="B53" si="0">AG53</f>
        <v>CÔNG TY CỔ PHẦN VIỄN THÔNG DI ĐỘNG TOÀN CẦU</v>
      </c>
      <c r="C53" s="260"/>
      <c r="D53" s="260"/>
      <c r="E53" s="260"/>
      <c r="F53" s="260"/>
      <c r="G53" s="260"/>
      <c r="H53" s="261" t="str">
        <f>AI53</f>
        <v>TB1</v>
      </c>
      <c r="I53" s="261"/>
      <c r="J53" s="261"/>
      <c r="K53" s="261"/>
      <c r="L53" s="262">
        <v>4</v>
      </c>
      <c r="M53" s="262"/>
      <c r="N53" s="263" t="str">
        <f>AL53</f>
        <v>4/4/4</v>
      </c>
      <c r="O53" s="263"/>
      <c r="P53" s="263"/>
      <c r="Q53" s="260" t="str">
        <f>IF(L53=4,AO53&amp;"W/ "&amp;AP53&amp;"W/ "&amp;AQ53&amp;"W/ "&amp;AR53&amp;"W",IF(L53=3,AO53&amp;"W/ "&amp;AP53&amp;"W/ "&amp;AQ53&amp;"W",IF(L53=2,AO53&amp;"W/ "&amp;AP53&amp;"W",AO53&amp;"W")))</f>
        <v>20W/ 30W/ 40W/ W</v>
      </c>
      <c r="R53" s="260"/>
      <c r="S53" s="260"/>
      <c r="T53" s="260"/>
      <c r="U53" s="260"/>
      <c r="V53" s="260" t="str">
        <f>IF(AS53="900 &amp; 1800","900MHz &amp; 1800MHz",IF(AS53="900 &amp; 2100","900MHz &amp; 2100MHz",IF(AS53="1800 &amp; 2100","1800MHz &amp; 2100MHz",AS53&amp;"MHz")))</f>
        <v>1800MHz</v>
      </c>
      <c r="W53" s="260"/>
      <c r="X53" s="260"/>
      <c r="Y53" s="260">
        <f>AT53</f>
        <v>15</v>
      </c>
      <c r="Z53" s="260"/>
      <c r="AA53" s="260"/>
      <c r="AB53" s="260"/>
      <c r="AC53" s="260"/>
      <c r="AD53" s="260"/>
      <c r="AG53" s="96" t="s">
        <v>155</v>
      </c>
      <c r="AI53" s="96" t="s">
        <v>137</v>
      </c>
      <c r="AJ53" s="96"/>
      <c r="AL53" s="100" t="s">
        <v>119</v>
      </c>
      <c r="AO53" s="84">
        <v>20</v>
      </c>
      <c r="AP53" s="84">
        <v>30</v>
      </c>
      <c r="AQ53" s="84">
        <v>40</v>
      </c>
      <c r="AS53" s="84">
        <v>1800</v>
      </c>
      <c r="AT53" s="84">
        <v>15</v>
      </c>
      <c r="AU53" s="84">
        <v>16</v>
      </c>
      <c r="AV53" s="84">
        <v>17</v>
      </c>
    </row>
    <row r="54" spans="2:48" ht="18.75" customHeight="1">
      <c r="B54" s="260"/>
      <c r="C54" s="260"/>
      <c r="D54" s="260"/>
      <c r="E54" s="260"/>
      <c r="F54" s="260"/>
      <c r="G54" s="260"/>
      <c r="H54" s="261"/>
      <c r="I54" s="261"/>
      <c r="J54" s="261"/>
      <c r="K54" s="261"/>
      <c r="L54" s="262"/>
      <c r="M54" s="262"/>
      <c r="N54" s="263"/>
      <c r="O54" s="263"/>
      <c r="P54" s="263"/>
      <c r="Q54" s="260"/>
      <c r="R54" s="260"/>
      <c r="S54" s="260"/>
      <c r="T54" s="260"/>
      <c r="U54" s="260"/>
      <c r="V54" s="260"/>
      <c r="W54" s="260"/>
      <c r="X54" s="260"/>
      <c r="Y54" s="260"/>
      <c r="Z54" s="260"/>
      <c r="AA54" s="260"/>
      <c r="AB54" s="260"/>
      <c r="AC54" s="260"/>
      <c r="AD54" s="260"/>
      <c r="AG54" s="96"/>
      <c r="AI54" s="96"/>
      <c r="AJ54" s="96"/>
      <c r="AL54" s="100"/>
    </row>
    <row r="55" spans="2:48" ht="18.75" customHeight="1">
      <c r="B55" s="260"/>
      <c r="C55" s="260"/>
      <c r="D55" s="260"/>
      <c r="E55" s="260"/>
      <c r="F55" s="260"/>
      <c r="G55" s="260"/>
      <c r="H55" s="261"/>
      <c r="I55" s="261"/>
      <c r="J55" s="261"/>
      <c r="K55" s="261"/>
      <c r="L55" s="262"/>
      <c r="M55" s="262"/>
      <c r="N55" s="263"/>
      <c r="O55" s="263"/>
      <c r="P55" s="263"/>
      <c r="Q55" s="260"/>
      <c r="R55" s="260"/>
      <c r="S55" s="260"/>
      <c r="T55" s="260"/>
      <c r="U55" s="260"/>
      <c r="V55" s="260"/>
      <c r="W55" s="260"/>
      <c r="X55" s="260"/>
      <c r="Y55" s="260"/>
      <c r="Z55" s="260"/>
      <c r="AA55" s="260"/>
      <c r="AB55" s="260"/>
      <c r="AC55" s="260"/>
      <c r="AD55" s="260"/>
    </row>
    <row r="56" spans="2:48" ht="18.75" customHeight="1">
      <c r="B56" s="260"/>
      <c r="C56" s="260"/>
      <c r="D56" s="260"/>
      <c r="E56" s="260"/>
      <c r="F56" s="260"/>
      <c r="G56" s="260"/>
      <c r="H56" s="261"/>
      <c r="I56" s="261"/>
      <c r="J56" s="261"/>
      <c r="K56" s="261"/>
      <c r="L56" s="262"/>
      <c r="M56" s="262"/>
      <c r="N56" s="263"/>
      <c r="O56" s="263"/>
      <c r="P56" s="263"/>
      <c r="Q56" s="260"/>
      <c r="R56" s="260"/>
      <c r="S56" s="260"/>
      <c r="T56" s="260"/>
      <c r="U56" s="260"/>
      <c r="V56" s="260"/>
      <c r="W56" s="260"/>
      <c r="X56" s="260"/>
      <c r="Y56" s="260"/>
      <c r="Z56" s="260"/>
      <c r="AA56" s="260"/>
      <c r="AB56" s="260"/>
      <c r="AC56" s="260"/>
      <c r="AD56" s="260"/>
    </row>
    <row r="57" spans="2:48" ht="18.75" customHeight="1">
      <c r="B57" s="260" t="str">
        <f t="shared" ref="B57" si="1">AG57</f>
        <v>CÔNG TY CỔ PHẦN VIỄN THÔNG DI ĐỘNG TOÀN CẦU</v>
      </c>
      <c r="C57" s="260"/>
      <c r="D57" s="260"/>
      <c r="E57" s="260"/>
      <c r="F57" s="260"/>
      <c r="G57" s="260"/>
      <c r="H57" s="261" t="str">
        <f>AI57</f>
        <v>TB1</v>
      </c>
      <c r="I57" s="261"/>
      <c r="J57" s="261"/>
      <c r="K57" s="261"/>
      <c r="L57" s="262">
        <v>3</v>
      </c>
      <c r="M57" s="262"/>
      <c r="N57" s="263" t="str">
        <f t="shared" ref="N57" si="2">AL57</f>
        <v>4/4/4</v>
      </c>
      <c r="O57" s="263"/>
      <c r="P57" s="263"/>
      <c r="Q57" s="260" t="str">
        <f>IF(L57=4,AO57&amp;"W/ "&amp;AP57&amp;"W/ "&amp;AQ57&amp;"W/ "&amp;AR57&amp;"W",IF(L57=3,AO57&amp;"W/ "&amp;AP57&amp;"W/ "&amp;AQ57&amp;"W",IF(L57=2,AO57&amp;"W/ "&amp;AP57&amp;"W",AO57&amp;"W")))</f>
        <v>20W/ 30W/ 40W</v>
      </c>
      <c r="R57" s="260"/>
      <c r="S57" s="260"/>
      <c r="T57" s="260"/>
      <c r="U57" s="260"/>
      <c r="V57" s="260" t="str">
        <f>IF(AS57="900 &amp; 1800","900MHz &amp; 1800MHz",IF(AS57="900 &amp; 2100","900MHz &amp; 2100MHz",IF(AS57="1800 &amp; 2100","1800MHz &amp; 2100MHz",AS57&amp;"MHz")))</f>
        <v>900MHz &amp; 1800MHz</v>
      </c>
      <c r="W57" s="260"/>
      <c r="X57" s="260"/>
      <c r="Y57" s="260">
        <f>AT57</f>
        <v>15</v>
      </c>
      <c r="Z57" s="260"/>
      <c r="AA57" s="260"/>
      <c r="AB57" s="260"/>
      <c r="AC57" s="260"/>
      <c r="AD57" s="260"/>
      <c r="AG57" s="96" t="s">
        <v>155</v>
      </c>
      <c r="AI57" s="96" t="s">
        <v>137</v>
      </c>
      <c r="AJ57" s="96"/>
      <c r="AL57" s="100" t="s">
        <v>119</v>
      </c>
      <c r="AO57" s="84">
        <v>20</v>
      </c>
      <c r="AP57" s="84">
        <v>30</v>
      </c>
      <c r="AQ57" s="84">
        <v>40</v>
      </c>
      <c r="AS57" s="84" t="s">
        <v>204</v>
      </c>
      <c r="AT57" s="84">
        <v>15</v>
      </c>
      <c r="AU57" s="84">
        <v>16</v>
      </c>
      <c r="AV57" s="84">
        <v>17</v>
      </c>
    </row>
    <row r="58" spans="2:48" ht="18.75" customHeight="1">
      <c r="B58" s="260"/>
      <c r="C58" s="260"/>
      <c r="D58" s="260"/>
      <c r="E58" s="260"/>
      <c r="F58" s="260"/>
      <c r="G58" s="260"/>
      <c r="H58" s="261"/>
      <c r="I58" s="261"/>
      <c r="J58" s="261"/>
      <c r="K58" s="261"/>
      <c r="L58" s="262"/>
      <c r="M58" s="262"/>
      <c r="N58" s="263"/>
      <c r="O58" s="263"/>
      <c r="P58" s="263"/>
      <c r="Q58" s="260"/>
      <c r="R58" s="260"/>
      <c r="S58" s="260"/>
      <c r="T58" s="260"/>
      <c r="U58" s="260"/>
      <c r="V58" s="260"/>
      <c r="W58" s="260"/>
      <c r="X58" s="260"/>
      <c r="Y58" s="260"/>
      <c r="Z58" s="260"/>
      <c r="AA58" s="260"/>
      <c r="AB58" s="260"/>
      <c r="AC58" s="260"/>
      <c r="AD58" s="260"/>
      <c r="AG58" s="96"/>
      <c r="AI58" s="96"/>
      <c r="AJ58" s="96"/>
      <c r="AL58" s="100"/>
    </row>
    <row r="59" spans="2:48" ht="18.75" customHeight="1">
      <c r="B59" s="260"/>
      <c r="C59" s="260"/>
      <c r="D59" s="260"/>
      <c r="E59" s="260"/>
      <c r="F59" s="260"/>
      <c r="G59" s="260"/>
      <c r="H59" s="261"/>
      <c r="I59" s="261"/>
      <c r="J59" s="261"/>
      <c r="K59" s="261"/>
      <c r="L59" s="262"/>
      <c r="M59" s="262"/>
      <c r="N59" s="263"/>
      <c r="O59" s="263"/>
      <c r="P59" s="263"/>
      <c r="Q59" s="260"/>
      <c r="R59" s="260"/>
      <c r="S59" s="260"/>
      <c r="T59" s="260"/>
      <c r="U59" s="260"/>
      <c r="V59" s="260"/>
      <c r="W59" s="260"/>
      <c r="X59" s="260"/>
      <c r="Y59" s="260"/>
      <c r="Z59" s="260"/>
      <c r="AA59" s="260"/>
      <c r="AB59" s="260"/>
      <c r="AC59" s="260"/>
      <c r="AD59" s="260"/>
    </row>
    <row r="60" spans="2:48" ht="18.75" customHeight="1">
      <c r="B60" s="260"/>
      <c r="C60" s="260"/>
      <c r="D60" s="260"/>
      <c r="E60" s="260"/>
      <c r="F60" s="260"/>
      <c r="G60" s="260"/>
      <c r="H60" s="261"/>
      <c r="I60" s="261"/>
      <c r="J60" s="261"/>
      <c r="K60" s="261"/>
      <c r="L60" s="262"/>
      <c r="M60" s="262"/>
      <c r="N60" s="263"/>
      <c r="O60" s="263"/>
      <c r="P60" s="263"/>
      <c r="Q60" s="260"/>
      <c r="R60" s="260"/>
      <c r="S60" s="260"/>
      <c r="T60" s="260"/>
      <c r="U60" s="260"/>
      <c r="V60" s="260"/>
      <c r="W60" s="260"/>
      <c r="X60" s="260"/>
      <c r="Y60" s="260"/>
      <c r="Z60" s="260"/>
      <c r="AA60" s="260"/>
      <c r="AB60" s="260"/>
      <c r="AC60" s="260"/>
      <c r="AD60" s="260"/>
    </row>
    <row r="61" spans="2:48" ht="18.75" customHeight="1">
      <c r="B61" s="260" t="str">
        <f t="shared" ref="B61" si="3">AG61</f>
        <v>CÔNG TY CỔ PHẦN VIỄN THÔNG DI ĐỘNG TOÀN CẦU</v>
      </c>
      <c r="C61" s="260"/>
      <c r="D61" s="260"/>
      <c r="E61" s="260"/>
      <c r="F61" s="260"/>
      <c r="G61" s="260"/>
      <c r="H61" s="261" t="str">
        <f>AI61</f>
        <v>TB1</v>
      </c>
      <c r="I61" s="261"/>
      <c r="J61" s="261"/>
      <c r="K61" s="261"/>
      <c r="L61" s="262">
        <v>2</v>
      </c>
      <c r="M61" s="262"/>
      <c r="N61" s="263" t="str">
        <f t="shared" ref="N61" si="4">AL61</f>
        <v>4/4/4</v>
      </c>
      <c r="O61" s="263"/>
      <c r="P61" s="263"/>
      <c r="Q61" s="260" t="str">
        <f>IF(L61=4,AO61&amp;"W/ "&amp;AP61&amp;"W/ "&amp;AQ61&amp;"W/ "&amp;AR61&amp;"W",IF(L61=3,AO61&amp;"W/ "&amp;AP61&amp;"W/ "&amp;AQ61&amp;"W",IF(L61=2,AO61&amp;"W/ "&amp;AP61&amp;"W",AO61&amp;"W")))</f>
        <v>20W/ 30W</v>
      </c>
      <c r="R61" s="260"/>
      <c r="S61" s="260"/>
      <c r="T61" s="260"/>
      <c r="U61" s="260"/>
      <c r="V61" s="260" t="str">
        <f>IF(AS61="900 &amp; 1800","900MHz &amp; 1800MHz",IF(AS61="900 &amp; 2100","900MHz &amp; 2100MHz",IF(AS61="1800 &amp; 2100","1800MHz &amp; 2100MHz",AS61&amp;"MHz")))</f>
        <v>9000 &amp; 2100MHz</v>
      </c>
      <c r="W61" s="260"/>
      <c r="X61" s="260"/>
      <c r="Y61" s="260">
        <f>AT61</f>
        <v>15</v>
      </c>
      <c r="Z61" s="260"/>
      <c r="AA61" s="260"/>
      <c r="AB61" s="260"/>
      <c r="AC61" s="260"/>
      <c r="AD61" s="260"/>
      <c r="AG61" s="96" t="s">
        <v>155</v>
      </c>
      <c r="AI61" s="96" t="s">
        <v>137</v>
      </c>
      <c r="AJ61" s="96"/>
      <c r="AL61" s="100" t="s">
        <v>119</v>
      </c>
      <c r="AO61" s="84">
        <v>20</v>
      </c>
      <c r="AP61" s="84">
        <v>30</v>
      </c>
      <c r="AQ61" s="84">
        <v>40</v>
      </c>
      <c r="AS61" s="84" t="s">
        <v>206</v>
      </c>
      <c r="AT61" s="84">
        <v>15</v>
      </c>
      <c r="AU61" s="84">
        <v>16</v>
      </c>
      <c r="AV61" s="84">
        <v>17</v>
      </c>
    </row>
    <row r="62" spans="2:48" ht="18.75" customHeight="1">
      <c r="B62" s="260"/>
      <c r="C62" s="260"/>
      <c r="D62" s="260"/>
      <c r="E62" s="260"/>
      <c r="F62" s="260"/>
      <c r="G62" s="260"/>
      <c r="H62" s="261"/>
      <c r="I62" s="261"/>
      <c r="J62" s="261"/>
      <c r="K62" s="261"/>
      <c r="L62" s="262"/>
      <c r="M62" s="262"/>
      <c r="N62" s="263"/>
      <c r="O62" s="263"/>
      <c r="P62" s="263"/>
      <c r="Q62" s="260"/>
      <c r="R62" s="260"/>
      <c r="S62" s="260"/>
      <c r="T62" s="260"/>
      <c r="U62" s="260"/>
      <c r="V62" s="260"/>
      <c r="W62" s="260"/>
      <c r="X62" s="260"/>
      <c r="Y62" s="260"/>
      <c r="Z62" s="260"/>
      <c r="AA62" s="260"/>
      <c r="AB62" s="260"/>
      <c r="AC62" s="260"/>
      <c r="AD62" s="260"/>
      <c r="AG62" s="96"/>
      <c r="AI62" s="96"/>
      <c r="AJ62" s="96"/>
      <c r="AL62" s="100"/>
    </row>
    <row r="63" spans="2:48" ht="18.75" customHeight="1">
      <c r="B63" s="260"/>
      <c r="C63" s="260"/>
      <c r="D63" s="260"/>
      <c r="E63" s="260"/>
      <c r="F63" s="260"/>
      <c r="G63" s="260"/>
      <c r="H63" s="261"/>
      <c r="I63" s="261"/>
      <c r="J63" s="261"/>
      <c r="K63" s="261"/>
      <c r="L63" s="262"/>
      <c r="M63" s="262"/>
      <c r="N63" s="263"/>
      <c r="O63" s="263"/>
      <c r="P63" s="263"/>
      <c r="Q63" s="260"/>
      <c r="R63" s="260"/>
      <c r="S63" s="260"/>
      <c r="T63" s="260"/>
      <c r="U63" s="260"/>
      <c r="V63" s="260"/>
      <c r="W63" s="260"/>
      <c r="X63" s="260"/>
      <c r="Y63" s="260"/>
      <c r="Z63" s="260"/>
      <c r="AA63" s="260"/>
      <c r="AB63" s="260"/>
      <c r="AC63" s="260"/>
      <c r="AD63" s="260"/>
    </row>
    <row r="64" spans="2:48" ht="18.75" customHeight="1">
      <c r="B64" s="260"/>
      <c r="C64" s="260"/>
      <c r="D64" s="260"/>
      <c r="E64" s="260"/>
      <c r="F64" s="260"/>
      <c r="G64" s="260"/>
      <c r="H64" s="261"/>
      <c r="I64" s="261"/>
      <c r="J64" s="261"/>
      <c r="K64" s="261"/>
      <c r="L64" s="262"/>
      <c r="M64" s="262"/>
      <c r="N64" s="263"/>
      <c r="O64" s="263"/>
      <c r="P64" s="263"/>
      <c r="Q64" s="260"/>
      <c r="R64" s="260"/>
      <c r="S64" s="260"/>
      <c r="T64" s="260"/>
      <c r="U64" s="260"/>
      <c r="V64" s="260"/>
      <c r="W64" s="260"/>
      <c r="X64" s="260"/>
      <c r="Y64" s="260"/>
      <c r="Z64" s="260"/>
      <c r="AA64" s="260"/>
      <c r="AB64" s="260"/>
      <c r="AC64" s="260"/>
      <c r="AD64" s="260"/>
    </row>
    <row r="65" spans="2:48" ht="18.75" customHeight="1">
      <c r="B65" s="260" t="str">
        <f t="shared" ref="B65" si="5">AG65</f>
        <v>CÔNG TY CỔ PHẦN VIỄN THÔNG DI ĐỘNG TOÀN CẦU</v>
      </c>
      <c r="C65" s="260"/>
      <c r="D65" s="260"/>
      <c r="E65" s="260"/>
      <c r="F65" s="260"/>
      <c r="G65" s="260"/>
      <c r="H65" s="261" t="str">
        <f>AI65</f>
        <v>TB1</v>
      </c>
      <c r="I65" s="261"/>
      <c r="J65" s="261"/>
      <c r="K65" s="261"/>
      <c r="L65" s="262">
        <v>1</v>
      </c>
      <c r="M65" s="262"/>
      <c r="N65" s="263" t="str">
        <f t="shared" ref="N65" si="6">AL65</f>
        <v>4/4/4</v>
      </c>
      <c r="O65" s="263"/>
      <c r="P65" s="263"/>
      <c r="Q65" s="260" t="str">
        <f>IF(L65=4,AO65&amp;"W/ "&amp;AP65&amp;"W/ "&amp;AQ65&amp;"W/ "&amp;AR65&amp;"W",IF(L65=3,AO65&amp;"W/ "&amp;AP65&amp;"W/ "&amp;AQ65&amp;"W",IF(L65=2,AO65&amp;"W/ "&amp;AP65&amp;"W",AO65&amp;"W")))</f>
        <v>20W</v>
      </c>
      <c r="R65" s="260"/>
      <c r="S65" s="260"/>
      <c r="T65" s="260"/>
      <c r="U65" s="260"/>
      <c r="V65" s="260" t="str">
        <f>IF(AS65="900 &amp; 1800","900MHz &amp; 1800MHz",IF(AS65="900 &amp; 2100","900MHz &amp; 2100MHz",IF(AS65="1800 &amp; 2100","1800MHz &amp; 2100MHz",AS65&amp;"MHz")))</f>
        <v>1800MHz &amp; 2100MHz</v>
      </c>
      <c r="W65" s="260"/>
      <c r="X65" s="260"/>
      <c r="Y65" s="260">
        <f>AT65</f>
        <v>15</v>
      </c>
      <c r="Z65" s="260"/>
      <c r="AA65" s="260"/>
      <c r="AB65" s="260"/>
      <c r="AC65" s="260"/>
      <c r="AD65" s="260"/>
      <c r="AG65" s="96" t="s">
        <v>155</v>
      </c>
      <c r="AI65" s="96" t="s">
        <v>137</v>
      </c>
      <c r="AJ65" s="96"/>
      <c r="AL65" s="100" t="s">
        <v>119</v>
      </c>
      <c r="AO65" s="84">
        <v>20</v>
      </c>
      <c r="AP65" s="84">
        <v>30</v>
      </c>
      <c r="AQ65" s="84">
        <v>40</v>
      </c>
      <c r="AS65" s="84" t="s">
        <v>207</v>
      </c>
      <c r="AT65" s="84">
        <v>15</v>
      </c>
      <c r="AU65" s="84">
        <v>16</v>
      </c>
      <c r="AV65" s="84">
        <v>17</v>
      </c>
    </row>
    <row r="66" spans="2:48" ht="18.75" customHeight="1">
      <c r="B66" s="260"/>
      <c r="C66" s="260"/>
      <c r="D66" s="260"/>
      <c r="E66" s="260"/>
      <c r="F66" s="260"/>
      <c r="G66" s="260"/>
      <c r="H66" s="261"/>
      <c r="I66" s="261"/>
      <c r="J66" s="261"/>
      <c r="K66" s="261"/>
      <c r="L66" s="262"/>
      <c r="M66" s="262"/>
      <c r="N66" s="263"/>
      <c r="O66" s="263"/>
      <c r="P66" s="263"/>
      <c r="Q66" s="260"/>
      <c r="R66" s="260"/>
      <c r="S66" s="260"/>
      <c r="T66" s="260"/>
      <c r="U66" s="260"/>
      <c r="V66" s="260"/>
      <c r="W66" s="260"/>
      <c r="X66" s="260"/>
      <c r="Y66" s="260"/>
      <c r="Z66" s="260"/>
      <c r="AA66" s="260"/>
      <c r="AB66" s="260"/>
      <c r="AC66" s="260"/>
      <c r="AD66" s="260"/>
    </row>
    <row r="67" spans="2:48" ht="18.75" customHeight="1">
      <c r="B67" s="260"/>
      <c r="C67" s="260"/>
      <c r="D67" s="260"/>
      <c r="E67" s="260"/>
      <c r="F67" s="260"/>
      <c r="G67" s="260"/>
      <c r="H67" s="261"/>
      <c r="I67" s="261"/>
      <c r="J67" s="261"/>
      <c r="K67" s="261"/>
      <c r="L67" s="262"/>
      <c r="M67" s="262"/>
      <c r="N67" s="263"/>
      <c r="O67" s="263"/>
      <c r="P67" s="263"/>
      <c r="Q67" s="260"/>
      <c r="R67" s="260"/>
      <c r="S67" s="260"/>
      <c r="T67" s="260"/>
      <c r="U67" s="260"/>
      <c r="V67" s="260"/>
      <c r="W67" s="260"/>
      <c r="X67" s="260"/>
      <c r="Y67" s="260"/>
      <c r="Z67" s="260"/>
      <c r="AA67" s="260"/>
      <c r="AB67" s="260"/>
      <c r="AC67" s="260"/>
      <c r="AD67" s="260"/>
    </row>
    <row r="68" spans="2:48" ht="18.75" customHeight="1">
      <c r="B68" s="260"/>
      <c r="C68" s="260"/>
      <c r="D68" s="260"/>
      <c r="E68" s="260"/>
      <c r="F68" s="260"/>
      <c r="G68" s="260"/>
      <c r="H68" s="261"/>
      <c r="I68" s="261"/>
      <c r="J68" s="261"/>
      <c r="K68" s="261"/>
      <c r="L68" s="262"/>
      <c r="M68" s="262"/>
      <c r="N68" s="263"/>
      <c r="O68" s="263"/>
      <c r="P68" s="263"/>
      <c r="Q68" s="260"/>
      <c r="R68" s="260"/>
      <c r="S68" s="260"/>
      <c r="T68" s="260"/>
      <c r="U68" s="260"/>
      <c r="V68" s="260"/>
      <c r="W68" s="260"/>
      <c r="X68" s="260"/>
      <c r="Y68" s="260"/>
      <c r="Z68" s="260"/>
      <c r="AA68" s="260"/>
      <c r="AB68" s="260"/>
      <c r="AC68" s="260"/>
      <c r="AD68" s="260"/>
    </row>
    <row r="69" spans="2:48" ht="18.75" customHeight="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row>
    <row r="70" spans="2:48" ht="18.75" customHeight="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row>
    <row r="71" spans="2:48" ht="18.75" customHeight="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row>
    <row r="72" spans="2:48" ht="18.75" customHeight="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row>
    <row r="73" spans="2:48" ht="18.75" customHeight="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row>
    <row r="74" spans="2:48" ht="18.75" customHeight="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row>
    <row r="75" spans="2:48" ht="18.75" customHeight="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row>
    <row r="76" spans="2:48" ht="18.75" customHeight="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row>
    <row r="77" spans="2:48" ht="18.75" customHeight="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row>
    <row r="78" spans="2:48" ht="18.75" customHeight="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row>
    <row r="79" spans="2:48" ht="18.75" customHeight="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row>
    <row r="80" spans="2:48" ht="18.75" customHeight="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row>
    <row r="81" spans="3:30" ht="18.75" customHeight="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row>
    <row r="82" spans="3:30" ht="18.75" customHeight="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row>
    <row r="83" spans="3:30" ht="18.75" customHeight="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row>
    <row r="84" spans="3:30" ht="18.75" customHeight="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row>
    <row r="85" spans="3:30" ht="18.75" customHeight="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row>
    <row r="86" spans="3:30" ht="18.75" customHeight="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row>
    <row r="87" spans="3:30" ht="18.75" customHeight="1">
      <c r="C87" s="111"/>
      <c r="D87" s="111"/>
      <c r="E87" s="111"/>
      <c r="F87" s="111"/>
      <c r="G87" s="111"/>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row>
    <row r="88" spans="3:30" ht="18.75" customHeight="1">
      <c r="C88" s="111"/>
      <c r="D88" s="111"/>
      <c r="E88" s="111"/>
      <c r="F88" s="111"/>
      <c r="G88" s="111"/>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row>
    <row r="89" spans="3:30" ht="18.75" customHeight="1">
      <c r="C89" s="111"/>
      <c r="D89" s="111"/>
      <c r="E89" s="111"/>
      <c r="F89" s="111"/>
      <c r="G89" s="111"/>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row>
    <row r="90" spans="3:30" ht="18.75" customHeight="1">
      <c r="C90" s="111"/>
      <c r="D90" s="111"/>
      <c r="E90" s="111"/>
      <c r="F90" s="111"/>
      <c r="G90" s="111"/>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row>
    <row r="91" spans="3:30" ht="18.75" customHeight="1">
      <c r="C91" s="111"/>
      <c r="D91" s="111"/>
      <c r="E91" s="111"/>
      <c r="F91" s="111"/>
      <c r="G91" s="111"/>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row>
    <row r="92" spans="3:30">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row>
    <row r="93" spans="3:30">
      <c r="C93" s="111"/>
      <c r="D93" s="111"/>
      <c r="E93" s="111"/>
      <c r="F93" s="111"/>
      <c r="G93" s="111"/>
      <c r="H93" s="111"/>
      <c r="I93" s="111"/>
      <c r="J93" s="111"/>
      <c r="K93" s="111"/>
      <c r="L93" s="111"/>
      <c r="M93" s="111"/>
      <c r="N93" s="111"/>
      <c r="O93" s="111"/>
      <c r="P93" s="111"/>
      <c r="Q93" s="111"/>
      <c r="R93" s="111"/>
      <c r="S93" s="111"/>
      <c r="T93" s="111"/>
      <c r="U93" s="111"/>
      <c r="V93" s="111"/>
      <c r="W93" s="111"/>
      <c r="X93" s="111"/>
      <c r="Y93" s="111"/>
      <c r="Z93" s="111"/>
      <c r="AA93" s="111"/>
      <c r="AB93" s="111"/>
      <c r="AC93" s="111"/>
      <c r="AD93" s="111"/>
    </row>
    <row r="94" spans="3:30">
      <c r="C94" s="111"/>
      <c r="D94" s="111"/>
      <c r="E94" s="111"/>
      <c r="F94" s="111"/>
      <c r="G94" s="111"/>
      <c r="H94" s="111"/>
      <c r="I94" s="111"/>
      <c r="J94" s="111"/>
      <c r="K94" s="111"/>
      <c r="L94" s="111"/>
      <c r="M94" s="111"/>
      <c r="N94" s="111"/>
      <c r="O94" s="111"/>
      <c r="P94" s="111"/>
      <c r="Q94" s="111"/>
      <c r="R94" s="111"/>
      <c r="S94" s="111"/>
      <c r="T94" s="111"/>
      <c r="U94" s="111"/>
      <c r="V94" s="111"/>
      <c r="W94" s="111"/>
      <c r="X94" s="111"/>
      <c r="Y94" s="111"/>
      <c r="Z94" s="111"/>
      <c r="AA94" s="111"/>
      <c r="AB94" s="111"/>
      <c r="AC94" s="111"/>
      <c r="AD94" s="111"/>
    </row>
    <row r="95" spans="3:30">
      <c r="C95" s="111"/>
      <c r="D95" s="111"/>
      <c r="E95" s="111"/>
      <c r="F95" s="111"/>
      <c r="G95" s="111"/>
      <c r="H95" s="111"/>
      <c r="I95" s="111"/>
      <c r="J95" s="111"/>
      <c r="K95" s="111"/>
      <c r="L95" s="111"/>
      <c r="M95" s="111"/>
      <c r="N95" s="111"/>
      <c r="O95" s="111"/>
      <c r="P95" s="111"/>
      <c r="Q95" s="111"/>
      <c r="R95" s="111"/>
      <c r="S95" s="111"/>
      <c r="T95" s="111"/>
      <c r="U95" s="111"/>
      <c r="V95" s="111"/>
      <c r="W95" s="111"/>
      <c r="X95" s="111"/>
      <c r="Y95" s="111"/>
      <c r="Z95" s="111"/>
      <c r="AA95" s="111"/>
      <c r="AB95" s="111"/>
      <c r="AC95" s="111"/>
      <c r="AD95" s="111"/>
    </row>
    <row r="96" spans="3:30">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row>
    <row r="97" spans="3:30">
      <c r="C97" s="111"/>
      <c r="D97" s="111"/>
      <c r="E97" s="111"/>
      <c r="F97" s="111"/>
      <c r="G97" s="111"/>
      <c r="H97" s="111"/>
      <c r="I97" s="111"/>
      <c r="J97" s="111"/>
      <c r="K97" s="111"/>
      <c r="L97" s="111"/>
      <c r="M97" s="111"/>
      <c r="N97" s="111"/>
      <c r="O97" s="111"/>
      <c r="P97" s="111"/>
      <c r="Q97" s="111"/>
      <c r="R97" s="111"/>
      <c r="S97" s="111"/>
      <c r="T97" s="111"/>
      <c r="U97" s="111"/>
      <c r="V97" s="111"/>
      <c r="W97" s="111"/>
      <c r="X97" s="111"/>
      <c r="Y97" s="111"/>
      <c r="Z97" s="111"/>
      <c r="AA97" s="111"/>
      <c r="AB97" s="111"/>
      <c r="AC97" s="111"/>
      <c r="AD97" s="111"/>
    </row>
    <row r="98" spans="3:30">
      <c r="C98" s="111"/>
      <c r="D98" s="111"/>
      <c r="E98" s="111"/>
      <c r="F98" s="111"/>
      <c r="G98" s="111"/>
      <c r="H98" s="111"/>
      <c r="I98" s="111"/>
      <c r="J98" s="111"/>
      <c r="K98" s="111"/>
      <c r="L98" s="111"/>
      <c r="M98" s="111"/>
      <c r="N98" s="111"/>
      <c r="O98" s="111"/>
      <c r="P98" s="111"/>
      <c r="Q98" s="111"/>
      <c r="R98" s="111"/>
      <c r="S98" s="111"/>
      <c r="T98" s="111"/>
      <c r="U98" s="111"/>
      <c r="V98" s="111"/>
      <c r="W98" s="111"/>
      <c r="X98" s="111"/>
      <c r="Y98" s="111"/>
      <c r="Z98" s="111"/>
      <c r="AA98" s="111"/>
      <c r="AB98" s="111"/>
      <c r="AC98" s="111"/>
      <c r="AD98" s="111"/>
    </row>
  </sheetData>
  <mergeCells count="97">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19" workbookViewId="0">
      <selection activeCell="AO29" sqref="AO29:AR29"/>
    </sheetView>
  </sheetViews>
  <sheetFormatPr defaultColWidth="9.140625" defaultRowHeight="12.75"/>
  <cols>
    <col min="1" max="12" width="3.140625" style="84" customWidth="1"/>
    <col min="13" max="30" width="3.28515625" style="84" customWidth="1"/>
    <col min="31" max="31" width="3.140625" style="111" customWidth="1"/>
    <col min="32" max="117" width="3.140625" style="84" customWidth="1"/>
    <col min="118" max="16384" width="9.140625" style="84"/>
  </cols>
  <sheetData>
    <row r="1" spans="2:49" ht="19.7" customHeight="1">
      <c r="B1" s="295" t="s">
        <v>103</v>
      </c>
      <c r="C1" s="295"/>
      <c r="D1" s="295"/>
      <c r="E1" s="295"/>
      <c r="F1" s="295"/>
      <c r="G1" s="295"/>
      <c r="H1" s="295"/>
      <c r="I1" s="295"/>
      <c r="J1" s="295"/>
      <c r="K1" s="295"/>
      <c r="L1" s="295"/>
      <c r="M1" s="295"/>
      <c r="N1" s="85"/>
      <c r="O1" s="85"/>
      <c r="P1" s="286" t="s">
        <v>104</v>
      </c>
      <c r="Q1" s="286"/>
      <c r="R1" s="286"/>
      <c r="S1" s="286"/>
      <c r="T1" s="286"/>
      <c r="U1" s="286"/>
      <c r="V1" s="286"/>
      <c r="W1" s="286"/>
      <c r="X1" s="286"/>
      <c r="Y1" s="286"/>
      <c r="Z1" s="286"/>
      <c r="AA1" s="286"/>
      <c r="AB1" s="286"/>
      <c r="AC1" s="286"/>
      <c r="AD1" s="286"/>
      <c r="AE1" s="103"/>
    </row>
    <row r="2" spans="2:49" ht="19.7" customHeight="1">
      <c r="C2" s="295" t="s">
        <v>105</v>
      </c>
      <c r="D2" s="295"/>
      <c r="E2" s="295"/>
      <c r="F2" s="295"/>
      <c r="G2" s="295"/>
      <c r="H2" s="295"/>
      <c r="I2" s="295"/>
      <c r="J2" s="295"/>
      <c r="K2" s="295"/>
      <c r="L2" s="295"/>
      <c r="M2" s="85"/>
      <c r="N2" s="151"/>
      <c r="O2" s="85"/>
      <c r="P2" s="296" t="s">
        <v>177</v>
      </c>
      <c r="Q2" s="296"/>
      <c r="R2" s="296"/>
      <c r="S2" s="296"/>
      <c r="T2" s="296"/>
      <c r="U2" s="296"/>
      <c r="V2" s="296"/>
      <c r="W2" s="296"/>
      <c r="X2" s="296"/>
      <c r="Y2" s="296"/>
      <c r="Z2" s="296"/>
      <c r="AA2" s="296"/>
      <c r="AB2" s="296"/>
      <c r="AC2" s="296"/>
      <c r="AD2" s="296"/>
    </row>
    <row r="3" spans="2:49" ht="8.4499999999999993" customHeight="1">
      <c r="C3" s="149"/>
      <c r="D3" s="149"/>
      <c r="E3" s="153"/>
      <c r="F3" s="153"/>
      <c r="G3" s="153"/>
      <c r="H3" s="153"/>
      <c r="I3" s="153"/>
      <c r="J3" s="153"/>
      <c r="K3" s="149"/>
      <c r="L3" s="148"/>
      <c r="M3" s="149"/>
      <c r="N3" s="149"/>
      <c r="O3" s="149"/>
      <c r="P3" s="149"/>
      <c r="Q3" s="92"/>
      <c r="R3" s="92"/>
      <c r="S3" s="153"/>
      <c r="T3" s="153"/>
      <c r="U3" s="153"/>
      <c r="V3" s="153"/>
      <c r="W3" s="153"/>
      <c r="X3" s="153"/>
      <c r="Y3" s="153"/>
      <c r="Z3" s="153"/>
      <c r="AA3" s="153"/>
      <c r="AB3" s="85"/>
      <c r="AC3" s="85"/>
      <c r="AD3" s="85"/>
    </row>
    <row r="4" spans="2:49" ht="8.4499999999999993" customHeight="1">
      <c r="C4" s="90"/>
      <c r="D4" s="90"/>
      <c r="E4" s="91"/>
      <c r="F4" s="91"/>
      <c r="G4" s="91"/>
      <c r="H4" s="91"/>
      <c r="I4" s="91"/>
      <c r="J4" s="91"/>
      <c r="K4" s="91"/>
      <c r="L4" s="92"/>
      <c r="M4" s="92"/>
      <c r="N4" s="92"/>
      <c r="O4" s="92"/>
      <c r="P4" s="91"/>
      <c r="Q4" s="151"/>
      <c r="R4" s="151"/>
      <c r="S4" s="151"/>
      <c r="T4" s="151"/>
      <c r="U4" s="151"/>
      <c r="V4" s="151"/>
      <c r="W4" s="151"/>
      <c r="X4" s="151"/>
      <c r="Y4" s="151"/>
      <c r="Z4" s="151"/>
      <c r="AA4" s="151"/>
      <c r="AB4" s="151"/>
      <c r="AC4" s="151"/>
      <c r="AD4" s="151"/>
    </row>
    <row r="5" spans="2:49" ht="0.75" customHeight="1">
      <c r="C5" s="152"/>
      <c r="D5" s="152"/>
      <c r="E5" s="149"/>
      <c r="F5" s="149"/>
      <c r="G5" s="149"/>
      <c r="H5" s="149"/>
      <c r="I5" s="149"/>
      <c r="J5" s="149"/>
      <c r="K5" s="149"/>
      <c r="L5" s="149"/>
      <c r="M5" s="149"/>
      <c r="N5" s="149"/>
      <c r="O5" s="149"/>
      <c r="P5" s="149"/>
      <c r="Q5" s="149"/>
      <c r="R5" s="149"/>
      <c r="S5" s="149"/>
      <c r="T5" s="149"/>
      <c r="U5" s="149"/>
      <c r="V5" s="149"/>
      <c r="W5" s="149"/>
      <c r="X5" s="149"/>
      <c r="Y5" s="149"/>
      <c r="Z5" s="149"/>
      <c r="AA5" s="149"/>
      <c r="AB5" s="85"/>
      <c r="AC5" s="85"/>
      <c r="AD5" s="85"/>
    </row>
    <row r="6" spans="2:49" ht="19.7" customHeight="1">
      <c r="C6" s="288" t="s">
        <v>106</v>
      </c>
      <c r="D6" s="288"/>
      <c r="E6" s="288"/>
      <c r="F6" s="288"/>
      <c r="G6" s="288"/>
      <c r="H6" s="288"/>
      <c r="I6" s="288"/>
      <c r="J6" s="288"/>
      <c r="K6" s="288"/>
      <c r="L6" s="288"/>
      <c r="M6" s="288"/>
      <c r="N6" s="288"/>
      <c r="O6" s="288"/>
      <c r="P6" s="288"/>
      <c r="Q6" s="288"/>
      <c r="R6" s="288"/>
      <c r="S6" s="288"/>
      <c r="T6" s="288"/>
      <c r="U6" s="288"/>
      <c r="V6" s="288"/>
      <c r="W6" s="288"/>
      <c r="X6" s="288"/>
      <c r="Y6" s="288"/>
      <c r="Z6" s="288"/>
      <c r="AA6" s="288"/>
      <c r="AB6" s="288"/>
      <c r="AC6" s="288"/>
      <c r="AD6" s="288"/>
    </row>
    <row r="7" spans="2:49" ht="19.7" customHeight="1">
      <c r="C7" s="288" t="s">
        <v>107</v>
      </c>
      <c r="D7" s="288"/>
      <c r="E7" s="288"/>
      <c r="F7" s="288"/>
      <c r="G7" s="288"/>
      <c r="H7" s="288"/>
      <c r="I7" s="288"/>
      <c r="J7" s="288"/>
      <c r="K7" s="288"/>
      <c r="L7" s="288"/>
      <c r="M7" s="288"/>
      <c r="N7" s="288"/>
      <c r="O7" s="288"/>
      <c r="P7" s="288"/>
      <c r="Q7" s="288"/>
      <c r="R7" s="288"/>
      <c r="S7" s="288"/>
      <c r="T7" s="288"/>
      <c r="U7" s="288"/>
      <c r="V7" s="288"/>
      <c r="W7" s="288"/>
      <c r="X7" s="288"/>
      <c r="Y7" s="288"/>
      <c r="Z7" s="288"/>
      <c r="AA7" s="288"/>
      <c r="AB7" s="288"/>
      <c r="AC7" s="288"/>
      <c r="AD7" s="288"/>
    </row>
    <row r="8" spans="2:49" ht="11.25" customHeight="1">
      <c r="C8" s="148"/>
      <c r="D8" s="149"/>
      <c r="E8" s="149"/>
      <c r="F8" s="149"/>
      <c r="G8" s="149"/>
      <c r="H8" s="149"/>
      <c r="I8" s="149"/>
      <c r="J8" s="149"/>
      <c r="K8" s="149"/>
      <c r="L8" s="149"/>
      <c r="M8" s="149"/>
      <c r="N8" s="149"/>
      <c r="O8" s="149"/>
      <c r="P8" s="149"/>
      <c r="Q8" s="149"/>
      <c r="R8" s="149"/>
      <c r="S8" s="149"/>
      <c r="T8" s="149"/>
      <c r="U8" s="149"/>
      <c r="V8" s="149"/>
      <c r="W8" s="149"/>
      <c r="X8" s="149"/>
      <c r="Y8" s="149"/>
      <c r="Z8" s="149"/>
      <c r="AA8" s="149"/>
      <c r="AB8" s="85"/>
      <c r="AC8" s="85"/>
      <c r="AD8" s="85"/>
    </row>
    <row r="9" spans="2:49" ht="19.7" customHeight="1">
      <c r="C9" s="296" t="str">
        <f>"Số: "&amp;AG9</f>
        <v>Số: B08600120811TG05</v>
      </c>
      <c r="D9" s="296"/>
      <c r="E9" s="296"/>
      <c r="F9" s="296"/>
      <c r="G9" s="296"/>
      <c r="H9" s="296"/>
      <c r="I9" s="296"/>
      <c r="J9" s="296"/>
      <c r="K9" s="296"/>
      <c r="L9" s="296"/>
      <c r="M9" s="296"/>
      <c r="N9" s="296"/>
      <c r="O9" s="296"/>
      <c r="P9" s="296"/>
      <c r="Q9" s="296"/>
      <c r="R9" s="296"/>
      <c r="S9" s="296"/>
      <c r="T9" s="296"/>
      <c r="U9" s="296"/>
      <c r="V9" s="296"/>
      <c r="W9" s="296"/>
      <c r="X9" s="296"/>
      <c r="Y9" s="296"/>
      <c r="Z9" s="296"/>
      <c r="AA9" s="296"/>
      <c r="AB9" s="296"/>
      <c r="AC9" s="296"/>
      <c r="AD9" s="296"/>
      <c r="AG9" s="96" t="s">
        <v>213</v>
      </c>
    </row>
    <row r="10" spans="2:49" ht="12" customHeight="1">
      <c r="C10" s="150"/>
      <c r="D10" s="149"/>
      <c r="E10" s="149"/>
      <c r="F10" s="149"/>
      <c r="G10" s="149"/>
      <c r="H10" s="149"/>
      <c r="I10" s="149"/>
      <c r="J10" s="149"/>
      <c r="K10" s="149"/>
      <c r="L10" s="149"/>
      <c r="M10" s="149"/>
      <c r="N10" s="149"/>
      <c r="O10" s="149"/>
      <c r="P10" s="149"/>
      <c r="Q10" s="149"/>
      <c r="R10" s="149"/>
      <c r="S10" s="149"/>
      <c r="T10" s="149"/>
      <c r="U10" s="149"/>
      <c r="V10" s="149"/>
      <c r="W10" s="149"/>
      <c r="X10" s="149"/>
      <c r="Y10" s="149"/>
      <c r="Z10" s="149"/>
      <c r="AA10" s="149"/>
      <c r="AB10" s="85"/>
      <c r="AC10" s="85"/>
      <c r="AD10" s="85"/>
    </row>
    <row r="11" spans="2:49" ht="19.7" customHeight="1">
      <c r="C11" s="288" t="s">
        <v>108</v>
      </c>
      <c r="D11" s="288"/>
      <c r="E11" s="288"/>
      <c r="F11" s="288"/>
      <c r="G11" s="288"/>
      <c r="H11" s="288"/>
      <c r="I11" s="288"/>
      <c r="J11" s="288"/>
      <c r="K11" s="288"/>
      <c r="L11" s="288"/>
      <c r="M11" s="288"/>
      <c r="N11" s="288"/>
      <c r="O11" s="288"/>
      <c r="P11" s="288"/>
      <c r="Q11" s="288"/>
      <c r="R11" s="288"/>
      <c r="S11" s="288"/>
      <c r="T11" s="288"/>
      <c r="U11" s="288"/>
      <c r="V11" s="288"/>
      <c r="W11" s="288"/>
      <c r="X11" s="288"/>
      <c r="Y11" s="288"/>
      <c r="Z11" s="288"/>
      <c r="AA11" s="288"/>
      <c r="AB11" s="288"/>
      <c r="AC11" s="288"/>
      <c r="AD11" s="288"/>
    </row>
    <row r="12" spans="2:49" ht="19.7" customHeight="1">
      <c r="C12" s="288" t="s">
        <v>109</v>
      </c>
      <c r="D12" s="288"/>
      <c r="E12" s="288"/>
      <c r="F12" s="288"/>
      <c r="G12" s="288"/>
      <c r="H12" s="288"/>
      <c r="I12" s="288"/>
      <c r="J12" s="288"/>
      <c r="K12" s="288"/>
      <c r="L12" s="288"/>
      <c r="M12" s="288"/>
      <c r="N12" s="288"/>
      <c r="O12" s="288"/>
      <c r="P12" s="288"/>
      <c r="Q12" s="288"/>
      <c r="R12" s="288"/>
      <c r="S12" s="288"/>
      <c r="T12" s="288"/>
      <c r="U12" s="288"/>
      <c r="V12" s="288"/>
      <c r="W12" s="288"/>
      <c r="X12" s="288"/>
      <c r="Y12" s="288"/>
      <c r="Z12" s="288"/>
      <c r="AA12" s="288"/>
      <c r="AB12" s="288"/>
      <c r="AC12" s="288"/>
      <c r="AD12" s="288"/>
    </row>
    <row r="13" spans="2:49" ht="8.4499999999999993" customHeight="1">
      <c r="C13" s="117"/>
      <c r="D13" s="87"/>
      <c r="E13" s="87"/>
      <c r="F13" s="87"/>
      <c r="G13" s="87"/>
      <c r="H13" s="87"/>
      <c r="I13" s="87"/>
      <c r="J13" s="87"/>
      <c r="K13" s="87"/>
      <c r="L13" s="87"/>
      <c r="M13" s="87"/>
      <c r="N13" s="87"/>
      <c r="O13" s="87"/>
      <c r="P13" s="87"/>
      <c r="Q13" s="87"/>
      <c r="R13" s="87"/>
      <c r="S13" s="87"/>
      <c r="T13" s="87"/>
      <c r="U13" s="87"/>
      <c r="V13" s="87"/>
      <c r="W13" s="87"/>
      <c r="X13" s="87"/>
      <c r="Y13" s="87"/>
      <c r="Z13" s="87"/>
      <c r="AA13" s="87"/>
    </row>
    <row r="14" spans="2:49" ht="3.75" customHeight="1">
      <c r="C14" s="95"/>
      <c r="D14" s="87"/>
      <c r="E14" s="87"/>
      <c r="F14" s="87"/>
      <c r="G14" s="87"/>
      <c r="H14" s="87"/>
      <c r="I14" s="87"/>
      <c r="J14" s="87"/>
      <c r="K14" s="87"/>
      <c r="L14" s="87"/>
      <c r="M14" s="87"/>
      <c r="N14" s="87"/>
      <c r="O14" s="87"/>
      <c r="P14" s="87"/>
      <c r="Q14" s="87"/>
      <c r="R14" s="87"/>
      <c r="S14" s="87"/>
      <c r="T14" s="87"/>
      <c r="U14" s="87"/>
      <c r="V14" s="87"/>
      <c r="W14" s="87"/>
      <c r="X14" s="87"/>
      <c r="Y14" s="87"/>
      <c r="Z14" s="87"/>
      <c r="AA14" s="87"/>
    </row>
    <row r="15" spans="2:49" ht="21.75" customHeight="1">
      <c r="C15" s="322" t="s">
        <v>107</v>
      </c>
      <c r="D15" s="323"/>
      <c r="E15" s="323"/>
      <c r="F15" s="323"/>
      <c r="G15" s="323"/>
      <c r="H15" s="323"/>
      <c r="I15" s="323"/>
      <c r="J15" s="323"/>
      <c r="K15" s="323"/>
      <c r="L15" s="323"/>
      <c r="M15" s="323"/>
      <c r="N15" s="323"/>
      <c r="O15" s="323"/>
      <c r="P15" s="323"/>
      <c r="Q15" s="323"/>
      <c r="R15" s="323"/>
      <c r="S15" s="323"/>
      <c r="T15" s="323"/>
      <c r="U15" s="323"/>
      <c r="V15" s="323"/>
      <c r="W15" s="323"/>
      <c r="X15" s="323"/>
      <c r="Y15" s="323"/>
      <c r="Z15" s="323"/>
      <c r="AA15" s="323"/>
      <c r="AB15" s="323"/>
      <c r="AC15" s="323"/>
      <c r="AD15" s="324"/>
      <c r="AE15" s="118"/>
      <c r="AG15" s="98">
        <v>1</v>
      </c>
      <c r="AH15" s="98"/>
      <c r="AI15" s="98"/>
      <c r="AJ15" s="98"/>
      <c r="AK15" s="98">
        <v>2</v>
      </c>
      <c r="AL15" s="98"/>
      <c r="AM15" s="98"/>
      <c r="AN15" s="98"/>
      <c r="AO15" s="98">
        <v>3</v>
      </c>
      <c r="AS15" s="84">
        <v>4</v>
      </c>
    </row>
    <row r="16" spans="2:49" ht="36" customHeight="1">
      <c r="C16" s="334" t="s">
        <v>24</v>
      </c>
      <c r="D16" s="335"/>
      <c r="E16" s="335"/>
      <c r="F16" s="335"/>
      <c r="G16" s="335"/>
      <c r="H16" s="335"/>
      <c r="I16" s="335"/>
      <c r="J16" s="335"/>
      <c r="K16" s="335"/>
      <c r="L16" s="336"/>
      <c r="M16" s="337" t="str">
        <f>AG16</f>
        <v>Ấp Bàu Trâu, xã Phước Thạnh, huyện Củ Chi, thành phố Hồ Chí Minh.</v>
      </c>
      <c r="N16" s="338"/>
      <c r="O16" s="338"/>
      <c r="P16" s="338"/>
      <c r="Q16" s="338"/>
      <c r="R16" s="338"/>
      <c r="S16" s="338"/>
      <c r="T16" s="338"/>
      <c r="U16" s="338"/>
      <c r="V16" s="338"/>
      <c r="W16" s="338"/>
      <c r="X16" s="338"/>
      <c r="Y16" s="338"/>
      <c r="Z16" s="338"/>
      <c r="AA16" s="338"/>
      <c r="AB16" s="338"/>
      <c r="AC16" s="338"/>
      <c r="AD16" s="339"/>
      <c r="AE16" s="118"/>
      <c r="AG16" s="340" t="s">
        <v>110</v>
      </c>
      <c r="AH16" s="340"/>
      <c r="AI16" s="340"/>
      <c r="AJ16" s="340"/>
      <c r="AK16" s="340"/>
      <c r="AL16" s="340"/>
      <c r="AM16" s="340"/>
      <c r="AN16" s="340"/>
      <c r="AO16" s="340"/>
      <c r="AP16" s="340"/>
      <c r="AQ16" s="340"/>
      <c r="AR16" s="340"/>
      <c r="AS16" s="340"/>
      <c r="AT16" s="340"/>
      <c r="AU16" s="340"/>
      <c r="AV16" s="340"/>
      <c r="AW16" s="340"/>
    </row>
    <row r="17" spans="3:47" ht="23.25" customHeight="1">
      <c r="C17" s="334" t="s">
        <v>17</v>
      </c>
      <c r="D17" s="335"/>
      <c r="E17" s="335"/>
      <c r="F17" s="335"/>
      <c r="G17" s="335"/>
      <c r="H17" s="335"/>
      <c r="I17" s="335"/>
      <c r="J17" s="335"/>
      <c r="K17" s="335"/>
      <c r="L17" s="336"/>
      <c r="M17" s="322" t="str">
        <f>IF(AG17="","",AG17)</f>
        <v/>
      </c>
      <c r="N17" s="323"/>
      <c r="O17" s="323"/>
      <c r="P17" s="323"/>
      <c r="Q17" s="323"/>
      <c r="R17" s="323"/>
      <c r="S17" s="323"/>
      <c r="T17" s="323"/>
      <c r="U17" s="323"/>
      <c r="V17" s="323"/>
      <c r="W17" s="323"/>
      <c r="X17" s="323"/>
      <c r="Y17" s="323"/>
      <c r="Z17" s="323"/>
      <c r="AA17" s="323"/>
      <c r="AB17" s="323"/>
      <c r="AC17" s="323"/>
      <c r="AD17" s="324"/>
      <c r="AE17" s="118"/>
    </row>
    <row r="18" spans="3:47" ht="31.35" customHeight="1">
      <c r="C18" s="316" t="s">
        <v>9</v>
      </c>
      <c r="D18" s="317"/>
      <c r="E18" s="317"/>
      <c r="F18" s="317"/>
      <c r="G18" s="317"/>
      <c r="H18" s="317"/>
      <c r="I18" s="317"/>
      <c r="J18" s="317"/>
      <c r="K18" s="317"/>
      <c r="L18" s="318"/>
      <c r="M18" s="319" t="str">
        <f>AG18</f>
        <v>CÔNG TY CỔ PHẦN VIỄN THÔNG DI ĐỘNG TOÀN CẦU
GTEL</v>
      </c>
      <c r="N18" s="320"/>
      <c r="O18" s="320"/>
      <c r="P18" s="320"/>
      <c r="Q18" s="320"/>
      <c r="R18" s="320"/>
      <c r="S18" s="320"/>
      <c r="T18" s="320"/>
      <c r="U18" s="320"/>
      <c r="V18" s="320"/>
      <c r="W18" s="320"/>
      <c r="X18" s="320"/>
      <c r="Y18" s="320"/>
      <c r="Z18" s="320"/>
      <c r="AA18" s="320"/>
      <c r="AB18" s="320"/>
      <c r="AC18" s="320"/>
      <c r="AD18" s="321"/>
      <c r="AE18" s="118"/>
      <c r="AG18" s="157" t="s">
        <v>183</v>
      </c>
    </row>
    <row r="19" spans="3:47" ht="31.35" customHeight="1">
      <c r="C19" s="316" t="s">
        <v>16</v>
      </c>
      <c r="D19" s="317"/>
      <c r="E19" s="317"/>
      <c r="F19" s="317"/>
      <c r="G19" s="317"/>
      <c r="H19" s="317"/>
      <c r="I19" s="317"/>
      <c r="J19" s="317"/>
      <c r="K19" s="317"/>
      <c r="L19" s="318"/>
      <c r="M19" s="319" t="str">
        <f>AG19</f>
        <v>CÔNG TY CỔ PHẦN VIỄN THÔNG DI ĐỘNG TOÀN CẦU</v>
      </c>
      <c r="N19" s="320"/>
      <c r="O19" s="320"/>
      <c r="P19" s="320"/>
      <c r="Q19" s="320"/>
      <c r="R19" s="320"/>
      <c r="S19" s="320"/>
      <c r="T19" s="320"/>
      <c r="U19" s="320"/>
      <c r="V19" s="320"/>
      <c r="W19" s="320"/>
      <c r="X19" s="320"/>
      <c r="Y19" s="320"/>
      <c r="Z19" s="320"/>
      <c r="AA19" s="320"/>
      <c r="AB19" s="320"/>
      <c r="AC19" s="320"/>
      <c r="AD19" s="321"/>
      <c r="AE19" s="119"/>
      <c r="AG19" s="96" t="s">
        <v>155</v>
      </c>
    </row>
    <row r="20" spans="3:47" ht="20.25" customHeight="1">
      <c r="C20" s="331" t="s">
        <v>111</v>
      </c>
      <c r="D20" s="332"/>
      <c r="E20" s="332"/>
      <c r="F20" s="332"/>
      <c r="G20" s="332"/>
      <c r="H20" s="332"/>
      <c r="I20" s="332"/>
      <c r="J20" s="332"/>
      <c r="K20" s="332"/>
      <c r="L20" s="332"/>
      <c r="M20" s="332"/>
      <c r="N20" s="332"/>
      <c r="O20" s="332"/>
      <c r="P20" s="332"/>
      <c r="Q20" s="332"/>
      <c r="R20" s="332"/>
      <c r="S20" s="332"/>
      <c r="T20" s="332"/>
      <c r="U20" s="332"/>
      <c r="V20" s="332"/>
      <c r="W20" s="332"/>
      <c r="X20" s="332"/>
      <c r="Y20" s="332"/>
      <c r="Z20" s="332"/>
      <c r="AA20" s="332"/>
      <c r="AB20" s="332"/>
      <c r="AC20" s="332"/>
      <c r="AD20" s="333"/>
      <c r="AE20" s="120"/>
    </row>
    <row r="21" spans="3:47" ht="31.5" customHeight="1">
      <c r="C21" s="330" t="s">
        <v>112</v>
      </c>
      <c r="D21" s="330"/>
      <c r="E21" s="330"/>
      <c r="F21" s="330"/>
      <c r="G21" s="330"/>
      <c r="H21" s="330"/>
      <c r="I21" s="330"/>
      <c r="J21" s="330"/>
      <c r="K21" s="330"/>
      <c r="L21" s="330"/>
      <c r="M21" s="325" t="str">
        <f>AG21</f>
        <v>MOTOROLA HORIZON II MACRO</v>
      </c>
      <c r="N21" s="325"/>
      <c r="O21" s="325"/>
      <c r="P21" s="325"/>
      <c r="Q21" s="325"/>
      <c r="R21" s="325"/>
      <c r="S21" s="325" t="str">
        <f>AK21</f>
        <v>B</v>
      </c>
      <c r="T21" s="325"/>
      <c r="U21" s="325"/>
      <c r="V21" s="325"/>
      <c r="W21" s="325"/>
      <c r="X21" s="325"/>
      <c r="Y21" s="325" t="str">
        <f>AO21</f>
        <v>C</v>
      </c>
      <c r="Z21" s="325"/>
      <c r="AA21" s="325"/>
      <c r="AB21" s="325"/>
      <c r="AC21" s="325"/>
      <c r="AD21" s="325"/>
      <c r="AE21" s="118"/>
      <c r="AG21" s="96" t="s">
        <v>182</v>
      </c>
      <c r="AK21" s="96" t="s">
        <v>114</v>
      </c>
      <c r="AO21" s="96" t="s">
        <v>115</v>
      </c>
      <c r="AS21" s="96" t="s">
        <v>116</v>
      </c>
    </row>
    <row r="22" spans="3:47" ht="19.7" customHeight="1">
      <c r="C22" s="326" t="s">
        <v>117</v>
      </c>
      <c r="D22" s="327"/>
      <c r="E22" s="327"/>
      <c r="F22" s="327"/>
      <c r="G22" s="327"/>
      <c r="H22" s="327"/>
      <c r="I22" s="327"/>
      <c r="J22" s="327"/>
      <c r="K22" s="327"/>
      <c r="L22" s="328"/>
      <c r="M22" s="325">
        <f>AG22</f>
        <v>3</v>
      </c>
      <c r="N22" s="325"/>
      <c r="O22" s="325"/>
      <c r="P22" s="325"/>
      <c r="Q22" s="325"/>
      <c r="R22" s="325"/>
      <c r="S22" s="325">
        <f>AK22</f>
        <v>3</v>
      </c>
      <c r="T22" s="325"/>
      <c r="U22" s="325"/>
      <c r="V22" s="325"/>
      <c r="W22" s="325"/>
      <c r="X22" s="325"/>
      <c r="Y22" s="325">
        <f>AO22</f>
        <v>3</v>
      </c>
      <c r="Z22" s="325"/>
      <c r="AA22" s="325"/>
      <c r="AB22" s="325"/>
      <c r="AC22" s="325"/>
      <c r="AD22" s="325"/>
      <c r="AE22" s="118"/>
      <c r="AG22" s="98">
        <v>3</v>
      </c>
      <c r="AH22" s="98"/>
      <c r="AI22" s="98"/>
      <c r="AJ22" s="98"/>
      <c r="AK22" s="98">
        <v>3</v>
      </c>
      <c r="AL22" s="98"/>
      <c r="AM22" s="98"/>
      <c r="AN22" s="98"/>
      <c r="AO22" s="98">
        <v>3</v>
      </c>
      <c r="AS22" s="84">
        <v>1</v>
      </c>
    </row>
    <row r="23" spans="3:47" ht="19.7" customHeight="1">
      <c r="C23" s="330" t="s">
        <v>118</v>
      </c>
      <c r="D23" s="330"/>
      <c r="E23" s="330"/>
      <c r="F23" s="330"/>
      <c r="G23" s="330"/>
      <c r="H23" s="330"/>
      <c r="I23" s="330"/>
      <c r="J23" s="330"/>
      <c r="K23" s="330"/>
      <c r="L23" s="330"/>
      <c r="M23" s="329" t="str">
        <f>AG23</f>
        <v>4/4/4</v>
      </c>
      <c r="N23" s="329"/>
      <c r="O23" s="329"/>
      <c r="P23" s="329"/>
      <c r="Q23" s="329"/>
      <c r="R23" s="329"/>
      <c r="S23" s="329" t="str">
        <f>AK23</f>
        <v>2/2/2</v>
      </c>
      <c r="T23" s="329"/>
      <c r="U23" s="329"/>
      <c r="V23" s="329"/>
      <c r="W23" s="329"/>
      <c r="X23" s="329"/>
      <c r="Y23" s="329" t="str">
        <f>AO23</f>
        <v>5/5/5</v>
      </c>
      <c r="Z23" s="325"/>
      <c r="AA23" s="325"/>
      <c r="AB23" s="325"/>
      <c r="AC23" s="325"/>
      <c r="AD23" s="325"/>
      <c r="AE23" s="121"/>
      <c r="AG23" s="100" t="s">
        <v>119</v>
      </c>
      <c r="AH23" s="101"/>
      <c r="AI23" s="101"/>
      <c r="AJ23" s="101"/>
      <c r="AK23" s="100" t="s">
        <v>120</v>
      </c>
      <c r="AL23" s="101"/>
      <c r="AM23" s="101"/>
      <c r="AN23" s="101"/>
      <c r="AO23" s="100" t="s">
        <v>121</v>
      </c>
      <c r="AP23" s="101"/>
      <c r="AQ23" s="101"/>
      <c r="AR23" s="101"/>
      <c r="AS23" s="100" t="s">
        <v>122</v>
      </c>
    </row>
    <row r="24" spans="3:47" ht="31.35" customHeight="1">
      <c r="C24" s="326" t="s">
        <v>156</v>
      </c>
      <c r="D24" s="327"/>
      <c r="E24" s="327"/>
      <c r="F24" s="327"/>
      <c r="G24" s="327"/>
      <c r="H24" s="327"/>
      <c r="I24" s="327"/>
      <c r="J24" s="327"/>
      <c r="K24" s="327"/>
      <c r="L24" s="328"/>
      <c r="M24" s="315" t="str">
        <f>IF(M22=4,AG24&amp;"W/ "&amp;AH24&amp;"W/ "&amp;AI24&amp;"W/ "&amp;AK24&amp;"W",IF(M22=3,AG24&amp;"W/ "&amp;AH24&amp;"W/ "&amp;AI24&amp;"W",IF(M22=2,AG24&amp;"W/ "&amp;AH24&amp;"W",AG24&amp;"W")))</f>
        <v>20W/ 20W/ 20W</v>
      </c>
      <c r="N24" s="315"/>
      <c r="O24" s="315"/>
      <c r="P24" s="315"/>
      <c r="Q24" s="315"/>
      <c r="R24" s="315"/>
      <c r="S24" s="315" t="str">
        <f>IF(S22=4,AK24&amp;"W/ "&amp;AL24&amp;"W/ "&amp;AM24&amp;"W/ "&amp;AN24&amp;"W",IF(S22=3,AK24&amp;"W/ "&amp;AL24&amp;"W/ "&amp;AM24&amp;"W",IF(S22=2,AK24&amp;"W/ "&amp;AL24&amp;"W",AK24&amp;"W")))</f>
        <v>40W/ 40W/ 40W</v>
      </c>
      <c r="T24" s="315"/>
      <c r="U24" s="315"/>
      <c r="V24" s="315"/>
      <c r="W24" s="315"/>
      <c r="X24" s="315"/>
      <c r="Y24" s="315" t="str">
        <f>IF(Y22=4,AO24&amp;"W/ "&amp;AP24&amp;"W/ "&amp;AQ24&amp;"W/ "&amp;AR24&amp;"W",IF(Y22=3,AO24&amp;"W/ "&amp;AP24&amp;"W/ "&amp;AQ24&amp;"W",IF(Y22=2,AO24&amp;"W/ "&amp;AP24&amp;"W",AO24&amp;"W")))</f>
        <v>60W/ 60W/ 60W</v>
      </c>
      <c r="Z24" s="315"/>
      <c r="AA24" s="315"/>
      <c r="AB24" s="315"/>
      <c r="AC24" s="315"/>
      <c r="AD24" s="315"/>
      <c r="AE24" s="119"/>
      <c r="AG24" s="84">
        <v>20</v>
      </c>
      <c r="AH24" s="84">
        <v>20</v>
      </c>
      <c r="AI24" s="84">
        <v>20</v>
      </c>
      <c r="AK24" s="84">
        <v>40</v>
      </c>
      <c r="AL24" s="84">
        <v>40</v>
      </c>
      <c r="AM24" s="84">
        <v>40</v>
      </c>
      <c r="AO24" s="84">
        <v>60</v>
      </c>
      <c r="AP24" s="84">
        <v>60</v>
      </c>
      <c r="AQ24" s="84">
        <v>60</v>
      </c>
      <c r="AS24" s="84">
        <v>80</v>
      </c>
      <c r="AT24" s="84">
        <v>80</v>
      </c>
      <c r="AU24" s="84">
        <v>80</v>
      </c>
    </row>
    <row r="25" spans="3:47" ht="19.7" customHeight="1">
      <c r="C25" s="330" t="s">
        <v>123</v>
      </c>
      <c r="D25" s="330"/>
      <c r="E25" s="330"/>
      <c r="F25" s="330"/>
      <c r="G25" s="330"/>
      <c r="H25" s="330"/>
      <c r="I25" s="330"/>
      <c r="J25" s="330"/>
      <c r="K25" s="330"/>
      <c r="L25" s="330"/>
      <c r="M25" s="325" t="str">
        <f>IF(AG25="900 &amp; 1800","900MHz &amp; 1800MHz",IF(AG25="900 &amp; 2100","900MHz &amp; 2100MHz",AG25&amp;"MHz"))</f>
        <v>900MHz</v>
      </c>
      <c r="N25" s="325"/>
      <c r="O25" s="325"/>
      <c r="P25" s="325"/>
      <c r="Q25" s="325"/>
      <c r="R25" s="325"/>
      <c r="S25" s="325" t="str">
        <f>IF(AK25="900 &amp; 1800","900MHz &amp; 1800MHz",IF(AK25="900 &amp; 2100","900MHz &amp; 2100MHz",AK25&amp;"MHz"))</f>
        <v>1800MHz</v>
      </c>
      <c r="T25" s="325"/>
      <c r="U25" s="325"/>
      <c r="V25" s="325"/>
      <c r="W25" s="325"/>
      <c r="X25" s="325"/>
      <c r="Y25" s="325" t="str">
        <f>IF(AO25="900 &amp; 1800","900MHz &amp; 1800MHz",IF(AO25="900 &amp; 2100","900MHz &amp; 2100MHz",AO25&amp;"MHz"))</f>
        <v>2100MHz</v>
      </c>
      <c r="Z25" s="325"/>
      <c r="AA25" s="325"/>
      <c r="AB25" s="325"/>
      <c r="AC25" s="325"/>
      <c r="AD25" s="325"/>
      <c r="AE25" s="118"/>
      <c r="AG25" s="84">
        <v>900</v>
      </c>
      <c r="AK25" s="84">
        <v>1800</v>
      </c>
      <c r="AO25" s="84">
        <v>2100</v>
      </c>
      <c r="AS25" s="96" t="s">
        <v>124</v>
      </c>
    </row>
    <row r="26" spans="3:47" ht="31.35" customHeight="1">
      <c r="C26" s="330" t="s">
        <v>157</v>
      </c>
      <c r="D26" s="330"/>
      <c r="E26" s="330"/>
      <c r="F26" s="330"/>
      <c r="G26" s="330"/>
      <c r="H26" s="330"/>
      <c r="I26" s="330"/>
      <c r="J26" s="330"/>
      <c r="K26" s="330"/>
      <c r="L26" s="330"/>
      <c r="M26" s="325">
        <f>AG26</f>
        <v>15</v>
      </c>
      <c r="N26" s="325"/>
      <c r="O26" s="325"/>
      <c r="P26" s="325"/>
      <c r="Q26" s="325"/>
      <c r="R26" s="325"/>
      <c r="S26" s="325">
        <f>AK26</f>
        <v>16</v>
      </c>
      <c r="T26" s="325"/>
      <c r="U26" s="325"/>
      <c r="V26" s="325"/>
      <c r="W26" s="325"/>
      <c r="X26" s="325"/>
      <c r="Y26" s="325">
        <f>AO26</f>
        <v>17</v>
      </c>
      <c r="Z26" s="325"/>
      <c r="AA26" s="325"/>
      <c r="AB26" s="325"/>
      <c r="AC26" s="325"/>
      <c r="AD26" s="325"/>
      <c r="AE26" s="119"/>
      <c r="AG26" s="84">
        <v>15</v>
      </c>
      <c r="AK26" s="84">
        <v>16</v>
      </c>
      <c r="AO26" s="84">
        <v>17</v>
      </c>
      <c r="AS26" s="84">
        <v>18</v>
      </c>
    </row>
    <row r="27" spans="3:47" ht="25.5" customHeight="1">
      <c r="C27" s="274" t="s">
        <v>125</v>
      </c>
      <c r="D27" s="274"/>
      <c r="E27" s="274"/>
      <c r="F27" s="274"/>
      <c r="G27" s="274"/>
      <c r="H27" s="274"/>
      <c r="I27" s="274"/>
      <c r="J27" s="274"/>
      <c r="K27" s="274"/>
      <c r="L27" s="274"/>
      <c r="M27" s="274"/>
      <c r="N27" s="274"/>
      <c r="O27" s="274"/>
      <c r="P27" s="274"/>
      <c r="Q27" s="274"/>
      <c r="R27" s="274"/>
      <c r="S27" s="274"/>
      <c r="T27" s="274"/>
      <c r="U27" s="274"/>
      <c r="V27" s="274"/>
      <c r="W27" s="274"/>
      <c r="X27" s="274"/>
      <c r="Y27" s="274"/>
      <c r="Z27" s="274"/>
      <c r="AA27" s="274"/>
      <c r="AB27" s="102"/>
      <c r="AC27" s="102"/>
      <c r="AD27" s="102"/>
    </row>
    <row r="28" spans="3:47" ht="25.5" customHeight="1">
      <c r="C28" s="28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85"/>
      <c r="E28" s="285"/>
      <c r="F28" s="285"/>
      <c r="G28" s="285"/>
      <c r="H28" s="285"/>
      <c r="I28" s="285"/>
      <c r="J28" s="285"/>
      <c r="K28" s="285"/>
      <c r="L28" s="285"/>
      <c r="M28" s="285"/>
      <c r="N28" s="285"/>
      <c r="O28" s="285"/>
      <c r="P28" s="285"/>
      <c r="Q28" s="285"/>
      <c r="R28" s="285"/>
      <c r="S28" s="285"/>
      <c r="T28" s="285"/>
      <c r="U28" s="285"/>
      <c r="V28" s="285"/>
      <c r="W28" s="285"/>
      <c r="X28" s="285"/>
      <c r="Y28" s="285"/>
      <c r="Z28" s="285"/>
      <c r="AA28" s="285"/>
      <c r="AB28" s="285"/>
      <c r="AC28" s="285"/>
      <c r="AD28" s="285"/>
      <c r="AG28" s="84">
        <v>30</v>
      </c>
      <c r="AO28" s="84" t="s">
        <v>258</v>
      </c>
    </row>
    <row r="29" spans="3:47" ht="25.5" customHeight="1">
      <c r="C29" s="285"/>
      <c r="D29" s="285"/>
      <c r="E29" s="285"/>
      <c r="F29" s="285"/>
      <c r="G29" s="285"/>
      <c r="H29" s="285"/>
      <c r="I29" s="285"/>
      <c r="J29" s="285"/>
      <c r="K29" s="285"/>
      <c r="L29" s="285"/>
      <c r="M29" s="285"/>
      <c r="N29" s="285"/>
      <c r="O29" s="285"/>
      <c r="P29" s="285"/>
      <c r="Q29" s="285"/>
      <c r="R29" s="285"/>
      <c r="S29" s="285"/>
      <c r="T29" s="285"/>
      <c r="U29" s="285"/>
      <c r="V29" s="285"/>
      <c r="W29" s="285"/>
      <c r="X29" s="285"/>
      <c r="Y29" s="285"/>
      <c r="Z29" s="285"/>
      <c r="AA29" s="285"/>
      <c r="AB29" s="285"/>
      <c r="AC29" s="285"/>
      <c r="AD29" s="285"/>
      <c r="AG29" s="84">
        <v>1</v>
      </c>
      <c r="AO29" s="84"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4" t="s">
        <v>260</v>
      </c>
      <c r="AQ29" s="84" t="str">
        <f>IF(AG28&gt;=0," cao hơn "," thấp hơn ")</f>
        <v xml:space="preserve"> cao hơn </v>
      </c>
      <c r="AR29" s="84" t="s">
        <v>261</v>
      </c>
    </row>
    <row r="30" spans="3:47" ht="15.75" customHeight="1">
      <c r="C30" s="275" t="str">
        <f>IF(AG31=1,AO31,IF(AG31=2,AO30))</f>
        <v>Giới hạn an toàn: là khoảng chiều cao trên cột anten tính từ điểm có độ cao 20m so với mặt đất trở lên.</v>
      </c>
      <c r="D30" s="275"/>
      <c r="E30" s="275"/>
      <c r="F30" s="275"/>
      <c r="G30" s="275"/>
      <c r="H30" s="275"/>
      <c r="I30" s="275"/>
      <c r="J30" s="275"/>
      <c r="K30" s="275"/>
      <c r="L30" s="275"/>
      <c r="M30" s="275"/>
      <c r="N30" s="275"/>
      <c r="O30" s="275"/>
      <c r="P30" s="275"/>
      <c r="Q30" s="275"/>
      <c r="R30" s="275"/>
      <c r="S30" s="275"/>
      <c r="T30" s="275"/>
      <c r="U30" s="275"/>
      <c r="V30" s="275"/>
      <c r="W30" s="275"/>
      <c r="X30" s="275"/>
      <c r="Y30" s="275"/>
      <c r="Z30" s="275"/>
      <c r="AA30" s="275"/>
      <c r="AB30" s="275"/>
      <c r="AC30" s="275"/>
      <c r="AD30" s="275"/>
      <c r="AG30" s="84">
        <v>20</v>
      </c>
      <c r="AO30" s="84" t="s">
        <v>171</v>
      </c>
    </row>
    <row r="31" spans="3:47" ht="15.75" customHeight="1">
      <c r="C31" s="275"/>
      <c r="D31" s="275"/>
      <c r="E31" s="275"/>
      <c r="F31" s="275"/>
      <c r="G31" s="275"/>
      <c r="H31" s="275"/>
      <c r="I31" s="275"/>
      <c r="J31" s="275"/>
      <c r="K31" s="275"/>
      <c r="L31" s="275"/>
      <c r="M31" s="275"/>
      <c r="N31" s="275"/>
      <c r="O31" s="275"/>
      <c r="P31" s="275"/>
      <c r="Q31" s="275"/>
      <c r="R31" s="275"/>
      <c r="S31" s="275"/>
      <c r="T31" s="275"/>
      <c r="U31" s="275"/>
      <c r="V31" s="275"/>
      <c r="W31" s="275"/>
      <c r="X31" s="275"/>
      <c r="Y31" s="275"/>
      <c r="Z31" s="275"/>
      <c r="AA31" s="275"/>
      <c r="AB31" s="275"/>
      <c r="AC31" s="275"/>
      <c r="AD31" s="275"/>
      <c r="AG31" s="84">
        <v>1</v>
      </c>
      <c r="AO31" s="156"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264" t="s">
        <v>171</v>
      </c>
      <c r="D32" s="264"/>
      <c r="E32" s="264"/>
      <c r="F32" s="264"/>
      <c r="G32" s="264"/>
      <c r="H32" s="264"/>
      <c r="I32" s="264"/>
      <c r="J32" s="264"/>
      <c r="K32" s="264"/>
      <c r="L32" s="264"/>
      <c r="M32" s="264"/>
      <c r="N32" s="264"/>
      <c r="O32" s="264"/>
      <c r="P32" s="264"/>
      <c r="Q32" s="264"/>
      <c r="R32" s="264"/>
      <c r="S32" s="264"/>
      <c r="T32" s="264"/>
      <c r="U32" s="264"/>
      <c r="V32" s="264"/>
      <c r="W32" s="264"/>
      <c r="X32" s="264"/>
      <c r="Y32" s="264"/>
      <c r="Z32" s="264"/>
      <c r="AA32" s="264"/>
      <c r="AB32" s="264"/>
      <c r="AC32" s="264"/>
      <c r="AD32" s="264"/>
    </row>
    <row r="33" spans="2:48" ht="17.100000000000001" customHeight="1">
      <c r="C33" s="264"/>
      <c r="D33" s="264"/>
      <c r="E33" s="264"/>
      <c r="F33" s="264"/>
      <c r="G33" s="264"/>
      <c r="H33" s="264"/>
      <c r="I33" s="264"/>
      <c r="J33" s="264"/>
      <c r="K33" s="264"/>
      <c r="L33" s="264"/>
      <c r="M33" s="264"/>
      <c r="N33" s="264"/>
      <c r="O33" s="264"/>
      <c r="P33" s="264"/>
      <c r="Q33" s="264"/>
      <c r="R33" s="264"/>
      <c r="S33" s="264"/>
      <c r="T33" s="264"/>
      <c r="U33" s="264"/>
      <c r="V33" s="264"/>
      <c r="W33" s="264"/>
      <c r="X33" s="264"/>
      <c r="Y33" s="264"/>
      <c r="Z33" s="264"/>
      <c r="AA33" s="264"/>
      <c r="AB33" s="264"/>
      <c r="AC33" s="264"/>
      <c r="AD33" s="264"/>
      <c r="AE33" s="126"/>
    </row>
    <row r="34" spans="2:48" ht="17.100000000000001" customHeight="1">
      <c r="C34" s="305"/>
      <c r="D34" s="305"/>
      <c r="E34" s="305"/>
      <c r="F34" s="305"/>
      <c r="G34" s="305"/>
      <c r="H34" s="102"/>
      <c r="I34" s="306"/>
      <c r="J34" s="306"/>
      <c r="K34" s="306"/>
      <c r="L34" s="306"/>
      <c r="M34" s="306"/>
      <c r="N34" s="306"/>
      <c r="O34" s="102"/>
      <c r="P34" s="103"/>
      <c r="Q34" s="103"/>
      <c r="R34" s="103"/>
      <c r="S34" s="103"/>
      <c r="T34" s="300" t="str">
        <f>IF(AI41=0,AO34,IF(AI41=1,AK34,AS34))</f>
        <v>KT. GIÁM ĐỐC</v>
      </c>
      <c r="U34" s="300"/>
      <c r="V34" s="300"/>
      <c r="W34" s="300"/>
      <c r="X34" s="300"/>
      <c r="Y34" s="300"/>
      <c r="Z34" s="300"/>
      <c r="AA34" s="300"/>
      <c r="AB34" s="300"/>
      <c r="AC34" s="300"/>
      <c r="AD34" s="300"/>
      <c r="AE34" s="300"/>
      <c r="AK34" s="84" t="s">
        <v>126</v>
      </c>
      <c r="AO34" s="84" t="s">
        <v>211</v>
      </c>
      <c r="AS34" s="84" t="s">
        <v>210</v>
      </c>
    </row>
    <row r="35" spans="2:48" ht="17.100000000000001" customHeight="1">
      <c r="C35" s="301" t="s">
        <v>127</v>
      </c>
      <c r="D35" s="301"/>
      <c r="E35" s="301"/>
      <c r="F35" s="301"/>
      <c r="G35" s="301"/>
      <c r="H35" s="104" t="s">
        <v>128</v>
      </c>
      <c r="I35" s="303" t="s">
        <v>129</v>
      </c>
      <c r="J35" s="303"/>
      <c r="K35" s="303"/>
      <c r="L35" s="303"/>
      <c r="M35" s="303"/>
      <c r="N35" s="303"/>
      <c r="O35" s="105"/>
      <c r="P35" s="105"/>
      <c r="Q35" s="102"/>
      <c r="R35" s="102"/>
      <c r="S35" s="102"/>
      <c r="T35" s="300" t="str">
        <f>IF(AI41=0,AO35,IF(AI41=1,"",AS35))</f>
        <v>PHÓ GIÁM ĐỐC</v>
      </c>
      <c r="U35" s="300"/>
      <c r="V35" s="300"/>
      <c r="W35" s="300"/>
      <c r="X35" s="300"/>
      <c r="Y35" s="300"/>
      <c r="Z35" s="300"/>
      <c r="AA35" s="300"/>
      <c r="AB35" s="300"/>
      <c r="AC35" s="300"/>
      <c r="AD35" s="300"/>
      <c r="AE35" s="300"/>
      <c r="AO35" s="84" t="s">
        <v>208</v>
      </c>
      <c r="AS35" s="84" t="s">
        <v>158</v>
      </c>
    </row>
    <row r="36" spans="2:48" ht="17.100000000000001" customHeight="1">
      <c r="C36" s="301" t="s">
        <v>130</v>
      </c>
      <c r="D36" s="301"/>
      <c r="E36" s="301"/>
      <c r="F36" s="301"/>
      <c r="G36" s="301"/>
      <c r="H36" s="106" t="s">
        <v>128</v>
      </c>
      <c r="I36" s="302">
        <f>AG36</f>
        <v>40806</v>
      </c>
      <c r="J36" s="303"/>
      <c r="K36" s="303"/>
      <c r="L36" s="303"/>
      <c r="M36" s="303"/>
      <c r="N36" s="107"/>
      <c r="O36" s="107"/>
      <c r="P36" s="107"/>
      <c r="Q36" s="102"/>
      <c r="R36" s="102"/>
      <c r="S36" s="102"/>
      <c r="T36" s="102"/>
      <c r="U36" s="102"/>
      <c r="V36" s="102"/>
      <c r="W36" s="102"/>
      <c r="X36" s="102"/>
      <c r="Y36" s="102"/>
      <c r="Z36" s="102"/>
      <c r="AA36" s="102"/>
      <c r="AB36" s="102"/>
      <c r="AC36" s="102"/>
      <c r="AD36" s="102"/>
      <c r="AG36" s="108">
        <v>40806</v>
      </c>
    </row>
    <row r="37" spans="2:48" ht="17.100000000000001" customHeight="1">
      <c r="C37" s="301" t="s">
        <v>131</v>
      </c>
      <c r="D37" s="301"/>
      <c r="E37" s="301"/>
      <c r="F37" s="301"/>
      <c r="G37" s="301"/>
      <c r="H37" s="106" t="s">
        <v>128</v>
      </c>
      <c r="I37" s="302">
        <f>AG37</f>
        <v>42633</v>
      </c>
      <c r="J37" s="303"/>
      <c r="K37" s="303"/>
      <c r="L37" s="303"/>
      <c r="M37" s="303"/>
      <c r="N37" s="107"/>
      <c r="O37" s="107"/>
      <c r="P37" s="107"/>
      <c r="Q37" s="102"/>
      <c r="R37" s="102"/>
      <c r="S37" s="102"/>
      <c r="T37" s="102"/>
      <c r="U37" s="102"/>
      <c r="V37" s="102"/>
      <c r="W37" s="102"/>
      <c r="X37" s="102"/>
      <c r="Y37" s="102"/>
      <c r="Z37" s="102"/>
      <c r="AA37" s="102"/>
      <c r="AB37" s="102"/>
      <c r="AC37" s="102"/>
      <c r="AD37" s="102"/>
      <c r="AG37" s="108">
        <v>42633</v>
      </c>
    </row>
    <row r="38" spans="2:48" ht="19.5" customHeight="1">
      <c r="C38" s="109"/>
      <c r="D38" s="109"/>
      <c r="E38" s="109"/>
      <c r="F38" s="94"/>
      <c r="G38" s="87"/>
      <c r="H38" s="87"/>
      <c r="I38" s="87"/>
      <c r="J38" s="87"/>
      <c r="K38" s="87"/>
      <c r="L38" s="87"/>
      <c r="M38" s="87"/>
      <c r="N38" s="87"/>
      <c r="O38" s="87"/>
      <c r="P38" s="87"/>
      <c r="Q38" s="87"/>
      <c r="R38" s="87"/>
      <c r="S38" s="87"/>
      <c r="T38" s="87"/>
      <c r="U38" s="87"/>
      <c r="V38" s="87"/>
      <c r="W38" s="87"/>
      <c r="X38" s="87"/>
      <c r="Y38" s="87"/>
      <c r="Z38" s="87"/>
      <c r="AA38" s="87"/>
      <c r="AB38" s="102"/>
      <c r="AC38" s="102"/>
      <c r="AD38" s="102"/>
    </row>
    <row r="39" spans="2:48" ht="17.100000000000001" customHeight="1">
      <c r="C39" s="109"/>
      <c r="D39" s="109"/>
      <c r="E39" s="109"/>
      <c r="F39" s="94"/>
      <c r="G39" s="87"/>
      <c r="H39" s="87"/>
      <c r="I39" s="87"/>
      <c r="J39" s="87"/>
      <c r="K39" s="87"/>
      <c r="L39" s="87"/>
      <c r="M39" s="87"/>
      <c r="N39" s="87"/>
      <c r="O39" s="87"/>
      <c r="P39" s="87"/>
      <c r="Q39" s="87"/>
      <c r="R39" s="87"/>
      <c r="S39" s="87"/>
      <c r="T39" s="304"/>
      <c r="U39" s="304"/>
      <c r="V39" s="304"/>
      <c r="W39" s="304"/>
      <c r="X39" s="304"/>
      <c r="Y39" s="304"/>
      <c r="Z39" s="304"/>
      <c r="AA39" s="304"/>
      <c r="AB39" s="304"/>
      <c r="AC39" s="304"/>
      <c r="AD39" s="304"/>
      <c r="AE39" s="304"/>
    </row>
    <row r="40" spans="2:48" ht="17.100000000000001" customHeight="1">
      <c r="C40" s="109"/>
      <c r="D40" s="109"/>
      <c r="E40" s="109"/>
      <c r="F40" s="94"/>
      <c r="G40" s="87"/>
      <c r="H40" s="87"/>
      <c r="I40" s="87"/>
      <c r="J40" s="87"/>
      <c r="K40" s="87"/>
      <c r="L40" s="87"/>
      <c r="M40" s="87"/>
      <c r="N40" s="87"/>
      <c r="O40" s="87"/>
      <c r="P40" s="103"/>
      <c r="Q40" s="103"/>
      <c r="R40" s="103"/>
      <c r="S40" s="103"/>
      <c r="T40" s="286"/>
      <c r="U40" s="286"/>
      <c r="V40" s="286"/>
      <c r="W40" s="286"/>
      <c r="X40" s="286"/>
      <c r="Y40" s="286"/>
      <c r="Z40" s="286"/>
      <c r="AA40" s="286"/>
      <c r="AB40" s="286"/>
      <c r="AC40" s="286"/>
      <c r="AD40" s="286"/>
      <c r="AE40" s="286"/>
    </row>
    <row r="41" spans="2:48" ht="17.100000000000001" customHeight="1">
      <c r="C41" s="109"/>
      <c r="D41" s="109"/>
      <c r="E41" s="109"/>
      <c r="F41" s="94"/>
      <c r="G41" s="87"/>
      <c r="H41" s="87"/>
      <c r="I41" s="87"/>
      <c r="J41" s="87"/>
      <c r="K41" s="87"/>
      <c r="L41" s="87"/>
      <c r="M41" s="87"/>
      <c r="N41" s="87"/>
      <c r="O41" s="87"/>
      <c r="P41" s="87"/>
      <c r="Q41" s="87"/>
      <c r="R41" s="87"/>
      <c r="S41" s="87"/>
      <c r="T41" s="286" t="str">
        <f>IF(AI41=0,AO41,IF(AI41=1,AK41,AT41))</f>
        <v>Trần Công Khanh</v>
      </c>
      <c r="U41" s="286"/>
      <c r="V41" s="286"/>
      <c r="W41" s="286"/>
      <c r="X41" s="286"/>
      <c r="Y41" s="286"/>
      <c r="Z41" s="286"/>
      <c r="AA41" s="286"/>
      <c r="AB41" s="286"/>
      <c r="AC41" s="286"/>
      <c r="AD41" s="286"/>
      <c r="AE41" s="286"/>
      <c r="AI41" s="84">
        <v>0</v>
      </c>
      <c r="AK41" s="84" t="s">
        <v>132</v>
      </c>
      <c r="AO41" s="84" t="s">
        <v>209</v>
      </c>
      <c r="AT41" s="84" t="s">
        <v>154</v>
      </c>
    </row>
    <row r="42" spans="2:48" ht="16.5">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110"/>
      <c r="AC42" s="110"/>
      <c r="AD42" s="110"/>
    </row>
    <row r="43" spans="2:48" ht="16.5" customHeight="1">
      <c r="B43" s="268" t="s">
        <v>133</v>
      </c>
      <c r="C43" s="268"/>
      <c r="D43" s="268"/>
      <c r="E43" s="268"/>
      <c r="F43" s="268"/>
      <c r="G43" s="268"/>
      <c r="H43" s="269" t="s">
        <v>111</v>
      </c>
      <c r="I43" s="269"/>
      <c r="J43" s="269"/>
      <c r="K43" s="269"/>
      <c r="L43" s="269"/>
      <c r="M43" s="269"/>
      <c r="N43" s="269"/>
      <c r="O43" s="269"/>
      <c r="P43" s="269"/>
      <c r="Q43" s="269"/>
      <c r="R43" s="269"/>
      <c r="S43" s="269"/>
      <c r="T43" s="269"/>
      <c r="U43" s="269"/>
      <c r="V43" s="269"/>
      <c r="W43" s="269"/>
      <c r="X43" s="269"/>
      <c r="Y43" s="269"/>
      <c r="Z43" s="269"/>
      <c r="AA43" s="269"/>
      <c r="AB43" s="269"/>
      <c r="AC43" s="269"/>
      <c r="AD43" s="269"/>
    </row>
    <row r="44" spans="2:48" ht="16.5" customHeight="1">
      <c r="B44" s="268"/>
      <c r="C44" s="268"/>
      <c r="D44" s="268"/>
      <c r="E44" s="268"/>
      <c r="F44" s="268"/>
      <c r="G44" s="268"/>
      <c r="H44" s="269"/>
      <c r="I44" s="269"/>
      <c r="J44" s="269"/>
      <c r="K44" s="269"/>
      <c r="L44" s="269"/>
      <c r="M44" s="269"/>
      <c r="N44" s="269"/>
      <c r="O44" s="269"/>
      <c r="P44" s="269"/>
      <c r="Q44" s="269"/>
      <c r="R44" s="269"/>
      <c r="S44" s="269"/>
      <c r="T44" s="269"/>
      <c r="U44" s="269"/>
      <c r="V44" s="269"/>
      <c r="W44" s="269"/>
      <c r="X44" s="269"/>
      <c r="Y44" s="269"/>
      <c r="Z44" s="269"/>
      <c r="AA44" s="269"/>
      <c r="AB44" s="269"/>
      <c r="AC44" s="269"/>
      <c r="AD44" s="269"/>
    </row>
    <row r="45" spans="2:48" ht="16.5" customHeight="1">
      <c r="B45" s="268"/>
      <c r="C45" s="268"/>
      <c r="D45" s="268"/>
      <c r="E45" s="268"/>
      <c r="F45" s="268"/>
      <c r="G45" s="268"/>
      <c r="H45" s="260" t="s">
        <v>3</v>
      </c>
      <c r="I45" s="260"/>
      <c r="J45" s="260"/>
      <c r="K45" s="260"/>
      <c r="L45" s="260" t="s">
        <v>4</v>
      </c>
      <c r="M45" s="260"/>
      <c r="N45" s="260" t="s">
        <v>134</v>
      </c>
      <c r="O45" s="260"/>
      <c r="P45" s="260"/>
      <c r="Q45" s="260" t="s">
        <v>6</v>
      </c>
      <c r="R45" s="260"/>
      <c r="S45" s="260"/>
      <c r="T45" s="260"/>
      <c r="U45" s="260"/>
      <c r="V45" s="260" t="s">
        <v>135</v>
      </c>
      <c r="W45" s="260"/>
      <c r="X45" s="260"/>
      <c r="Y45" s="260" t="s">
        <v>136</v>
      </c>
      <c r="Z45" s="260"/>
      <c r="AA45" s="260"/>
      <c r="AB45" s="260"/>
      <c r="AC45" s="260"/>
      <c r="AD45" s="260"/>
    </row>
    <row r="46" spans="2:48" ht="16.5" customHeight="1">
      <c r="B46" s="268"/>
      <c r="C46" s="268"/>
      <c r="D46" s="268"/>
      <c r="E46" s="268"/>
      <c r="F46" s="268"/>
      <c r="G46" s="268"/>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2:48" ht="16.5" customHeight="1">
      <c r="B47" s="268"/>
      <c r="C47" s="268"/>
      <c r="D47" s="268"/>
      <c r="E47" s="268"/>
      <c r="F47" s="268"/>
      <c r="G47" s="268"/>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2:48" ht="16.5" customHeight="1">
      <c r="B48" s="268"/>
      <c r="C48" s="268"/>
      <c r="D48" s="268"/>
      <c r="E48" s="268"/>
      <c r="F48" s="268"/>
      <c r="G48" s="268"/>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c r="AG48" s="84">
        <v>33</v>
      </c>
      <c r="AI48" s="84">
        <v>35</v>
      </c>
      <c r="AL48" s="84">
        <v>37</v>
      </c>
      <c r="AO48" s="84">
        <v>39</v>
      </c>
      <c r="AP48" s="84">
        <v>40</v>
      </c>
      <c r="AQ48" s="84">
        <v>41</v>
      </c>
      <c r="AS48" s="84">
        <v>42</v>
      </c>
      <c r="AT48" s="84">
        <v>43</v>
      </c>
      <c r="AU48" s="84">
        <v>44</v>
      </c>
      <c r="AV48" s="84">
        <v>45</v>
      </c>
    </row>
    <row r="49" spans="2:48" ht="18.75" customHeight="1">
      <c r="B49" s="260" t="str">
        <f>AG49</f>
        <v>CÔNG TY CỔ PHẦN VIỄN THÔNG DI ĐỘNG TOÀN CẦU</v>
      </c>
      <c r="C49" s="260"/>
      <c r="D49" s="260"/>
      <c r="E49" s="260"/>
      <c r="F49" s="260"/>
      <c r="G49" s="260"/>
      <c r="H49" s="261" t="str">
        <f>AI49</f>
        <v>TB1</v>
      </c>
      <c r="I49" s="261"/>
      <c r="J49" s="261"/>
      <c r="K49" s="261"/>
      <c r="L49" s="262">
        <v>3</v>
      </c>
      <c r="M49" s="262"/>
      <c r="N49" s="263" t="str">
        <f>AL49</f>
        <v>4/4/4</v>
      </c>
      <c r="O49" s="263"/>
      <c r="P49" s="263"/>
      <c r="Q49" s="260" t="str">
        <f>IF(L49=3,AO49&amp;"W/ "&amp;AP49&amp;"W/ "&amp;AQ49&amp;"W",IF(L49=2,AO49&amp;"W/ "&amp;AP49&amp;"W",AO49&amp;"W"))</f>
        <v>20W/ 30W/ 40W</v>
      </c>
      <c r="R49" s="260"/>
      <c r="S49" s="260"/>
      <c r="T49" s="260"/>
      <c r="U49" s="260"/>
      <c r="V49" s="260" t="str">
        <f>IF(AS49="900 &amp; 1800","900MHz &amp; 1800MHz",IF(AS49="900 &amp; 2100","900MHz &amp; 2100MHz",IF(AS49="1800 &amp; 2100","1800MHz &amp; 2100MHz",AS49&amp;"MHz")))</f>
        <v>900MHz</v>
      </c>
      <c r="W49" s="260"/>
      <c r="X49" s="260"/>
      <c r="Y49" s="260">
        <f>AT49</f>
        <v>15</v>
      </c>
      <c r="Z49" s="260"/>
      <c r="AA49" s="260"/>
      <c r="AB49" s="260"/>
      <c r="AC49" s="260"/>
      <c r="AD49" s="260"/>
      <c r="AG49" s="96" t="s">
        <v>155</v>
      </c>
      <c r="AI49" s="96" t="s">
        <v>137</v>
      </c>
      <c r="AJ49" s="96"/>
      <c r="AL49" s="100" t="s">
        <v>119</v>
      </c>
      <c r="AO49" s="84">
        <v>20</v>
      </c>
      <c r="AP49" s="84">
        <v>30</v>
      </c>
      <c r="AQ49" s="84">
        <v>40</v>
      </c>
      <c r="AS49" s="84">
        <v>900</v>
      </c>
      <c r="AT49" s="84">
        <v>15</v>
      </c>
      <c r="AU49" s="84">
        <v>16</v>
      </c>
      <c r="AV49" s="84">
        <v>17</v>
      </c>
    </row>
    <row r="50" spans="2:48" ht="18.75" customHeight="1">
      <c r="B50" s="260"/>
      <c r="C50" s="260"/>
      <c r="D50" s="260"/>
      <c r="E50" s="260"/>
      <c r="F50" s="260"/>
      <c r="G50" s="260"/>
      <c r="H50" s="261"/>
      <c r="I50" s="261"/>
      <c r="J50" s="261"/>
      <c r="K50" s="261"/>
      <c r="L50" s="262"/>
      <c r="M50" s="262"/>
      <c r="N50" s="263"/>
      <c r="O50" s="263"/>
      <c r="P50" s="263"/>
      <c r="Q50" s="260"/>
      <c r="R50" s="260"/>
      <c r="S50" s="260"/>
      <c r="T50" s="260"/>
      <c r="U50" s="260"/>
      <c r="V50" s="260"/>
      <c r="W50" s="260"/>
      <c r="X50" s="260"/>
      <c r="Y50" s="260"/>
      <c r="Z50" s="260"/>
      <c r="AA50" s="260"/>
      <c r="AB50" s="260"/>
      <c r="AC50" s="260"/>
      <c r="AD50" s="260"/>
    </row>
    <row r="51" spans="2:48" ht="18.75" customHeight="1">
      <c r="B51" s="260"/>
      <c r="C51" s="260"/>
      <c r="D51" s="260"/>
      <c r="E51" s="260"/>
      <c r="F51" s="260"/>
      <c r="G51" s="260"/>
      <c r="H51" s="261"/>
      <c r="I51" s="261"/>
      <c r="J51" s="261"/>
      <c r="K51" s="261"/>
      <c r="L51" s="262"/>
      <c r="M51" s="262"/>
      <c r="N51" s="263"/>
      <c r="O51" s="263"/>
      <c r="P51" s="263"/>
      <c r="Q51" s="260"/>
      <c r="R51" s="260"/>
      <c r="S51" s="260"/>
      <c r="T51" s="260"/>
      <c r="U51" s="260"/>
      <c r="V51" s="260"/>
      <c r="W51" s="260"/>
      <c r="X51" s="260"/>
      <c r="Y51" s="260"/>
      <c r="Z51" s="260"/>
      <c r="AA51" s="260"/>
      <c r="AB51" s="260"/>
      <c r="AC51" s="260"/>
      <c r="AD51" s="260"/>
    </row>
    <row r="52" spans="2:48" ht="18.75" customHeight="1">
      <c r="B52" s="260"/>
      <c r="C52" s="260"/>
      <c r="D52" s="260"/>
      <c r="E52" s="260"/>
      <c r="F52" s="260"/>
      <c r="G52" s="260"/>
      <c r="H52" s="261"/>
      <c r="I52" s="261"/>
      <c r="J52" s="261"/>
      <c r="K52" s="261"/>
      <c r="L52" s="262"/>
      <c r="M52" s="262"/>
      <c r="N52" s="263"/>
      <c r="O52" s="263"/>
      <c r="P52" s="263"/>
      <c r="Q52" s="260"/>
      <c r="R52" s="260"/>
      <c r="S52" s="260"/>
      <c r="T52" s="260"/>
      <c r="U52" s="260"/>
      <c r="V52" s="260"/>
      <c r="W52" s="260"/>
      <c r="X52" s="260"/>
      <c r="Y52" s="260"/>
      <c r="Z52" s="260"/>
      <c r="AA52" s="260"/>
      <c r="AB52" s="260"/>
      <c r="AC52" s="260"/>
      <c r="AD52" s="260"/>
    </row>
    <row r="53" spans="2:48" ht="18.75" customHeight="1">
      <c r="B53" s="260" t="str">
        <f t="shared" ref="B53" si="0">AG53</f>
        <v>CÔNG TY CỔ PHẦN VIỄN THÔNG DI ĐỘNG TOÀN CẦU</v>
      </c>
      <c r="C53" s="260"/>
      <c r="D53" s="260"/>
      <c r="E53" s="260"/>
      <c r="F53" s="260"/>
      <c r="G53" s="260"/>
      <c r="H53" s="261" t="str">
        <f>AI53</f>
        <v>TB1</v>
      </c>
      <c r="I53" s="261"/>
      <c r="J53" s="261"/>
      <c r="K53" s="261"/>
      <c r="L53" s="262">
        <v>2</v>
      </c>
      <c r="M53" s="262"/>
      <c r="N53" s="263" t="str">
        <f>AL53</f>
        <v>4/4/4</v>
      </c>
      <c r="O53" s="263"/>
      <c r="P53" s="263"/>
      <c r="Q53" s="260" t="str">
        <f t="shared" ref="Q53" si="1">IF(L53=3,AO53&amp;"W/ "&amp;AP53&amp;"W/ "&amp;AQ53&amp;"W",IF(L53=2,AO53&amp;"W/ "&amp;AP53&amp;"W",AO53&amp;"W"))</f>
        <v>20W/ 30W</v>
      </c>
      <c r="R53" s="260"/>
      <c r="S53" s="260"/>
      <c r="T53" s="260"/>
      <c r="U53" s="260"/>
      <c r="V53" s="260" t="str">
        <f>IF(AS53="900 &amp; 1800","900MHz &amp; 1800MHz",IF(AS53="900 &amp; 2100","900MHz &amp; 2100MHz",IF(AS53="1800 &amp; 2100","1800MHz &amp; 2100MHz",AS53&amp;"MHz")))</f>
        <v>1800MHz</v>
      </c>
      <c r="W53" s="260"/>
      <c r="X53" s="260"/>
      <c r="Y53" s="260">
        <f>AT53</f>
        <v>15</v>
      </c>
      <c r="Z53" s="260"/>
      <c r="AA53" s="260"/>
      <c r="AB53" s="260"/>
      <c r="AC53" s="260"/>
      <c r="AD53" s="260"/>
      <c r="AG53" s="96" t="s">
        <v>155</v>
      </c>
      <c r="AI53" s="96" t="s">
        <v>137</v>
      </c>
      <c r="AJ53" s="96"/>
      <c r="AL53" s="100" t="s">
        <v>119</v>
      </c>
      <c r="AO53" s="84">
        <v>20</v>
      </c>
      <c r="AP53" s="84">
        <v>30</v>
      </c>
      <c r="AQ53" s="84">
        <v>40</v>
      </c>
      <c r="AS53" s="84">
        <v>1800</v>
      </c>
      <c r="AT53" s="84">
        <v>15</v>
      </c>
      <c r="AU53" s="84">
        <v>16</v>
      </c>
      <c r="AV53" s="84">
        <v>17</v>
      </c>
    </row>
    <row r="54" spans="2:48" ht="18.75" customHeight="1">
      <c r="B54" s="260"/>
      <c r="C54" s="260"/>
      <c r="D54" s="260"/>
      <c r="E54" s="260"/>
      <c r="F54" s="260"/>
      <c r="G54" s="260"/>
      <c r="H54" s="261"/>
      <c r="I54" s="261"/>
      <c r="J54" s="261"/>
      <c r="K54" s="261"/>
      <c r="L54" s="262"/>
      <c r="M54" s="262"/>
      <c r="N54" s="263"/>
      <c r="O54" s="263"/>
      <c r="P54" s="263"/>
      <c r="Q54" s="260"/>
      <c r="R54" s="260"/>
      <c r="S54" s="260"/>
      <c r="T54" s="260"/>
      <c r="U54" s="260"/>
      <c r="V54" s="260"/>
      <c r="W54" s="260"/>
      <c r="X54" s="260"/>
      <c r="Y54" s="260"/>
      <c r="Z54" s="260"/>
      <c r="AA54" s="260"/>
      <c r="AB54" s="260"/>
      <c r="AC54" s="260"/>
      <c r="AD54" s="260"/>
      <c r="AG54" s="96"/>
      <c r="AI54" s="96"/>
      <c r="AJ54" s="96"/>
      <c r="AL54" s="100"/>
    </row>
    <row r="55" spans="2:48" ht="18.75" customHeight="1">
      <c r="B55" s="260"/>
      <c r="C55" s="260"/>
      <c r="D55" s="260"/>
      <c r="E55" s="260"/>
      <c r="F55" s="260"/>
      <c r="G55" s="260"/>
      <c r="H55" s="261"/>
      <c r="I55" s="261"/>
      <c r="J55" s="261"/>
      <c r="K55" s="261"/>
      <c r="L55" s="262"/>
      <c r="M55" s="262"/>
      <c r="N55" s="263"/>
      <c r="O55" s="263"/>
      <c r="P55" s="263"/>
      <c r="Q55" s="260"/>
      <c r="R55" s="260"/>
      <c r="S55" s="260"/>
      <c r="T55" s="260"/>
      <c r="U55" s="260"/>
      <c r="V55" s="260"/>
      <c r="W55" s="260"/>
      <c r="X55" s="260"/>
      <c r="Y55" s="260"/>
      <c r="Z55" s="260"/>
      <c r="AA55" s="260"/>
      <c r="AB55" s="260"/>
      <c r="AC55" s="260"/>
      <c r="AD55" s="260"/>
    </row>
    <row r="56" spans="2:48" ht="18.75" customHeight="1">
      <c r="B56" s="260"/>
      <c r="C56" s="260"/>
      <c r="D56" s="260"/>
      <c r="E56" s="260"/>
      <c r="F56" s="260"/>
      <c r="G56" s="260"/>
      <c r="H56" s="261"/>
      <c r="I56" s="261"/>
      <c r="J56" s="261"/>
      <c r="K56" s="261"/>
      <c r="L56" s="262"/>
      <c r="M56" s="262"/>
      <c r="N56" s="263"/>
      <c r="O56" s="263"/>
      <c r="P56" s="263"/>
      <c r="Q56" s="260"/>
      <c r="R56" s="260"/>
      <c r="S56" s="260"/>
      <c r="T56" s="260"/>
      <c r="U56" s="260"/>
      <c r="V56" s="260"/>
      <c r="W56" s="260"/>
      <c r="X56" s="260"/>
      <c r="Y56" s="260"/>
      <c r="Z56" s="260"/>
      <c r="AA56" s="260"/>
      <c r="AB56" s="260"/>
      <c r="AC56" s="260"/>
      <c r="AD56" s="260"/>
    </row>
    <row r="57" spans="2:48" ht="18.75" customHeight="1">
      <c r="B57" s="260" t="str">
        <f t="shared" ref="B57" si="2">AG57</f>
        <v>CÔNG TY CỔ PHẦN VIỄN THÔNG DI ĐỘNG TOÀN CẦU</v>
      </c>
      <c r="C57" s="260"/>
      <c r="D57" s="260"/>
      <c r="E57" s="260"/>
      <c r="F57" s="260"/>
      <c r="G57" s="260"/>
      <c r="H57" s="261" t="str">
        <f>AI57</f>
        <v>TB1</v>
      </c>
      <c r="I57" s="261"/>
      <c r="J57" s="261"/>
      <c r="K57" s="261"/>
      <c r="L57" s="262">
        <v>2</v>
      </c>
      <c r="M57" s="262"/>
      <c r="N57" s="263" t="str">
        <f t="shared" ref="N57" si="3">AL57</f>
        <v>4/4/4</v>
      </c>
      <c r="O57" s="263"/>
      <c r="P57" s="263"/>
      <c r="Q57" s="260" t="str">
        <f t="shared" ref="Q57" si="4">IF(L57=3,AO57&amp;"W/ "&amp;AP57&amp;"W/ "&amp;AQ57&amp;"W",IF(L57=2,AO57&amp;"W/ "&amp;AP57&amp;"W",AO57&amp;"W"))</f>
        <v>20W/ 30W</v>
      </c>
      <c r="R57" s="260"/>
      <c r="S57" s="260"/>
      <c r="T57" s="260"/>
      <c r="U57" s="260"/>
      <c r="V57" s="260" t="str">
        <f>IF(AS57="900 &amp; 1800","900MHz &amp; 1800MHz",IF(AS57="900 &amp; 2100","900MHz &amp; 2100MHz",IF(AS57="1800 &amp; 2100","1800MHz &amp; 2100MHz",AS57&amp;"MHz")))</f>
        <v>9000 &amp; 1800MHz</v>
      </c>
      <c r="W57" s="260"/>
      <c r="X57" s="260"/>
      <c r="Y57" s="260">
        <f>AT57</f>
        <v>15</v>
      </c>
      <c r="Z57" s="260"/>
      <c r="AA57" s="260"/>
      <c r="AB57" s="260"/>
      <c r="AC57" s="260"/>
      <c r="AD57" s="260"/>
      <c r="AG57" s="96" t="s">
        <v>155</v>
      </c>
      <c r="AI57" s="96" t="s">
        <v>137</v>
      </c>
      <c r="AJ57" s="96"/>
      <c r="AL57" s="100" t="s">
        <v>119</v>
      </c>
      <c r="AO57" s="84">
        <v>20</v>
      </c>
      <c r="AP57" s="84">
        <v>30</v>
      </c>
      <c r="AQ57" s="84">
        <v>40</v>
      </c>
      <c r="AS57" s="84" t="s">
        <v>205</v>
      </c>
      <c r="AT57" s="84">
        <v>15</v>
      </c>
      <c r="AU57" s="84">
        <v>16</v>
      </c>
      <c r="AV57" s="84">
        <v>17</v>
      </c>
    </row>
    <row r="58" spans="2:48" ht="18.75" customHeight="1">
      <c r="B58" s="260"/>
      <c r="C58" s="260"/>
      <c r="D58" s="260"/>
      <c r="E58" s="260"/>
      <c r="F58" s="260"/>
      <c r="G58" s="260"/>
      <c r="H58" s="261"/>
      <c r="I58" s="261"/>
      <c r="J58" s="261"/>
      <c r="K58" s="261"/>
      <c r="L58" s="262"/>
      <c r="M58" s="262"/>
      <c r="N58" s="263"/>
      <c r="O58" s="263"/>
      <c r="P58" s="263"/>
      <c r="Q58" s="260"/>
      <c r="R58" s="260"/>
      <c r="S58" s="260"/>
      <c r="T58" s="260"/>
      <c r="U58" s="260"/>
      <c r="V58" s="260"/>
      <c r="W58" s="260"/>
      <c r="X58" s="260"/>
      <c r="Y58" s="260"/>
      <c r="Z58" s="260"/>
      <c r="AA58" s="260"/>
      <c r="AB58" s="260"/>
      <c r="AC58" s="260"/>
      <c r="AD58" s="260"/>
      <c r="AG58" s="96"/>
      <c r="AI58" s="96"/>
      <c r="AJ58" s="96"/>
      <c r="AL58" s="100"/>
    </row>
    <row r="59" spans="2:48" ht="18.75" customHeight="1">
      <c r="B59" s="260"/>
      <c r="C59" s="260"/>
      <c r="D59" s="260"/>
      <c r="E59" s="260"/>
      <c r="F59" s="260"/>
      <c r="G59" s="260"/>
      <c r="H59" s="261"/>
      <c r="I59" s="261"/>
      <c r="J59" s="261"/>
      <c r="K59" s="261"/>
      <c r="L59" s="262"/>
      <c r="M59" s="262"/>
      <c r="N59" s="263"/>
      <c r="O59" s="263"/>
      <c r="P59" s="263"/>
      <c r="Q59" s="260"/>
      <c r="R59" s="260"/>
      <c r="S59" s="260"/>
      <c r="T59" s="260"/>
      <c r="U59" s="260"/>
      <c r="V59" s="260"/>
      <c r="W59" s="260"/>
      <c r="X59" s="260"/>
      <c r="Y59" s="260"/>
      <c r="Z59" s="260"/>
      <c r="AA59" s="260"/>
      <c r="AB59" s="260"/>
      <c r="AC59" s="260"/>
      <c r="AD59" s="260"/>
    </row>
    <row r="60" spans="2:48" ht="18.75" customHeight="1">
      <c r="B60" s="260"/>
      <c r="C60" s="260"/>
      <c r="D60" s="260"/>
      <c r="E60" s="260"/>
      <c r="F60" s="260"/>
      <c r="G60" s="260"/>
      <c r="H60" s="261"/>
      <c r="I60" s="261"/>
      <c r="J60" s="261"/>
      <c r="K60" s="261"/>
      <c r="L60" s="262"/>
      <c r="M60" s="262"/>
      <c r="N60" s="263"/>
      <c r="O60" s="263"/>
      <c r="P60" s="263"/>
      <c r="Q60" s="260"/>
      <c r="R60" s="260"/>
      <c r="S60" s="260"/>
      <c r="T60" s="260"/>
      <c r="U60" s="260"/>
      <c r="V60" s="260"/>
      <c r="W60" s="260"/>
      <c r="X60" s="260"/>
      <c r="Y60" s="260"/>
      <c r="Z60" s="260"/>
      <c r="AA60" s="260"/>
      <c r="AB60" s="260"/>
      <c r="AC60" s="260"/>
      <c r="AD60" s="260"/>
    </row>
    <row r="61" spans="2:48" ht="18.75" customHeight="1">
      <c r="B61" s="260" t="str">
        <f t="shared" ref="B61" si="5">AG61</f>
        <v>CÔNG TY CỔ PHẦN VIỄN THÔNG DI ĐỘNG TOÀN CẦU</v>
      </c>
      <c r="C61" s="260"/>
      <c r="D61" s="260"/>
      <c r="E61" s="260"/>
      <c r="F61" s="260"/>
      <c r="G61" s="260"/>
      <c r="H61" s="261" t="str">
        <f>AI61</f>
        <v>TB1</v>
      </c>
      <c r="I61" s="261"/>
      <c r="J61" s="261"/>
      <c r="K61" s="261"/>
      <c r="L61" s="262">
        <v>3</v>
      </c>
      <c r="M61" s="262"/>
      <c r="N61" s="263" t="str">
        <f t="shared" ref="N61" si="6">AL61</f>
        <v>4/4/4</v>
      </c>
      <c r="O61" s="263"/>
      <c r="P61" s="263"/>
      <c r="Q61" s="260" t="str">
        <f>IF(L61=3,AO61&amp;"W/ "&amp;AP61&amp;"W/ "&amp;AQ61&amp;"W",IF(L61=2,AO61&amp;"W/ "&amp;AP61&amp;"W",AO61&amp;"W"))</f>
        <v>20W/ 30W/ 40W</v>
      </c>
      <c r="R61" s="260"/>
      <c r="S61" s="260"/>
      <c r="T61" s="260"/>
      <c r="U61" s="260"/>
      <c r="V61" s="260" t="str">
        <f>IF(AS61="900 &amp; 1800","900MHz &amp; 1800MHz",IF(AS61="900 &amp; 2100","900MHz &amp; 2100MHz",IF(AS61="1800 &amp; 2100","1800MHz &amp; 2100MHz",AS61&amp;"MHz")))</f>
        <v>9000 &amp; 2100MHz</v>
      </c>
      <c r="W61" s="260"/>
      <c r="X61" s="260"/>
      <c r="Y61" s="260">
        <f>AT61</f>
        <v>15</v>
      </c>
      <c r="Z61" s="260"/>
      <c r="AA61" s="260"/>
      <c r="AB61" s="260"/>
      <c r="AC61" s="260"/>
      <c r="AD61" s="260"/>
      <c r="AG61" s="96" t="s">
        <v>155</v>
      </c>
      <c r="AI61" s="96" t="s">
        <v>137</v>
      </c>
      <c r="AJ61" s="96"/>
      <c r="AL61" s="100" t="s">
        <v>119</v>
      </c>
      <c r="AO61" s="84">
        <v>20</v>
      </c>
      <c r="AP61" s="84">
        <v>30</v>
      </c>
      <c r="AQ61" s="84">
        <v>40</v>
      </c>
      <c r="AS61" s="84" t="s">
        <v>206</v>
      </c>
      <c r="AT61" s="84">
        <v>15</v>
      </c>
      <c r="AU61" s="84">
        <v>16</v>
      </c>
      <c r="AV61" s="84">
        <v>17</v>
      </c>
    </row>
    <row r="62" spans="2:48" ht="18.75" customHeight="1">
      <c r="B62" s="260"/>
      <c r="C62" s="260"/>
      <c r="D62" s="260"/>
      <c r="E62" s="260"/>
      <c r="F62" s="260"/>
      <c r="G62" s="260"/>
      <c r="H62" s="261"/>
      <c r="I62" s="261"/>
      <c r="J62" s="261"/>
      <c r="K62" s="261"/>
      <c r="L62" s="262"/>
      <c r="M62" s="262"/>
      <c r="N62" s="263"/>
      <c r="O62" s="263"/>
      <c r="P62" s="263"/>
      <c r="Q62" s="260"/>
      <c r="R62" s="260"/>
      <c r="S62" s="260"/>
      <c r="T62" s="260"/>
      <c r="U62" s="260"/>
      <c r="V62" s="260"/>
      <c r="W62" s="260"/>
      <c r="X62" s="260"/>
      <c r="Y62" s="260"/>
      <c r="Z62" s="260"/>
      <c r="AA62" s="260"/>
      <c r="AB62" s="260"/>
      <c r="AC62" s="260"/>
      <c r="AD62" s="260"/>
      <c r="AG62" s="96"/>
      <c r="AI62" s="96"/>
      <c r="AJ62" s="96"/>
      <c r="AL62" s="100"/>
    </row>
    <row r="63" spans="2:48" ht="18.75" customHeight="1">
      <c r="B63" s="260"/>
      <c r="C63" s="260"/>
      <c r="D63" s="260"/>
      <c r="E63" s="260"/>
      <c r="F63" s="260"/>
      <c r="G63" s="260"/>
      <c r="H63" s="261"/>
      <c r="I63" s="261"/>
      <c r="J63" s="261"/>
      <c r="K63" s="261"/>
      <c r="L63" s="262"/>
      <c r="M63" s="262"/>
      <c r="N63" s="263"/>
      <c r="O63" s="263"/>
      <c r="P63" s="263"/>
      <c r="Q63" s="260"/>
      <c r="R63" s="260"/>
      <c r="S63" s="260"/>
      <c r="T63" s="260"/>
      <c r="U63" s="260"/>
      <c r="V63" s="260"/>
      <c r="W63" s="260"/>
      <c r="X63" s="260"/>
      <c r="Y63" s="260"/>
      <c r="Z63" s="260"/>
      <c r="AA63" s="260"/>
      <c r="AB63" s="260"/>
      <c r="AC63" s="260"/>
      <c r="AD63" s="260"/>
    </row>
    <row r="64" spans="2:48" ht="18.75" customHeight="1">
      <c r="B64" s="260"/>
      <c r="C64" s="260"/>
      <c r="D64" s="260"/>
      <c r="E64" s="260"/>
      <c r="F64" s="260"/>
      <c r="G64" s="260"/>
      <c r="H64" s="261"/>
      <c r="I64" s="261"/>
      <c r="J64" s="261"/>
      <c r="K64" s="261"/>
      <c r="L64" s="262"/>
      <c r="M64" s="262"/>
      <c r="N64" s="263"/>
      <c r="O64" s="263"/>
      <c r="P64" s="263"/>
      <c r="Q64" s="260"/>
      <c r="R64" s="260"/>
      <c r="S64" s="260"/>
      <c r="T64" s="260"/>
      <c r="U64" s="260"/>
      <c r="V64" s="260"/>
      <c r="W64" s="260"/>
      <c r="X64" s="260"/>
      <c r="Y64" s="260"/>
      <c r="Z64" s="260"/>
      <c r="AA64" s="260"/>
      <c r="AB64" s="260"/>
      <c r="AC64" s="260"/>
      <c r="AD64" s="260"/>
    </row>
    <row r="65" spans="2:48" ht="18.75" customHeight="1">
      <c r="B65" s="260" t="str">
        <f t="shared" ref="B65" si="7">AG65</f>
        <v>CÔNG TY CỔ PHẦN VIỄN THÔNG DI ĐỘNG TOÀN CẦU</v>
      </c>
      <c r="C65" s="260"/>
      <c r="D65" s="260"/>
      <c r="E65" s="260"/>
      <c r="F65" s="260"/>
      <c r="G65" s="260"/>
      <c r="H65" s="261" t="str">
        <f>AI65</f>
        <v>TB1</v>
      </c>
      <c r="I65" s="261"/>
      <c r="J65" s="261"/>
      <c r="K65" s="261"/>
      <c r="L65" s="262">
        <v>1</v>
      </c>
      <c r="M65" s="262"/>
      <c r="N65" s="263" t="str">
        <f t="shared" ref="N65" si="8">AL65</f>
        <v>4/4/4</v>
      </c>
      <c r="O65" s="263"/>
      <c r="P65" s="263"/>
      <c r="Q65" s="260" t="str">
        <f t="shared" ref="Q65" si="9">IF(L65=3,AO65&amp;"W/ "&amp;AP65&amp;"W/ "&amp;AQ65&amp;"W",IF(L65=2,AO65&amp;"W/ "&amp;AP65&amp;"W",AO65&amp;"W"))</f>
        <v>20W</v>
      </c>
      <c r="R65" s="260"/>
      <c r="S65" s="260"/>
      <c r="T65" s="260"/>
      <c r="U65" s="260"/>
      <c r="V65" s="260" t="str">
        <f>IF(AS65="900 &amp; 1800","900MHz &amp; 1800MHz",IF(AS65="900 &amp; 2100","900MHz &amp; 2100MHz",IF(AS65="1800 &amp; 2100","1800MHz &amp; 2100MHz",AS65&amp;"MHz")))</f>
        <v>1800MHz &amp; 2100MHz</v>
      </c>
      <c r="W65" s="260"/>
      <c r="X65" s="260"/>
      <c r="Y65" s="260">
        <f>AT65</f>
        <v>15</v>
      </c>
      <c r="Z65" s="260"/>
      <c r="AA65" s="260"/>
      <c r="AB65" s="260"/>
      <c r="AC65" s="260"/>
      <c r="AD65" s="260"/>
      <c r="AG65" s="96" t="s">
        <v>155</v>
      </c>
      <c r="AI65" s="96" t="s">
        <v>137</v>
      </c>
      <c r="AJ65" s="96"/>
      <c r="AL65" s="100" t="s">
        <v>119</v>
      </c>
      <c r="AO65" s="84">
        <v>20</v>
      </c>
      <c r="AP65" s="84">
        <v>30</v>
      </c>
      <c r="AQ65" s="84">
        <v>40</v>
      </c>
      <c r="AS65" s="84" t="s">
        <v>207</v>
      </c>
      <c r="AT65" s="84">
        <v>15</v>
      </c>
      <c r="AU65" s="84">
        <v>16</v>
      </c>
      <c r="AV65" s="84">
        <v>17</v>
      </c>
    </row>
    <row r="66" spans="2:48" ht="18.75" customHeight="1">
      <c r="B66" s="260"/>
      <c r="C66" s="260"/>
      <c r="D66" s="260"/>
      <c r="E66" s="260"/>
      <c r="F66" s="260"/>
      <c r="G66" s="260"/>
      <c r="H66" s="261"/>
      <c r="I66" s="261"/>
      <c r="J66" s="261"/>
      <c r="K66" s="261"/>
      <c r="L66" s="262"/>
      <c r="M66" s="262"/>
      <c r="N66" s="263"/>
      <c r="O66" s="263"/>
      <c r="P66" s="263"/>
      <c r="Q66" s="260"/>
      <c r="R66" s="260"/>
      <c r="S66" s="260"/>
      <c r="T66" s="260"/>
      <c r="U66" s="260"/>
      <c r="V66" s="260"/>
      <c r="W66" s="260"/>
      <c r="X66" s="260"/>
      <c r="Y66" s="260"/>
      <c r="Z66" s="260"/>
      <c r="AA66" s="260"/>
      <c r="AB66" s="260"/>
      <c r="AC66" s="260"/>
      <c r="AD66" s="260"/>
    </row>
    <row r="67" spans="2:48" ht="18.75" customHeight="1">
      <c r="B67" s="260"/>
      <c r="C67" s="260"/>
      <c r="D67" s="260"/>
      <c r="E67" s="260"/>
      <c r="F67" s="260"/>
      <c r="G67" s="260"/>
      <c r="H67" s="261"/>
      <c r="I67" s="261"/>
      <c r="J67" s="261"/>
      <c r="K67" s="261"/>
      <c r="L67" s="262"/>
      <c r="M67" s="262"/>
      <c r="N67" s="263"/>
      <c r="O67" s="263"/>
      <c r="P67" s="263"/>
      <c r="Q67" s="260"/>
      <c r="R67" s="260"/>
      <c r="S67" s="260"/>
      <c r="T67" s="260"/>
      <c r="U67" s="260"/>
      <c r="V67" s="260"/>
      <c r="W67" s="260"/>
      <c r="X67" s="260"/>
      <c r="Y67" s="260"/>
      <c r="Z67" s="260"/>
      <c r="AA67" s="260"/>
      <c r="AB67" s="260"/>
      <c r="AC67" s="260"/>
      <c r="AD67" s="260"/>
    </row>
    <row r="68" spans="2:48" ht="18.75" customHeight="1">
      <c r="B68" s="260"/>
      <c r="C68" s="260"/>
      <c r="D68" s="260"/>
      <c r="E68" s="260"/>
      <c r="F68" s="260"/>
      <c r="G68" s="260"/>
      <c r="H68" s="261"/>
      <c r="I68" s="261"/>
      <c r="J68" s="261"/>
      <c r="K68" s="261"/>
      <c r="L68" s="262"/>
      <c r="M68" s="262"/>
      <c r="N68" s="263"/>
      <c r="O68" s="263"/>
      <c r="P68" s="263"/>
      <c r="Q68" s="260"/>
      <c r="R68" s="260"/>
      <c r="S68" s="260"/>
      <c r="T68" s="260"/>
      <c r="U68" s="260"/>
      <c r="V68" s="260"/>
      <c r="W68" s="260"/>
      <c r="X68" s="260"/>
      <c r="Y68" s="260"/>
      <c r="Z68" s="260"/>
      <c r="AA68" s="260"/>
      <c r="AB68" s="260"/>
      <c r="AC68" s="260"/>
      <c r="AD68" s="260"/>
    </row>
    <row r="69" spans="2:48" ht="18.75" customHeight="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row>
    <row r="70" spans="2:48" ht="18.75" customHeight="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row>
    <row r="71" spans="2:48" ht="18.75" customHeight="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row>
    <row r="72" spans="2:48" ht="18.75" customHeight="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row>
    <row r="73" spans="2:48" ht="18.75" customHeight="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row>
    <row r="74" spans="2:48" ht="18.75" customHeight="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row>
    <row r="75" spans="2:48" ht="18.75" customHeight="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row>
    <row r="76" spans="2:48" ht="18.75" customHeight="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row>
    <row r="77" spans="2:48" ht="18.75" customHeight="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row>
    <row r="78" spans="2:48" ht="18.75" customHeight="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row>
    <row r="79" spans="2:48" ht="18.75" customHeight="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row>
    <row r="80" spans="2:48" ht="18.75" customHeight="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row>
    <row r="81" spans="3:30" ht="18.75" customHeight="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row>
    <row r="82" spans="3:30" ht="18.75" customHeight="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row>
    <row r="83" spans="3:30" ht="18.75" customHeight="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row>
    <row r="84" spans="3:30" ht="18.75" customHeight="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row>
    <row r="85" spans="3:30" ht="18.75" customHeight="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row>
    <row r="86" spans="3:30" ht="18.75" customHeight="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row>
    <row r="87" spans="3:30" ht="18.75" customHeight="1">
      <c r="C87" s="111"/>
      <c r="D87" s="111"/>
      <c r="E87" s="111"/>
      <c r="F87" s="111"/>
      <c r="G87" s="111"/>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row>
    <row r="88" spans="3:30" ht="18.75" customHeight="1">
      <c r="C88" s="111"/>
      <c r="D88" s="111"/>
      <c r="E88" s="111"/>
      <c r="F88" s="111"/>
      <c r="G88" s="111"/>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row>
    <row r="89" spans="3:30" ht="18.75" customHeight="1">
      <c r="C89" s="111"/>
      <c r="D89" s="111"/>
      <c r="E89" s="111"/>
      <c r="F89" s="111"/>
      <c r="G89" s="111"/>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row>
    <row r="90" spans="3:30" ht="18.75" customHeight="1">
      <c r="C90" s="111"/>
      <c r="D90" s="111"/>
      <c r="E90" s="111"/>
      <c r="F90" s="111"/>
      <c r="G90" s="111"/>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row>
    <row r="91" spans="3:30" ht="18.75" customHeight="1">
      <c r="C91" s="111"/>
      <c r="D91" s="111"/>
      <c r="E91" s="111"/>
      <c r="F91" s="111"/>
      <c r="G91" s="111"/>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row>
    <row r="92" spans="3:30">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row>
    <row r="93" spans="3:30">
      <c r="C93" s="111"/>
      <c r="D93" s="111"/>
      <c r="E93" s="111"/>
      <c r="F93" s="111"/>
      <c r="G93" s="111"/>
      <c r="H93" s="111"/>
      <c r="I93" s="111"/>
      <c r="J93" s="111"/>
      <c r="K93" s="111"/>
      <c r="L93" s="111"/>
      <c r="M93" s="111"/>
      <c r="N93" s="111"/>
      <c r="O93" s="111"/>
      <c r="P93" s="111"/>
      <c r="Q93" s="111"/>
      <c r="R93" s="111"/>
      <c r="S93" s="111"/>
      <c r="T93" s="111"/>
      <c r="U93" s="111"/>
      <c r="V93" s="111"/>
      <c r="W93" s="111"/>
      <c r="X93" s="111"/>
      <c r="Y93" s="111"/>
      <c r="Z93" s="111"/>
      <c r="AA93" s="111"/>
      <c r="AB93" s="111"/>
      <c r="AC93" s="111"/>
      <c r="AD93" s="111"/>
    </row>
    <row r="94" spans="3:30">
      <c r="C94" s="111"/>
      <c r="D94" s="111"/>
      <c r="E94" s="111"/>
      <c r="F94" s="111"/>
      <c r="G94" s="111"/>
      <c r="H94" s="111"/>
      <c r="I94" s="111"/>
      <c r="J94" s="111"/>
      <c r="K94" s="111"/>
      <c r="L94" s="111"/>
      <c r="M94" s="111"/>
      <c r="N94" s="111"/>
      <c r="O94" s="111"/>
      <c r="P94" s="111"/>
      <c r="Q94" s="111"/>
      <c r="R94" s="111"/>
      <c r="S94" s="111"/>
      <c r="T94" s="111"/>
      <c r="U94" s="111"/>
      <c r="V94" s="111"/>
      <c r="W94" s="111"/>
      <c r="X94" s="111"/>
      <c r="Y94" s="111"/>
      <c r="Z94" s="111"/>
      <c r="AA94" s="111"/>
      <c r="AB94" s="111"/>
      <c r="AC94" s="111"/>
      <c r="AD94" s="111"/>
    </row>
    <row r="95" spans="3:30">
      <c r="C95" s="111"/>
      <c r="D95" s="111"/>
      <c r="E95" s="111"/>
      <c r="F95" s="111"/>
      <c r="G95" s="111"/>
      <c r="H95" s="111"/>
      <c r="I95" s="111"/>
      <c r="J95" s="111"/>
      <c r="K95" s="111"/>
      <c r="L95" s="111"/>
      <c r="M95" s="111"/>
      <c r="N95" s="111"/>
      <c r="O95" s="111"/>
      <c r="P95" s="111"/>
      <c r="Q95" s="111"/>
      <c r="R95" s="111"/>
      <c r="S95" s="111"/>
      <c r="T95" s="111"/>
      <c r="U95" s="111"/>
      <c r="V95" s="111"/>
      <c r="W95" s="111"/>
      <c r="X95" s="111"/>
      <c r="Y95" s="111"/>
      <c r="Z95" s="111"/>
      <c r="AA95" s="111"/>
      <c r="AB95" s="111"/>
      <c r="AC95" s="111"/>
      <c r="AD95" s="111"/>
    </row>
    <row r="96" spans="3:30">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row>
    <row r="97" spans="3:30">
      <c r="C97" s="111"/>
      <c r="D97" s="111"/>
      <c r="E97" s="111"/>
      <c r="F97" s="111"/>
      <c r="G97" s="111"/>
      <c r="H97" s="111"/>
      <c r="I97" s="111"/>
      <c r="J97" s="111"/>
      <c r="K97" s="111"/>
      <c r="L97" s="111"/>
      <c r="M97" s="111"/>
      <c r="N97" s="111"/>
      <c r="O97" s="111"/>
      <c r="P97" s="111"/>
      <c r="Q97" s="111"/>
      <c r="R97" s="111"/>
      <c r="S97" s="111"/>
      <c r="T97" s="111"/>
      <c r="U97" s="111"/>
      <c r="V97" s="111"/>
      <c r="W97" s="111"/>
      <c r="X97" s="111"/>
      <c r="Y97" s="111"/>
      <c r="Z97" s="111"/>
      <c r="AA97" s="111"/>
      <c r="AB97" s="111"/>
      <c r="AC97" s="111"/>
      <c r="AD97" s="111"/>
    </row>
    <row r="98" spans="3:30">
      <c r="C98" s="111"/>
      <c r="D98" s="111"/>
      <c r="E98" s="111"/>
      <c r="F98" s="111"/>
      <c r="G98" s="111"/>
      <c r="H98" s="111"/>
      <c r="I98" s="111"/>
      <c r="J98" s="111"/>
      <c r="K98" s="111"/>
      <c r="L98" s="111"/>
      <c r="M98" s="111"/>
      <c r="N98" s="111"/>
      <c r="O98" s="111"/>
      <c r="P98" s="111"/>
      <c r="Q98" s="111"/>
      <c r="R98" s="111"/>
      <c r="S98" s="111"/>
      <c r="T98" s="111"/>
      <c r="U98" s="111"/>
      <c r="V98" s="111"/>
      <c r="W98" s="111"/>
      <c r="X98" s="111"/>
      <c r="Y98" s="111"/>
      <c r="Z98" s="111"/>
      <c r="AA98" s="111"/>
      <c r="AB98" s="111"/>
      <c r="AC98" s="111"/>
      <c r="AD98" s="111"/>
    </row>
  </sheetData>
  <mergeCells count="104">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2" workbookViewId="0">
      <selection activeCell="AI29" sqref="AI29"/>
    </sheetView>
  </sheetViews>
  <sheetFormatPr defaultColWidth="9.140625" defaultRowHeight="12.75"/>
  <cols>
    <col min="1" max="30" width="3" style="84" customWidth="1"/>
    <col min="31" max="31" width="3" style="111" customWidth="1"/>
    <col min="32" max="33" width="3" style="84" customWidth="1"/>
    <col min="34" max="123" width="3.140625" style="84" customWidth="1"/>
    <col min="124" max="16384" width="9.140625" style="84"/>
  </cols>
  <sheetData>
    <row r="1" spans="2:47" ht="19.7" customHeight="1">
      <c r="B1" s="295" t="s">
        <v>103</v>
      </c>
      <c r="C1" s="295"/>
      <c r="D1" s="295"/>
      <c r="E1" s="295"/>
      <c r="F1" s="295"/>
      <c r="G1" s="295"/>
      <c r="H1" s="295"/>
      <c r="I1" s="295"/>
      <c r="J1" s="295"/>
      <c r="K1" s="295"/>
      <c r="L1" s="295"/>
      <c r="M1" s="295"/>
      <c r="N1" s="295"/>
      <c r="O1" s="85"/>
      <c r="P1" s="286" t="s">
        <v>180</v>
      </c>
      <c r="Q1" s="286"/>
      <c r="R1" s="286"/>
      <c r="S1" s="286"/>
      <c r="T1" s="286"/>
      <c r="U1" s="286"/>
      <c r="V1" s="286"/>
      <c r="W1" s="286"/>
      <c r="X1" s="286"/>
      <c r="Y1" s="286"/>
      <c r="Z1" s="286"/>
      <c r="AA1" s="286"/>
      <c r="AB1" s="286"/>
      <c r="AC1" s="286"/>
      <c r="AD1" s="286"/>
      <c r="AE1" s="286"/>
    </row>
    <row r="2" spans="2:47" ht="19.7" customHeight="1">
      <c r="C2" s="295" t="s">
        <v>105</v>
      </c>
      <c r="D2" s="295"/>
      <c r="E2" s="295"/>
      <c r="F2" s="295"/>
      <c r="G2" s="295"/>
      <c r="H2" s="295"/>
      <c r="I2" s="295"/>
      <c r="J2" s="295"/>
      <c r="K2" s="295"/>
      <c r="L2" s="295"/>
      <c r="M2" s="295"/>
      <c r="N2" s="151"/>
      <c r="O2" s="85"/>
      <c r="P2" s="296" t="s">
        <v>176</v>
      </c>
      <c r="Q2" s="296"/>
      <c r="R2" s="296"/>
      <c r="S2" s="296"/>
      <c r="T2" s="296"/>
      <c r="U2" s="296"/>
      <c r="V2" s="296"/>
      <c r="W2" s="296"/>
      <c r="X2" s="296"/>
      <c r="Y2" s="296"/>
      <c r="Z2" s="296"/>
      <c r="AA2" s="296"/>
      <c r="AB2" s="296"/>
      <c r="AC2" s="296"/>
      <c r="AD2" s="296"/>
      <c r="AE2" s="296"/>
    </row>
    <row r="3" spans="2:47" ht="8.4499999999999993" customHeight="1">
      <c r="C3" s="149"/>
      <c r="D3" s="149"/>
      <c r="E3" s="92"/>
      <c r="F3" s="92"/>
      <c r="G3" s="92"/>
      <c r="H3" s="92"/>
      <c r="I3" s="92"/>
      <c r="J3" s="92"/>
      <c r="K3" s="149"/>
      <c r="L3" s="148"/>
      <c r="M3" s="149"/>
      <c r="N3" s="149"/>
      <c r="O3" s="149"/>
      <c r="P3" s="149"/>
      <c r="Q3" s="92"/>
      <c r="R3" s="92"/>
      <c r="S3" s="153"/>
      <c r="T3" s="153"/>
      <c r="U3" s="153"/>
      <c r="V3" s="153"/>
      <c r="W3" s="153"/>
      <c r="X3" s="153"/>
      <c r="Y3" s="153"/>
      <c r="Z3" s="153"/>
      <c r="AA3" s="153"/>
      <c r="AB3" s="155"/>
      <c r="AC3" s="85"/>
      <c r="AD3" s="85"/>
      <c r="AE3" s="154"/>
    </row>
    <row r="4" spans="2:47" ht="2.25" customHeight="1">
      <c r="C4" s="90"/>
      <c r="D4" s="90"/>
      <c r="E4" s="91"/>
      <c r="F4" s="91"/>
      <c r="G4" s="91"/>
      <c r="H4" s="91"/>
      <c r="I4" s="91"/>
      <c r="J4" s="91"/>
      <c r="K4" s="91"/>
      <c r="L4" s="92"/>
      <c r="M4" s="92"/>
      <c r="N4" s="92"/>
      <c r="O4" s="92"/>
      <c r="P4" s="91"/>
      <c r="Q4" s="151"/>
      <c r="R4" s="151"/>
      <c r="S4" s="151"/>
      <c r="T4" s="151"/>
      <c r="U4" s="151"/>
      <c r="V4" s="151"/>
      <c r="W4" s="151"/>
      <c r="X4" s="151"/>
      <c r="Y4" s="151"/>
      <c r="Z4" s="151"/>
      <c r="AA4" s="151"/>
      <c r="AB4" s="151"/>
      <c r="AC4" s="151"/>
      <c r="AD4" s="151"/>
      <c r="AE4" s="154"/>
    </row>
    <row r="5" spans="2:47" ht="1.5" hidden="1" customHeight="1">
      <c r="C5" s="152"/>
      <c r="D5" s="152"/>
      <c r="E5" s="149"/>
      <c r="F5" s="149"/>
      <c r="G5" s="149"/>
      <c r="H5" s="149"/>
      <c r="I5" s="149"/>
      <c r="J5" s="149"/>
      <c r="K5" s="149"/>
      <c r="L5" s="149"/>
      <c r="M5" s="149"/>
      <c r="N5" s="149"/>
      <c r="O5" s="149"/>
      <c r="P5" s="149"/>
      <c r="Q5" s="149"/>
      <c r="R5" s="149"/>
      <c r="S5" s="149"/>
      <c r="T5" s="149"/>
      <c r="U5" s="149"/>
      <c r="V5" s="149"/>
      <c r="W5" s="149"/>
      <c r="X5" s="149"/>
      <c r="Y5" s="149"/>
      <c r="Z5" s="149"/>
      <c r="AA5" s="149"/>
      <c r="AB5" s="85"/>
      <c r="AC5" s="85"/>
      <c r="AD5" s="85"/>
      <c r="AE5" s="154"/>
    </row>
    <row r="6" spans="2:47" ht="19.7" customHeight="1">
      <c r="C6" s="288" t="s">
        <v>106</v>
      </c>
      <c r="D6" s="288"/>
      <c r="E6" s="288"/>
      <c r="F6" s="288"/>
      <c r="G6" s="288"/>
      <c r="H6" s="288"/>
      <c r="I6" s="288"/>
      <c r="J6" s="288"/>
      <c r="K6" s="288"/>
      <c r="L6" s="288"/>
      <c r="M6" s="288"/>
      <c r="N6" s="288"/>
      <c r="O6" s="288"/>
      <c r="P6" s="288"/>
      <c r="Q6" s="288"/>
      <c r="R6" s="288"/>
      <c r="S6" s="288"/>
      <c r="T6" s="288"/>
      <c r="U6" s="288"/>
      <c r="V6" s="288"/>
      <c r="W6" s="288"/>
      <c r="X6" s="288"/>
      <c r="Y6" s="288"/>
      <c r="Z6" s="288"/>
      <c r="AA6" s="288"/>
      <c r="AB6" s="288"/>
      <c r="AC6" s="288"/>
      <c r="AD6" s="288"/>
      <c r="AE6" s="288"/>
    </row>
    <row r="7" spans="2:47" ht="19.7" customHeight="1">
      <c r="C7" s="288" t="s">
        <v>107</v>
      </c>
      <c r="D7" s="288"/>
      <c r="E7" s="288"/>
      <c r="F7" s="288"/>
      <c r="G7" s="288"/>
      <c r="H7" s="288"/>
      <c r="I7" s="288"/>
      <c r="J7" s="288"/>
      <c r="K7" s="288"/>
      <c r="L7" s="288"/>
      <c r="M7" s="288"/>
      <c r="N7" s="288"/>
      <c r="O7" s="288"/>
      <c r="P7" s="288"/>
      <c r="Q7" s="288"/>
      <c r="R7" s="288"/>
      <c r="S7" s="288"/>
      <c r="T7" s="288"/>
      <c r="U7" s="288"/>
      <c r="V7" s="288"/>
      <c r="W7" s="288"/>
      <c r="X7" s="288"/>
      <c r="Y7" s="288"/>
      <c r="Z7" s="288"/>
      <c r="AA7" s="288"/>
      <c r="AB7" s="288"/>
      <c r="AC7" s="288"/>
      <c r="AD7" s="288"/>
      <c r="AE7" s="288"/>
    </row>
    <row r="8" spans="2:47" ht="9" customHeight="1">
      <c r="C8" s="148"/>
      <c r="D8" s="149"/>
      <c r="E8" s="149"/>
      <c r="F8" s="149"/>
      <c r="G8" s="149"/>
      <c r="H8" s="149"/>
      <c r="I8" s="149"/>
      <c r="J8" s="149"/>
      <c r="K8" s="149"/>
      <c r="L8" s="149"/>
      <c r="M8" s="149"/>
      <c r="N8" s="149"/>
      <c r="O8" s="149"/>
      <c r="P8" s="149"/>
      <c r="Q8" s="149"/>
      <c r="R8" s="149"/>
      <c r="S8" s="149"/>
      <c r="T8" s="149"/>
      <c r="U8" s="149"/>
      <c r="V8" s="149"/>
      <c r="W8" s="149"/>
      <c r="X8" s="149"/>
      <c r="Y8" s="149"/>
      <c r="Z8" s="149"/>
      <c r="AA8" s="149"/>
      <c r="AB8" s="85"/>
      <c r="AC8" s="85"/>
      <c r="AD8" s="85"/>
      <c r="AE8" s="154"/>
    </row>
    <row r="9" spans="2:47" ht="19.7" customHeight="1">
      <c r="C9" s="296" t="str">
        <f>"Số: "&amp;AI9</f>
        <v>Số: B08600120811TG05</v>
      </c>
      <c r="D9" s="296"/>
      <c r="E9" s="296"/>
      <c r="F9" s="296"/>
      <c r="G9" s="296"/>
      <c r="H9" s="296"/>
      <c r="I9" s="296"/>
      <c r="J9" s="296"/>
      <c r="K9" s="296"/>
      <c r="L9" s="296"/>
      <c r="M9" s="296"/>
      <c r="N9" s="296"/>
      <c r="O9" s="296"/>
      <c r="P9" s="296"/>
      <c r="Q9" s="296"/>
      <c r="R9" s="296"/>
      <c r="S9" s="296"/>
      <c r="T9" s="296"/>
      <c r="U9" s="296"/>
      <c r="V9" s="296"/>
      <c r="W9" s="296"/>
      <c r="X9" s="296"/>
      <c r="Y9" s="296"/>
      <c r="Z9" s="296"/>
      <c r="AA9" s="296"/>
      <c r="AB9" s="296"/>
      <c r="AC9" s="296"/>
      <c r="AD9" s="296"/>
      <c r="AE9" s="296"/>
      <c r="AI9" s="96" t="s">
        <v>213</v>
      </c>
    </row>
    <row r="10" spans="2:47" ht="6" customHeight="1">
      <c r="C10" s="150"/>
      <c r="D10" s="149"/>
      <c r="E10" s="149"/>
      <c r="F10" s="149"/>
      <c r="G10" s="149"/>
      <c r="H10" s="149"/>
      <c r="I10" s="149"/>
      <c r="J10" s="149"/>
      <c r="K10" s="149"/>
      <c r="L10" s="149"/>
      <c r="M10" s="149"/>
      <c r="N10" s="149"/>
      <c r="O10" s="149"/>
      <c r="P10" s="149"/>
      <c r="Q10" s="149"/>
      <c r="R10" s="149"/>
      <c r="S10" s="149"/>
      <c r="T10" s="149"/>
      <c r="U10" s="149"/>
      <c r="V10" s="149"/>
      <c r="W10" s="149"/>
      <c r="X10" s="149"/>
      <c r="Y10" s="149"/>
      <c r="Z10" s="149"/>
      <c r="AA10" s="149"/>
      <c r="AB10" s="85"/>
      <c r="AC10" s="85"/>
      <c r="AD10" s="85"/>
      <c r="AE10" s="154"/>
    </row>
    <row r="11" spans="2:47" ht="19.7" customHeight="1">
      <c r="C11" s="288" t="s">
        <v>108</v>
      </c>
      <c r="D11" s="288"/>
      <c r="E11" s="288"/>
      <c r="F11" s="288"/>
      <c r="G11" s="288"/>
      <c r="H11" s="288"/>
      <c r="I11" s="288"/>
      <c r="J11" s="288"/>
      <c r="K11" s="288"/>
      <c r="L11" s="288"/>
      <c r="M11" s="288"/>
      <c r="N11" s="288"/>
      <c r="O11" s="288"/>
      <c r="P11" s="288"/>
      <c r="Q11" s="288"/>
      <c r="R11" s="288"/>
      <c r="S11" s="288"/>
      <c r="T11" s="288"/>
      <c r="U11" s="288"/>
      <c r="V11" s="288"/>
      <c r="W11" s="288"/>
      <c r="X11" s="288"/>
      <c r="Y11" s="288"/>
      <c r="Z11" s="288"/>
      <c r="AA11" s="288"/>
      <c r="AB11" s="288"/>
      <c r="AC11" s="288"/>
      <c r="AD11" s="288"/>
      <c r="AE11" s="288"/>
    </row>
    <row r="12" spans="2:47" ht="19.7" customHeight="1">
      <c r="C12" s="288" t="s">
        <v>109</v>
      </c>
      <c r="D12" s="288"/>
      <c r="E12" s="288"/>
      <c r="F12" s="288"/>
      <c r="G12" s="288"/>
      <c r="H12" s="288"/>
      <c r="I12" s="288"/>
      <c r="J12" s="288"/>
      <c r="K12" s="288"/>
      <c r="L12" s="288"/>
      <c r="M12" s="288"/>
      <c r="N12" s="288"/>
      <c r="O12" s="288"/>
      <c r="P12" s="288"/>
      <c r="Q12" s="288"/>
      <c r="R12" s="288"/>
      <c r="S12" s="288"/>
      <c r="T12" s="288"/>
      <c r="U12" s="288"/>
      <c r="V12" s="288"/>
      <c r="W12" s="288"/>
      <c r="X12" s="288"/>
      <c r="Y12" s="288"/>
      <c r="Z12" s="288"/>
      <c r="AA12" s="288"/>
      <c r="AB12" s="288"/>
      <c r="AC12" s="288"/>
      <c r="AD12" s="288"/>
      <c r="AE12" s="288"/>
    </row>
    <row r="13" spans="2:47" ht="6.75" customHeight="1">
      <c r="C13" s="117"/>
      <c r="D13" s="87"/>
      <c r="E13" s="87"/>
      <c r="F13" s="87"/>
      <c r="G13" s="87"/>
      <c r="H13" s="87"/>
      <c r="I13" s="87"/>
      <c r="J13" s="87"/>
      <c r="K13" s="87"/>
      <c r="L13" s="87"/>
      <c r="M13" s="87"/>
      <c r="N13" s="87"/>
      <c r="O13" s="87"/>
      <c r="P13" s="87"/>
      <c r="Q13" s="87"/>
      <c r="R13" s="87"/>
      <c r="S13" s="87"/>
      <c r="T13" s="87"/>
      <c r="U13" s="87"/>
      <c r="V13" s="87"/>
      <c r="W13" s="87"/>
      <c r="X13" s="87"/>
      <c r="Y13" s="87"/>
      <c r="Z13" s="87"/>
      <c r="AA13" s="87"/>
    </row>
    <row r="14" spans="2:47" ht="2.25" hidden="1" customHeight="1">
      <c r="C14" s="95"/>
      <c r="D14" s="87"/>
      <c r="E14" s="87"/>
      <c r="F14" s="87"/>
      <c r="G14" s="87"/>
      <c r="H14" s="87"/>
      <c r="I14" s="87"/>
      <c r="J14" s="87"/>
      <c r="K14" s="87"/>
      <c r="L14" s="87"/>
      <c r="M14" s="87"/>
      <c r="N14" s="87"/>
      <c r="O14" s="87"/>
      <c r="P14" s="87"/>
      <c r="Q14" s="87"/>
      <c r="R14" s="87"/>
      <c r="S14" s="87"/>
      <c r="T14" s="87"/>
      <c r="U14" s="87"/>
      <c r="V14" s="87"/>
      <c r="W14" s="87"/>
      <c r="X14" s="87"/>
      <c r="Y14" s="87"/>
      <c r="Z14" s="87"/>
      <c r="AA14" s="87"/>
    </row>
    <row r="15" spans="2:47" ht="22.5" customHeight="1">
      <c r="C15" s="315" t="s">
        <v>107</v>
      </c>
      <c r="D15" s="315"/>
      <c r="E15" s="315"/>
      <c r="F15" s="315"/>
      <c r="G15" s="315"/>
      <c r="H15" s="315"/>
      <c r="I15" s="315"/>
      <c r="J15" s="315"/>
      <c r="K15" s="315"/>
      <c r="L15" s="315"/>
      <c r="M15" s="315"/>
      <c r="N15" s="315"/>
      <c r="O15" s="315"/>
      <c r="P15" s="315"/>
      <c r="Q15" s="315"/>
      <c r="R15" s="315"/>
      <c r="S15" s="315"/>
      <c r="T15" s="315"/>
      <c r="U15" s="315"/>
      <c r="V15" s="315"/>
      <c r="W15" s="315"/>
      <c r="X15" s="315"/>
      <c r="Y15" s="315"/>
      <c r="Z15" s="315"/>
      <c r="AA15" s="315"/>
      <c r="AB15" s="315"/>
      <c r="AC15" s="315"/>
      <c r="AD15" s="315"/>
      <c r="AE15" s="315"/>
      <c r="AF15" s="315"/>
      <c r="AG15" s="116"/>
      <c r="AH15" s="116"/>
      <c r="AI15" s="98">
        <v>1</v>
      </c>
      <c r="AJ15" s="98"/>
      <c r="AK15" s="98"/>
      <c r="AL15" s="98"/>
      <c r="AM15" s="98">
        <v>2</v>
      </c>
      <c r="AN15" s="98"/>
      <c r="AO15" s="98"/>
      <c r="AP15" s="98"/>
      <c r="AQ15" s="98">
        <v>3</v>
      </c>
      <c r="AU15" s="84">
        <v>4</v>
      </c>
    </row>
    <row r="16" spans="2:47" ht="38.25" customHeight="1">
      <c r="C16" s="334" t="s">
        <v>24</v>
      </c>
      <c r="D16" s="335"/>
      <c r="E16" s="335"/>
      <c r="F16" s="335"/>
      <c r="G16" s="335"/>
      <c r="H16" s="335"/>
      <c r="I16" s="335"/>
      <c r="J16" s="335"/>
      <c r="K16" s="335"/>
      <c r="L16" s="336"/>
      <c r="M16" s="337" t="str">
        <f>AI16</f>
        <v>Ấp Bàu Trâu, xã Phước Thạnh, huyện Củ Chi, thành phố Hồ Chí Minh.</v>
      </c>
      <c r="N16" s="338"/>
      <c r="O16" s="338"/>
      <c r="P16" s="338"/>
      <c r="Q16" s="338"/>
      <c r="R16" s="338"/>
      <c r="S16" s="338"/>
      <c r="T16" s="338"/>
      <c r="U16" s="338"/>
      <c r="V16" s="338"/>
      <c r="W16" s="338"/>
      <c r="X16" s="338"/>
      <c r="Y16" s="338"/>
      <c r="Z16" s="338"/>
      <c r="AA16" s="338"/>
      <c r="AB16" s="338"/>
      <c r="AC16" s="338"/>
      <c r="AD16" s="338"/>
      <c r="AE16" s="338"/>
      <c r="AF16" s="339"/>
      <c r="AG16" s="122"/>
      <c r="AH16" s="122"/>
      <c r="AI16" s="99" t="s">
        <v>110</v>
      </c>
    </row>
    <row r="17" spans="3:49" ht="22.5" customHeight="1">
      <c r="C17" s="347" t="s">
        <v>17</v>
      </c>
      <c r="D17" s="348"/>
      <c r="E17" s="348"/>
      <c r="F17" s="348"/>
      <c r="G17" s="348"/>
      <c r="H17" s="348"/>
      <c r="I17" s="348"/>
      <c r="J17" s="348"/>
      <c r="K17" s="348"/>
      <c r="L17" s="349"/>
      <c r="M17" s="319" t="str">
        <f>IF(AG17="","",AG17)</f>
        <v/>
      </c>
      <c r="N17" s="320"/>
      <c r="O17" s="320"/>
      <c r="P17" s="320"/>
      <c r="Q17" s="320"/>
      <c r="R17" s="320"/>
      <c r="S17" s="320"/>
      <c r="T17" s="320"/>
      <c r="U17" s="320"/>
      <c r="V17" s="320"/>
      <c r="W17" s="320"/>
      <c r="X17" s="320"/>
      <c r="Y17" s="320"/>
      <c r="Z17" s="320"/>
      <c r="AA17" s="320"/>
      <c r="AB17" s="320"/>
      <c r="AC17" s="320"/>
      <c r="AD17" s="320"/>
      <c r="AE17" s="320"/>
      <c r="AF17" s="321"/>
      <c r="AG17" s="122"/>
      <c r="AH17" s="122"/>
    </row>
    <row r="18" spans="3:49" ht="31.35" customHeight="1">
      <c r="C18" s="341" t="s">
        <v>9</v>
      </c>
      <c r="D18" s="342"/>
      <c r="E18" s="342"/>
      <c r="F18" s="342"/>
      <c r="G18" s="342"/>
      <c r="H18" s="342"/>
      <c r="I18" s="342"/>
      <c r="J18" s="342"/>
      <c r="K18" s="342"/>
      <c r="L18" s="342"/>
      <c r="M18" s="325" t="str">
        <f>AI18</f>
        <v>CÔNG TY CỔ PHẦN VIỄN THÔNG DI ĐỘNG TOÀN CẦU</v>
      </c>
      <c r="N18" s="325"/>
      <c r="O18" s="325"/>
      <c r="P18" s="325"/>
      <c r="Q18" s="325"/>
      <c r="R18" s="325"/>
      <c r="S18" s="325"/>
      <c r="T18" s="325"/>
      <c r="U18" s="325"/>
      <c r="V18" s="325"/>
      <c r="W18" s="325"/>
      <c r="X18" s="325"/>
      <c r="Y18" s="325"/>
      <c r="Z18" s="325"/>
      <c r="AA18" s="325"/>
      <c r="AB18" s="325"/>
      <c r="AC18" s="325"/>
      <c r="AD18" s="325"/>
      <c r="AE18" s="325"/>
      <c r="AF18" s="325"/>
      <c r="AG18" s="122"/>
      <c r="AH18" s="122"/>
      <c r="AI18" s="96" t="s">
        <v>155</v>
      </c>
    </row>
    <row r="19" spans="3:49" ht="31.35" customHeight="1">
      <c r="C19" s="341" t="s">
        <v>16</v>
      </c>
      <c r="D19" s="342"/>
      <c r="E19" s="342"/>
      <c r="F19" s="342"/>
      <c r="G19" s="342"/>
      <c r="H19" s="342"/>
      <c r="I19" s="342"/>
      <c r="J19" s="342"/>
      <c r="K19" s="342"/>
      <c r="L19" s="342"/>
      <c r="M19" s="325" t="str">
        <f>AI19</f>
        <v>CÔNG TY CỔ PHẦN VIỄN THÔNG DI ĐỘNG TOÀN CẦU</v>
      </c>
      <c r="N19" s="325"/>
      <c r="O19" s="325"/>
      <c r="P19" s="325"/>
      <c r="Q19" s="325"/>
      <c r="R19" s="325"/>
      <c r="S19" s="325"/>
      <c r="T19" s="325"/>
      <c r="U19" s="325"/>
      <c r="V19" s="325"/>
      <c r="W19" s="325"/>
      <c r="X19" s="325"/>
      <c r="Y19" s="325"/>
      <c r="Z19" s="325"/>
      <c r="AA19" s="325"/>
      <c r="AB19" s="325"/>
      <c r="AC19" s="325"/>
      <c r="AD19" s="325"/>
      <c r="AE19" s="325"/>
      <c r="AF19" s="325"/>
      <c r="AG19" s="122"/>
      <c r="AH19" s="122"/>
      <c r="AI19" s="96" t="s">
        <v>155</v>
      </c>
    </row>
    <row r="20" spans="3:49" ht="18.75" customHeight="1">
      <c r="C20" s="331" t="s">
        <v>111</v>
      </c>
      <c r="D20" s="332"/>
      <c r="E20" s="332"/>
      <c r="F20" s="332"/>
      <c r="G20" s="332"/>
      <c r="H20" s="332"/>
      <c r="I20" s="332"/>
      <c r="J20" s="332"/>
      <c r="K20" s="332"/>
      <c r="L20" s="332"/>
      <c r="M20" s="332"/>
      <c r="N20" s="332"/>
      <c r="O20" s="332"/>
      <c r="P20" s="332"/>
      <c r="Q20" s="332"/>
      <c r="R20" s="332"/>
      <c r="S20" s="332"/>
      <c r="T20" s="332"/>
      <c r="U20" s="332"/>
      <c r="V20" s="332"/>
      <c r="W20" s="332"/>
      <c r="X20" s="332"/>
      <c r="Y20" s="332"/>
      <c r="Z20" s="332"/>
      <c r="AA20" s="332"/>
      <c r="AB20" s="332"/>
      <c r="AC20" s="332"/>
      <c r="AD20" s="332"/>
      <c r="AE20" s="332"/>
      <c r="AF20" s="333"/>
      <c r="AG20" s="123"/>
      <c r="AH20" s="123"/>
    </row>
    <row r="21" spans="3:49" ht="45.2" customHeight="1">
      <c r="C21" s="330" t="s">
        <v>112</v>
      </c>
      <c r="D21" s="330"/>
      <c r="E21" s="330"/>
      <c r="F21" s="330"/>
      <c r="G21" s="330"/>
      <c r="H21" s="330"/>
      <c r="I21" s="330"/>
      <c r="J21" s="330"/>
      <c r="K21" s="330"/>
      <c r="L21" s="330"/>
      <c r="M21" s="325" t="str">
        <f t="shared" ref="M21:M23" si="0">AI21</f>
        <v>A</v>
      </c>
      <c r="N21" s="325"/>
      <c r="O21" s="325"/>
      <c r="P21" s="325"/>
      <c r="Q21" s="325"/>
      <c r="R21" s="325" t="str">
        <f t="shared" ref="R21:R23" si="1">AM21</f>
        <v>B</v>
      </c>
      <c r="S21" s="325"/>
      <c r="T21" s="325"/>
      <c r="U21" s="325"/>
      <c r="V21" s="325"/>
      <c r="W21" s="325" t="str">
        <f>AQ21</f>
        <v>C</v>
      </c>
      <c r="X21" s="325"/>
      <c r="Y21" s="325"/>
      <c r="Z21" s="325"/>
      <c r="AA21" s="325"/>
      <c r="AB21" s="325" t="str">
        <f>AU21</f>
        <v>D</v>
      </c>
      <c r="AC21" s="325"/>
      <c r="AD21" s="325"/>
      <c r="AE21" s="325"/>
      <c r="AF21" s="325"/>
      <c r="AG21" s="116"/>
      <c r="AH21" s="116"/>
      <c r="AI21" s="96" t="s">
        <v>113</v>
      </c>
      <c r="AM21" s="96" t="s">
        <v>114</v>
      </c>
      <c r="AQ21" s="96" t="s">
        <v>115</v>
      </c>
      <c r="AU21" s="96" t="s">
        <v>116</v>
      </c>
    </row>
    <row r="22" spans="3:49" ht="17.100000000000001" customHeight="1">
      <c r="C22" s="330" t="s">
        <v>117</v>
      </c>
      <c r="D22" s="330"/>
      <c r="E22" s="330"/>
      <c r="F22" s="330"/>
      <c r="G22" s="330"/>
      <c r="H22" s="330"/>
      <c r="I22" s="330"/>
      <c r="J22" s="330"/>
      <c r="K22" s="330"/>
      <c r="L22" s="330"/>
      <c r="M22" s="325">
        <f>AI22</f>
        <v>3</v>
      </c>
      <c r="N22" s="325"/>
      <c r="O22" s="325"/>
      <c r="P22" s="325"/>
      <c r="Q22" s="325"/>
      <c r="R22" s="325">
        <f>AM22</f>
        <v>3</v>
      </c>
      <c r="S22" s="325"/>
      <c r="T22" s="325"/>
      <c r="U22" s="325"/>
      <c r="V22" s="325"/>
      <c r="W22" s="325">
        <f>AQ22</f>
        <v>3</v>
      </c>
      <c r="X22" s="325"/>
      <c r="Y22" s="325"/>
      <c r="Z22" s="325"/>
      <c r="AA22" s="325"/>
      <c r="AB22" s="325">
        <f>AU22</f>
        <v>1</v>
      </c>
      <c r="AC22" s="325"/>
      <c r="AD22" s="325"/>
      <c r="AE22" s="325"/>
      <c r="AF22" s="325"/>
      <c r="AG22" s="116"/>
      <c r="AH22" s="116"/>
      <c r="AI22" s="98">
        <v>3</v>
      </c>
      <c r="AJ22" s="98"/>
      <c r="AK22" s="98"/>
      <c r="AL22" s="98"/>
      <c r="AM22" s="98">
        <v>3</v>
      </c>
      <c r="AN22" s="98"/>
      <c r="AO22" s="98"/>
      <c r="AP22" s="98"/>
      <c r="AQ22" s="98">
        <v>3</v>
      </c>
      <c r="AU22" s="84">
        <v>1</v>
      </c>
    </row>
    <row r="23" spans="3:49" ht="17.100000000000001" customHeight="1">
      <c r="C23" s="330" t="s">
        <v>118</v>
      </c>
      <c r="D23" s="330"/>
      <c r="E23" s="330"/>
      <c r="F23" s="330"/>
      <c r="G23" s="330"/>
      <c r="H23" s="330"/>
      <c r="I23" s="330"/>
      <c r="J23" s="330"/>
      <c r="K23" s="330"/>
      <c r="L23" s="330"/>
      <c r="M23" s="344" t="str">
        <f t="shared" si="0"/>
        <v>4/4/4</v>
      </c>
      <c r="N23" s="344"/>
      <c r="O23" s="344"/>
      <c r="P23" s="344"/>
      <c r="Q23" s="344"/>
      <c r="R23" s="344" t="str">
        <f t="shared" si="1"/>
        <v>2/2/2</v>
      </c>
      <c r="S23" s="344"/>
      <c r="T23" s="344"/>
      <c r="U23" s="344"/>
      <c r="V23" s="344"/>
      <c r="W23" s="346" t="str">
        <f>AQ23</f>
        <v>5/5/5</v>
      </c>
      <c r="X23" s="344"/>
      <c r="Y23" s="344"/>
      <c r="Z23" s="344"/>
      <c r="AA23" s="344"/>
      <c r="AB23" s="346" t="str">
        <f>AU23</f>
        <v>4/2/4</v>
      </c>
      <c r="AC23" s="344"/>
      <c r="AD23" s="344"/>
      <c r="AE23" s="344"/>
      <c r="AF23" s="344"/>
      <c r="AI23" s="100" t="s">
        <v>119</v>
      </c>
      <c r="AJ23" s="101"/>
      <c r="AK23" s="101"/>
      <c r="AL23" s="101"/>
      <c r="AM23" s="100" t="s">
        <v>120</v>
      </c>
      <c r="AN23" s="101"/>
      <c r="AO23" s="101"/>
      <c r="AP23" s="101"/>
      <c r="AQ23" s="100" t="s">
        <v>121</v>
      </c>
      <c r="AR23" s="101"/>
      <c r="AS23" s="101"/>
      <c r="AT23" s="101"/>
      <c r="AU23" s="100" t="s">
        <v>122</v>
      </c>
    </row>
    <row r="24" spans="3:49" ht="31.35" customHeight="1">
      <c r="C24" s="330" t="s">
        <v>156</v>
      </c>
      <c r="D24" s="330"/>
      <c r="E24" s="330"/>
      <c r="F24" s="330"/>
      <c r="G24" s="330"/>
      <c r="H24" s="330"/>
      <c r="I24" s="330"/>
      <c r="J24" s="330"/>
      <c r="K24" s="330"/>
      <c r="L24" s="330"/>
      <c r="M24" s="344" t="str">
        <f>IF(M22=4,AI24&amp;"W/ "&amp;AJ24&amp;"W/ "&amp;AK24&amp;"W/ "&amp;AL24&amp;"W",IF(M22=3,AI24&amp;"W/ "&amp;AJ24&amp;"W/ "&amp;AK24&amp;"W",IF(M22=2,AI24&amp;"W/ "&amp;AJ24&amp;"W",AI24&amp;"W")))</f>
        <v>100,45W/ 100,69W/ 100,69W</v>
      </c>
      <c r="N24" s="344"/>
      <c r="O24" s="344"/>
      <c r="P24" s="344"/>
      <c r="Q24" s="344"/>
      <c r="R24" s="344" t="str">
        <f>IF(R22=4,AM24&amp;"W/ "&amp;AN24&amp;"W/ "&amp;AO24&amp;"W/ "&amp;AP24&amp;"W",IF(R22=3,AM24&amp;"W/ "&amp;AN24&amp;"W/ "&amp;AO24&amp;"W",IF(R22=2,AM24&amp;"W/ "&amp;AN24&amp;"W",AM24&amp;"W")))</f>
        <v>40W/ 40W/ 40W</v>
      </c>
      <c r="S24" s="344"/>
      <c r="T24" s="344"/>
      <c r="U24" s="344"/>
      <c r="V24" s="344"/>
      <c r="W24" s="344" t="str">
        <f>IF(W22=4,AQ24&amp;"W/ "&amp;AR24&amp;"W/ "&amp;AS24&amp;"W/ "&amp;AT24&amp;"W",IF(W22=3,AQ24&amp;"W/ "&amp;AR24&amp;"W/ "&amp;AS24&amp;"W",IF(W22=2,AQ24&amp;"W/ "&amp;AR24&amp;"W",AQ24&amp;"W")))</f>
        <v>60W/ 60W/ 60W</v>
      </c>
      <c r="X24" s="344"/>
      <c r="Y24" s="344"/>
      <c r="Z24" s="344"/>
      <c r="AA24" s="344"/>
      <c r="AB24" s="344" t="str">
        <f>IF(AB22=3,AU24&amp;"W/ "&amp;AV24&amp;"W/ "&amp;AW24&amp;"W",IF(AB22=2,AU24&amp;"W/ "&amp;AV24&amp;"W",AW24&amp;"W"))</f>
        <v>80W</v>
      </c>
      <c r="AC24" s="344"/>
      <c r="AD24" s="344"/>
      <c r="AE24" s="344"/>
      <c r="AF24" s="344"/>
      <c r="AI24" s="84" t="s">
        <v>181</v>
      </c>
      <c r="AJ24" s="84" t="s">
        <v>184</v>
      </c>
      <c r="AK24" s="84">
        <v>100.69</v>
      </c>
      <c r="AM24" s="84">
        <v>40</v>
      </c>
      <c r="AN24" s="84">
        <v>40</v>
      </c>
      <c r="AO24" s="84">
        <v>40</v>
      </c>
      <c r="AQ24" s="84">
        <v>60</v>
      </c>
      <c r="AR24" s="84">
        <v>60</v>
      </c>
      <c r="AS24" s="84">
        <v>60</v>
      </c>
      <c r="AU24" s="84">
        <v>80</v>
      </c>
      <c r="AV24" s="84">
        <v>80</v>
      </c>
      <c r="AW24" s="84">
        <v>80</v>
      </c>
    </row>
    <row r="25" spans="3:49" ht="31.35" customHeight="1">
      <c r="C25" s="330" t="s">
        <v>123</v>
      </c>
      <c r="D25" s="330"/>
      <c r="E25" s="330"/>
      <c r="F25" s="330"/>
      <c r="G25" s="330"/>
      <c r="H25" s="330"/>
      <c r="I25" s="330"/>
      <c r="J25" s="330"/>
      <c r="K25" s="330"/>
      <c r="L25" s="330"/>
      <c r="M25" s="344" t="str">
        <f>IF(AI25="900 &amp; 1800","900MHz &amp; 1800MHz",IF(AI25="900 &amp; 2100","900MHz &amp; 2100MHz",AI25&amp;"MHz"))</f>
        <v>900MHz</v>
      </c>
      <c r="N25" s="344"/>
      <c r="O25" s="344"/>
      <c r="P25" s="344"/>
      <c r="Q25" s="344"/>
      <c r="R25" s="344" t="str">
        <f>IF(AM25="900 &amp; 1800","900MHz &amp; 1800MHz",IF(AM25="900 &amp; 2100","900MHz &amp; 2100MHz",AM25&amp;"MHz"))</f>
        <v>1800MHz</v>
      </c>
      <c r="S25" s="344"/>
      <c r="T25" s="344"/>
      <c r="U25" s="344"/>
      <c r="V25" s="344"/>
      <c r="W25" s="344" t="str">
        <f>IF(AQ25="900 &amp; 1800","900MHz &amp; 1800MHz",IF(AQ25="900 &amp; 2100","900MHz &amp; 2100MHz",AQ25&amp;"MHz"))</f>
        <v>2100MHz</v>
      </c>
      <c r="X25" s="344"/>
      <c r="Y25" s="344"/>
      <c r="Z25" s="344"/>
      <c r="AA25" s="344"/>
      <c r="AB25" s="344" t="str">
        <f>IF(AU25="900 &amp; 1800","900MHz &amp; 1800MHz",IF(AU25="900 &amp; 2100","900MHz &amp; 2100MHz",AU25&amp;"MHz"))</f>
        <v>900;1800MHz</v>
      </c>
      <c r="AC25" s="344"/>
      <c r="AD25" s="344"/>
      <c r="AE25" s="344"/>
      <c r="AF25" s="344"/>
      <c r="AI25" s="84">
        <v>900</v>
      </c>
      <c r="AM25" s="84">
        <v>1800</v>
      </c>
      <c r="AQ25" s="84">
        <v>2100</v>
      </c>
      <c r="AU25" s="96" t="s">
        <v>124</v>
      </c>
    </row>
    <row r="26" spans="3:49" ht="31.35" customHeight="1">
      <c r="C26" s="330" t="s">
        <v>170</v>
      </c>
      <c r="D26" s="330"/>
      <c r="E26" s="330"/>
      <c r="F26" s="330"/>
      <c r="G26" s="330"/>
      <c r="H26" s="330"/>
      <c r="I26" s="330"/>
      <c r="J26" s="330"/>
      <c r="K26" s="330"/>
      <c r="L26" s="330"/>
      <c r="M26" s="344">
        <f>AI26</f>
        <v>15</v>
      </c>
      <c r="N26" s="344"/>
      <c r="O26" s="344"/>
      <c r="P26" s="344"/>
      <c r="Q26" s="344"/>
      <c r="R26" s="344">
        <f>AM26</f>
        <v>16</v>
      </c>
      <c r="S26" s="344"/>
      <c r="T26" s="344"/>
      <c r="U26" s="344"/>
      <c r="V26" s="344"/>
      <c r="W26" s="344">
        <f>AQ26</f>
        <v>17</v>
      </c>
      <c r="X26" s="344"/>
      <c r="Y26" s="344"/>
      <c r="Z26" s="344"/>
      <c r="AA26" s="344"/>
      <c r="AB26" s="344">
        <f>AU26</f>
        <v>18</v>
      </c>
      <c r="AC26" s="344"/>
      <c r="AD26" s="344"/>
      <c r="AE26" s="344"/>
      <c r="AF26" s="344"/>
      <c r="AI26" s="84">
        <v>15</v>
      </c>
      <c r="AJ26" s="84">
        <v>15</v>
      </c>
      <c r="AK26" s="84">
        <v>15</v>
      </c>
      <c r="AM26" s="84">
        <v>16</v>
      </c>
      <c r="AN26" s="84">
        <v>16</v>
      </c>
      <c r="AO26" s="84">
        <v>16</v>
      </c>
      <c r="AQ26" s="84">
        <v>17</v>
      </c>
      <c r="AR26" s="84">
        <v>17</v>
      </c>
      <c r="AS26" s="84">
        <v>17</v>
      </c>
      <c r="AU26" s="84">
        <v>18</v>
      </c>
      <c r="AV26" s="84">
        <v>18</v>
      </c>
      <c r="AW26" s="84">
        <v>18</v>
      </c>
    </row>
    <row r="27" spans="3:49" ht="21.75" customHeight="1">
      <c r="C27" s="343" t="s">
        <v>125</v>
      </c>
      <c r="D27" s="343"/>
      <c r="E27" s="343"/>
      <c r="F27" s="343"/>
      <c r="G27" s="343"/>
      <c r="H27" s="343"/>
      <c r="I27" s="343"/>
      <c r="J27" s="343"/>
      <c r="K27" s="343"/>
      <c r="L27" s="343"/>
      <c r="M27" s="343"/>
      <c r="N27" s="343"/>
      <c r="O27" s="343"/>
      <c r="P27" s="343"/>
      <c r="Q27" s="343"/>
      <c r="R27" s="343"/>
      <c r="S27" s="343"/>
      <c r="T27" s="343"/>
      <c r="U27" s="343"/>
      <c r="V27" s="343"/>
      <c r="W27" s="343"/>
      <c r="X27" s="343"/>
      <c r="Y27" s="343"/>
      <c r="Z27" s="343"/>
      <c r="AA27" s="343"/>
      <c r="AB27" s="102"/>
      <c r="AC27" s="102"/>
      <c r="AD27" s="102"/>
    </row>
    <row r="28" spans="3:49" ht="27" customHeight="1">
      <c r="C28" s="285"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285"/>
      <c r="E28" s="285"/>
      <c r="F28" s="285"/>
      <c r="G28" s="285"/>
      <c r="H28" s="285"/>
      <c r="I28" s="285"/>
      <c r="J28" s="285"/>
      <c r="K28" s="285"/>
      <c r="L28" s="285"/>
      <c r="M28" s="285"/>
      <c r="N28" s="285"/>
      <c r="O28" s="285"/>
      <c r="P28" s="285"/>
      <c r="Q28" s="285"/>
      <c r="R28" s="285"/>
      <c r="S28" s="285"/>
      <c r="T28" s="285"/>
      <c r="U28" s="285"/>
      <c r="V28" s="285"/>
      <c r="W28" s="285"/>
      <c r="X28" s="285"/>
      <c r="Y28" s="285"/>
      <c r="Z28" s="285"/>
      <c r="AA28" s="285"/>
      <c r="AB28" s="285"/>
      <c r="AC28" s="285"/>
      <c r="AD28" s="285"/>
      <c r="AE28" s="285"/>
      <c r="AF28" s="285"/>
      <c r="AI28" s="84">
        <v>20</v>
      </c>
      <c r="AQ28" s="84" t="s">
        <v>258</v>
      </c>
    </row>
    <row r="29" spans="3:49" ht="27" customHeight="1">
      <c r="C29" s="285"/>
      <c r="D29" s="285"/>
      <c r="E29" s="285"/>
      <c r="F29" s="285"/>
      <c r="G29" s="285"/>
      <c r="H29" s="285"/>
      <c r="I29" s="285"/>
      <c r="J29" s="285"/>
      <c r="K29" s="285"/>
      <c r="L29" s="285"/>
      <c r="M29" s="285"/>
      <c r="N29" s="285"/>
      <c r="O29" s="285"/>
      <c r="P29" s="285"/>
      <c r="Q29" s="285"/>
      <c r="R29" s="285"/>
      <c r="S29" s="285"/>
      <c r="T29" s="285"/>
      <c r="U29" s="285"/>
      <c r="V29" s="285"/>
      <c r="W29" s="285"/>
      <c r="X29" s="285"/>
      <c r="Y29" s="285"/>
      <c r="Z29" s="285"/>
      <c r="AA29" s="285"/>
      <c r="AB29" s="285"/>
      <c r="AC29" s="285"/>
      <c r="AD29" s="285"/>
      <c r="AE29" s="285"/>
      <c r="AF29" s="285"/>
      <c r="AI29" s="84">
        <v>1</v>
      </c>
      <c r="AQ29" s="84"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84" t="s">
        <v>260</v>
      </c>
      <c r="AS29" s="84" t="str">
        <f>IF(AI28&gt;=0," cao hơn "," thấp hơn ")</f>
        <v xml:space="preserve"> cao hơn </v>
      </c>
      <c r="AT29" s="84" t="s">
        <v>261</v>
      </c>
    </row>
    <row r="30" spans="3:49" ht="16.5" customHeight="1">
      <c r="C30" s="275" t="str">
        <f>IF(AI31=1,AQ31,AQ30)</f>
        <v>Trạm gốc điện thoại di động mặt đất công cộng này có mức an toàn phơi nhiễm trường điện từ tuân thủ quy chuẩn kỹ thuật trên.</v>
      </c>
      <c r="D30" s="275"/>
      <c r="E30" s="275"/>
      <c r="F30" s="275"/>
      <c r="G30" s="275"/>
      <c r="H30" s="275"/>
      <c r="I30" s="275"/>
      <c r="J30" s="275"/>
      <c r="K30" s="275"/>
      <c r="L30" s="275"/>
      <c r="M30" s="275"/>
      <c r="N30" s="275"/>
      <c r="O30" s="275"/>
      <c r="P30" s="275"/>
      <c r="Q30" s="275"/>
      <c r="R30" s="275"/>
      <c r="S30" s="275"/>
      <c r="T30" s="275"/>
      <c r="U30" s="275"/>
      <c r="V30" s="275"/>
      <c r="W30" s="275"/>
      <c r="X30" s="275"/>
      <c r="Y30" s="275"/>
      <c r="Z30" s="275"/>
      <c r="AA30" s="275"/>
      <c r="AB30" s="275"/>
      <c r="AC30" s="275"/>
      <c r="AD30" s="275"/>
      <c r="AE30" s="275"/>
      <c r="AF30" s="275"/>
      <c r="AI30" s="84">
        <v>20</v>
      </c>
      <c r="AQ30" s="84" t="s">
        <v>171</v>
      </c>
    </row>
    <row r="31" spans="3:49" ht="16.5" customHeight="1">
      <c r="C31" s="275"/>
      <c r="D31" s="275"/>
      <c r="E31" s="275"/>
      <c r="F31" s="275"/>
      <c r="G31" s="275"/>
      <c r="H31" s="275"/>
      <c r="I31" s="275"/>
      <c r="J31" s="275"/>
      <c r="K31" s="275"/>
      <c r="L31" s="275"/>
      <c r="M31" s="275"/>
      <c r="N31" s="275"/>
      <c r="O31" s="275"/>
      <c r="P31" s="275"/>
      <c r="Q31" s="275"/>
      <c r="R31" s="275"/>
      <c r="S31" s="275"/>
      <c r="T31" s="275"/>
      <c r="U31" s="275"/>
      <c r="V31" s="275"/>
      <c r="W31" s="275"/>
      <c r="X31" s="275"/>
      <c r="Y31" s="275"/>
      <c r="Z31" s="275"/>
      <c r="AA31" s="275"/>
      <c r="AB31" s="275"/>
      <c r="AC31" s="275"/>
      <c r="AD31" s="275"/>
      <c r="AE31" s="275"/>
      <c r="AF31" s="275"/>
      <c r="AI31" s="84">
        <v>2</v>
      </c>
      <c r="AQ31" s="156"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264" t="s">
        <v>171</v>
      </c>
      <c r="D32" s="264"/>
      <c r="E32" s="264"/>
      <c r="F32" s="264"/>
      <c r="G32" s="264"/>
      <c r="H32" s="264"/>
      <c r="I32" s="264"/>
      <c r="J32" s="264"/>
      <c r="K32" s="264"/>
      <c r="L32" s="264"/>
      <c r="M32" s="264"/>
      <c r="N32" s="264"/>
      <c r="O32" s="264"/>
      <c r="P32" s="264"/>
      <c r="Q32" s="264"/>
      <c r="R32" s="264"/>
      <c r="S32" s="264"/>
      <c r="T32" s="264"/>
      <c r="U32" s="264"/>
      <c r="V32" s="264"/>
      <c r="W32" s="264"/>
      <c r="X32" s="264"/>
      <c r="Y32" s="264"/>
      <c r="Z32" s="264"/>
      <c r="AA32" s="264"/>
      <c r="AB32" s="264"/>
      <c r="AC32" s="264"/>
      <c r="AD32" s="264"/>
      <c r="AE32" s="264"/>
      <c r="AF32" s="264"/>
    </row>
    <row r="33" spans="2:50" ht="17.100000000000001" customHeight="1">
      <c r="C33" s="264"/>
      <c r="D33" s="264"/>
      <c r="E33" s="264"/>
      <c r="F33" s="264"/>
      <c r="G33" s="264"/>
      <c r="H33" s="264"/>
      <c r="I33" s="264"/>
      <c r="J33" s="264"/>
      <c r="K33" s="264"/>
      <c r="L33" s="264"/>
      <c r="M33" s="264"/>
      <c r="N33" s="264"/>
      <c r="O33" s="264"/>
      <c r="P33" s="264"/>
      <c r="Q33" s="264"/>
      <c r="R33" s="264"/>
      <c r="S33" s="264"/>
      <c r="T33" s="264"/>
      <c r="U33" s="264"/>
      <c r="V33" s="264"/>
      <c r="W33" s="264"/>
      <c r="X33" s="264"/>
      <c r="Y33" s="264"/>
      <c r="Z33" s="264"/>
      <c r="AA33" s="264"/>
      <c r="AB33" s="264"/>
      <c r="AC33" s="264"/>
      <c r="AD33" s="264"/>
      <c r="AE33" s="264"/>
      <c r="AF33" s="264"/>
    </row>
    <row r="34" spans="2:50" ht="17.100000000000001" customHeight="1">
      <c r="C34" s="305"/>
      <c r="D34" s="305"/>
      <c r="E34" s="305"/>
      <c r="F34" s="305"/>
      <c r="G34" s="305"/>
      <c r="H34" s="102"/>
      <c r="I34" s="306"/>
      <c r="J34" s="306"/>
      <c r="K34" s="306"/>
      <c r="L34" s="306"/>
      <c r="M34" s="306"/>
      <c r="N34" s="306"/>
      <c r="O34" s="306"/>
      <c r="P34" s="103"/>
      <c r="Q34" s="103"/>
      <c r="R34" s="103"/>
      <c r="S34" s="103"/>
      <c r="T34" s="300" t="str">
        <f>IF(AI41=0,AO34,IF(AI41=1,AK34,AS34))</f>
        <v>KT. GIÁM ĐỐC</v>
      </c>
      <c r="U34" s="300"/>
      <c r="V34" s="300"/>
      <c r="W34" s="300"/>
      <c r="X34" s="300"/>
      <c r="Y34" s="300"/>
      <c r="Z34" s="300"/>
      <c r="AA34" s="300"/>
      <c r="AB34" s="300"/>
      <c r="AC34" s="300"/>
      <c r="AD34" s="300"/>
      <c r="AE34" s="300"/>
      <c r="AF34" s="300"/>
      <c r="AK34" s="84" t="s">
        <v>126</v>
      </c>
      <c r="AO34" s="84" t="s">
        <v>211</v>
      </c>
      <c r="AS34" s="84" t="s">
        <v>210</v>
      </c>
    </row>
    <row r="35" spans="2:50" ht="17.100000000000001" customHeight="1">
      <c r="C35" s="301" t="s">
        <v>127</v>
      </c>
      <c r="D35" s="301"/>
      <c r="E35" s="301"/>
      <c r="F35" s="301"/>
      <c r="G35" s="301"/>
      <c r="H35" s="106" t="s">
        <v>128</v>
      </c>
      <c r="I35" s="303" t="s">
        <v>129</v>
      </c>
      <c r="J35" s="303"/>
      <c r="K35" s="303"/>
      <c r="L35" s="303"/>
      <c r="M35" s="303"/>
      <c r="N35" s="303"/>
      <c r="O35" s="303"/>
      <c r="P35" s="105"/>
      <c r="Q35" s="102"/>
      <c r="R35" s="102"/>
      <c r="S35" s="102"/>
      <c r="T35" s="300" t="str">
        <f>IF(AI41=0,AO35,IF(AI41=1,"",AS35))</f>
        <v>PHÓ GIÁM ĐỐC</v>
      </c>
      <c r="U35" s="300"/>
      <c r="V35" s="300"/>
      <c r="W35" s="300"/>
      <c r="X35" s="300"/>
      <c r="Y35" s="300"/>
      <c r="Z35" s="300"/>
      <c r="AA35" s="300"/>
      <c r="AB35" s="300"/>
      <c r="AC35" s="300"/>
      <c r="AD35" s="300"/>
      <c r="AE35" s="300"/>
      <c r="AF35" s="300"/>
      <c r="AO35" s="84" t="s">
        <v>208</v>
      </c>
      <c r="AS35" s="84" t="s">
        <v>158</v>
      </c>
    </row>
    <row r="36" spans="2:50" ht="17.100000000000001" customHeight="1">
      <c r="C36" s="301" t="s">
        <v>130</v>
      </c>
      <c r="D36" s="301"/>
      <c r="E36" s="301"/>
      <c r="F36" s="301"/>
      <c r="G36" s="301"/>
      <c r="H36" s="106" t="s">
        <v>128</v>
      </c>
      <c r="I36" s="302">
        <f>AI36</f>
        <v>40806</v>
      </c>
      <c r="J36" s="303"/>
      <c r="K36" s="303"/>
      <c r="L36" s="303"/>
      <c r="M36" s="303"/>
      <c r="N36" s="107"/>
      <c r="O36" s="107"/>
      <c r="P36" s="107"/>
      <c r="Q36" s="102"/>
      <c r="R36" s="102"/>
      <c r="S36" s="102"/>
      <c r="T36" s="102"/>
      <c r="U36" s="102"/>
      <c r="V36" s="102"/>
      <c r="W36" s="102"/>
      <c r="X36" s="102"/>
      <c r="Y36" s="102"/>
      <c r="Z36" s="102"/>
      <c r="AA36" s="102"/>
      <c r="AB36" s="102"/>
      <c r="AC36" s="102"/>
      <c r="AD36" s="102"/>
      <c r="AG36" s="108"/>
      <c r="AI36" s="108">
        <v>40806</v>
      </c>
    </row>
    <row r="37" spans="2:50" ht="17.100000000000001" customHeight="1">
      <c r="C37" s="301" t="s">
        <v>131</v>
      </c>
      <c r="D37" s="301"/>
      <c r="E37" s="301"/>
      <c r="F37" s="301"/>
      <c r="G37" s="301"/>
      <c r="H37" s="106" t="s">
        <v>128</v>
      </c>
      <c r="I37" s="302">
        <f>AI37</f>
        <v>42633</v>
      </c>
      <c r="J37" s="303"/>
      <c r="K37" s="303"/>
      <c r="L37" s="303"/>
      <c r="M37" s="303"/>
      <c r="N37" s="107"/>
      <c r="O37" s="107"/>
      <c r="P37" s="107"/>
      <c r="Q37" s="102"/>
      <c r="R37" s="102"/>
      <c r="S37" s="102"/>
      <c r="T37" s="102"/>
      <c r="U37" s="102"/>
      <c r="V37" s="102"/>
      <c r="W37" s="102"/>
      <c r="X37" s="102"/>
      <c r="Y37" s="102"/>
      <c r="Z37" s="102"/>
      <c r="AA37" s="102"/>
      <c r="AB37" s="102"/>
      <c r="AC37" s="102"/>
      <c r="AD37" s="102"/>
      <c r="AG37" s="108"/>
      <c r="AI37" s="108">
        <v>42633</v>
      </c>
    </row>
    <row r="38" spans="2:50" ht="17.100000000000001" customHeight="1">
      <c r="C38" s="109"/>
      <c r="D38" s="109"/>
      <c r="E38" s="109"/>
      <c r="F38" s="94"/>
      <c r="G38" s="87"/>
      <c r="H38" s="87"/>
      <c r="I38" s="87"/>
      <c r="J38" s="87"/>
      <c r="K38" s="87"/>
      <c r="L38" s="87"/>
      <c r="M38" s="87"/>
      <c r="N38" s="87"/>
      <c r="O38" s="87"/>
      <c r="P38" s="87"/>
      <c r="Q38" s="87"/>
      <c r="R38" s="87"/>
      <c r="S38" s="87"/>
      <c r="T38" s="87"/>
      <c r="U38" s="87"/>
      <c r="V38" s="87"/>
      <c r="W38" s="87"/>
      <c r="X38" s="87"/>
      <c r="Y38" s="87"/>
      <c r="Z38" s="87"/>
      <c r="AA38" s="87"/>
      <c r="AB38" s="102"/>
      <c r="AC38" s="102"/>
      <c r="AD38" s="102"/>
    </row>
    <row r="39" spans="2:50" ht="17.100000000000001" customHeight="1">
      <c r="C39" s="109"/>
      <c r="D39" s="109"/>
      <c r="E39" s="109"/>
      <c r="F39" s="94"/>
      <c r="G39" s="87"/>
      <c r="H39" s="87"/>
      <c r="I39" s="87"/>
      <c r="J39" s="87"/>
      <c r="K39" s="87"/>
      <c r="L39" s="87"/>
      <c r="M39" s="87"/>
      <c r="N39" s="87"/>
      <c r="O39" s="87"/>
      <c r="P39" s="87"/>
      <c r="Q39" s="87"/>
      <c r="R39" s="87"/>
      <c r="S39" s="87"/>
      <c r="T39" s="87"/>
      <c r="U39" s="87"/>
      <c r="V39" s="87"/>
      <c r="W39" s="87"/>
      <c r="X39" s="87"/>
      <c r="Y39" s="87"/>
      <c r="Z39" s="87"/>
      <c r="AA39" s="87"/>
      <c r="AB39" s="102"/>
      <c r="AC39" s="102"/>
      <c r="AD39" s="102"/>
    </row>
    <row r="40" spans="2:50" ht="17.100000000000001" customHeight="1">
      <c r="C40" s="109"/>
      <c r="D40" s="109"/>
      <c r="E40" s="109"/>
      <c r="F40" s="94"/>
      <c r="G40" s="87"/>
      <c r="H40" s="87"/>
      <c r="I40" s="87"/>
      <c r="J40" s="87"/>
      <c r="K40" s="87"/>
      <c r="L40" s="87"/>
      <c r="M40" s="87"/>
      <c r="N40" s="87"/>
      <c r="O40" s="87"/>
      <c r="P40" s="103"/>
      <c r="Q40" s="103"/>
      <c r="R40" s="103"/>
      <c r="S40" s="103"/>
      <c r="T40" s="286"/>
      <c r="U40" s="286"/>
      <c r="V40" s="286"/>
      <c r="W40" s="286"/>
      <c r="X40" s="286"/>
      <c r="Y40" s="286"/>
      <c r="Z40" s="286"/>
      <c r="AA40" s="286"/>
      <c r="AB40" s="286"/>
      <c r="AC40" s="286"/>
      <c r="AD40" s="286"/>
      <c r="AE40" s="286"/>
    </row>
    <row r="41" spans="2:50" ht="17.100000000000001" customHeight="1">
      <c r="C41" s="109"/>
      <c r="D41" s="109"/>
      <c r="E41" s="109"/>
      <c r="F41" s="94"/>
      <c r="G41" s="87"/>
      <c r="H41" s="87"/>
      <c r="I41" s="87"/>
      <c r="J41" s="87"/>
      <c r="K41" s="87"/>
      <c r="L41" s="87"/>
      <c r="M41" s="87"/>
      <c r="N41" s="87"/>
      <c r="O41" s="87"/>
      <c r="P41" s="87"/>
      <c r="Q41" s="87"/>
      <c r="R41" s="87"/>
      <c r="S41" s="87"/>
      <c r="T41" s="286" t="str">
        <f>IF(AI41=0,AO41,IF(AI41=1,AK41,AT41))</f>
        <v>Trần Công Khanh</v>
      </c>
      <c r="U41" s="286"/>
      <c r="V41" s="286"/>
      <c r="W41" s="286"/>
      <c r="X41" s="286"/>
      <c r="Y41" s="286"/>
      <c r="Z41" s="286"/>
      <c r="AA41" s="286"/>
      <c r="AB41" s="286"/>
      <c r="AC41" s="286"/>
      <c r="AD41" s="286"/>
      <c r="AE41" s="286"/>
      <c r="AF41" s="286"/>
      <c r="AI41" s="84">
        <v>0</v>
      </c>
      <c r="AK41" s="84" t="s">
        <v>132</v>
      </c>
      <c r="AO41" s="84" t="s">
        <v>209</v>
      </c>
      <c r="AT41" s="84" t="s">
        <v>154</v>
      </c>
    </row>
    <row r="42" spans="2:50" ht="17.25" customHeight="1">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110"/>
      <c r="AC42" s="110"/>
      <c r="AD42" s="110"/>
    </row>
    <row r="43" spans="2:50" ht="16.5" customHeight="1">
      <c r="B43" s="268" t="s">
        <v>133</v>
      </c>
      <c r="C43" s="268"/>
      <c r="D43" s="268"/>
      <c r="E43" s="268"/>
      <c r="F43" s="268"/>
      <c r="G43" s="268"/>
      <c r="H43" s="269" t="s">
        <v>111</v>
      </c>
      <c r="I43" s="269"/>
      <c r="J43" s="269"/>
      <c r="K43" s="269"/>
      <c r="L43" s="269"/>
      <c r="M43" s="269"/>
      <c r="N43" s="269"/>
      <c r="O43" s="269"/>
      <c r="P43" s="269"/>
      <c r="Q43" s="269"/>
      <c r="R43" s="269"/>
      <c r="S43" s="269"/>
      <c r="T43" s="269"/>
      <c r="U43" s="269"/>
      <c r="V43" s="269"/>
      <c r="W43" s="269"/>
      <c r="X43" s="269"/>
      <c r="Y43" s="269"/>
      <c r="Z43" s="269"/>
      <c r="AA43" s="269"/>
      <c r="AB43" s="269"/>
      <c r="AC43" s="269"/>
      <c r="AD43" s="269"/>
      <c r="AE43" s="269"/>
      <c r="AF43" s="269"/>
    </row>
    <row r="44" spans="2:50" ht="16.5" customHeight="1">
      <c r="B44" s="268"/>
      <c r="C44" s="268"/>
      <c r="D44" s="268"/>
      <c r="E44" s="268"/>
      <c r="F44" s="268"/>
      <c r="G44" s="268"/>
      <c r="H44" s="269"/>
      <c r="I44" s="269"/>
      <c r="J44" s="269"/>
      <c r="K44" s="269"/>
      <c r="L44" s="269"/>
      <c r="M44" s="269"/>
      <c r="N44" s="269"/>
      <c r="O44" s="269"/>
      <c r="P44" s="269"/>
      <c r="Q44" s="269"/>
      <c r="R44" s="269"/>
      <c r="S44" s="269"/>
      <c r="T44" s="269"/>
      <c r="U44" s="269"/>
      <c r="V44" s="269"/>
      <c r="W44" s="269"/>
      <c r="X44" s="269"/>
      <c r="Y44" s="269"/>
      <c r="Z44" s="269"/>
      <c r="AA44" s="269"/>
      <c r="AB44" s="269"/>
      <c r="AC44" s="269"/>
      <c r="AD44" s="269"/>
      <c r="AE44" s="269"/>
      <c r="AF44" s="269"/>
    </row>
    <row r="45" spans="2:50" ht="16.5" customHeight="1">
      <c r="B45" s="268"/>
      <c r="C45" s="268"/>
      <c r="D45" s="268"/>
      <c r="E45" s="268"/>
      <c r="F45" s="268"/>
      <c r="G45" s="268"/>
      <c r="H45" s="260" t="s">
        <v>3</v>
      </c>
      <c r="I45" s="260"/>
      <c r="J45" s="260"/>
      <c r="K45" s="260"/>
      <c r="L45" s="260" t="s">
        <v>4</v>
      </c>
      <c r="M45" s="260"/>
      <c r="N45" s="260"/>
      <c r="O45" s="260" t="s">
        <v>134</v>
      </c>
      <c r="P45" s="260"/>
      <c r="Q45" s="260"/>
      <c r="R45" s="260" t="s">
        <v>6</v>
      </c>
      <c r="S45" s="260"/>
      <c r="T45" s="260"/>
      <c r="U45" s="260"/>
      <c r="V45" s="260"/>
      <c r="W45" s="260" t="s">
        <v>135</v>
      </c>
      <c r="X45" s="260"/>
      <c r="Y45" s="260"/>
      <c r="Z45" s="260"/>
      <c r="AA45" s="260" t="s">
        <v>136</v>
      </c>
      <c r="AB45" s="260"/>
      <c r="AC45" s="260"/>
      <c r="AD45" s="260"/>
      <c r="AE45" s="260"/>
      <c r="AF45" s="260"/>
    </row>
    <row r="46" spans="2:50" ht="16.5" customHeight="1">
      <c r="B46" s="268"/>
      <c r="C46" s="268"/>
      <c r="D46" s="268"/>
      <c r="E46" s="268"/>
      <c r="F46" s="268"/>
      <c r="G46" s="268"/>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c r="AE46" s="260"/>
      <c r="AF46" s="260"/>
    </row>
    <row r="47" spans="2:50" ht="16.5" customHeight="1">
      <c r="B47" s="268"/>
      <c r="C47" s="268"/>
      <c r="D47" s="268"/>
      <c r="E47" s="268"/>
      <c r="F47" s="268"/>
      <c r="G47" s="268"/>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row>
    <row r="48" spans="2:50" ht="16.5" customHeight="1">
      <c r="B48" s="268"/>
      <c r="C48" s="268"/>
      <c r="D48" s="268"/>
      <c r="E48" s="268"/>
      <c r="F48" s="268"/>
      <c r="G48" s="268"/>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c r="AE48" s="260"/>
      <c r="AF48" s="260"/>
      <c r="AI48" s="84">
        <v>35</v>
      </c>
      <c r="AK48" s="84">
        <v>37</v>
      </c>
      <c r="AN48" s="84">
        <v>40</v>
      </c>
      <c r="AQ48" s="84">
        <v>43</v>
      </c>
      <c r="AR48" s="84">
        <v>44</v>
      </c>
      <c r="AS48" s="84">
        <v>45</v>
      </c>
      <c r="AT48" s="84">
        <v>46</v>
      </c>
      <c r="AU48" s="84">
        <v>47</v>
      </c>
      <c r="AV48" s="84">
        <v>48</v>
      </c>
      <c r="AW48" s="84">
        <v>49</v>
      </c>
      <c r="AX48" s="84">
        <v>50</v>
      </c>
    </row>
    <row r="49" spans="2:48" ht="18.75" customHeight="1">
      <c r="B49" s="260" t="str">
        <f>AI49</f>
        <v>CÔNG TY CỔ PHẦN VIỄN THÔNG DI ĐỘNG TOÀN CẦU</v>
      </c>
      <c r="C49" s="260"/>
      <c r="D49" s="260"/>
      <c r="E49" s="260"/>
      <c r="F49" s="260"/>
      <c r="G49" s="260"/>
      <c r="H49" s="261" t="str">
        <f>AK49</f>
        <v>TB1</v>
      </c>
      <c r="I49" s="261"/>
      <c r="J49" s="261"/>
      <c r="K49" s="261"/>
      <c r="L49" s="262">
        <v>1</v>
      </c>
      <c r="M49" s="262"/>
      <c r="N49" s="262"/>
      <c r="O49" s="263" t="str">
        <f>AN49</f>
        <v>4/4/4</v>
      </c>
      <c r="P49" s="345"/>
      <c r="Q49" s="345"/>
      <c r="R49" s="260" t="str">
        <f>IF(L49=3,AQ49&amp;"W/ "&amp;AR49&amp;"W/ "&amp;AS49&amp;"W",IF(L49=2,AQ49&amp;"W/ "&amp;AR49&amp;"W",AQ49&amp;"W"))</f>
        <v>20W</v>
      </c>
      <c r="S49" s="260"/>
      <c r="T49" s="260"/>
      <c r="U49" s="260"/>
      <c r="V49" s="260"/>
      <c r="W49" s="260" t="str">
        <f>IF(AU49="900 &amp; 1800","900MHz &amp; 1800MHz",IF(AU49="900 &amp; 2100","900MHz &amp; 2100MHz",IF(AU49="1800 &amp; 2100","1800MHz &amp; 2100MHz",AU49&amp;"MHz")))</f>
        <v>900MHz</v>
      </c>
      <c r="X49" s="260"/>
      <c r="Y49" s="260"/>
      <c r="Z49" s="260"/>
      <c r="AA49" s="260">
        <f>AV49</f>
        <v>15</v>
      </c>
      <c r="AB49" s="260"/>
      <c r="AC49" s="260"/>
      <c r="AD49" s="260"/>
      <c r="AE49" s="260"/>
      <c r="AF49" s="260"/>
      <c r="AI49" s="96" t="s">
        <v>155</v>
      </c>
      <c r="AK49" s="96" t="s">
        <v>137</v>
      </c>
      <c r="AL49" s="96"/>
      <c r="AN49" s="100" t="s">
        <v>119</v>
      </c>
      <c r="AQ49" s="84">
        <v>20</v>
      </c>
      <c r="AR49" s="84">
        <v>30</v>
      </c>
      <c r="AS49" s="84">
        <v>40</v>
      </c>
      <c r="AU49" s="84">
        <v>900</v>
      </c>
      <c r="AV49" s="84">
        <v>15</v>
      </c>
    </row>
    <row r="50" spans="2:48" ht="18.75" customHeight="1">
      <c r="B50" s="260"/>
      <c r="C50" s="260"/>
      <c r="D50" s="260"/>
      <c r="E50" s="260"/>
      <c r="F50" s="260"/>
      <c r="G50" s="260"/>
      <c r="H50" s="261"/>
      <c r="I50" s="261"/>
      <c r="J50" s="261"/>
      <c r="K50" s="261"/>
      <c r="L50" s="262"/>
      <c r="M50" s="262"/>
      <c r="N50" s="262"/>
      <c r="O50" s="345"/>
      <c r="P50" s="345"/>
      <c r="Q50" s="345"/>
      <c r="R50" s="260"/>
      <c r="S50" s="260"/>
      <c r="T50" s="260"/>
      <c r="U50" s="260"/>
      <c r="V50" s="260"/>
      <c r="W50" s="260"/>
      <c r="X50" s="260"/>
      <c r="Y50" s="260"/>
      <c r="Z50" s="260"/>
      <c r="AA50" s="260"/>
      <c r="AB50" s="260"/>
      <c r="AC50" s="260"/>
      <c r="AD50" s="260"/>
      <c r="AE50" s="260"/>
      <c r="AF50" s="260"/>
    </row>
    <row r="51" spans="2:48" ht="18.75" customHeight="1">
      <c r="B51" s="260"/>
      <c r="C51" s="260"/>
      <c r="D51" s="260"/>
      <c r="E51" s="260"/>
      <c r="F51" s="260"/>
      <c r="G51" s="260"/>
      <c r="H51" s="261"/>
      <c r="I51" s="261"/>
      <c r="J51" s="261"/>
      <c r="K51" s="261"/>
      <c r="L51" s="262"/>
      <c r="M51" s="262"/>
      <c r="N51" s="262"/>
      <c r="O51" s="345"/>
      <c r="P51" s="345"/>
      <c r="Q51" s="345"/>
      <c r="R51" s="260"/>
      <c r="S51" s="260"/>
      <c r="T51" s="260"/>
      <c r="U51" s="260"/>
      <c r="V51" s="260"/>
      <c r="W51" s="260"/>
      <c r="X51" s="260"/>
      <c r="Y51" s="260"/>
      <c r="Z51" s="260"/>
      <c r="AA51" s="260"/>
      <c r="AB51" s="260"/>
      <c r="AC51" s="260"/>
      <c r="AD51" s="260"/>
      <c r="AE51" s="260"/>
      <c r="AF51" s="260"/>
    </row>
    <row r="52" spans="2:48" ht="18.75" customHeight="1">
      <c r="B52" s="260"/>
      <c r="C52" s="260"/>
      <c r="D52" s="260"/>
      <c r="E52" s="260"/>
      <c r="F52" s="260"/>
      <c r="G52" s="260"/>
      <c r="H52" s="261"/>
      <c r="I52" s="261"/>
      <c r="J52" s="261"/>
      <c r="K52" s="261"/>
      <c r="L52" s="262"/>
      <c r="M52" s="262"/>
      <c r="N52" s="262"/>
      <c r="O52" s="345"/>
      <c r="P52" s="345"/>
      <c r="Q52" s="345"/>
      <c r="R52" s="260"/>
      <c r="S52" s="260"/>
      <c r="T52" s="260"/>
      <c r="U52" s="260"/>
      <c r="V52" s="260"/>
      <c r="W52" s="260"/>
      <c r="X52" s="260"/>
      <c r="Y52" s="260"/>
      <c r="Z52" s="260"/>
      <c r="AA52" s="260"/>
      <c r="AB52" s="260"/>
      <c r="AC52" s="260"/>
      <c r="AD52" s="260"/>
      <c r="AE52" s="260"/>
      <c r="AF52" s="260"/>
    </row>
    <row r="53" spans="2:48" ht="18.75" customHeight="1">
      <c r="B53" s="260" t="str">
        <f t="shared" ref="B53" si="2">AI53</f>
        <v>CÔNG TY CỔ PHẦN VIỄN THÔNG DI ĐỘNG TOÀN CẦU</v>
      </c>
      <c r="C53" s="260"/>
      <c r="D53" s="260"/>
      <c r="E53" s="260"/>
      <c r="F53" s="260"/>
      <c r="G53" s="260"/>
      <c r="H53" s="261" t="str">
        <f>AK53</f>
        <v>TB2</v>
      </c>
      <c r="I53" s="261"/>
      <c r="J53" s="261"/>
      <c r="K53" s="261"/>
      <c r="L53" s="262">
        <v>2</v>
      </c>
      <c r="M53" s="262"/>
      <c r="N53" s="262"/>
      <c r="O53" s="263" t="str">
        <f>AN53</f>
        <v>4/4/4</v>
      </c>
      <c r="P53" s="345"/>
      <c r="Q53" s="345"/>
      <c r="R53" s="260" t="str">
        <f t="shared" ref="R53" si="3">IF(L53=3,AQ53&amp;"W/ "&amp;AR53&amp;"W/ "&amp;AS53&amp;"W",IF(L53=2,AQ53&amp;"W/ "&amp;AR53&amp;"W",AQ53&amp;"W"))</f>
        <v>30W/ 40W</v>
      </c>
      <c r="S53" s="260"/>
      <c r="T53" s="260"/>
      <c r="U53" s="260"/>
      <c r="V53" s="260"/>
      <c r="W53" s="260" t="str">
        <f>IF(AU53="900 &amp; 1800","900MHz &amp; 1800MHz",IF(AU53="900 &amp; 2100","900MHz &amp; 2100MHz",IF(AU53="1800 &amp; 2100","1800MHz &amp; 2100MHz",AU53&amp;"MHz")))</f>
        <v>1800MHz</v>
      </c>
      <c r="X53" s="260"/>
      <c r="Y53" s="260"/>
      <c r="Z53" s="260"/>
      <c r="AA53" s="260">
        <f>AV53</f>
        <v>15</v>
      </c>
      <c r="AB53" s="260"/>
      <c r="AC53" s="260"/>
      <c r="AD53" s="260"/>
      <c r="AE53" s="260"/>
      <c r="AF53" s="260"/>
      <c r="AI53" s="96" t="s">
        <v>155</v>
      </c>
      <c r="AK53" s="96" t="s">
        <v>138</v>
      </c>
      <c r="AL53" s="96"/>
      <c r="AN53" s="100" t="s">
        <v>119</v>
      </c>
      <c r="AQ53" s="84">
        <v>30</v>
      </c>
      <c r="AR53" s="84">
        <v>40</v>
      </c>
      <c r="AS53" s="84">
        <v>40</v>
      </c>
      <c r="AU53" s="84">
        <v>1800</v>
      </c>
      <c r="AV53" s="84">
        <v>15</v>
      </c>
    </row>
    <row r="54" spans="2:48" ht="18.75" customHeight="1">
      <c r="B54" s="260"/>
      <c r="C54" s="260"/>
      <c r="D54" s="260"/>
      <c r="E54" s="260"/>
      <c r="F54" s="260"/>
      <c r="G54" s="260"/>
      <c r="H54" s="261"/>
      <c r="I54" s="261"/>
      <c r="J54" s="261"/>
      <c r="K54" s="261"/>
      <c r="L54" s="262"/>
      <c r="M54" s="262"/>
      <c r="N54" s="262"/>
      <c r="O54" s="345"/>
      <c r="P54" s="345"/>
      <c r="Q54" s="345"/>
      <c r="R54" s="260"/>
      <c r="S54" s="260"/>
      <c r="T54" s="260"/>
      <c r="U54" s="260"/>
      <c r="V54" s="260"/>
      <c r="W54" s="260"/>
      <c r="X54" s="260"/>
      <c r="Y54" s="260"/>
      <c r="Z54" s="260"/>
      <c r="AA54" s="260"/>
      <c r="AB54" s="260"/>
      <c r="AC54" s="260"/>
      <c r="AD54" s="260"/>
      <c r="AE54" s="260"/>
      <c r="AF54" s="260"/>
    </row>
    <row r="55" spans="2:48" ht="18.75" customHeight="1">
      <c r="B55" s="260"/>
      <c r="C55" s="260"/>
      <c r="D55" s="260"/>
      <c r="E55" s="260"/>
      <c r="F55" s="260"/>
      <c r="G55" s="260"/>
      <c r="H55" s="261"/>
      <c r="I55" s="261"/>
      <c r="J55" s="261"/>
      <c r="K55" s="261"/>
      <c r="L55" s="262"/>
      <c r="M55" s="262"/>
      <c r="N55" s="262"/>
      <c r="O55" s="345"/>
      <c r="P55" s="345"/>
      <c r="Q55" s="345"/>
      <c r="R55" s="260"/>
      <c r="S55" s="260"/>
      <c r="T55" s="260"/>
      <c r="U55" s="260"/>
      <c r="V55" s="260"/>
      <c r="W55" s="260"/>
      <c r="X55" s="260"/>
      <c r="Y55" s="260"/>
      <c r="Z55" s="260"/>
      <c r="AA55" s="260"/>
      <c r="AB55" s="260"/>
      <c r="AC55" s="260"/>
      <c r="AD55" s="260"/>
      <c r="AE55" s="260"/>
      <c r="AF55" s="260"/>
    </row>
    <row r="56" spans="2:48" ht="18.75" customHeight="1">
      <c r="B56" s="260"/>
      <c r="C56" s="260"/>
      <c r="D56" s="260"/>
      <c r="E56" s="260"/>
      <c r="F56" s="260"/>
      <c r="G56" s="260"/>
      <c r="H56" s="261"/>
      <c r="I56" s="261"/>
      <c r="J56" s="261"/>
      <c r="K56" s="261"/>
      <c r="L56" s="262"/>
      <c r="M56" s="262"/>
      <c r="N56" s="262"/>
      <c r="O56" s="345"/>
      <c r="P56" s="345"/>
      <c r="Q56" s="345"/>
      <c r="R56" s="260"/>
      <c r="S56" s="260"/>
      <c r="T56" s="260"/>
      <c r="U56" s="260"/>
      <c r="V56" s="260"/>
      <c r="W56" s="260"/>
      <c r="X56" s="260"/>
      <c r="Y56" s="260"/>
      <c r="Z56" s="260"/>
      <c r="AA56" s="260"/>
      <c r="AB56" s="260"/>
      <c r="AC56" s="260"/>
      <c r="AD56" s="260"/>
      <c r="AE56" s="260"/>
      <c r="AF56" s="260"/>
    </row>
    <row r="57" spans="2:48" ht="18.75" customHeight="1">
      <c r="B57" s="260" t="str">
        <f t="shared" ref="B57" si="4">AI57</f>
        <v>CÔNG TY CỔ PHẦN VIỄN THÔNG DI ĐỘNG TOÀN CẦU</v>
      </c>
      <c r="C57" s="260"/>
      <c r="D57" s="260"/>
      <c r="E57" s="260"/>
      <c r="F57" s="260"/>
      <c r="G57" s="260"/>
      <c r="H57" s="261" t="str">
        <f>AK57</f>
        <v>TB2</v>
      </c>
      <c r="I57" s="261"/>
      <c r="J57" s="261"/>
      <c r="K57" s="261"/>
      <c r="L57" s="262">
        <v>3</v>
      </c>
      <c r="M57" s="262"/>
      <c r="N57" s="262"/>
      <c r="O57" s="263" t="str">
        <f t="shared" ref="O57" si="5">AN57</f>
        <v>4/4/4</v>
      </c>
      <c r="P57" s="345"/>
      <c r="Q57" s="345"/>
      <c r="R57" s="260" t="str">
        <f t="shared" ref="R57" si="6">IF(L57=3,AQ57&amp;"W/ "&amp;AR57&amp;"W/ "&amp;AS57&amp;"W",IF(L57=2,AQ57&amp;"W/ "&amp;AR57&amp;"W",AQ57&amp;"W"))</f>
        <v>30W/ 40W/ 40W</v>
      </c>
      <c r="S57" s="260"/>
      <c r="T57" s="260"/>
      <c r="U57" s="260"/>
      <c r="V57" s="260"/>
      <c r="W57" s="260" t="str">
        <f>IF(AU57="900 &amp; 1800","900MHz &amp; 1800MHz",IF(AU57="900 &amp; 2100","900MHz &amp; 2100MHz",IF(AU57="1800 &amp; 2100","1800MHz &amp; 2100MHz",AU57&amp;"MHz")))</f>
        <v>9000 &amp; 1800MHz</v>
      </c>
      <c r="X57" s="260"/>
      <c r="Y57" s="260"/>
      <c r="Z57" s="260"/>
      <c r="AA57" s="260">
        <f>AV57</f>
        <v>15</v>
      </c>
      <c r="AB57" s="260"/>
      <c r="AC57" s="260"/>
      <c r="AD57" s="260"/>
      <c r="AE57" s="260"/>
      <c r="AF57" s="260"/>
      <c r="AI57" s="96" t="s">
        <v>155</v>
      </c>
      <c r="AK57" s="96" t="s">
        <v>138</v>
      </c>
      <c r="AL57" s="96"/>
      <c r="AN57" s="100" t="s">
        <v>119</v>
      </c>
      <c r="AQ57" s="84">
        <v>30</v>
      </c>
      <c r="AR57" s="84">
        <v>40</v>
      </c>
      <c r="AS57" s="84">
        <v>40</v>
      </c>
      <c r="AU57" s="84" t="s">
        <v>205</v>
      </c>
      <c r="AV57" s="84">
        <v>15</v>
      </c>
    </row>
    <row r="58" spans="2:48" ht="18.75" customHeight="1">
      <c r="B58" s="260"/>
      <c r="C58" s="260"/>
      <c r="D58" s="260"/>
      <c r="E58" s="260"/>
      <c r="F58" s="260"/>
      <c r="G58" s="260"/>
      <c r="H58" s="261"/>
      <c r="I58" s="261"/>
      <c r="J58" s="261"/>
      <c r="K58" s="261"/>
      <c r="L58" s="262"/>
      <c r="M58" s="262"/>
      <c r="N58" s="262"/>
      <c r="O58" s="345"/>
      <c r="P58" s="345"/>
      <c r="Q58" s="345"/>
      <c r="R58" s="260"/>
      <c r="S58" s="260"/>
      <c r="T58" s="260"/>
      <c r="U58" s="260"/>
      <c r="V58" s="260"/>
      <c r="W58" s="260"/>
      <c r="X58" s="260"/>
      <c r="Y58" s="260"/>
      <c r="Z58" s="260"/>
      <c r="AA58" s="260"/>
      <c r="AB58" s="260"/>
      <c r="AC58" s="260"/>
      <c r="AD58" s="260"/>
      <c r="AE58" s="260"/>
      <c r="AF58" s="260"/>
    </row>
    <row r="59" spans="2:48" ht="18.75" customHeight="1">
      <c r="B59" s="260"/>
      <c r="C59" s="260"/>
      <c r="D59" s="260"/>
      <c r="E59" s="260"/>
      <c r="F59" s="260"/>
      <c r="G59" s="260"/>
      <c r="H59" s="261"/>
      <c r="I59" s="261"/>
      <c r="J59" s="261"/>
      <c r="K59" s="261"/>
      <c r="L59" s="262"/>
      <c r="M59" s="262"/>
      <c r="N59" s="262"/>
      <c r="O59" s="345"/>
      <c r="P59" s="345"/>
      <c r="Q59" s="345"/>
      <c r="R59" s="260"/>
      <c r="S59" s="260"/>
      <c r="T59" s="260"/>
      <c r="U59" s="260"/>
      <c r="V59" s="260"/>
      <c r="W59" s="260"/>
      <c r="X59" s="260"/>
      <c r="Y59" s="260"/>
      <c r="Z59" s="260"/>
      <c r="AA59" s="260"/>
      <c r="AB59" s="260"/>
      <c r="AC59" s="260"/>
      <c r="AD59" s="260"/>
      <c r="AE59" s="260"/>
      <c r="AF59" s="260"/>
    </row>
    <row r="60" spans="2:48" ht="18.75" customHeight="1">
      <c r="B60" s="260"/>
      <c r="C60" s="260"/>
      <c r="D60" s="260"/>
      <c r="E60" s="260"/>
      <c r="F60" s="260"/>
      <c r="G60" s="260"/>
      <c r="H60" s="261"/>
      <c r="I60" s="261"/>
      <c r="J60" s="261"/>
      <c r="K60" s="261"/>
      <c r="L60" s="262"/>
      <c r="M60" s="262"/>
      <c r="N60" s="262"/>
      <c r="O60" s="345"/>
      <c r="P60" s="345"/>
      <c r="Q60" s="345"/>
      <c r="R60" s="260"/>
      <c r="S60" s="260"/>
      <c r="T60" s="260"/>
      <c r="U60" s="260"/>
      <c r="V60" s="260"/>
      <c r="W60" s="260"/>
      <c r="X60" s="260"/>
      <c r="Y60" s="260"/>
      <c r="Z60" s="260"/>
      <c r="AA60" s="260"/>
      <c r="AB60" s="260"/>
      <c r="AC60" s="260"/>
      <c r="AD60" s="260"/>
      <c r="AE60" s="260"/>
      <c r="AF60" s="260"/>
    </row>
    <row r="61" spans="2:48" ht="18.75" customHeight="1">
      <c r="B61" s="260" t="str">
        <f t="shared" ref="B61" si="7">AI61</f>
        <v>CÔNG TY CỔ PHẦN VIỄN THÔNG DI ĐỘNG TOÀN CẦU</v>
      </c>
      <c r="C61" s="260"/>
      <c r="D61" s="260"/>
      <c r="E61" s="260"/>
      <c r="F61" s="260"/>
      <c r="G61" s="260"/>
      <c r="H61" s="261" t="str">
        <f>AK61</f>
        <v>TB2</v>
      </c>
      <c r="I61" s="261"/>
      <c r="J61" s="261"/>
      <c r="K61" s="261"/>
      <c r="L61" s="262">
        <v>2</v>
      </c>
      <c r="M61" s="262"/>
      <c r="N61" s="262"/>
      <c r="O61" s="263" t="str">
        <f t="shared" ref="O61" si="8">AN61</f>
        <v>4/4/4</v>
      </c>
      <c r="P61" s="345"/>
      <c r="Q61" s="345"/>
      <c r="R61" s="260" t="str">
        <f>IF(L61=3,AQ61&amp;"W/ "&amp;AR61&amp;"W/ "&amp;AS61&amp;"W",IF(L61=2,AQ61&amp;"W/ "&amp;AR61&amp;"W",AQ61&amp;"W"))</f>
        <v>30W/ 40W</v>
      </c>
      <c r="S61" s="260"/>
      <c r="T61" s="260"/>
      <c r="U61" s="260"/>
      <c r="V61" s="260"/>
      <c r="W61" s="260" t="str">
        <f>IF(AU61="900 &amp; 1800","900MHz &amp; 1800MHz",IF(AU61="900 &amp; 2100","900MHz &amp; 2100MHz",IF(AU61="1800 &amp; 2100","1800MHz &amp; 2100MHz",AU61&amp;"MHz")))</f>
        <v>9000 &amp; 2100MHz</v>
      </c>
      <c r="X61" s="260"/>
      <c r="Y61" s="260"/>
      <c r="Z61" s="260"/>
      <c r="AA61" s="260">
        <f>AV61</f>
        <v>15</v>
      </c>
      <c r="AB61" s="260"/>
      <c r="AC61" s="260"/>
      <c r="AD61" s="260"/>
      <c r="AE61" s="260"/>
      <c r="AF61" s="260"/>
      <c r="AI61" s="96" t="s">
        <v>155</v>
      </c>
      <c r="AK61" s="96" t="s">
        <v>138</v>
      </c>
      <c r="AL61" s="96"/>
      <c r="AN61" s="100" t="s">
        <v>119</v>
      </c>
      <c r="AQ61" s="84">
        <v>30</v>
      </c>
      <c r="AR61" s="84">
        <v>40</v>
      </c>
      <c r="AS61" s="84">
        <v>40</v>
      </c>
      <c r="AU61" s="84" t="s">
        <v>206</v>
      </c>
      <c r="AV61" s="84">
        <v>15</v>
      </c>
    </row>
    <row r="62" spans="2:48" ht="18.75" customHeight="1">
      <c r="B62" s="260"/>
      <c r="C62" s="260"/>
      <c r="D62" s="260"/>
      <c r="E62" s="260"/>
      <c r="F62" s="260"/>
      <c r="G62" s="260"/>
      <c r="H62" s="261"/>
      <c r="I62" s="261"/>
      <c r="J62" s="261"/>
      <c r="K62" s="261"/>
      <c r="L62" s="262"/>
      <c r="M62" s="262"/>
      <c r="N62" s="262"/>
      <c r="O62" s="345"/>
      <c r="P62" s="345"/>
      <c r="Q62" s="345"/>
      <c r="R62" s="260"/>
      <c r="S62" s="260"/>
      <c r="T62" s="260"/>
      <c r="U62" s="260"/>
      <c r="V62" s="260"/>
      <c r="W62" s="260"/>
      <c r="X62" s="260"/>
      <c r="Y62" s="260"/>
      <c r="Z62" s="260"/>
      <c r="AA62" s="260"/>
      <c r="AB62" s="260"/>
      <c r="AC62" s="260"/>
      <c r="AD62" s="260"/>
      <c r="AE62" s="260"/>
      <c r="AF62" s="260"/>
    </row>
    <row r="63" spans="2:48" ht="18.75" customHeight="1">
      <c r="B63" s="260"/>
      <c r="C63" s="260"/>
      <c r="D63" s="260"/>
      <c r="E63" s="260"/>
      <c r="F63" s="260"/>
      <c r="G63" s="260"/>
      <c r="H63" s="261"/>
      <c r="I63" s="261"/>
      <c r="J63" s="261"/>
      <c r="K63" s="261"/>
      <c r="L63" s="262"/>
      <c r="M63" s="262"/>
      <c r="N63" s="262"/>
      <c r="O63" s="345"/>
      <c r="P63" s="345"/>
      <c r="Q63" s="345"/>
      <c r="R63" s="260"/>
      <c r="S63" s="260"/>
      <c r="T63" s="260"/>
      <c r="U63" s="260"/>
      <c r="V63" s="260"/>
      <c r="W63" s="260"/>
      <c r="X63" s="260"/>
      <c r="Y63" s="260"/>
      <c r="Z63" s="260"/>
      <c r="AA63" s="260"/>
      <c r="AB63" s="260"/>
      <c r="AC63" s="260"/>
      <c r="AD63" s="260"/>
      <c r="AE63" s="260"/>
      <c r="AF63" s="260"/>
    </row>
    <row r="64" spans="2:48" ht="18.75" customHeight="1">
      <c r="B64" s="260"/>
      <c r="C64" s="260"/>
      <c r="D64" s="260"/>
      <c r="E64" s="260"/>
      <c r="F64" s="260"/>
      <c r="G64" s="260"/>
      <c r="H64" s="261"/>
      <c r="I64" s="261"/>
      <c r="J64" s="261"/>
      <c r="K64" s="261"/>
      <c r="L64" s="262"/>
      <c r="M64" s="262"/>
      <c r="N64" s="262"/>
      <c r="O64" s="345"/>
      <c r="P64" s="345"/>
      <c r="Q64" s="345"/>
      <c r="R64" s="260"/>
      <c r="S64" s="260"/>
      <c r="T64" s="260"/>
      <c r="U64" s="260"/>
      <c r="V64" s="260"/>
      <c r="W64" s="260"/>
      <c r="X64" s="260"/>
      <c r="Y64" s="260"/>
      <c r="Z64" s="260"/>
      <c r="AA64" s="260"/>
      <c r="AB64" s="260"/>
      <c r="AC64" s="260"/>
      <c r="AD64" s="260"/>
      <c r="AE64" s="260"/>
      <c r="AF64" s="260"/>
    </row>
    <row r="65" spans="2:50" ht="18.75" customHeight="1">
      <c r="B65" s="260" t="str">
        <f t="shared" ref="B65" si="9">AI65</f>
        <v>CÔNG TY CỔ PHẦN VIỄN THÔNG DI ĐỘNG TOÀN CẦU</v>
      </c>
      <c r="C65" s="260"/>
      <c r="D65" s="260"/>
      <c r="E65" s="260"/>
      <c r="F65" s="260"/>
      <c r="G65" s="260"/>
      <c r="H65" s="261" t="str">
        <f>AK65</f>
        <v>TB2</v>
      </c>
      <c r="I65" s="261"/>
      <c r="J65" s="261"/>
      <c r="K65" s="261"/>
      <c r="L65" s="262">
        <v>1</v>
      </c>
      <c r="M65" s="262"/>
      <c r="N65" s="262"/>
      <c r="O65" s="263" t="str">
        <f t="shared" ref="O65" si="10">AN65</f>
        <v>4/4/4</v>
      </c>
      <c r="P65" s="345"/>
      <c r="Q65" s="345"/>
      <c r="R65" s="260" t="str">
        <f t="shared" ref="R65" si="11">IF(L65=3,AQ65&amp;"W/ "&amp;AR65&amp;"W/ "&amp;AS65&amp;"W",IF(L65=2,AQ65&amp;"W/ "&amp;AR65&amp;"W",AQ65&amp;"W"))</f>
        <v>30W</v>
      </c>
      <c r="S65" s="260"/>
      <c r="T65" s="260"/>
      <c r="U65" s="260"/>
      <c r="V65" s="260"/>
      <c r="W65" s="260" t="str">
        <f>IF(AU65="900 &amp; 1800","900MHz &amp; 1800MHz",IF(AU65="900 &amp; 2100","900MHz &amp; 2100MHz",IF(AU65="1800 &amp; 2100","1800MHz &amp; 2100MHz",AU65&amp;"MHz")))</f>
        <v>1800MHz &amp; 2100MHz</v>
      </c>
      <c r="X65" s="260"/>
      <c r="Y65" s="260"/>
      <c r="Z65" s="260"/>
      <c r="AA65" s="260">
        <f>AV65</f>
        <v>15</v>
      </c>
      <c r="AB65" s="260"/>
      <c r="AC65" s="260"/>
      <c r="AD65" s="260"/>
      <c r="AE65" s="260"/>
      <c r="AF65" s="260"/>
      <c r="AI65" s="96" t="s">
        <v>155</v>
      </c>
      <c r="AK65" s="96" t="s">
        <v>138</v>
      </c>
      <c r="AL65" s="96"/>
      <c r="AN65" s="100" t="s">
        <v>119</v>
      </c>
      <c r="AQ65" s="84">
        <v>30</v>
      </c>
      <c r="AR65" s="84">
        <v>40</v>
      </c>
      <c r="AS65" s="84">
        <v>40</v>
      </c>
      <c r="AU65" s="84" t="s">
        <v>207</v>
      </c>
      <c r="AV65" s="84">
        <v>15</v>
      </c>
      <c r="AW65" s="84">
        <v>16</v>
      </c>
      <c r="AX65" s="84">
        <v>17</v>
      </c>
    </row>
    <row r="66" spans="2:50" ht="18.75" customHeight="1">
      <c r="B66" s="260"/>
      <c r="C66" s="260"/>
      <c r="D66" s="260"/>
      <c r="E66" s="260"/>
      <c r="F66" s="260"/>
      <c r="G66" s="260"/>
      <c r="H66" s="261"/>
      <c r="I66" s="261"/>
      <c r="J66" s="261"/>
      <c r="K66" s="261"/>
      <c r="L66" s="262"/>
      <c r="M66" s="262"/>
      <c r="N66" s="262"/>
      <c r="O66" s="345"/>
      <c r="P66" s="345"/>
      <c r="Q66" s="345"/>
      <c r="R66" s="260"/>
      <c r="S66" s="260"/>
      <c r="T66" s="260"/>
      <c r="U66" s="260"/>
      <c r="V66" s="260"/>
      <c r="W66" s="260"/>
      <c r="X66" s="260"/>
      <c r="Y66" s="260"/>
      <c r="Z66" s="260"/>
      <c r="AA66" s="260"/>
      <c r="AB66" s="260"/>
      <c r="AC66" s="260"/>
      <c r="AD66" s="260"/>
      <c r="AE66" s="260"/>
      <c r="AF66" s="260"/>
    </row>
    <row r="67" spans="2:50" ht="18.75" customHeight="1">
      <c r="B67" s="260"/>
      <c r="C67" s="260"/>
      <c r="D67" s="260"/>
      <c r="E67" s="260"/>
      <c r="F67" s="260"/>
      <c r="G67" s="260"/>
      <c r="H67" s="261"/>
      <c r="I67" s="261"/>
      <c r="J67" s="261"/>
      <c r="K67" s="261"/>
      <c r="L67" s="262"/>
      <c r="M67" s="262"/>
      <c r="N67" s="262"/>
      <c r="O67" s="345"/>
      <c r="P67" s="345"/>
      <c r="Q67" s="345"/>
      <c r="R67" s="260"/>
      <c r="S67" s="260"/>
      <c r="T67" s="260"/>
      <c r="U67" s="260"/>
      <c r="V67" s="260"/>
      <c r="W67" s="260"/>
      <c r="X67" s="260"/>
      <c r="Y67" s="260"/>
      <c r="Z67" s="260"/>
      <c r="AA67" s="260"/>
      <c r="AB67" s="260"/>
      <c r="AC67" s="260"/>
      <c r="AD67" s="260"/>
      <c r="AE67" s="260"/>
      <c r="AF67" s="260"/>
    </row>
    <row r="68" spans="2:50" ht="18.75" customHeight="1">
      <c r="B68" s="260"/>
      <c r="C68" s="260"/>
      <c r="D68" s="260"/>
      <c r="E68" s="260"/>
      <c r="F68" s="260"/>
      <c r="G68" s="260"/>
      <c r="H68" s="261"/>
      <c r="I68" s="261"/>
      <c r="J68" s="261"/>
      <c r="K68" s="261"/>
      <c r="L68" s="262"/>
      <c r="M68" s="262"/>
      <c r="N68" s="262"/>
      <c r="O68" s="345"/>
      <c r="P68" s="345"/>
      <c r="Q68" s="345"/>
      <c r="R68" s="260"/>
      <c r="S68" s="260"/>
      <c r="T68" s="260"/>
      <c r="U68" s="260"/>
      <c r="V68" s="260"/>
      <c r="W68" s="260"/>
      <c r="X68" s="260"/>
      <c r="Y68" s="260"/>
      <c r="Z68" s="260"/>
      <c r="AA68" s="260"/>
      <c r="AB68" s="260"/>
      <c r="AC68" s="260"/>
      <c r="AD68" s="260"/>
      <c r="AE68" s="260"/>
      <c r="AF68" s="260"/>
    </row>
    <row r="69" spans="2:50" ht="18.75" customHeight="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row>
    <row r="70" spans="2:50" ht="18.75" customHeight="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row>
    <row r="71" spans="2:50" ht="18.75" customHeight="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row>
    <row r="72" spans="2:50" ht="18.75" customHeight="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row>
    <row r="73" spans="2:50" ht="18.75" customHeight="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row>
    <row r="74" spans="2:50" ht="18.75" customHeight="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row>
    <row r="75" spans="2:50" ht="18.75" customHeight="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row>
    <row r="76" spans="2:50" ht="18.75" customHeight="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row>
    <row r="77" spans="2:50" ht="18.75" customHeight="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row>
    <row r="78" spans="2:50" ht="18.75" customHeight="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row>
    <row r="79" spans="2:50" ht="18.75" customHeight="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row>
    <row r="80" spans="2:50" ht="18.75" customHeight="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row>
    <row r="81" spans="3:30" ht="18.75" customHeight="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row>
    <row r="82" spans="3:30" ht="18.75" customHeight="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row>
    <row r="83" spans="3:30" ht="18.75" customHeight="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row>
    <row r="84" spans="3:30" ht="18.75" customHeight="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row>
    <row r="85" spans="3:30" ht="18.75" customHeight="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row>
    <row r="86" spans="3:30" ht="18.75" customHeight="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row>
    <row r="87" spans="3:30" ht="18.75" customHeight="1">
      <c r="C87" s="111"/>
      <c r="D87" s="111"/>
      <c r="E87" s="111"/>
      <c r="F87" s="111"/>
      <c r="G87" s="111"/>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row>
    <row r="88" spans="3:30" ht="18.75" customHeight="1">
      <c r="C88" s="111"/>
      <c r="D88" s="111"/>
      <c r="E88" s="111"/>
      <c r="F88" s="111"/>
      <c r="G88" s="111"/>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row>
    <row r="89" spans="3:30" ht="18.75" customHeight="1">
      <c r="C89" s="111"/>
      <c r="D89" s="111"/>
      <c r="E89" s="111"/>
      <c r="F89" s="111"/>
      <c r="G89" s="111"/>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row>
    <row r="90" spans="3:30" ht="18.75" customHeight="1">
      <c r="C90" s="111"/>
      <c r="D90" s="111"/>
      <c r="E90" s="111"/>
      <c r="F90" s="111"/>
      <c r="G90" s="111"/>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row>
    <row r="91" spans="3:30" ht="18.75" customHeight="1">
      <c r="C91" s="111"/>
      <c r="D91" s="111"/>
      <c r="E91" s="111"/>
      <c r="F91" s="111"/>
      <c r="G91" s="111"/>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row>
    <row r="92" spans="3:30">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row>
    <row r="93" spans="3:30">
      <c r="C93" s="111"/>
      <c r="D93" s="111"/>
      <c r="E93" s="111"/>
      <c r="F93" s="111"/>
      <c r="G93" s="111"/>
      <c r="H93" s="111"/>
      <c r="I93" s="111"/>
      <c r="J93" s="111"/>
      <c r="K93" s="111"/>
      <c r="L93" s="111"/>
      <c r="M93" s="111"/>
      <c r="N93" s="111"/>
      <c r="O93" s="111"/>
      <c r="P93" s="111"/>
      <c r="Q93" s="111"/>
      <c r="R93" s="111"/>
      <c r="S93" s="111"/>
      <c r="T93" s="111"/>
      <c r="U93" s="111"/>
      <c r="V93" s="111"/>
      <c r="W93" s="111"/>
      <c r="X93" s="111"/>
      <c r="Y93" s="111"/>
      <c r="Z93" s="111"/>
      <c r="AA93" s="111"/>
      <c r="AB93" s="111"/>
      <c r="AC93" s="111"/>
      <c r="AD93" s="111"/>
    </row>
    <row r="94" spans="3:30">
      <c r="C94" s="111"/>
      <c r="D94" s="111"/>
      <c r="E94" s="111"/>
      <c r="F94" s="111"/>
      <c r="G94" s="111"/>
      <c r="H94" s="111"/>
      <c r="I94" s="111"/>
      <c r="J94" s="111"/>
      <c r="K94" s="111"/>
      <c r="L94" s="111"/>
      <c r="M94" s="111"/>
      <c r="N94" s="111"/>
      <c r="O94" s="111"/>
      <c r="P94" s="111"/>
      <c r="Q94" s="111"/>
      <c r="R94" s="111"/>
      <c r="S94" s="111"/>
      <c r="T94" s="111"/>
      <c r="U94" s="111"/>
      <c r="V94" s="111"/>
      <c r="W94" s="111"/>
      <c r="X94" s="111"/>
      <c r="Y94" s="111"/>
      <c r="Z94" s="111"/>
      <c r="AA94" s="111"/>
      <c r="AB94" s="111"/>
      <c r="AC94" s="111"/>
      <c r="AD94" s="111"/>
    </row>
    <row r="95" spans="3:30">
      <c r="C95" s="111"/>
      <c r="D95" s="111"/>
      <c r="E95" s="111"/>
      <c r="F95" s="111"/>
      <c r="G95" s="111"/>
      <c r="H95" s="111"/>
      <c r="I95" s="111"/>
      <c r="J95" s="111"/>
      <c r="K95" s="111"/>
      <c r="L95" s="111"/>
      <c r="M95" s="111"/>
      <c r="N95" s="111"/>
      <c r="O95" s="111"/>
      <c r="P95" s="111"/>
      <c r="Q95" s="111"/>
      <c r="R95" s="111"/>
      <c r="S95" s="111"/>
      <c r="T95" s="111"/>
      <c r="U95" s="111"/>
      <c r="V95" s="111"/>
      <c r="W95" s="111"/>
      <c r="X95" s="111"/>
      <c r="Y95" s="111"/>
      <c r="Z95" s="111"/>
      <c r="AA95" s="111"/>
      <c r="AB95" s="111"/>
      <c r="AC95" s="111"/>
      <c r="AD95" s="111"/>
    </row>
    <row r="96" spans="3:30">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row>
    <row r="97" spans="3:30">
      <c r="C97" s="111"/>
      <c r="D97" s="111"/>
      <c r="E97" s="111"/>
      <c r="F97" s="111"/>
      <c r="G97" s="111"/>
      <c r="H97" s="111"/>
      <c r="I97" s="111"/>
      <c r="J97" s="111"/>
      <c r="K97" s="111"/>
      <c r="L97" s="111"/>
      <c r="M97" s="111"/>
      <c r="N97" s="111"/>
      <c r="O97" s="111"/>
      <c r="P97" s="111"/>
      <c r="Q97" s="111"/>
      <c r="R97" s="111"/>
      <c r="S97" s="111"/>
      <c r="T97" s="111"/>
      <c r="U97" s="111"/>
      <c r="V97" s="111"/>
      <c r="W97" s="111"/>
      <c r="X97" s="111"/>
      <c r="Y97" s="111"/>
      <c r="Z97" s="111"/>
      <c r="AA97" s="111"/>
      <c r="AB97" s="111"/>
      <c r="AC97" s="111"/>
      <c r="AD97" s="111"/>
    </row>
    <row r="98" spans="3:30">
      <c r="C98" s="111"/>
      <c r="D98" s="111"/>
      <c r="E98" s="111"/>
      <c r="F98" s="111"/>
      <c r="G98" s="111"/>
      <c r="H98" s="111"/>
      <c r="I98" s="111"/>
      <c r="J98" s="111"/>
      <c r="K98" s="111"/>
      <c r="L98" s="111"/>
      <c r="M98" s="111"/>
      <c r="N98" s="111"/>
      <c r="O98" s="111"/>
      <c r="P98" s="111"/>
      <c r="Q98" s="111"/>
      <c r="R98" s="111"/>
      <c r="S98" s="111"/>
      <c r="T98" s="111"/>
      <c r="U98" s="111"/>
      <c r="V98" s="111"/>
      <c r="W98" s="111"/>
      <c r="X98" s="111"/>
      <c r="Y98" s="111"/>
      <c r="Z98" s="111"/>
      <c r="AA98" s="111"/>
      <c r="AB98" s="111"/>
      <c r="AC98" s="111"/>
      <c r="AD98" s="111"/>
    </row>
  </sheetData>
  <mergeCells count="108">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vt:i4>
      </vt:variant>
    </vt:vector>
  </HeadingPairs>
  <TitlesOfParts>
    <vt:vector size="16" baseType="lpstr">
      <vt:lpstr>Hướng dẫn</vt:lpstr>
      <vt:lpstr>Temp</vt:lpstr>
      <vt:lpstr>Tonghop</vt:lpstr>
      <vt:lpstr>DSCAP</vt:lpstr>
      <vt:lpstr>LP</vt:lpstr>
      <vt:lpstr>DS1</vt:lpstr>
      <vt:lpstr>DS2</vt:lpstr>
      <vt:lpstr>GCN1</vt:lpstr>
      <vt:lpstr>GCN2</vt:lpstr>
      <vt:lpstr>GCN3</vt:lpstr>
      <vt:lpstr>GCN4</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2017-08-31T04:40:47Z</cp:lastPrinted>
  <dcterms:created xsi:type="dcterms:W3CDTF">2006-09-16T00:00:00Z</dcterms:created>
  <dcterms:modified xsi:type="dcterms:W3CDTF">2019-01-11T02:26:29Z</dcterms:modified>
</cp:coreProperties>
</file>