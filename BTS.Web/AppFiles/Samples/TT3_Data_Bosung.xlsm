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.5\Lanh Dao\Khanh\Data\. De tai\De tai 2020\3. Du lieu\TT3\File nhap lieu\"/>
    </mc:Choice>
  </mc:AlternateContent>
  <bookViews>
    <workbookView xWindow="0" yWindow="0" windowWidth="23040" windowHeight="9384" activeTab="1"/>
  </bookViews>
  <sheets>
    <sheet name="Sheet1" sheetId="1" r:id="rId1"/>
    <sheet name="BTS" sheetId="2" r:id="rId2"/>
  </sheets>
  <functionGroups builtInGroupCount="18"/>
  <definedNames>
    <definedName name="_xlnm._FilterDatabase" localSheetId="1" hidden="1">BTS!$A$1:$K$167</definedName>
    <definedName name="_xlnm._FilterDatabase" localSheetId="0" hidden="1">Sheet1!$A$2:$AP$10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11" i="1" l="1"/>
  <c r="AR11" i="1"/>
  <c r="AS11" i="1"/>
  <c r="AT11" i="1"/>
  <c r="AU11" i="1"/>
  <c r="AV11" i="1"/>
  <c r="AW11" i="1"/>
  <c r="AN12" i="1"/>
  <c r="AR12" i="1"/>
  <c r="AS12" i="1"/>
  <c r="AT12" i="1"/>
  <c r="AU12" i="1"/>
  <c r="AV12" i="1"/>
  <c r="AW12" i="1"/>
  <c r="AN13" i="1"/>
  <c r="AR13" i="1"/>
  <c r="AS13" i="1"/>
  <c r="AT13" i="1"/>
  <c r="AU13" i="1"/>
  <c r="AV13" i="1"/>
  <c r="AW13" i="1"/>
  <c r="AN14" i="1"/>
  <c r="AR14" i="1"/>
  <c r="AS14" i="1"/>
  <c r="AT14" i="1"/>
  <c r="AU14" i="1"/>
  <c r="AV14" i="1"/>
  <c r="AW14" i="1"/>
  <c r="AN15" i="1"/>
  <c r="AR15" i="1"/>
  <c r="AS15" i="1"/>
  <c r="AT15" i="1"/>
  <c r="AU15" i="1"/>
  <c r="AV15" i="1"/>
  <c r="AW15" i="1"/>
  <c r="AN16" i="1"/>
  <c r="AR16" i="1"/>
  <c r="AS16" i="1"/>
  <c r="AT16" i="1"/>
  <c r="AU16" i="1"/>
  <c r="AV16" i="1"/>
  <c r="AW16" i="1"/>
  <c r="AN17" i="1"/>
  <c r="AR17" i="1"/>
  <c r="AS17" i="1"/>
  <c r="AT17" i="1"/>
  <c r="AU17" i="1"/>
  <c r="AV17" i="1"/>
  <c r="AW17" i="1"/>
  <c r="AN18" i="1"/>
  <c r="AR18" i="1"/>
  <c r="AS18" i="1"/>
  <c r="AT18" i="1"/>
  <c r="AU18" i="1"/>
  <c r="AV18" i="1"/>
  <c r="AW18" i="1"/>
  <c r="AN19" i="1"/>
  <c r="AR19" i="1"/>
  <c r="AS19" i="1"/>
  <c r="AT19" i="1"/>
  <c r="AU19" i="1"/>
  <c r="AV19" i="1"/>
  <c r="AW19" i="1"/>
  <c r="AN20" i="1"/>
  <c r="AR20" i="1"/>
  <c r="AS20" i="1"/>
  <c r="AT20" i="1"/>
  <c r="AU20" i="1"/>
  <c r="AV20" i="1"/>
  <c r="AW20" i="1"/>
  <c r="AN21" i="1"/>
  <c r="AR21" i="1"/>
  <c r="AS21" i="1"/>
  <c r="AT21" i="1"/>
  <c r="AU21" i="1"/>
  <c r="AV21" i="1"/>
  <c r="AW21" i="1"/>
  <c r="AN22" i="1"/>
  <c r="AR22" i="1"/>
  <c r="AS22" i="1"/>
  <c r="AT22" i="1"/>
  <c r="AU22" i="1"/>
  <c r="AV22" i="1"/>
  <c r="AW22" i="1"/>
  <c r="AN23" i="1"/>
  <c r="AR23" i="1"/>
  <c r="AS23" i="1"/>
  <c r="AT23" i="1"/>
  <c r="AU23" i="1"/>
  <c r="AV23" i="1"/>
  <c r="AW23" i="1"/>
  <c r="AN24" i="1"/>
  <c r="AR24" i="1"/>
  <c r="AS24" i="1"/>
  <c r="AT24" i="1"/>
  <c r="AU24" i="1"/>
  <c r="AV24" i="1"/>
  <c r="AW24" i="1"/>
  <c r="AN25" i="1"/>
  <c r="AR25" i="1"/>
  <c r="AS25" i="1"/>
  <c r="AT25" i="1"/>
  <c r="AU25" i="1"/>
  <c r="AV25" i="1"/>
  <c r="AW25" i="1"/>
  <c r="AN26" i="1"/>
  <c r="AR26" i="1"/>
  <c r="AS26" i="1"/>
  <c r="AT26" i="1"/>
  <c r="AU26" i="1"/>
  <c r="AV26" i="1"/>
  <c r="AW26" i="1"/>
  <c r="AN27" i="1"/>
  <c r="AR27" i="1"/>
  <c r="AS27" i="1"/>
  <c r="AT27" i="1"/>
  <c r="AU27" i="1"/>
  <c r="AV27" i="1"/>
  <c r="AW27" i="1"/>
  <c r="AN28" i="1"/>
  <c r="AR28" i="1"/>
  <c r="AS28" i="1"/>
  <c r="AT28" i="1"/>
  <c r="AU28" i="1"/>
  <c r="AV28" i="1"/>
  <c r="AW28" i="1"/>
  <c r="AN29" i="1"/>
  <c r="AR29" i="1"/>
  <c r="AS29" i="1"/>
  <c r="AT29" i="1"/>
  <c r="AU29" i="1"/>
  <c r="AV29" i="1"/>
  <c r="AW29" i="1"/>
  <c r="AN30" i="1"/>
  <c r="AR30" i="1"/>
  <c r="AS30" i="1"/>
  <c r="AT30" i="1"/>
  <c r="AU30" i="1"/>
  <c r="AV30" i="1"/>
  <c r="AW30" i="1"/>
  <c r="AN31" i="1"/>
  <c r="AR31" i="1"/>
  <c r="AS31" i="1"/>
  <c r="AT31" i="1"/>
  <c r="AU31" i="1"/>
  <c r="AV31" i="1"/>
  <c r="AW31" i="1"/>
  <c r="AN32" i="1"/>
  <c r="AR32" i="1"/>
  <c r="AS32" i="1"/>
  <c r="AT32" i="1"/>
  <c r="AU32" i="1"/>
  <c r="AV32" i="1"/>
  <c r="AW32" i="1"/>
  <c r="AN33" i="1"/>
  <c r="AR33" i="1"/>
  <c r="AS33" i="1"/>
  <c r="AT33" i="1"/>
  <c r="AU33" i="1"/>
  <c r="AV33" i="1"/>
  <c r="AW33" i="1"/>
  <c r="AN34" i="1"/>
  <c r="AR34" i="1"/>
  <c r="AS34" i="1"/>
  <c r="AT34" i="1"/>
  <c r="AU34" i="1"/>
  <c r="AV34" i="1"/>
  <c r="AW34" i="1"/>
  <c r="AN35" i="1"/>
  <c r="AR35" i="1"/>
  <c r="AS35" i="1"/>
  <c r="AT35" i="1"/>
  <c r="AU35" i="1"/>
  <c r="AV35" i="1"/>
  <c r="AW35" i="1"/>
  <c r="AN36" i="1"/>
  <c r="AR36" i="1"/>
  <c r="AS36" i="1"/>
  <c r="AT36" i="1"/>
  <c r="AU36" i="1"/>
  <c r="AV36" i="1"/>
  <c r="AW36" i="1"/>
  <c r="AN37" i="1"/>
  <c r="AR37" i="1"/>
  <c r="AS37" i="1"/>
  <c r="AT37" i="1"/>
  <c r="AU37" i="1"/>
  <c r="AV37" i="1"/>
  <c r="AW37" i="1"/>
  <c r="AN38" i="1"/>
  <c r="AR38" i="1"/>
  <c r="AS38" i="1"/>
  <c r="AT38" i="1"/>
  <c r="AU38" i="1"/>
  <c r="AV38" i="1"/>
  <c r="AW38" i="1"/>
  <c r="AN39" i="1"/>
  <c r="AR39" i="1"/>
  <c r="AS39" i="1"/>
  <c r="AT39" i="1"/>
  <c r="AU39" i="1"/>
  <c r="AV39" i="1"/>
  <c r="AW39" i="1"/>
  <c r="AN40" i="1"/>
  <c r="AR40" i="1"/>
  <c r="AS40" i="1"/>
  <c r="AT40" i="1"/>
  <c r="AU40" i="1"/>
  <c r="AV40" i="1"/>
  <c r="AW40" i="1"/>
  <c r="AN41" i="1"/>
  <c r="AR41" i="1"/>
  <c r="AS41" i="1"/>
  <c r="AT41" i="1"/>
  <c r="AU41" i="1"/>
  <c r="AV41" i="1"/>
  <c r="AW41" i="1"/>
  <c r="AN42" i="1"/>
  <c r="AR42" i="1"/>
  <c r="AS42" i="1"/>
  <c r="AT42" i="1"/>
  <c r="AU42" i="1"/>
  <c r="AV42" i="1"/>
  <c r="AW42" i="1"/>
  <c r="AN43" i="1"/>
  <c r="AR43" i="1"/>
  <c r="AS43" i="1"/>
  <c r="AT43" i="1"/>
  <c r="AU43" i="1"/>
  <c r="AV43" i="1"/>
  <c r="AW43" i="1"/>
  <c r="AN44" i="1"/>
  <c r="AR44" i="1"/>
  <c r="AS44" i="1"/>
  <c r="AT44" i="1"/>
  <c r="AU44" i="1"/>
  <c r="AV44" i="1"/>
  <c r="AW44" i="1"/>
  <c r="AN45" i="1"/>
  <c r="AR45" i="1"/>
  <c r="AS45" i="1"/>
  <c r="AT45" i="1"/>
  <c r="AU45" i="1"/>
  <c r="AV45" i="1"/>
  <c r="AW45" i="1"/>
  <c r="AN46" i="1"/>
  <c r="AR46" i="1"/>
  <c r="AS46" i="1"/>
  <c r="AT46" i="1"/>
  <c r="AU46" i="1"/>
  <c r="AV46" i="1"/>
  <c r="AW46" i="1"/>
  <c r="AK11" i="1"/>
  <c r="AX12" i="1"/>
  <c r="AY13" i="1"/>
  <c r="AZ14" i="1"/>
  <c r="BA15" i="1"/>
  <c r="BB16" i="1"/>
  <c r="BC17" i="1"/>
  <c r="AK19" i="1"/>
  <c r="AX20" i="1"/>
  <c r="AY21" i="1"/>
  <c r="AZ22" i="1"/>
  <c r="BA23" i="1"/>
  <c r="BB24" i="1"/>
  <c r="BC25" i="1"/>
  <c r="AK27" i="1"/>
  <c r="AX28" i="1"/>
  <c r="AY29" i="1"/>
  <c r="AZ30" i="1"/>
  <c r="BA31" i="1"/>
  <c r="BB32" i="1"/>
  <c r="BC33" i="1"/>
  <c r="AK35" i="1"/>
  <c r="AX36" i="1"/>
  <c r="AY37" i="1"/>
  <c r="AZ38" i="1"/>
  <c r="BA39" i="1"/>
  <c r="BB40" i="1"/>
  <c r="BC41" i="1"/>
  <c r="AK43" i="1"/>
  <c r="AX44" i="1"/>
  <c r="AY45" i="1"/>
  <c r="AZ46" i="1"/>
  <c r="BB31" i="1"/>
  <c r="AK34" i="1"/>
  <c r="AX35" i="1"/>
  <c r="AY36" i="1"/>
  <c r="AZ37" i="1"/>
  <c r="BB39" i="1"/>
  <c r="BC40" i="1"/>
  <c r="AX43" i="1"/>
  <c r="AY44" i="1"/>
  <c r="AZ45" i="1"/>
  <c r="BB45" i="1"/>
  <c r="BC46" i="1"/>
  <c r="AY30" i="1"/>
  <c r="AX11" i="1"/>
  <c r="AY12" i="1"/>
  <c r="AZ13" i="1"/>
  <c r="BA14" i="1"/>
  <c r="BB15" i="1"/>
  <c r="BC16" i="1"/>
  <c r="AK18" i="1"/>
  <c r="AX19" i="1"/>
  <c r="AY20" i="1"/>
  <c r="AZ21" i="1"/>
  <c r="BA22" i="1"/>
  <c r="BB23" i="1"/>
  <c r="BC24" i="1"/>
  <c r="AK26" i="1"/>
  <c r="AX27" i="1"/>
  <c r="AY28" i="1"/>
  <c r="AZ29" i="1"/>
  <c r="BA30" i="1"/>
  <c r="BC32" i="1"/>
  <c r="BA38" i="1"/>
  <c r="AK42" i="1"/>
  <c r="BA46" i="1"/>
  <c r="AY11" i="1"/>
  <c r="AZ12" i="1"/>
  <c r="AL12" i="1" s="1"/>
  <c r="BA13" i="1"/>
  <c r="BB14" i="1"/>
  <c r="BC15" i="1"/>
  <c r="AK17" i="1"/>
  <c r="AX18" i="1"/>
  <c r="AY19" i="1"/>
  <c r="AZ20" i="1"/>
  <c r="AL20" i="1" s="1"/>
  <c r="BA21" i="1"/>
  <c r="BB22" i="1"/>
  <c r="BC23" i="1"/>
  <c r="AK25" i="1"/>
  <c r="AX26" i="1"/>
  <c r="AY27" i="1"/>
  <c r="AZ28" i="1"/>
  <c r="AL28" i="1" s="1"/>
  <c r="BA29" i="1"/>
  <c r="BB30" i="1"/>
  <c r="BC31" i="1"/>
  <c r="AK33" i="1"/>
  <c r="AX34" i="1"/>
  <c r="AY35" i="1"/>
  <c r="AZ36" i="1"/>
  <c r="AL36" i="1" s="1"/>
  <c r="BA37" i="1"/>
  <c r="BB38" i="1"/>
  <c r="BC39" i="1"/>
  <c r="AK41" i="1"/>
  <c r="AX42" i="1"/>
  <c r="AY43" i="1"/>
  <c r="AZ44" i="1"/>
  <c r="AL44" i="1" s="1"/>
  <c r="BA45" i="1"/>
  <c r="BB46" i="1"/>
  <c r="BA36" i="1"/>
  <c r="AY42" i="1"/>
  <c r="BC34" i="1"/>
  <c r="AZ39" i="1"/>
  <c r="BB41" i="1"/>
  <c r="AZ11" i="1"/>
  <c r="AL11" i="1" s="1"/>
  <c r="BA12" i="1"/>
  <c r="BB13" i="1"/>
  <c r="BC14" i="1"/>
  <c r="AK16" i="1"/>
  <c r="AX17" i="1"/>
  <c r="AY18" i="1"/>
  <c r="AZ19" i="1"/>
  <c r="AL19" i="1" s="1"/>
  <c r="BA20" i="1"/>
  <c r="BB21" i="1"/>
  <c r="BC22" i="1"/>
  <c r="AK24" i="1"/>
  <c r="AX25" i="1"/>
  <c r="AY26" i="1"/>
  <c r="AZ27" i="1"/>
  <c r="AL27" i="1" s="1"/>
  <c r="BA28" i="1"/>
  <c r="BB29" i="1"/>
  <c r="BC30" i="1"/>
  <c r="AK32" i="1"/>
  <c r="AX33" i="1"/>
  <c r="AY34" i="1"/>
  <c r="AZ35" i="1"/>
  <c r="AL35" i="1" s="1"/>
  <c r="BB37" i="1"/>
  <c r="BC38" i="1"/>
  <c r="AK40" i="1"/>
  <c r="AX41" i="1"/>
  <c r="AZ43" i="1"/>
  <c r="AL43" i="1" s="1"/>
  <c r="BA44" i="1"/>
  <c r="BA40" i="1"/>
  <c r="AX45" i="1"/>
  <c r="AL45" i="1" s="1"/>
  <c r="BA11" i="1"/>
  <c r="BB12" i="1"/>
  <c r="BC13" i="1"/>
  <c r="AK15" i="1"/>
  <c r="AX16" i="1"/>
  <c r="AY17" i="1"/>
  <c r="AZ18" i="1"/>
  <c r="AL18" i="1" s="1"/>
  <c r="BA19" i="1"/>
  <c r="BB20" i="1"/>
  <c r="BC21" i="1"/>
  <c r="AK23" i="1"/>
  <c r="AX24" i="1"/>
  <c r="AY25" i="1"/>
  <c r="AZ26" i="1"/>
  <c r="AL26" i="1" s="1"/>
  <c r="BA27" i="1"/>
  <c r="BB28" i="1"/>
  <c r="BC29" i="1"/>
  <c r="AK31" i="1"/>
  <c r="AX32" i="1"/>
  <c r="AY33" i="1"/>
  <c r="AZ34" i="1"/>
  <c r="AL34" i="1" s="1"/>
  <c r="BA35" i="1"/>
  <c r="BB36" i="1"/>
  <c r="BC37" i="1"/>
  <c r="AK39" i="1"/>
  <c r="AX40" i="1"/>
  <c r="AY41" i="1"/>
  <c r="AZ42" i="1"/>
  <c r="AL42" i="1" s="1"/>
  <c r="BA43" i="1"/>
  <c r="BB44" i="1"/>
  <c r="BC45" i="1"/>
  <c r="AY22" i="1"/>
  <c r="BA32" i="1"/>
  <c r="BB33" i="1"/>
  <c r="AK36" i="1"/>
  <c r="AX37" i="1"/>
  <c r="AL37" i="1" s="1"/>
  <c r="AY38" i="1"/>
  <c r="BB11" i="1"/>
  <c r="BC12" i="1"/>
  <c r="AK14" i="1"/>
  <c r="AX15" i="1"/>
  <c r="AY16" i="1"/>
  <c r="AZ17" i="1"/>
  <c r="AL17" i="1" s="1"/>
  <c r="BA18" i="1"/>
  <c r="BB19" i="1"/>
  <c r="BC20" i="1"/>
  <c r="AK22" i="1"/>
  <c r="AX23" i="1"/>
  <c r="AY24" i="1"/>
  <c r="AZ25" i="1"/>
  <c r="AL25" i="1" s="1"/>
  <c r="BA26" i="1"/>
  <c r="BB27" i="1"/>
  <c r="BC28" i="1"/>
  <c r="AK30" i="1"/>
  <c r="AX31" i="1"/>
  <c r="AY32" i="1"/>
  <c r="AZ33" i="1"/>
  <c r="AL33" i="1" s="1"/>
  <c r="BA34" i="1"/>
  <c r="BB35" i="1"/>
  <c r="BC36" i="1"/>
  <c r="AK38" i="1"/>
  <c r="AX39" i="1"/>
  <c r="AY40" i="1"/>
  <c r="AZ41" i="1"/>
  <c r="AL41" i="1" s="1"/>
  <c r="BA42" i="1"/>
  <c r="BB43" i="1"/>
  <c r="BC44" i="1"/>
  <c r="AK46" i="1"/>
  <c r="AK12" i="1"/>
  <c r="AY14" i="1"/>
  <c r="AZ15" i="1"/>
  <c r="BA16" i="1"/>
  <c r="AZ23" i="1"/>
  <c r="BA24" i="1"/>
  <c r="AZ31" i="1"/>
  <c r="BC42" i="1"/>
  <c r="BC11" i="1"/>
  <c r="AK13" i="1"/>
  <c r="AX14" i="1"/>
  <c r="AL14" i="1" s="1"/>
  <c r="AY15" i="1"/>
  <c r="AL15" i="1" s="1"/>
  <c r="AZ16" i="1"/>
  <c r="AL16" i="1" s="1"/>
  <c r="BA17" i="1"/>
  <c r="BB18" i="1"/>
  <c r="BC19" i="1"/>
  <c r="AK21" i="1"/>
  <c r="AX22" i="1"/>
  <c r="AL22" i="1" s="1"/>
  <c r="AY23" i="1"/>
  <c r="AL23" i="1" s="1"/>
  <c r="AZ24" i="1"/>
  <c r="AL24" i="1" s="1"/>
  <c r="BA25" i="1"/>
  <c r="BB26" i="1"/>
  <c r="BC27" i="1"/>
  <c r="AK29" i="1"/>
  <c r="AX30" i="1"/>
  <c r="AL30" i="1" s="1"/>
  <c r="AY31" i="1"/>
  <c r="AL31" i="1" s="1"/>
  <c r="AZ32" i="1"/>
  <c r="AL32" i="1" s="1"/>
  <c r="BA33" i="1"/>
  <c r="BB34" i="1"/>
  <c r="BC35" i="1"/>
  <c r="AK37" i="1"/>
  <c r="AX38" i="1"/>
  <c r="AL38" i="1" s="1"/>
  <c r="AY39" i="1"/>
  <c r="AL39" i="1" s="1"/>
  <c r="AZ40" i="1"/>
  <c r="AL40" i="1" s="1"/>
  <c r="BA41" i="1"/>
  <c r="BB42" i="1"/>
  <c r="BC43" i="1"/>
  <c r="AK45" i="1"/>
  <c r="AX46" i="1"/>
  <c r="AX13" i="1"/>
  <c r="AL13" i="1" s="1"/>
  <c r="BB17" i="1"/>
  <c r="BC18" i="1"/>
  <c r="AK20" i="1"/>
  <c r="AX21" i="1"/>
  <c r="AL21" i="1" s="1"/>
  <c r="BB25" i="1"/>
  <c r="BC26" i="1"/>
  <c r="AK28" i="1"/>
  <c r="AX29" i="1"/>
  <c r="AL29" i="1" s="1"/>
  <c r="AK44" i="1"/>
  <c r="AY46" i="1"/>
  <c r="AL46" i="1" s="1"/>
  <c r="AN4" i="1" l="1"/>
  <c r="AN5" i="1"/>
  <c r="AN6" i="1"/>
  <c r="AN7" i="1"/>
  <c r="AN8" i="1"/>
  <c r="AN9" i="1"/>
  <c r="AN10" i="1"/>
  <c r="AN3" i="1"/>
  <c r="AK10" i="1"/>
  <c r="AK8" i="1"/>
  <c r="AK9" i="1"/>
  <c r="AK3" i="1"/>
  <c r="AK6" i="1"/>
  <c r="AK7" i="1"/>
  <c r="AK5" i="1"/>
  <c r="AK4" i="1"/>
  <c r="AW4" i="1" l="1"/>
  <c r="AU4" i="1"/>
  <c r="AV4" i="1"/>
  <c r="AU5" i="1"/>
  <c r="AV5" i="1"/>
  <c r="AW5" i="1"/>
  <c r="AU6" i="1"/>
  <c r="AV6" i="1"/>
  <c r="AW6" i="1"/>
  <c r="AU7" i="1"/>
  <c r="AV7" i="1"/>
  <c r="AW7" i="1"/>
  <c r="AU8" i="1"/>
  <c r="AV8" i="1"/>
  <c r="AW8" i="1"/>
  <c r="AU9" i="1"/>
  <c r="AV9" i="1"/>
  <c r="AW9" i="1"/>
  <c r="AU10" i="1"/>
  <c r="AV10" i="1"/>
  <c r="AW10" i="1"/>
  <c r="AW3" i="1"/>
  <c r="AV3" i="1"/>
  <c r="AU3" i="1"/>
  <c r="AR4" i="1"/>
  <c r="AS4" i="1"/>
  <c r="AT4" i="1"/>
  <c r="AR5" i="1"/>
  <c r="AS5" i="1"/>
  <c r="AT5" i="1"/>
  <c r="AR6" i="1"/>
  <c r="AS6" i="1"/>
  <c r="AT6" i="1"/>
  <c r="AR7" i="1"/>
  <c r="AS7" i="1"/>
  <c r="AT7" i="1"/>
  <c r="AR8" i="1"/>
  <c r="AS8" i="1"/>
  <c r="AT8" i="1"/>
  <c r="AR9" i="1"/>
  <c r="AS9" i="1"/>
  <c r="AT9" i="1"/>
  <c r="AR10" i="1"/>
  <c r="AS10" i="1"/>
  <c r="AT10" i="1"/>
  <c r="AT3" i="1"/>
  <c r="AS3" i="1"/>
  <c r="AR3" i="1"/>
  <c r="AY4" i="1"/>
  <c r="AZ8" i="1"/>
  <c r="AX4" i="1"/>
  <c r="BC9" i="1"/>
  <c r="BA10" i="1"/>
  <c r="BB3" i="1"/>
  <c r="BC3" i="1"/>
  <c r="AZ3" i="1"/>
  <c r="BC5" i="1"/>
  <c r="BB8" i="1"/>
  <c r="AX5" i="1"/>
  <c r="AY3" i="1"/>
  <c r="BC10" i="1"/>
  <c r="BB4" i="1"/>
  <c r="AX7" i="1"/>
  <c r="AY6" i="1"/>
  <c r="AX6" i="1"/>
  <c r="AZ5" i="1"/>
  <c r="BB6" i="1"/>
  <c r="AY10" i="1"/>
  <c r="AY9" i="1"/>
  <c r="BA5" i="1"/>
  <c r="BC8" i="1"/>
  <c r="AX10" i="1"/>
  <c r="BA6" i="1"/>
  <c r="BA8" i="1"/>
  <c r="BB7" i="1"/>
  <c r="AZ9" i="1"/>
  <c r="AX9" i="1"/>
  <c r="BB10" i="1"/>
  <c r="AX8" i="1"/>
  <c r="BC7" i="1"/>
  <c r="AZ7" i="1"/>
  <c r="AX3" i="1"/>
  <c r="BA7" i="1"/>
  <c r="AY8" i="1"/>
  <c r="AZ6" i="1"/>
  <c r="BC6" i="1"/>
  <c r="BA4" i="1"/>
  <c r="AZ10" i="1"/>
  <c r="BC4" i="1"/>
  <c r="BB5" i="1"/>
  <c r="BA9" i="1"/>
  <c r="BB9" i="1"/>
  <c r="AY5" i="1"/>
  <c r="BA3" i="1"/>
  <c r="AY7" i="1"/>
  <c r="AZ4" i="1"/>
  <c r="F167" i="2" l="1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AL9" i="1"/>
  <c r="AL8" i="1"/>
  <c r="AL5" i="1"/>
  <c r="AL6" i="1"/>
  <c r="AL7" i="1"/>
  <c r="AL4" i="1"/>
  <c r="AL3" i="1"/>
  <c r="AL10" i="1"/>
</calcChain>
</file>

<file path=xl/comments1.xml><?xml version="1.0" encoding="utf-8"?>
<comments xmlns="http://schemas.openxmlformats.org/spreadsheetml/2006/main">
  <authors>
    <author>Dell</author>
  </authors>
  <commentList>
    <comment ref="AX1" authorId="0" shapeId="0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- Màu đỏ: Lỗi nhập CS
- Màu xanh: CS chưa khai báo
- Màu vàng: CS nhập sai CSDL</t>
        </r>
      </text>
    </comment>
  </commentList>
</comments>
</file>

<file path=xl/sharedStrings.xml><?xml version="1.0" encoding="utf-8"?>
<sst xmlns="http://schemas.openxmlformats.org/spreadsheetml/2006/main" count="1151" uniqueCount="360">
  <si>
    <t>2/2/2</t>
  </si>
  <si>
    <t>1/1/1</t>
  </si>
  <si>
    <t>No</t>
  </si>
  <si>
    <t>SiteCode</t>
  </si>
  <si>
    <t>Address</t>
  </si>
  <si>
    <t>Province</t>
  </si>
  <si>
    <t>GPSInfo</t>
  </si>
  <si>
    <t>GCNNumb</t>
  </si>
  <si>
    <t>CompNumb</t>
  </si>
  <si>
    <t>VerDate</t>
  </si>
  <si>
    <t>CVKiemDinh1</t>
  </si>
  <si>
    <t>CVKiemDinh2</t>
  </si>
  <si>
    <t>AntColHigh</t>
  </si>
  <si>
    <t>HouseHigh</t>
  </si>
  <si>
    <t>TRxBand</t>
  </si>
  <si>
    <t>AntHigh</t>
  </si>
  <si>
    <t>Northem</t>
  </si>
  <si>
    <t>Image1</t>
  </si>
  <si>
    <t>Image2</t>
  </si>
  <si>
    <t>SiteName</t>
  </si>
  <si>
    <t>OpName</t>
  </si>
  <si>
    <t>AntNumb</t>
  </si>
  <si>
    <t>AntName</t>
  </si>
  <si>
    <t>Azimuth</t>
  </si>
  <si>
    <t>TotalTilt</t>
  </si>
  <si>
    <t>TRxType</t>
  </si>
  <si>
    <t>TRxConfig</t>
  </si>
  <si>
    <t>JumpLen</t>
  </si>
  <si>
    <t>FeedLen</t>
  </si>
  <si>
    <t>OtherLoss</t>
  </si>
  <si>
    <t>THKD</t>
  </si>
  <si>
    <t>GHAT</t>
  </si>
  <si>
    <t>View</t>
  </si>
  <si>
    <t>Direction</t>
  </si>
  <si>
    <t>MaxHouse</t>
  </si>
  <si>
    <t>MinAnt</t>
  </si>
  <si>
    <t>#</t>
  </si>
  <si>
    <t>Mã trạm</t>
  </si>
  <si>
    <t>Địa chỉ</t>
  </si>
  <si>
    <t>Tỉnh</t>
  </si>
  <si>
    <t>Kinh độ;Vĩ độ</t>
  </si>
  <si>
    <t>Số Giấy chứng nhận Kiểm định</t>
  </si>
  <si>
    <t>Số Biên bản Kiểm định</t>
  </si>
  <si>
    <t>Độ cao cột Anten</t>
  </si>
  <si>
    <t>Độ cao nhà đặt cột Anten</t>
  </si>
  <si>
    <t>Băng tần phát</t>
  </si>
  <si>
    <t>Độ cao từng Anten</t>
  </si>
  <si>
    <t>Hướng Bắc</t>
  </si>
  <si>
    <t>Ảnh khung cảnh nhà trạm</t>
  </si>
  <si>
    <t>Ảnh cột Anten</t>
  </si>
  <si>
    <t>Mã từng Site</t>
  </si>
  <si>
    <t>Doanh nghiệp cung cấp dịch vụ</t>
  </si>
  <si>
    <t>Số Lượng Anten</t>
  </si>
  <si>
    <t>Chủng loại Anten phát</t>
  </si>
  <si>
    <t>Góc phương vị từng Anten</t>
  </si>
  <si>
    <t>Downtilt tổng</t>
  </si>
  <si>
    <t>Chủng loại máy phát TRX</t>
  </si>
  <si>
    <t>Số máy thu phát/atenna</t>
  </si>
  <si>
    <t>Chiều dài Jumper</t>
  </si>
  <si>
    <t>Chiều dài Feeder</t>
  </si>
  <si>
    <t>Suy hao khác (dB)</t>
  </si>
  <si>
    <t>Trường hợp Kiểm định</t>
  </si>
  <si>
    <t>Có/Không GHAT</t>
  </si>
  <si>
    <t>Nhà cao nhất</t>
  </si>
  <si>
    <t>Anten thấp nhất</t>
  </si>
  <si>
    <t>Gia Lai</t>
  </si>
  <si>
    <t>Không</t>
  </si>
  <si>
    <t>2T</t>
  </si>
  <si>
    <t>C4</t>
  </si>
  <si>
    <t>Có</t>
  </si>
  <si>
    <t>Cao Minh Mẫn</t>
  </si>
  <si>
    <t>Trần Tiến</t>
  </si>
  <si>
    <t>0/140/310</t>
  </si>
  <si>
    <t>HUAWEI DBS 3900</t>
  </si>
  <si>
    <t>ERICSSON RBS 6601</t>
  </si>
  <si>
    <t>HUAWEI BTS 3900</t>
  </si>
  <si>
    <t>Bình Định</t>
  </si>
  <si>
    <t>19/6/2019</t>
  </si>
  <si>
    <t>VTE</t>
  </si>
  <si>
    <t>BTSName</t>
  </si>
  <si>
    <t>Frequency</t>
  </si>
  <si>
    <t>PowerRF</t>
  </si>
  <si>
    <t>PowerRF_W</t>
  </si>
  <si>
    <t>Card type</t>
  </si>
  <si>
    <t>NOTE</t>
  </si>
  <si>
    <t>TOC</t>
  </si>
  <si>
    <t>ALCATEL EVOLIUM A9100</t>
  </si>
  <si>
    <t>TRE</t>
  </si>
  <si>
    <t>ALCATEL LUCENT 9100 BTS</t>
  </si>
  <si>
    <t>TRE G4-TRAGE</t>
  </si>
  <si>
    <t>TRE G4-TRADE</t>
  </si>
  <si>
    <t>BTS3902E</t>
  </si>
  <si>
    <t>WCDMA</t>
  </si>
  <si>
    <t>VTE_Macro</t>
  </si>
  <si>
    <t>CDMA HUAWEI 3606</t>
  </si>
  <si>
    <t>CTRM</t>
  </si>
  <si>
    <t>CMTR</t>
  </si>
  <si>
    <t>CDMA HUAWEI 3612</t>
  </si>
  <si>
    <t>BTRM</t>
  </si>
  <si>
    <t>ERICSSON RBS 2106</t>
  </si>
  <si>
    <t>DTRU</t>
  </si>
  <si>
    <t>ERICSSON RBS 2116</t>
  </si>
  <si>
    <t>DRU</t>
  </si>
  <si>
    <t>ERICSSON RBS 2202</t>
  </si>
  <si>
    <t>CDU</t>
  </si>
  <si>
    <t>ERICSSON RBS 2206</t>
  </si>
  <si>
    <t>ERICSSON RBS 2207</t>
  </si>
  <si>
    <t>ERICSSON RBS 2216</t>
  </si>
  <si>
    <t>ERICSSON RBS 3206</t>
  </si>
  <si>
    <t>RU</t>
  </si>
  <si>
    <t>ERICSSON RBS 3418</t>
  </si>
  <si>
    <t>RRUW</t>
  </si>
  <si>
    <t>ERICSSON RBS 6201</t>
  </si>
  <si>
    <t>RUS</t>
  </si>
  <si>
    <t>Uncombined</t>
  </si>
  <si>
    <t>Combined</t>
  </si>
  <si>
    <t>ERICSSON RBS 6202</t>
  </si>
  <si>
    <t>RRUS</t>
  </si>
  <si>
    <t>RRUS 01</t>
  </si>
  <si>
    <t>LTE</t>
  </si>
  <si>
    <t>Document VTE</t>
  </si>
  <si>
    <t>HUAWEI BTS 3012</t>
  </si>
  <si>
    <t>HUAWEI BTS 312</t>
  </si>
  <si>
    <t>DRFU</t>
  </si>
  <si>
    <t>WRFU</t>
  </si>
  <si>
    <t>HUAWEI BTS 3900A</t>
  </si>
  <si>
    <t>RRU</t>
  </si>
  <si>
    <t>GSM</t>
  </si>
  <si>
    <t>HUAWEI DBS 3900 - 1800</t>
  </si>
  <si>
    <t>HUAWEI DBS 3900 - 2100</t>
  </si>
  <si>
    <t>HUAWEI DBS 3900 - 900</t>
  </si>
  <si>
    <t>LG SMART BTS (STAREX-IS)</t>
  </si>
  <si>
    <t>MPUB</t>
  </si>
  <si>
    <t>MOTOROLA HORIZON II MACRO</t>
  </si>
  <si>
    <t>CTU</t>
  </si>
  <si>
    <t>MOTOROLA HOZIRONMACRO</t>
  </si>
  <si>
    <t>NOKIA FLEXI MULTIRADIO 10 BTS</t>
  </si>
  <si>
    <t>FXED</t>
  </si>
  <si>
    <t>FXDB</t>
  </si>
  <si>
    <t>NOKIA FLEXI WCDMA BTS</t>
  </si>
  <si>
    <t>SAMSUNG CDMA T3E</t>
  </si>
  <si>
    <t>SIEMENS BS-240 II</t>
  </si>
  <si>
    <t>CUGV4</t>
  </si>
  <si>
    <t>ZTE ZXSDR BS8700</t>
  </si>
  <si>
    <t>R8860-RRUS</t>
  </si>
  <si>
    <t>R8840-RRUS</t>
  </si>
  <si>
    <t>R8861_VNM</t>
  </si>
  <si>
    <t>ZTE ZXSDR BS8800</t>
  </si>
  <si>
    <t xml:space="preserve">RSU60/RSU60E-RRU </t>
  </si>
  <si>
    <t xml:space="preserve">RSU40/RSU82-RRU </t>
  </si>
  <si>
    <t>ZTE ZXSDR BS8900A</t>
  </si>
  <si>
    <t xml:space="preserve">RSU40/RSU82 -RRU </t>
  </si>
  <si>
    <t>ZTE ZXSDR BS8922</t>
  </si>
  <si>
    <t>VNP_Smallcell</t>
  </si>
  <si>
    <t>SubBtsConfiguration_1.1</t>
  </si>
  <si>
    <t>SubBtsConfiguration_1.2</t>
  </si>
  <si>
    <t>SubBtsConfiguration_1.3</t>
  </si>
  <si>
    <t>SubBtsConfiguration_1.4</t>
  </si>
  <si>
    <t>SubBtsConfiguration_1.5</t>
  </si>
  <si>
    <t>SubBtsConfiguration_1.6</t>
  </si>
  <si>
    <t>SubBtsPowerSum_1.1</t>
  </si>
  <si>
    <t>SubBtsPowerSum_1.2</t>
  </si>
  <si>
    <t>SubBtsPowerSum_1.3</t>
  </si>
  <si>
    <t>SubBtsPowerSum_1.4</t>
  </si>
  <si>
    <t>SubBtsPowerSum_1.5</t>
  </si>
  <si>
    <t>SubBtsPowerSum_1.6</t>
  </si>
  <si>
    <t>Cấu hình máy phát BTS 1.1</t>
  </si>
  <si>
    <t>Cấu hình máy phát BTS 1.2</t>
  </si>
  <si>
    <t>Cấu hình máy phát BTS 1.3</t>
  </si>
  <si>
    <t>Cấu hình máy phát BTS 1.4</t>
  </si>
  <si>
    <t>Cấu hình máy phát BTS 1.5</t>
  </si>
  <si>
    <t>Cấu hình máy phát BTS 1.6</t>
  </si>
  <si>
    <t>Công suất tối đa máy phát BTS 1.1</t>
  </si>
  <si>
    <t>Công suất tối đa máy phát BTS 1.2</t>
  </si>
  <si>
    <t>Công suất tối đa máy phát BTS 1.3</t>
  </si>
  <si>
    <t>Công suất tối đa máy phát BTS 1.4</t>
  </si>
  <si>
    <t>Công suất tối đa máy phát BTS 1.5</t>
  </si>
  <si>
    <t>Công suất tối đa máy phát BTS 1.6</t>
  </si>
  <si>
    <t>SubBtsQuantity</t>
  </si>
  <si>
    <t>SubBtsPowerSum</t>
  </si>
  <si>
    <t>IssueCertificate</t>
  </si>
  <si>
    <t>IsPoleOnGround</t>
  </si>
  <si>
    <t>IsHouseIn100m</t>
  </si>
  <si>
    <t>IsMeasuringExposure</t>
  </si>
  <si>
    <t>Số lượng trạm gốc</t>
  </si>
  <si>
    <t>Tổng công suất phát từng anten (W)</t>
  </si>
  <si>
    <t>Trạm BTS có được cấp Giấy CNKĐ hay không?</t>
  </si>
  <si>
    <t>Trạm BTS có cột Anten đặt dưới đất phải không?</t>
  </si>
  <si>
    <t>Trong 100m có công trình người dân sinh sống, làm việc không?</t>
  </si>
  <si>
    <t>Trạm BTS có phải đo Phơi nhiễm trường điện từ không?</t>
  </si>
  <si>
    <t>Offset</t>
  </si>
  <si>
    <t>Độ cao chênh lệch</t>
  </si>
  <si>
    <t>SubBtsAntenHeight</t>
  </si>
  <si>
    <t>Độ cao Anten</t>
  </si>
  <si>
    <t>1.jpg</t>
  </si>
  <si>
    <t>2.jpg</t>
  </si>
  <si>
    <t>ANDREW DB856DG65EXY</t>
  </si>
  <si>
    <t>KATHREIN 742215</t>
  </si>
  <si>
    <t xml:space="preserve">; </t>
  </si>
  <si>
    <t>3/3/2</t>
  </si>
  <si>
    <t>Đắk Nông</t>
  </si>
  <si>
    <t>Đắk Lắk</t>
  </si>
  <si>
    <t>BDHN32</t>
  </si>
  <si>
    <t>Số 322A, đường Quang Trung, thị trấn Bồng Sơn, huyện Hoài Nhơn, tỉnh Bình Định</t>
  </si>
  <si>
    <t>109.01862; 14.43954</t>
  </si>
  <si>
    <t>C02003111119TG05</t>
  </si>
  <si>
    <t>BDHN32_1</t>
  </si>
  <si>
    <t>MobiFone</t>
  </si>
  <si>
    <t>2/3/4</t>
  </si>
  <si>
    <t>BDHN32_2</t>
  </si>
  <si>
    <t>BDHN32_3</t>
  </si>
  <si>
    <t>ROSENBERGER S-Wave EW/EW-65-18DV2/12-VN1</t>
  </si>
  <si>
    <t>BDHN33</t>
  </si>
  <si>
    <t>Khối Liêm Bình, thị trấn Bồng Sơn, huyện Hoài Nhơn, tỉnh Bình Định</t>
  </si>
  <si>
    <t>109.01024; 14.42824</t>
  </si>
  <si>
    <t>C02004111119TG05</t>
  </si>
  <si>
    <t>BDHN33_1</t>
  </si>
  <si>
    <t>2/5/5</t>
  </si>
  <si>
    <t>4/4/4</t>
  </si>
  <si>
    <t>3T</t>
  </si>
  <si>
    <t>BDHN33_2</t>
  </si>
  <si>
    <t>2/3/1</t>
  </si>
  <si>
    <t>BDHN33_3</t>
  </si>
  <si>
    <t>6/7/7</t>
  </si>
  <si>
    <t>BDQN21</t>
  </si>
  <si>
    <t>Số 135-137, đường Tố Hữu, phường Đống Đa, thành phố Quy Nhơn, tỉnh Bình Định</t>
  </si>
  <si>
    <t>109.21804; 13.79013</t>
  </si>
  <si>
    <t>C02005111119TG05</t>
  </si>
  <si>
    <t>BDQN21_1</t>
  </si>
  <si>
    <t>4/2/2</t>
  </si>
  <si>
    <t>BDQN21_2</t>
  </si>
  <si>
    <t>5/5/3</t>
  </si>
  <si>
    <t>DGDL20</t>
  </si>
  <si>
    <t>Thôn 8, xã Nhân Cơ, huyện Đắk R'lấp, tỉnh Đắk Nông</t>
  </si>
  <si>
    <t>107.626117; 11.976283</t>
  </si>
  <si>
    <t>C02006111119TG05</t>
  </si>
  <si>
    <t>20/6/2019</t>
  </si>
  <si>
    <t>DGDL20_1</t>
  </si>
  <si>
    <t>TONGYU TDJ-809018DM-65FT0</t>
  </si>
  <si>
    <t>5/4/5</t>
  </si>
  <si>
    <t>DGDL20_2</t>
  </si>
  <si>
    <t>2/3/2</t>
  </si>
  <si>
    <t>3/2/3</t>
  </si>
  <si>
    <t>DGDL20_3</t>
  </si>
  <si>
    <t>5/4/4</t>
  </si>
  <si>
    <t>DGKN09</t>
  </si>
  <si>
    <t>Thôn Đắk Xuân, xã Nam Xuân, huyện Krông Nô, tỉnh Đắk Nông</t>
  </si>
  <si>
    <t>107.81018; 12.490153</t>
  </si>
  <si>
    <t>C02007111119TG05</t>
  </si>
  <si>
    <t>17/6/2019</t>
  </si>
  <si>
    <t>DGKN09_1</t>
  </si>
  <si>
    <t>40/130/270</t>
  </si>
  <si>
    <t>DGKN09_2</t>
  </si>
  <si>
    <t>ROSENBERGER S-Wave 0809/U-65-18DV8</t>
  </si>
  <si>
    <t>4/4/1</t>
  </si>
  <si>
    <t>DLBT87</t>
  </si>
  <si>
    <t>Số 50, đường Trần Huy Liệu, phường Tân Thành, thành phố Buôn Ma Thuột, tỉnh Đắk Lắk</t>
  </si>
  <si>
    <t>108.03585; 12.66646</t>
  </si>
  <si>
    <t>C02008111119TG05</t>
  </si>
  <si>
    <t>DLBT87_1</t>
  </si>
  <si>
    <t>TONGYU TDJ-809018/182018D-65PT6</t>
  </si>
  <si>
    <t>0/140/250</t>
  </si>
  <si>
    <t>4/3/3</t>
  </si>
  <si>
    <t>DLBT87_2</t>
  </si>
  <si>
    <t>DLBT87_3</t>
  </si>
  <si>
    <t>GLIG37</t>
  </si>
  <si>
    <t>Làng De Lung 2, xã Ia Tô, huyện Ia Grai, tỉnh Gia Lai</t>
  </si>
  <si>
    <t>107.77432; 13.90032</t>
  </si>
  <si>
    <t>C02009111119TG05</t>
  </si>
  <si>
    <t>GLIG37_1</t>
  </si>
  <si>
    <t>GLIG37_2</t>
  </si>
  <si>
    <t>GLMY05</t>
  </si>
  <si>
    <t>Thôn Châu Sơn, xã Đăk Ya, huyện Mang Yang, tỉnh Gia Lai</t>
  </si>
  <si>
    <t>108.29298; 14.05378</t>
  </si>
  <si>
    <t>C02010111119TG05</t>
  </si>
  <si>
    <t>GLMY05_1</t>
  </si>
  <si>
    <t>0/2/0</t>
  </si>
  <si>
    <t>2/4/2</t>
  </si>
  <si>
    <t>GLMY05_2</t>
  </si>
  <si>
    <t>3/3/4</t>
  </si>
  <si>
    <t>2/3/3</t>
  </si>
  <si>
    <t>GLMY05_3</t>
  </si>
  <si>
    <t>GLPK58</t>
  </si>
  <si>
    <t>Số 23, đường Nguyễn Lương Bằng, phường Hoa Lư, thành phố Pleiku, tỉnh Gia Lai</t>
  </si>
  <si>
    <t>108.00926; 13.98185</t>
  </si>
  <si>
    <t>C02011111119TG05</t>
  </si>
  <si>
    <t>18/6/2019</t>
  </si>
  <si>
    <t>GLPK58_1</t>
  </si>
  <si>
    <t>80/230/320</t>
  </si>
  <si>
    <t>GLPK58_2</t>
  </si>
  <si>
    <t>3/4/5</t>
  </si>
  <si>
    <t>3/2/2</t>
  </si>
  <si>
    <t>GLPK58_3</t>
  </si>
  <si>
    <t>6/6/6</t>
  </si>
  <si>
    <t>GLPK59</t>
  </si>
  <si>
    <t>Số 73, đường Wừu, phường Ia Kring, thành phố Pleiku, tỉnh Gia Lai</t>
  </si>
  <si>
    <t>107.997181; 13.973207</t>
  </si>
  <si>
    <t>C02012111119TG05</t>
  </si>
  <si>
    <t>GLPK59_1</t>
  </si>
  <si>
    <t>110/240/340</t>
  </si>
  <si>
    <t>GLPK59_2</t>
  </si>
  <si>
    <t>5/3/2</t>
  </si>
  <si>
    <t>GLPK59_3</t>
  </si>
  <si>
    <t>7/7/6</t>
  </si>
  <si>
    <t>GLPK61</t>
  </si>
  <si>
    <t>Số 27, đường Tôn Thất Tùng, phường Phù Đổng, thành phố Pleiku, tỉnh Gia Lai</t>
  </si>
  <si>
    <t>108.02504; 13.97256</t>
  </si>
  <si>
    <t>C02013111119TG05</t>
  </si>
  <si>
    <t>GLPK61_1</t>
  </si>
  <si>
    <t>40/280/310</t>
  </si>
  <si>
    <t>GLPK61_2</t>
  </si>
  <si>
    <t>GLPK61_3</t>
  </si>
  <si>
    <t>GLPK62</t>
  </si>
  <si>
    <t>Số 39, đường Mạc Thị Bưởi, phường Thắng Lợi, thành phố Pleiku, tỉnh Gia Lai</t>
  </si>
  <si>
    <t>108.04055; 13.96765</t>
  </si>
  <si>
    <t>C02014111119TG05</t>
  </si>
  <si>
    <t>16/6/2019</t>
  </si>
  <si>
    <t>GLPK62_1</t>
  </si>
  <si>
    <t>40/130/260</t>
  </si>
  <si>
    <t>4/2/3</t>
  </si>
  <si>
    <t>GLPK62_2</t>
  </si>
  <si>
    <t>GLPK62_3</t>
  </si>
  <si>
    <t>4/4/9</t>
  </si>
  <si>
    <t>GLPK65</t>
  </si>
  <si>
    <t>Số 09, đường Sư Vạn Hạnh, phường Hội Thương, thành phố Pleiku, tỉnh Gia Lai</t>
  </si>
  <si>
    <t>108.00541; 13.97592</t>
  </si>
  <si>
    <t>C02015111119TG05</t>
  </si>
  <si>
    <t>GLPK65_1</t>
  </si>
  <si>
    <t>0/130/240</t>
  </si>
  <si>
    <t>3/3/3</t>
  </si>
  <si>
    <t>GLPK65_2</t>
  </si>
  <si>
    <t>GLPK67</t>
  </si>
  <si>
    <t>Khu liên cơ quan tỉnh Gia Lai, số 24, đường Trần Hưng Đạo, phường Tây Sơn, thành phố Pleiku, tỉnh Gia Lai</t>
  </si>
  <si>
    <t>108.004532; 13.982475</t>
  </si>
  <si>
    <t>C02016111119TG05</t>
  </si>
  <si>
    <t>GLPK67_1</t>
  </si>
  <si>
    <t>0/0/0</t>
  </si>
  <si>
    <t>4T</t>
  </si>
  <si>
    <t>GLPK67_2</t>
  </si>
  <si>
    <t>GLPK67_3</t>
  </si>
  <si>
    <t>KTKT33</t>
  </si>
  <si>
    <t>Số 383, đường Phan Đình Phùng, phường Duy Tân, thành phố Kon Tum, tỉnh Kon Tum</t>
  </si>
  <si>
    <t>Kon Tum</t>
  </si>
  <si>
    <t>107.98927; 14.37196</t>
  </si>
  <si>
    <t>C02046111119TG05</t>
  </si>
  <si>
    <t>KTKT33_1</t>
  </si>
  <si>
    <t>90/180/320</t>
  </si>
  <si>
    <t>4/4/2</t>
  </si>
  <si>
    <t>KTKT33_2</t>
  </si>
  <si>
    <t>KTKT33_3</t>
  </si>
  <si>
    <t>5/5/5</t>
  </si>
  <si>
    <t>KTKT48</t>
  </si>
  <si>
    <t>Số 114, đường Trần Hưng Đạo, phường Thắng Lợi, thành phố Kon Tum, tỉnh Kon Tum</t>
  </si>
  <si>
    <t>108.006; 14.35</t>
  </si>
  <si>
    <t>C02047111119TG05</t>
  </si>
  <si>
    <t>KTKT48_1</t>
  </si>
  <si>
    <t>140/250/340</t>
  </si>
  <si>
    <t>KTKT48_2</t>
  </si>
  <si>
    <t>KTKT48_3</t>
  </si>
  <si>
    <t>6/5/6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</si>
</sst>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010000]d/m/yy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2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0"/>
      <name val="Arial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/>
    <xf numFmtId="0" fontId="1" fillId="0" borderId="0"/>
    <xf numFmtId="43" fontId="1" fillId="0" borderId="0" applyFont="0" applyFill="0" applyBorder="0" applyAlignment="0" applyProtection="0"/>
    <xf numFmtId="0" fontId="9" fillId="0" borderId="0"/>
  </cellStyleXfs>
  <cellXfs count="59">
    <xf numFmtId="0" fontId="0" fillId="0" borderId="0" xfId="0"/>
    <xf numFmtId="0" fontId="3" fillId="0" borderId="1" xfId="2" quotePrefix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vertical="center" wrapText="1"/>
    </xf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0" quotePrefix="1" applyFont="1" applyFill="1" applyBorder="1" applyAlignment="1">
      <alignment horizontal="center" vertical="center" wrapText="1"/>
    </xf>
    <xf numFmtId="0" fontId="5" fillId="0" borderId="1" xfId="0" quotePrefix="1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164" fontId="5" fillId="0" borderId="0" xfId="1" applyFont="1" applyFill="1" applyBorder="1" applyAlignment="1">
      <alignment horizontal="center" vertical="center" wrapText="1"/>
    </xf>
    <xf numFmtId="164" fontId="5" fillId="0" borderId="0" xfId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14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2" fillId="0" borderId="0" xfId="1" applyNumberFormat="1" applyFont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14" fontId="5" fillId="0" borderId="1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2" fontId="4" fillId="0" borderId="1" xfId="0" applyNumberFormat="1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 wrapText="1"/>
    </xf>
    <xf numFmtId="0" fontId="12" fillId="3" borderId="1" xfId="4" applyNumberFormat="1" applyFont="1" applyFill="1" applyBorder="1" applyAlignment="1" applyProtection="1">
      <alignment horizontal="center" vertical="center" wrapText="1"/>
      <protection locked="0"/>
    </xf>
    <xf numFmtId="164" fontId="5" fillId="5" borderId="0" xfId="1" applyFont="1" applyFill="1" applyBorder="1" applyAlignment="1">
      <alignment horizontal="center" vertical="center" wrapText="1"/>
    </xf>
    <xf numFmtId="164" fontId="5" fillId="5" borderId="0" xfId="1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 applyProtection="1">
      <alignment horizontal="center" vertical="center" wrapText="1"/>
      <protection locked="0"/>
    </xf>
    <xf numFmtId="43" fontId="13" fillId="2" borderId="1" xfId="3" applyFont="1" applyFill="1" applyBorder="1" applyAlignment="1" applyProtection="1">
      <alignment horizontal="center" vertical="center" wrapText="1"/>
      <protection locked="0"/>
    </xf>
    <xf numFmtId="0" fontId="13" fillId="2" borderId="1" xfId="4" applyNumberFormat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4" fillId="3" borderId="1" xfId="4" applyNumberFormat="1" applyFont="1" applyFill="1" applyBorder="1" applyAlignment="1" applyProtection="1">
      <alignment horizontal="center" vertical="center" wrapText="1"/>
      <protection locked="0"/>
    </xf>
    <xf numFmtId="43" fontId="14" fillId="3" borderId="1" xfId="3" applyFont="1" applyFill="1" applyBorder="1" applyAlignment="1" applyProtection="1">
      <alignment horizontal="center" vertical="center" wrapText="1"/>
      <protection locked="0"/>
    </xf>
    <xf numFmtId="0" fontId="8" fillId="6" borderId="2" xfId="4" applyNumberFormat="1" applyFont="1" applyFill="1" applyBorder="1" applyAlignment="1" applyProtection="1">
      <alignment horizontal="center" vertical="center" wrapText="1"/>
      <protection locked="0"/>
    </xf>
    <xf numFmtId="0" fontId="6" fillId="4" borderId="1" xfId="1" applyNumberFormat="1" applyFont="1" applyFill="1" applyBorder="1" applyAlignment="1">
      <alignment horizontal="center" vertical="center" wrapText="1"/>
    </xf>
    <xf numFmtId="0" fontId="6" fillId="4" borderId="1" xfId="1" applyNumberFormat="1" applyFont="1" applyFill="1" applyBorder="1" applyAlignment="1">
      <alignment horizontal="left" vertical="center" wrapText="1"/>
    </xf>
    <xf numFmtId="14" fontId="6" fillId="4" borderId="1" xfId="1" applyNumberFormat="1" applyFont="1" applyFill="1" applyBorder="1" applyAlignment="1">
      <alignment horizontal="center" vertical="center" wrapText="1"/>
    </xf>
    <xf numFmtId="0" fontId="6" fillId="4" borderId="1" xfId="1" applyNumberFormat="1" applyFont="1" applyFill="1" applyBorder="1" applyAlignment="1">
      <alignment horizontal="center" vertical="center"/>
    </xf>
    <xf numFmtId="1" fontId="6" fillId="4" borderId="1" xfId="1" applyNumberFormat="1" applyFont="1" applyFill="1" applyBorder="1" applyAlignment="1">
      <alignment horizontal="center" vertical="center" wrapText="1"/>
    </xf>
    <xf numFmtId="0" fontId="5" fillId="4" borderId="1" xfId="1" applyNumberFormat="1" applyFont="1" applyFill="1" applyBorder="1" applyAlignment="1">
      <alignment horizontal="center" vertical="center" wrapText="1"/>
    </xf>
    <xf numFmtId="2" fontId="6" fillId="4" borderId="1" xfId="1" applyNumberFormat="1" applyFont="1" applyFill="1" applyBorder="1" applyAlignment="1">
      <alignment horizontal="center" vertical="center" wrapText="1"/>
    </xf>
    <xf numFmtId="164" fontId="5" fillId="4" borderId="1" xfId="1" applyFont="1" applyFill="1" applyBorder="1" applyAlignment="1">
      <alignment horizontal="center" vertical="center" wrapText="1"/>
    </xf>
    <xf numFmtId="164" fontId="6" fillId="4" borderId="1" xfId="1" applyFont="1" applyFill="1" applyBorder="1" applyAlignment="1">
      <alignment horizontal="center" vertical="center" wrapText="1"/>
    </xf>
    <xf numFmtId="0" fontId="7" fillId="3" borderId="1" xfId="1" applyNumberFormat="1" applyFont="1" applyFill="1" applyBorder="1" applyAlignment="1">
      <alignment horizontal="center" vertical="center" wrapText="1"/>
    </xf>
    <xf numFmtId="0" fontId="7" fillId="3" borderId="1" xfId="1" applyNumberFormat="1" applyFont="1" applyFill="1" applyBorder="1" applyAlignment="1">
      <alignment horizontal="left" vertical="center" wrapText="1"/>
    </xf>
    <xf numFmtId="14" fontId="7" fillId="3" borderId="1" xfId="1" applyNumberFormat="1" applyFont="1" applyFill="1" applyBorder="1" applyAlignment="1">
      <alignment horizontal="center" vertical="center" wrapText="1"/>
    </xf>
    <xf numFmtId="1" fontId="7" fillId="3" borderId="1" xfId="1" applyNumberFormat="1" applyFont="1" applyFill="1" applyBorder="1" applyAlignment="1">
      <alignment horizontal="center" vertical="center" wrapText="1"/>
    </xf>
    <xf numFmtId="2" fontId="7" fillId="3" borderId="1" xfId="1" applyNumberFormat="1" applyFont="1" applyFill="1" applyBorder="1" applyAlignment="1">
      <alignment horizontal="center" vertical="center" wrapText="1"/>
    </xf>
    <xf numFmtId="164" fontId="5" fillId="3" borderId="1" xfId="1" applyFont="1" applyFill="1" applyBorder="1" applyAlignment="1">
      <alignment horizontal="center" vertical="center" wrapText="1"/>
    </xf>
    <xf numFmtId="0" fontId="3" fillId="3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5">
    <cellStyle name="Comma" xfId="3" builtinId="3"/>
    <cellStyle name="Normal" xfId="0" builtinId="0"/>
    <cellStyle name="Normal 13 2" xfId="2"/>
    <cellStyle name="Normal 2" xfId="4"/>
    <cellStyle name="Normal 4" xfId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" name="Text Box 3079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" name="Text Box 3080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" name="Text Box 3081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" name="Text Box 3082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" name="Text Box 3083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" name="Text Box 3084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" name="Text Box 3085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" name="Text Box 3086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" name="Text Box 3087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" name="Text Box 3088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" name="Text Box 3089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" name="Text Box 3090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" name="Text Box 3091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" name="Text Box 3092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" name="Text Box 309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" name="Text Box 3094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" name="Text Box 3095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" name="Text Box 3096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" name="Text Box 3097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" name="Text Box 3098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" name="Text Box 3099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" name="Text Box 3100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" name="Text Box 3101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" name="Text Box 3102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" name="Text Box 59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" name="Text Box 60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" name="Text Box 61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" name="Text Box 62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" name="Text Box 63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" name="Text Box 64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" name="Text Box 65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" name="Text Box 66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" name="Text Box 67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" name="Text Box 68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" name="Text Box 69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" name="Text Box 70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" name="Text Box 71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" name="Text Box 72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" name="Text Box 73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" name="Text Box 74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" name="Text Box 75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" name="Text Box 76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" name="Text Box 77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" name="Text Box 78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" name="Text Box 79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" name="Text Box 80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" name="Text Box 81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9" name="Text Box 82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" name="Text Box 3079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" name="Text Box 3080">
          <a:extLst>
            <a:ext uri="{FF2B5EF4-FFF2-40B4-BE49-F238E27FC236}">
              <a16:creationId xmlns="" xmlns:a16="http://schemas.microsoft.com/office/drawing/2014/main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" name="Text Box 3081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" name="Text Box 3082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" name="Text Box 3083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5" name="Text Box 3084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6" name="Text Box 3085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" name="Text Box 3086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" name="Text Box 3087"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" name="Text Box 3088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0" name="Text Box 3089">
          <a:extLst>
            <a:ext uri="{FF2B5EF4-FFF2-40B4-BE49-F238E27FC236}">
              <a16:creationId xmlns="" xmlns:a16="http://schemas.microsoft.com/office/drawing/2014/main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1" name="Text Box 3090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" name="Text Box 3091">
          <a:extLst>
            <a:ext uri="{FF2B5EF4-FFF2-40B4-BE49-F238E27FC236}">
              <a16:creationId xmlns="" xmlns:a16="http://schemas.microsoft.com/office/drawing/2014/main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" name="Text Box 309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" name="Text Box 3093">
          <a:extLst>
            <a:ext uri="{FF2B5EF4-FFF2-40B4-BE49-F238E27FC236}">
              <a16:creationId xmlns="" xmlns:a16="http://schemas.microsoft.com/office/drawing/2014/main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5" name="Text Box 3094">
          <a:extLst>
            <a:ext uri="{FF2B5EF4-FFF2-40B4-BE49-F238E27FC236}">
              <a16:creationId xmlns="" xmlns:a16="http://schemas.microsoft.com/office/drawing/2014/main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" name="Text Box 3095">
          <a:extLst>
            <a:ext uri="{FF2B5EF4-FFF2-40B4-BE49-F238E27FC236}">
              <a16:creationId xmlns="" xmlns:a16="http://schemas.microsoft.com/office/drawing/2014/main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" name="Text Box 3096">
          <a:extLst>
            <a:ext uri="{FF2B5EF4-FFF2-40B4-BE49-F238E27FC236}">
              <a16:creationId xmlns="" xmlns:a16="http://schemas.microsoft.com/office/drawing/2014/main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" name="Text Box 3097">
          <a:extLst>
            <a:ext uri="{FF2B5EF4-FFF2-40B4-BE49-F238E27FC236}">
              <a16:creationId xmlns="" xmlns:a16="http://schemas.microsoft.com/office/drawing/2014/main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9" name="Text Box 3098">
          <a:extLst>
            <a:ext uri="{FF2B5EF4-FFF2-40B4-BE49-F238E27FC236}">
              <a16:creationId xmlns="" xmlns:a16="http://schemas.microsoft.com/office/drawing/2014/main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0" name="Text Box 3099">
          <a:extLst>
            <a:ext uri="{FF2B5EF4-FFF2-40B4-BE49-F238E27FC236}">
              <a16:creationId xmlns="" xmlns:a16="http://schemas.microsoft.com/office/drawing/2014/main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" name="Text Box 310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" name="Text Box 3101">
          <a:extLst>
            <a:ext uri="{FF2B5EF4-FFF2-40B4-BE49-F238E27FC236}">
              <a16:creationId xmlns="" xmlns:a16="http://schemas.microsoft.com/office/drawing/2014/main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3" name="Text Box 3102">
          <a:extLst>
            <a:ext uri="{FF2B5EF4-FFF2-40B4-BE49-F238E27FC236}">
              <a16:creationId xmlns="" xmlns:a16="http://schemas.microsoft.com/office/drawing/2014/main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" name="Text Box 59">
          <a:extLst>
            <a:ext uri="{FF2B5EF4-FFF2-40B4-BE49-F238E27FC236}">
              <a16:creationId xmlns="" xmlns:a16="http://schemas.microsoft.com/office/drawing/2014/main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" name="Text Box 60">
          <a:extLst>
            <a:ext uri="{FF2B5EF4-FFF2-40B4-BE49-F238E27FC236}">
              <a16:creationId xmlns="" xmlns:a16="http://schemas.microsoft.com/office/drawing/2014/main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" name="Text Box 61">
          <a:extLst>
            <a:ext uri="{FF2B5EF4-FFF2-40B4-BE49-F238E27FC236}">
              <a16:creationId xmlns="" xmlns:a16="http://schemas.microsoft.com/office/drawing/2014/main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7" name="Text Box 62">
          <a:extLst>
            <a:ext uri="{FF2B5EF4-FFF2-40B4-BE49-F238E27FC236}">
              <a16:creationId xmlns="" xmlns:a16="http://schemas.microsoft.com/office/drawing/2014/main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" name="Text Box 63">
          <a:extLst>
            <a:ext uri="{FF2B5EF4-FFF2-40B4-BE49-F238E27FC236}">
              <a16:creationId xmlns="" xmlns:a16="http://schemas.microsoft.com/office/drawing/2014/main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" name="Text Box 64">
          <a:extLst>
            <a:ext uri="{FF2B5EF4-FFF2-40B4-BE49-F238E27FC236}">
              <a16:creationId xmlns="" xmlns:a16="http://schemas.microsoft.com/office/drawing/2014/main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" name="Text Box 65">
          <a:extLst>
            <a:ext uri="{FF2B5EF4-FFF2-40B4-BE49-F238E27FC236}">
              <a16:creationId xmlns="" xmlns:a16="http://schemas.microsoft.com/office/drawing/2014/main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1" name="Text Box 66">
          <a:extLst>
            <a:ext uri="{FF2B5EF4-FFF2-40B4-BE49-F238E27FC236}">
              <a16:creationId xmlns="" xmlns:a16="http://schemas.microsoft.com/office/drawing/2014/main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2" name="Text Box 67">
          <a:extLst>
            <a:ext uri="{FF2B5EF4-FFF2-40B4-BE49-F238E27FC236}">
              <a16:creationId xmlns="" xmlns:a16="http://schemas.microsoft.com/office/drawing/2014/main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" name="Text Box 68">
          <a:extLst>
            <a:ext uri="{FF2B5EF4-FFF2-40B4-BE49-F238E27FC236}">
              <a16:creationId xmlns="" xmlns:a16="http://schemas.microsoft.com/office/drawing/2014/main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" name="Text Box 69">
          <a:extLst>
            <a:ext uri="{FF2B5EF4-FFF2-40B4-BE49-F238E27FC236}">
              <a16:creationId xmlns="" xmlns:a16="http://schemas.microsoft.com/office/drawing/2014/main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" name="Text Box 70">
          <a:extLst>
            <a:ext uri="{FF2B5EF4-FFF2-40B4-BE49-F238E27FC236}">
              <a16:creationId xmlns="" xmlns:a16="http://schemas.microsoft.com/office/drawing/2014/main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6" name="Text Box 71">
          <a:extLst>
            <a:ext uri="{FF2B5EF4-FFF2-40B4-BE49-F238E27FC236}">
              <a16:creationId xmlns="" xmlns:a16="http://schemas.microsoft.com/office/drawing/2014/main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7" name="Text Box 72">
          <a:extLst>
            <a:ext uri="{FF2B5EF4-FFF2-40B4-BE49-F238E27FC236}">
              <a16:creationId xmlns="" xmlns:a16="http://schemas.microsoft.com/office/drawing/2014/main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" name="Text Box 73">
          <a:extLst>
            <a:ext uri="{FF2B5EF4-FFF2-40B4-BE49-F238E27FC236}">
              <a16:creationId xmlns="" xmlns:a16="http://schemas.microsoft.com/office/drawing/2014/main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" name="Text Box 74">
          <a:extLst>
            <a:ext uri="{FF2B5EF4-FFF2-40B4-BE49-F238E27FC236}">
              <a16:creationId xmlns=""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" name="Text Box 75">
          <a:extLst>
            <a:ext uri="{FF2B5EF4-FFF2-40B4-BE49-F238E27FC236}">
              <a16:creationId xmlns="" xmlns:a16="http://schemas.microsoft.com/office/drawing/2014/main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1" name="Text Box 76">
          <a:extLst>
            <a:ext uri="{FF2B5EF4-FFF2-40B4-BE49-F238E27FC236}">
              <a16:creationId xmlns="" xmlns:a16="http://schemas.microsoft.com/office/drawing/2014/main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2" name="Text Box 77">
          <a:extLst>
            <a:ext uri="{FF2B5EF4-FFF2-40B4-BE49-F238E27FC236}">
              <a16:creationId xmlns="" xmlns:a16="http://schemas.microsoft.com/office/drawing/2014/main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" name="Text Box 78">
          <a:extLst>
            <a:ext uri="{FF2B5EF4-FFF2-40B4-BE49-F238E27FC236}">
              <a16:creationId xmlns="" xmlns:a16="http://schemas.microsoft.com/office/drawing/2014/main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" name="Text Box 79">
          <a:extLst>
            <a:ext uri="{FF2B5EF4-FFF2-40B4-BE49-F238E27FC236}">
              <a16:creationId xmlns="" xmlns:a16="http://schemas.microsoft.com/office/drawing/2014/main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" name="Text Box 80">
          <a:extLst>
            <a:ext uri="{FF2B5EF4-FFF2-40B4-BE49-F238E27FC236}">
              <a16:creationId xmlns="" xmlns:a16="http://schemas.microsoft.com/office/drawing/2014/main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6" name="Text Box 81">
          <a:extLst>
            <a:ext uri="{FF2B5EF4-FFF2-40B4-BE49-F238E27FC236}">
              <a16:creationId xmlns="" xmlns:a16="http://schemas.microsoft.com/office/drawing/2014/main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" name="Text Box 3079">
          <a:extLst>
            <a:ext uri="{FF2B5EF4-FFF2-40B4-BE49-F238E27FC236}">
              <a16:creationId xmlns="" xmlns:a16="http://schemas.microsoft.com/office/drawing/2014/main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8" name="Text Box 3080">
          <a:extLst>
            <a:ext uri="{FF2B5EF4-FFF2-40B4-BE49-F238E27FC236}">
              <a16:creationId xmlns="" xmlns:a16="http://schemas.microsoft.com/office/drawing/2014/main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9" name="Text Box 3081">
          <a:extLst>
            <a:ext uri="{FF2B5EF4-FFF2-40B4-BE49-F238E27FC236}">
              <a16:creationId xmlns="" xmlns:a16="http://schemas.microsoft.com/office/drawing/2014/main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" name="Text Box 3082">
          <a:extLst>
            <a:ext uri="{FF2B5EF4-FFF2-40B4-BE49-F238E27FC236}">
              <a16:creationId xmlns="" xmlns:a16="http://schemas.microsoft.com/office/drawing/2014/main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" name="Text Box 3083">
          <a:extLst>
            <a:ext uri="{FF2B5EF4-FFF2-40B4-BE49-F238E27FC236}">
              <a16:creationId xmlns="" xmlns:a16="http://schemas.microsoft.com/office/drawing/2014/main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" name="Text Box 3084">
          <a:extLst>
            <a:ext uri="{FF2B5EF4-FFF2-40B4-BE49-F238E27FC236}">
              <a16:creationId xmlns="" xmlns:a16="http://schemas.microsoft.com/office/drawing/2014/main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3" name="Text Box 3085">
          <a:extLst>
            <a:ext uri="{FF2B5EF4-FFF2-40B4-BE49-F238E27FC236}">
              <a16:creationId xmlns="" xmlns:a16="http://schemas.microsoft.com/office/drawing/2014/main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" name="Text Box 3086">
          <a:extLst>
            <a:ext uri="{FF2B5EF4-FFF2-40B4-BE49-F238E27FC236}">
              <a16:creationId xmlns=""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" name="Text Box 3087">
          <a:extLst>
            <a:ext uri="{FF2B5EF4-FFF2-40B4-BE49-F238E27FC236}">
              <a16:creationId xmlns="" xmlns:a16="http://schemas.microsoft.com/office/drawing/2014/main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" name="Text Box 3088">
          <a:extLst>
            <a:ext uri="{FF2B5EF4-FFF2-40B4-BE49-F238E27FC236}">
              <a16:creationId xmlns="" xmlns:a16="http://schemas.microsoft.com/office/drawing/2014/main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7" name="Text Box 3089">
          <a:extLst>
            <a:ext uri="{FF2B5EF4-FFF2-40B4-BE49-F238E27FC236}">
              <a16:creationId xmlns="" xmlns:a16="http://schemas.microsoft.com/office/drawing/2014/main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8" name="Text Box 3090">
          <a:extLst>
            <a:ext uri="{FF2B5EF4-FFF2-40B4-BE49-F238E27FC236}">
              <a16:creationId xmlns="" xmlns:a16="http://schemas.microsoft.com/office/drawing/2014/main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" name="Text Box 3091">
          <a:extLst>
            <a:ext uri="{FF2B5EF4-FFF2-40B4-BE49-F238E27FC236}">
              <a16:creationId xmlns="" xmlns:a16="http://schemas.microsoft.com/office/drawing/2014/main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" name="Text Box 3092">
          <a:extLst>
            <a:ext uri="{FF2B5EF4-FFF2-40B4-BE49-F238E27FC236}">
              <a16:creationId xmlns="" xmlns:a16="http://schemas.microsoft.com/office/drawing/2014/main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" name="Text Box 3093">
          <a:extLst>
            <a:ext uri="{FF2B5EF4-FFF2-40B4-BE49-F238E27FC236}">
              <a16:creationId xmlns="" xmlns:a16="http://schemas.microsoft.com/office/drawing/2014/main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2" name="Text Box 3094">
          <a:extLst>
            <a:ext uri="{FF2B5EF4-FFF2-40B4-BE49-F238E27FC236}">
              <a16:creationId xmlns="" xmlns:a16="http://schemas.microsoft.com/office/drawing/2014/main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3" name="Text Box 3095">
          <a:extLst>
            <a:ext uri="{FF2B5EF4-FFF2-40B4-BE49-F238E27FC236}">
              <a16:creationId xmlns="" xmlns:a16="http://schemas.microsoft.com/office/drawing/2014/main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" name="Text Box 3096">
          <a:extLst>
            <a:ext uri="{FF2B5EF4-FFF2-40B4-BE49-F238E27FC236}">
              <a16:creationId xmlns="" xmlns:a16="http://schemas.microsoft.com/office/drawing/2014/main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" name="Text Box 3097">
          <a:extLst>
            <a:ext uri="{FF2B5EF4-FFF2-40B4-BE49-F238E27FC236}">
              <a16:creationId xmlns="" xmlns:a16="http://schemas.microsoft.com/office/drawing/2014/main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" name="Text Box 3098">
          <a:extLst>
            <a:ext uri="{FF2B5EF4-FFF2-40B4-BE49-F238E27FC236}">
              <a16:creationId xmlns="" xmlns:a16="http://schemas.microsoft.com/office/drawing/2014/main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7" name="Text Box 3099">
          <a:extLst>
            <a:ext uri="{FF2B5EF4-FFF2-40B4-BE49-F238E27FC236}">
              <a16:creationId xmlns="" xmlns:a16="http://schemas.microsoft.com/office/drawing/2014/main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8" name="Text Box 3100">
          <a:extLst>
            <a:ext uri="{FF2B5EF4-FFF2-40B4-BE49-F238E27FC236}">
              <a16:creationId xmlns="" xmlns:a16="http://schemas.microsoft.com/office/drawing/2014/main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" name="Text Box 3101">
          <a:extLst>
            <a:ext uri="{FF2B5EF4-FFF2-40B4-BE49-F238E27FC236}">
              <a16:creationId xmlns="" xmlns:a16="http://schemas.microsoft.com/office/drawing/2014/main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0" name="Text Box 3102">
          <a:extLst>
            <a:ext uri="{FF2B5EF4-FFF2-40B4-BE49-F238E27FC236}">
              <a16:creationId xmlns="" xmlns:a16="http://schemas.microsoft.com/office/drawing/2014/main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" name="Text Box 59">
          <a:extLst>
            <a:ext uri="{FF2B5EF4-FFF2-40B4-BE49-F238E27FC236}">
              <a16:creationId xmlns="" xmlns:a16="http://schemas.microsoft.com/office/drawing/2014/main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" name="Text Box 60">
          <a:extLst>
            <a:ext uri="{FF2B5EF4-FFF2-40B4-BE49-F238E27FC236}">
              <a16:creationId xmlns="" xmlns:a16="http://schemas.microsoft.com/office/drawing/2014/main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" name="Text Box 61">
          <a:extLst>
            <a:ext uri="{FF2B5EF4-FFF2-40B4-BE49-F238E27FC236}">
              <a16:creationId xmlns="" xmlns:a16="http://schemas.microsoft.com/office/drawing/2014/main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4" name="Text Box 62">
          <a:extLst>
            <a:ext uri="{FF2B5EF4-FFF2-40B4-BE49-F238E27FC236}">
              <a16:creationId xmlns="" xmlns:a16="http://schemas.microsoft.com/office/drawing/2014/main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5" name="Text Box 63">
          <a:extLst>
            <a:ext uri="{FF2B5EF4-FFF2-40B4-BE49-F238E27FC236}">
              <a16:creationId xmlns="" xmlns:a16="http://schemas.microsoft.com/office/drawing/2014/main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" name="Text Box 64">
          <a:extLst>
            <a:ext uri="{FF2B5EF4-FFF2-40B4-BE49-F238E27FC236}">
              <a16:creationId xmlns="" xmlns:a16="http://schemas.microsoft.com/office/drawing/2014/main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" name="Text Box 65">
          <a:extLst>
            <a:ext uri="{FF2B5EF4-FFF2-40B4-BE49-F238E27FC236}">
              <a16:creationId xmlns="" xmlns:a16="http://schemas.microsoft.com/office/drawing/2014/main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" name="Text Box 66">
          <a:extLst>
            <a:ext uri="{FF2B5EF4-FFF2-40B4-BE49-F238E27FC236}">
              <a16:creationId xmlns="" xmlns:a16="http://schemas.microsoft.com/office/drawing/2014/main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9" name="Text Box 67">
          <a:extLst>
            <a:ext uri="{FF2B5EF4-FFF2-40B4-BE49-F238E27FC236}">
              <a16:creationId xmlns="" xmlns:a16="http://schemas.microsoft.com/office/drawing/2014/main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0" name="Text Box 68">
          <a:extLst>
            <a:ext uri="{FF2B5EF4-FFF2-40B4-BE49-F238E27FC236}">
              <a16:creationId xmlns="" xmlns:a16="http://schemas.microsoft.com/office/drawing/2014/main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" name="Text Box 69">
          <a:extLst>
            <a:ext uri="{FF2B5EF4-FFF2-40B4-BE49-F238E27FC236}">
              <a16:creationId xmlns="" xmlns:a16="http://schemas.microsoft.com/office/drawing/2014/main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" name="Text Box 70">
          <a:extLst>
            <a:ext uri="{FF2B5EF4-FFF2-40B4-BE49-F238E27FC236}">
              <a16:creationId xmlns="" xmlns:a16="http://schemas.microsoft.com/office/drawing/2014/main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" name="Text Box 71">
          <a:extLst>
            <a:ext uri="{FF2B5EF4-FFF2-40B4-BE49-F238E27FC236}">
              <a16:creationId xmlns="" xmlns:a16="http://schemas.microsoft.com/office/drawing/2014/main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4" name="Text Box 72">
          <a:extLst>
            <a:ext uri="{FF2B5EF4-FFF2-40B4-BE49-F238E27FC236}">
              <a16:creationId xmlns="" xmlns:a16="http://schemas.microsoft.com/office/drawing/2014/main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" name="Text Box 73">
          <a:extLst>
            <a:ext uri="{FF2B5EF4-FFF2-40B4-BE49-F238E27FC236}">
              <a16:creationId xmlns="" xmlns:a16="http://schemas.microsoft.com/office/drawing/2014/main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" name="Text Box 74">
          <a:extLst>
            <a:ext uri="{FF2B5EF4-FFF2-40B4-BE49-F238E27FC236}">
              <a16:creationId xmlns="" xmlns:a16="http://schemas.microsoft.com/office/drawing/2014/main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" name="Text Box 75">
          <a:extLst>
            <a:ext uri="{FF2B5EF4-FFF2-40B4-BE49-F238E27FC236}">
              <a16:creationId xmlns="" xmlns:a16="http://schemas.microsoft.com/office/drawing/2014/main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8" name="Text Box 76">
          <a:extLst>
            <a:ext uri="{FF2B5EF4-FFF2-40B4-BE49-F238E27FC236}">
              <a16:creationId xmlns="" xmlns:a16="http://schemas.microsoft.com/office/drawing/2014/main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9" name="Text Box 77">
          <a:extLst>
            <a:ext uri="{FF2B5EF4-FFF2-40B4-BE49-F238E27FC236}">
              <a16:creationId xmlns="" xmlns:a16="http://schemas.microsoft.com/office/drawing/2014/main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" name="Text Box 78">
          <a:extLst>
            <a:ext uri="{FF2B5EF4-FFF2-40B4-BE49-F238E27FC236}">
              <a16:creationId xmlns="" xmlns:a16="http://schemas.microsoft.com/office/drawing/2014/main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" name="Text Box 79">
          <a:extLst>
            <a:ext uri="{FF2B5EF4-FFF2-40B4-BE49-F238E27FC236}">
              <a16:creationId xmlns="" xmlns:a16="http://schemas.microsoft.com/office/drawing/2014/main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" name="Text Box 80">
          <a:extLst>
            <a:ext uri="{FF2B5EF4-FFF2-40B4-BE49-F238E27FC236}">
              <a16:creationId xmlns="" xmlns:a16="http://schemas.microsoft.com/office/drawing/2014/main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3" name="Text Box 81">
          <a:extLst>
            <a:ext uri="{FF2B5EF4-FFF2-40B4-BE49-F238E27FC236}">
              <a16:creationId xmlns="" xmlns:a16="http://schemas.microsoft.com/office/drawing/2014/main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44" name="Text Box 82">
          <a:extLst>
            <a:ext uri="{FF2B5EF4-FFF2-40B4-BE49-F238E27FC236}">
              <a16:creationId xmlns="" xmlns:a16="http://schemas.microsoft.com/office/drawing/2014/main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5" name="Text Box 3079">
          <a:extLst>
            <a:ext uri="{FF2B5EF4-FFF2-40B4-BE49-F238E27FC236}">
              <a16:creationId xmlns="" xmlns:a16="http://schemas.microsoft.com/office/drawing/2014/main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6" name="Text Box 3080">
          <a:extLst>
            <a:ext uri="{FF2B5EF4-FFF2-40B4-BE49-F238E27FC236}">
              <a16:creationId xmlns="" xmlns:a16="http://schemas.microsoft.com/office/drawing/2014/main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" name="Text Box 3081">
          <a:extLst>
            <a:ext uri="{FF2B5EF4-FFF2-40B4-BE49-F238E27FC236}">
              <a16:creationId xmlns="" xmlns:a16="http://schemas.microsoft.com/office/drawing/2014/main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" name="Text Box 3082">
          <a:extLst>
            <a:ext uri="{FF2B5EF4-FFF2-40B4-BE49-F238E27FC236}">
              <a16:creationId xmlns="" xmlns:a16="http://schemas.microsoft.com/office/drawing/2014/main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" name="Text Box 3083">
          <a:extLst>
            <a:ext uri="{FF2B5EF4-FFF2-40B4-BE49-F238E27FC236}">
              <a16:creationId xmlns="" xmlns:a16="http://schemas.microsoft.com/office/drawing/2014/main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0" name="Text Box 3084">
          <a:extLst>
            <a:ext uri="{FF2B5EF4-FFF2-40B4-BE49-F238E27FC236}">
              <a16:creationId xmlns="" xmlns:a16="http://schemas.microsoft.com/office/drawing/2014/main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1" name="Text Box 3085">
          <a:extLst>
            <a:ext uri="{FF2B5EF4-FFF2-40B4-BE49-F238E27FC236}">
              <a16:creationId xmlns="" xmlns:a16="http://schemas.microsoft.com/office/drawing/2014/main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" name="Text Box 3086">
          <a:extLst>
            <a:ext uri="{FF2B5EF4-FFF2-40B4-BE49-F238E27FC236}">
              <a16:creationId xmlns="" xmlns:a16="http://schemas.microsoft.com/office/drawing/2014/main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" name="Text Box 3087">
          <a:extLst>
            <a:ext uri="{FF2B5EF4-FFF2-40B4-BE49-F238E27FC236}">
              <a16:creationId xmlns="" xmlns:a16="http://schemas.microsoft.com/office/drawing/2014/main" id="{00000000-0008-0000-0000-00009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" name="Text Box 3088">
          <a:extLst>
            <a:ext uri="{FF2B5EF4-FFF2-40B4-BE49-F238E27FC236}">
              <a16:creationId xmlns="" xmlns:a16="http://schemas.microsoft.com/office/drawing/2014/main" id="{00000000-0008-0000-0000-00009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5" name="Text Box 3089">
          <a:extLst>
            <a:ext uri="{FF2B5EF4-FFF2-40B4-BE49-F238E27FC236}">
              <a16:creationId xmlns="" xmlns:a16="http://schemas.microsoft.com/office/drawing/2014/main" id="{00000000-0008-0000-0000-00009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6" name="Text Box 3090">
          <a:extLst>
            <a:ext uri="{FF2B5EF4-FFF2-40B4-BE49-F238E27FC236}">
              <a16:creationId xmlns="" xmlns:a16="http://schemas.microsoft.com/office/drawing/2014/main" id="{00000000-0008-0000-0000-00009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" name="Text Box 3091">
          <a:extLst>
            <a:ext uri="{FF2B5EF4-FFF2-40B4-BE49-F238E27FC236}">
              <a16:creationId xmlns="" xmlns:a16="http://schemas.microsoft.com/office/drawing/2014/main" id="{00000000-0008-0000-0000-00009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" name="Text Box 3092">
          <a:extLst>
            <a:ext uri="{FF2B5EF4-FFF2-40B4-BE49-F238E27FC236}">
              <a16:creationId xmlns="" xmlns:a16="http://schemas.microsoft.com/office/drawing/2014/main" id="{00000000-0008-0000-0000-00009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" name="Text Box 3093">
          <a:extLst>
            <a:ext uri="{FF2B5EF4-FFF2-40B4-BE49-F238E27FC236}">
              <a16:creationId xmlns="" xmlns:a16="http://schemas.microsoft.com/office/drawing/2014/main" id="{00000000-0008-0000-0000-00009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0" name="Text Box 3094">
          <a:extLst>
            <a:ext uri="{FF2B5EF4-FFF2-40B4-BE49-F238E27FC236}">
              <a16:creationId xmlns="" xmlns:a16="http://schemas.microsoft.com/office/drawing/2014/main" id="{00000000-0008-0000-0000-0000A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" name="Text Box 3095">
          <a:extLst>
            <a:ext uri="{FF2B5EF4-FFF2-40B4-BE49-F238E27FC236}">
              <a16:creationId xmlns="" xmlns:a16="http://schemas.microsoft.com/office/drawing/2014/main" id="{00000000-0008-0000-0000-0000A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" name="Text Box 3096">
          <a:extLst>
            <a:ext uri="{FF2B5EF4-FFF2-40B4-BE49-F238E27FC236}">
              <a16:creationId xmlns="" xmlns:a16="http://schemas.microsoft.com/office/drawing/2014/main" id="{00000000-0008-0000-0000-0000A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" name="Text Box 3097">
          <a:extLst>
            <a:ext uri="{FF2B5EF4-FFF2-40B4-BE49-F238E27FC236}">
              <a16:creationId xmlns="" xmlns:a16="http://schemas.microsoft.com/office/drawing/2014/main" id="{00000000-0008-0000-0000-0000A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4" name="Text Box 3098">
          <a:extLst>
            <a:ext uri="{FF2B5EF4-FFF2-40B4-BE49-F238E27FC236}">
              <a16:creationId xmlns="" xmlns:a16="http://schemas.microsoft.com/office/drawing/2014/main" id="{00000000-0008-0000-0000-0000A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5" name="Text Box 3099">
          <a:extLst>
            <a:ext uri="{FF2B5EF4-FFF2-40B4-BE49-F238E27FC236}">
              <a16:creationId xmlns="" xmlns:a16="http://schemas.microsoft.com/office/drawing/2014/main" id="{00000000-0008-0000-0000-0000A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" name="Text Box 3100">
          <a:extLst>
            <a:ext uri="{FF2B5EF4-FFF2-40B4-BE49-F238E27FC236}">
              <a16:creationId xmlns="" xmlns:a16="http://schemas.microsoft.com/office/drawing/2014/main" id="{00000000-0008-0000-0000-0000A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" name="Text Box 3101">
          <a:extLst>
            <a:ext uri="{FF2B5EF4-FFF2-40B4-BE49-F238E27FC236}">
              <a16:creationId xmlns="" xmlns:a16="http://schemas.microsoft.com/office/drawing/2014/main" id="{00000000-0008-0000-0000-0000A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8" name="Text Box 3102">
          <a:extLst>
            <a:ext uri="{FF2B5EF4-FFF2-40B4-BE49-F238E27FC236}">
              <a16:creationId xmlns="" xmlns:a16="http://schemas.microsoft.com/office/drawing/2014/main" id="{00000000-0008-0000-0000-0000A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" name="Text Box 59">
          <a:extLst>
            <a:ext uri="{FF2B5EF4-FFF2-40B4-BE49-F238E27FC236}">
              <a16:creationId xmlns="" xmlns:a16="http://schemas.microsoft.com/office/drawing/2014/main" id="{00000000-0008-0000-0000-0000A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" name="Text Box 60">
          <a:extLst>
            <a:ext uri="{FF2B5EF4-FFF2-40B4-BE49-F238E27FC236}">
              <a16:creationId xmlns="" xmlns:a16="http://schemas.microsoft.com/office/drawing/2014/main" id="{00000000-0008-0000-0000-0000A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" name="Text Box 61">
          <a:extLst>
            <a:ext uri="{FF2B5EF4-FFF2-40B4-BE49-F238E27FC236}">
              <a16:creationId xmlns="" xmlns:a16="http://schemas.microsoft.com/office/drawing/2014/main" id="{00000000-0008-0000-0000-0000A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2" name="Text Box 62">
          <a:extLst>
            <a:ext uri="{FF2B5EF4-FFF2-40B4-BE49-F238E27FC236}">
              <a16:creationId xmlns="" xmlns:a16="http://schemas.microsoft.com/office/drawing/2014/main" id="{00000000-0008-0000-0000-0000A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" name="Text Box 63">
          <a:extLst>
            <a:ext uri="{FF2B5EF4-FFF2-40B4-BE49-F238E27FC236}">
              <a16:creationId xmlns="" xmlns:a16="http://schemas.microsoft.com/office/drawing/2014/main" id="{00000000-0008-0000-0000-0000A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" name="Text Box 64">
          <a:extLst>
            <a:ext uri="{FF2B5EF4-FFF2-40B4-BE49-F238E27FC236}">
              <a16:creationId xmlns="" xmlns:a16="http://schemas.microsoft.com/office/drawing/2014/main" id="{00000000-0008-0000-0000-0000A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" name="Text Box 65">
          <a:extLst>
            <a:ext uri="{FF2B5EF4-FFF2-40B4-BE49-F238E27FC236}">
              <a16:creationId xmlns="" xmlns:a16="http://schemas.microsoft.com/office/drawing/2014/main" id="{00000000-0008-0000-0000-0000A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6" name="Text Box 66">
          <a:extLst>
            <a:ext uri="{FF2B5EF4-FFF2-40B4-BE49-F238E27FC236}">
              <a16:creationId xmlns="" xmlns:a16="http://schemas.microsoft.com/office/drawing/2014/main" id="{00000000-0008-0000-0000-0000B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7" name="Text Box 67">
          <a:extLst>
            <a:ext uri="{FF2B5EF4-FFF2-40B4-BE49-F238E27FC236}">
              <a16:creationId xmlns="" xmlns:a16="http://schemas.microsoft.com/office/drawing/2014/main" id="{00000000-0008-0000-0000-0000B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" name="Text Box 68">
          <a:extLst>
            <a:ext uri="{FF2B5EF4-FFF2-40B4-BE49-F238E27FC236}">
              <a16:creationId xmlns="" xmlns:a16="http://schemas.microsoft.com/office/drawing/2014/main" id="{00000000-0008-0000-0000-0000B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" name="Text Box 69">
          <a:extLst>
            <a:ext uri="{FF2B5EF4-FFF2-40B4-BE49-F238E27FC236}">
              <a16:creationId xmlns="" xmlns:a16="http://schemas.microsoft.com/office/drawing/2014/main" id="{00000000-0008-0000-0000-0000B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" name="Text Box 70">
          <a:extLst>
            <a:ext uri="{FF2B5EF4-FFF2-40B4-BE49-F238E27FC236}">
              <a16:creationId xmlns="" xmlns:a16="http://schemas.microsoft.com/office/drawing/2014/main" id="{00000000-0008-0000-0000-0000B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1" name="Text Box 71">
          <a:extLst>
            <a:ext uri="{FF2B5EF4-FFF2-40B4-BE49-F238E27FC236}">
              <a16:creationId xmlns="" xmlns:a16="http://schemas.microsoft.com/office/drawing/2014/main" id="{00000000-0008-0000-0000-0000B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2" name="Text Box 72">
          <a:extLst>
            <a:ext uri="{FF2B5EF4-FFF2-40B4-BE49-F238E27FC236}">
              <a16:creationId xmlns="" xmlns:a16="http://schemas.microsoft.com/office/drawing/2014/main" id="{00000000-0008-0000-0000-0000B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" name="Text Box 73">
          <a:extLst>
            <a:ext uri="{FF2B5EF4-FFF2-40B4-BE49-F238E27FC236}">
              <a16:creationId xmlns="" xmlns:a16="http://schemas.microsoft.com/office/drawing/2014/main" id="{00000000-0008-0000-0000-0000B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" name="Text Box 74">
          <a:extLst>
            <a:ext uri="{FF2B5EF4-FFF2-40B4-BE49-F238E27FC236}">
              <a16:creationId xmlns="" xmlns:a16="http://schemas.microsoft.com/office/drawing/2014/main" id="{00000000-0008-0000-0000-0000B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" name="Text Box 75">
          <a:extLst>
            <a:ext uri="{FF2B5EF4-FFF2-40B4-BE49-F238E27FC236}">
              <a16:creationId xmlns="" xmlns:a16="http://schemas.microsoft.com/office/drawing/2014/main" id="{00000000-0008-0000-0000-0000B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6" name="Text Box 76">
          <a:extLst>
            <a:ext uri="{FF2B5EF4-FFF2-40B4-BE49-F238E27FC236}">
              <a16:creationId xmlns="" xmlns:a16="http://schemas.microsoft.com/office/drawing/2014/main" id="{00000000-0008-0000-0000-0000B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7" name="Text Box 77">
          <a:extLst>
            <a:ext uri="{FF2B5EF4-FFF2-40B4-BE49-F238E27FC236}">
              <a16:creationId xmlns="" xmlns:a16="http://schemas.microsoft.com/office/drawing/2014/main" id="{00000000-0008-0000-0000-0000B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" name="Text Box 78">
          <a:extLst>
            <a:ext uri="{FF2B5EF4-FFF2-40B4-BE49-F238E27FC236}">
              <a16:creationId xmlns="" xmlns:a16="http://schemas.microsoft.com/office/drawing/2014/main" id="{00000000-0008-0000-0000-0000B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" name="Text Box 79">
          <a:extLst>
            <a:ext uri="{FF2B5EF4-FFF2-40B4-BE49-F238E27FC236}">
              <a16:creationId xmlns="" xmlns:a16="http://schemas.microsoft.com/office/drawing/2014/main" id="{00000000-0008-0000-0000-0000B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" name="Text Box 80">
          <a:extLst>
            <a:ext uri="{FF2B5EF4-FFF2-40B4-BE49-F238E27FC236}">
              <a16:creationId xmlns="" xmlns:a16="http://schemas.microsoft.com/office/drawing/2014/main" id="{00000000-0008-0000-0000-0000B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1" name="Text Box 81">
          <a:extLst>
            <a:ext uri="{FF2B5EF4-FFF2-40B4-BE49-F238E27FC236}">
              <a16:creationId xmlns="" xmlns:a16="http://schemas.microsoft.com/office/drawing/2014/main" id="{00000000-0008-0000-0000-0000B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" name="Text Box 3079">
          <a:extLst>
            <a:ext uri="{FF2B5EF4-FFF2-40B4-BE49-F238E27FC236}">
              <a16:creationId xmlns="" xmlns:a16="http://schemas.microsoft.com/office/drawing/2014/main" id="{00000000-0008-0000-0000-0000C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3" name="Text Box 3080">
          <a:extLst>
            <a:ext uri="{FF2B5EF4-FFF2-40B4-BE49-F238E27FC236}">
              <a16:creationId xmlns="" xmlns:a16="http://schemas.microsoft.com/office/drawing/2014/main" id="{00000000-0008-0000-0000-0000C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4" name="Text Box 3081">
          <a:extLst>
            <a:ext uri="{FF2B5EF4-FFF2-40B4-BE49-F238E27FC236}">
              <a16:creationId xmlns="" xmlns:a16="http://schemas.microsoft.com/office/drawing/2014/main" id="{00000000-0008-0000-0000-0000C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" name="Text Box 3082">
          <a:extLst>
            <a:ext uri="{FF2B5EF4-FFF2-40B4-BE49-F238E27FC236}">
              <a16:creationId xmlns="" xmlns:a16="http://schemas.microsoft.com/office/drawing/2014/main" id="{00000000-0008-0000-0000-0000C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" name="Text Box 3083">
          <a:extLst>
            <a:ext uri="{FF2B5EF4-FFF2-40B4-BE49-F238E27FC236}">
              <a16:creationId xmlns="" xmlns:a16="http://schemas.microsoft.com/office/drawing/2014/main" id="{00000000-0008-0000-0000-0000C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" name="Text Box 3084">
          <a:extLst>
            <a:ext uri="{FF2B5EF4-FFF2-40B4-BE49-F238E27FC236}">
              <a16:creationId xmlns="" xmlns:a16="http://schemas.microsoft.com/office/drawing/2014/main" id="{00000000-0008-0000-0000-0000C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8" name="Text Box 3085">
          <a:extLst>
            <a:ext uri="{FF2B5EF4-FFF2-40B4-BE49-F238E27FC236}">
              <a16:creationId xmlns="" xmlns:a16="http://schemas.microsoft.com/office/drawing/2014/main" id="{00000000-0008-0000-0000-0000C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" name="Text Box 3086">
          <a:extLst>
            <a:ext uri="{FF2B5EF4-FFF2-40B4-BE49-F238E27FC236}">
              <a16:creationId xmlns="" xmlns:a16="http://schemas.microsoft.com/office/drawing/2014/main" id="{00000000-0008-0000-0000-0000C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" name="Text Box 3087">
          <a:extLst>
            <a:ext uri="{FF2B5EF4-FFF2-40B4-BE49-F238E27FC236}">
              <a16:creationId xmlns="" xmlns:a16="http://schemas.microsoft.com/office/drawing/2014/main" id="{00000000-0008-0000-0000-0000C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" name="Text Box 3088">
          <a:extLst>
            <a:ext uri="{FF2B5EF4-FFF2-40B4-BE49-F238E27FC236}">
              <a16:creationId xmlns="" xmlns:a16="http://schemas.microsoft.com/office/drawing/2014/main" id="{00000000-0008-0000-0000-0000C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2" name="Text Box 3089">
          <a:extLst>
            <a:ext uri="{FF2B5EF4-FFF2-40B4-BE49-F238E27FC236}">
              <a16:creationId xmlns="" xmlns:a16="http://schemas.microsoft.com/office/drawing/2014/main" id="{00000000-0008-0000-0000-0000C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3" name="Text Box 3090">
          <a:extLst>
            <a:ext uri="{FF2B5EF4-FFF2-40B4-BE49-F238E27FC236}">
              <a16:creationId xmlns="" xmlns:a16="http://schemas.microsoft.com/office/drawing/2014/main" id="{00000000-0008-0000-0000-0000C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" name="Text Box 3091">
          <a:extLst>
            <a:ext uri="{FF2B5EF4-FFF2-40B4-BE49-F238E27FC236}">
              <a16:creationId xmlns="" xmlns:a16="http://schemas.microsoft.com/office/drawing/2014/main" id="{00000000-0008-0000-0000-0000C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" name="Text Box 3092">
          <a:extLst>
            <a:ext uri="{FF2B5EF4-FFF2-40B4-BE49-F238E27FC236}">
              <a16:creationId xmlns="" xmlns:a16="http://schemas.microsoft.com/office/drawing/2014/main" id="{00000000-0008-0000-0000-0000C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" name="Text Box 3093">
          <a:extLst>
            <a:ext uri="{FF2B5EF4-FFF2-40B4-BE49-F238E27FC236}">
              <a16:creationId xmlns="" xmlns:a16="http://schemas.microsoft.com/office/drawing/2014/main" id="{00000000-0008-0000-0000-0000C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7" name="Text Box 3094">
          <a:extLst>
            <a:ext uri="{FF2B5EF4-FFF2-40B4-BE49-F238E27FC236}">
              <a16:creationId xmlns="" xmlns:a16="http://schemas.microsoft.com/office/drawing/2014/main" id="{00000000-0008-0000-0000-0000C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8" name="Text Box 3095">
          <a:extLst>
            <a:ext uri="{FF2B5EF4-FFF2-40B4-BE49-F238E27FC236}">
              <a16:creationId xmlns="" xmlns:a16="http://schemas.microsoft.com/office/drawing/2014/main" id="{00000000-0008-0000-0000-0000D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" name="Text Box 3096">
          <a:extLst>
            <a:ext uri="{FF2B5EF4-FFF2-40B4-BE49-F238E27FC236}">
              <a16:creationId xmlns="" xmlns:a16="http://schemas.microsoft.com/office/drawing/2014/main" id="{00000000-0008-0000-0000-0000D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" name="Text Box 3097">
          <a:extLst>
            <a:ext uri="{FF2B5EF4-FFF2-40B4-BE49-F238E27FC236}">
              <a16:creationId xmlns="" xmlns:a16="http://schemas.microsoft.com/office/drawing/2014/main" id="{00000000-0008-0000-0000-0000D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" name="Text Box 3098">
          <a:extLst>
            <a:ext uri="{FF2B5EF4-FFF2-40B4-BE49-F238E27FC236}">
              <a16:creationId xmlns="" xmlns:a16="http://schemas.microsoft.com/office/drawing/2014/main" id="{00000000-0008-0000-0000-0000D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2" name="Text Box 3099">
          <a:extLst>
            <a:ext uri="{FF2B5EF4-FFF2-40B4-BE49-F238E27FC236}">
              <a16:creationId xmlns="" xmlns:a16="http://schemas.microsoft.com/office/drawing/2014/main" id="{00000000-0008-0000-0000-0000D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3" name="Text Box 3100">
          <a:extLst>
            <a:ext uri="{FF2B5EF4-FFF2-40B4-BE49-F238E27FC236}">
              <a16:creationId xmlns="" xmlns:a16="http://schemas.microsoft.com/office/drawing/2014/main" id="{00000000-0008-0000-0000-0000D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" name="Text Box 3101">
          <a:extLst>
            <a:ext uri="{FF2B5EF4-FFF2-40B4-BE49-F238E27FC236}">
              <a16:creationId xmlns="" xmlns:a16="http://schemas.microsoft.com/office/drawing/2014/main" id="{00000000-0008-0000-0000-0000D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5" name="Text Box 3102">
          <a:extLst>
            <a:ext uri="{FF2B5EF4-FFF2-40B4-BE49-F238E27FC236}">
              <a16:creationId xmlns="" xmlns:a16="http://schemas.microsoft.com/office/drawing/2014/main" id="{00000000-0008-0000-0000-0000D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" name="Text Box 59">
          <a:extLst>
            <a:ext uri="{FF2B5EF4-FFF2-40B4-BE49-F238E27FC236}">
              <a16:creationId xmlns="" xmlns:a16="http://schemas.microsoft.com/office/drawing/2014/main" id="{00000000-0008-0000-0000-0000D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" name="Text Box 60">
          <a:extLst>
            <a:ext uri="{FF2B5EF4-FFF2-40B4-BE49-F238E27FC236}">
              <a16:creationId xmlns="" xmlns:a16="http://schemas.microsoft.com/office/drawing/2014/main" id="{00000000-0008-0000-0000-0000D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" name="Text Box 61">
          <a:extLst>
            <a:ext uri="{FF2B5EF4-FFF2-40B4-BE49-F238E27FC236}">
              <a16:creationId xmlns="" xmlns:a16="http://schemas.microsoft.com/office/drawing/2014/main" id="{00000000-0008-0000-0000-0000D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9" name="Text Box 62">
          <a:extLst>
            <a:ext uri="{FF2B5EF4-FFF2-40B4-BE49-F238E27FC236}">
              <a16:creationId xmlns="" xmlns:a16="http://schemas.microsoft.com/office/drawing/2014/main" id="{00000000-0008-0000-0000-0000D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0" name="Text Box 63">
          <a:extLst>
            <a:ext uri="{FF2B5EF4-FFF2-40B4-BE49-F238E27FC236}">
              <a16:creationId xmlns="" xmlns:a16="http://schemas.microsoft.com/office/drawing/2014/main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" name="Text Box 64">
          <a:extLst>
            <a:ext uri="{FF2B5EF4-FFF2-40B4-BE49-F238E27FC236}">
              <a16:creationId xmlns="" xmlns:a16="http://schemas.microsoft.com/office/drawing/2014/main" id="{00000000-0008-0000-0000-0000D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" name="Text Box 65">
          <a:extLst>
            <a:ext uri="{FF2B5EF4-FFF2-40B4-BE49-F238E27FC236}">
              <a16:creationId xmlns="" xmlns:a16="http://schemas.microsoft.com/office/drawing/2014/main" id="{00000000-0008-0000-0000-0000D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" name="Text Box 66">
          <a:extLst>
            <a:ext uri="{FF2B5EF4-FFF2-40B4-BE49-F238E27FC236}">
              <a16:creationId xmlns="" xmlns:a16="http://schemas.microsoft.com/office/drawing/2014/main" id="{00000000-0008-0000-0000-0000D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4" name="Text Box 67">
          <a:extLst>
            <a:ext uri="{FF2B5EF4-FFF2-40B4-BE49-F238E27FC236}">
              <a16:creationId xmlns="" xmlns:a16="http://schemas.microsoft.com/office/drawing/2014/main" id="{00000000-0008-0000-0000-0000E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5" name="Text Box 68">
          <a:extLst>
            <a:ext uri="{FF2B5EF4-FFF2-40B4-BE49-F238E27FC236}">
              <a16:creationId xmlns="" xmlns:a16="http://schemas.microsoft.com/office/drawing/2014/main" id="{00000000-0008-0000-0000-0000E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" name="Text Box 69">
          <a:extLst>
            <a:ext uri="{FF2B5EF4-FFF2-40B4-BE49-F238E27FC236}">
              <a16:creationId xmlns="" xmlns:a16="http://schemas.microsoft.com/office/drawing/2014/main" id="{00000000-0008-0000-0000-0000E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" name="Text Box 70">
          <a:extLst>
            <a:ext uri="{FF2B5EF4-FFF2-40B4-BE49-F238E27FC236}">
              <a16:creationId xmlns="" xmlns:a16="http://schemas.microsoft.com/office/drawing/2014/main" id="{00000000-0008-0000-0000-0000E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" name="Text Box 71">
          <a:extLst>
            <a:ext uri="{FF2B5EF4-FFF2-40B4-BE49-F238E27FC236}">
              <a16:creationId xmlns="" xmlns:a16="http://schemas.microsoft.com/office/drawing/2014/main" id="{00000000-0008-0000-0000-0000E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9" name="Text Box 72">
          <a:extLst>
            <a:ext uri="{FF2B5EF4-FFF2-40B4-BE49-F238E27FC236}">
              <a16:creationId xmlns="" xmlns:a16="http://schemas.microsoft.com/office/drawing/2014/main" id="{00000000-0008-0000-0000-0000E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" name="Text Box 73">
          <a:extLst>
            <a:ext uri="{FF2B5EF4-FFF2-40B4-BE49-F238E27FC236}">
              <a16:creationId xmlns="" xmlns:a16="http://schemas.microsoft.com/office/drawing/2014/main" id="{00000000-0008-0000-0000-0000E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" name="Text Box 74">
          <a:extLst>
            <a:ext uri="{FF2B5EF4-FFF2-40B4-BE49-F238E27FC236}">
              <a16:creationId xmlns="" xmlns:a16="http://schemas.microsoft.com/office/drawing/2014/main" id="{00000000-0008-0000-0000-0000E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" name="Text Box 75">
          <a:extLst>
            <a:ext uri="{FF2B5EF4-FFF2-40B4-BE49-F238E27FC236}">
              <a16:creationId xmlns="" xmlns:a16="http://schemas.microsoft.com/office/drawing/2014/main" id="{00000000-0008-0000-0000-0000E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3" name="Text Box 76">
          <a:extLst>
            <a:ext uri="{FF2B5EF4-FFF2-40B4-BE49-F238E27FC236}">
              <a16:creationId xmlns="" xmlns:a16="http://schemas.microsoft.com/office/drawing/2014/main" id="{00000000-0008-0000-0000-0000E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4" name="Text Box 77">
          <a:extLst>
            <a:ext uri="{FF2B5EF4-FFF2-40B4-BE49-F238E27FC236}">
              <a16:creationId xmlns="" xmlns:a16="http://schemas.microsoft.com/office/drawing/2014/main" id="{00000000-0008-0000-0000-0000E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" name="Text Box 78">
          <a:extLst>
            <a:ext uri="{FF2B5EF4-FFF2-40B4-BE49-F238E27FC236}">
              <a16:creationId xmlns="" xmlns:a16="http://schemas.microsoft.com/office/drawing/2014/main" id="{00000000-0008-0000-0000-0000E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" name="Text Box 79">
          <a:extLst>
            <a:ext uri="{FF2B5EF4-FFF2-40B4-BE49-F238E27FC236}">
              <a16:creationId xmlns="" xmlns:a16="http://schemas.microsoft.com/office/drawing/2014/main" id="{00000000-0008-0000-0000-0000E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" name="Text Box 80">
          <a:extLst>
            <a:ext uri="{FF2B5EF4-FFF2-40B4-BE49-F238E27FC236}">
              <a16:creationId xmlns="" xmlns:a16="http://schemas.microsoft.com/office/drawing/2014/main" id="{00000000-0008-0000-0000-0000E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8" name="Text Box 81">
          <a:extLst>
            <a:ext uri="{FF2B5EF4-FFF2-40B4-BE49-F238E27FC236}">
              <a16:creationId xmlns="" xmlns:a16="http://schemas.microsoft.com/office/drawing/2014/main" id="{00000000-0008-0000-0000-0000E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39" name="Text Box 82">
          <a:extLst>
            <a:ext uri="{FF2B5EF4-FFF2-40B4-BE49-F238E27FC236}">
              <a16:creationId xmlns="" xmlns:a16="http://schemas.microsoft.com/office/drawing/2014/main" id="{00000000-0008-0000-0000-0000E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0" name="Text Box 3079">
          <a:extLst>
            <a:ext uri="{FF2B5EF4-FFF2-40B4-BE49-F238E27FC236}">
              <a16:creationId xmlns="" xmlns:a16="http://schemas.microsoft.com/office/drawing/2014/main" id="{00000000-0008-0000-0000-0000F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1" name="Text Box 3080">
          <a:extLst>
            <a:ext uri="{FF2B5EF4-FFF2-40B4-BE49-F238E27FC236}">
              <a16:creationId xmlns="" xmlns:a16="http://schemas.microsoft.com/office/drawing/2014/main" id="{00000000-0008-0000-0000-0000F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" name="Text Box 3081">
          <a:extLst>
            <a:ext uri="{FF2B5EF4-FFF2-40B4-BE49-F238E27FC236}">
              <a16:creationId xmlns="" xmlns:a16="http://schemas.microsoft.com/office/drawing/2014/main" id="{00000000-0008-0000-0000-0000F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" name="Text Box 3082">
          <a:extLst>
            <a:ext uri="{FF2B5EF4-FFF2-40B4-BE49-F238E27FC236}">
              <a16:creationId xmlns="" xmlns:a16="http://schemas.microsoft.com/office/drawing/2014/main" id="{00000000-0008-0000-0000-0000F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" name="Text Box 3083">
          <a:extLst>
            <a:ext uri="{FF2B5EF4-FFF2-40B4-BE49-F238E27FC236}">
              <a16:creationId xmlns="" xmlns:a16="http://schemas.microsoft.com/office/drawing/2014/main" id="{00000000-0008-0000-0000-0000F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5" name="Text Box 3084">
          <a:extLst>
            <a:ext uri="{FF2B5EF4-FFF2-40B4-BE49-F238E27FC236}">
              <a16:creationId xmlns="" xmlns:a16="http://schemas.microsoft.com/office/drawing/2014/main" id="{00000000-0008-0000-0000-0000F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6" name="Text Box 3085">
          <a:extLst>
            <a:ext uri="{FF2B5EF4-FFF2-40B4-BE49-F238E27FC236}">
              <a16:creationId xmlns="" xmlns:a16="http://schemas.microsoft.com/office/drawing/2014/main" id="{00000000-0008-0000-0000-0000F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" name="Text Box 3086">
          <a:extLst>
            <a:ext uri="{FF2B5EF4-FFF2-40B4-BE49-F238E27FC236}">
              <a16:creationId xmlns="" xmlns:a16="http://schemas.microsoft.com/office/drawing/2014/main" id="{00000000-0008-0000-0000-0000F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" name="Text Box 3087">
          <a:extLst>
            <a:ext uri="{FF2B5EF4-FFF2-40B4-BE49-F238E27FC236}">
              <a16:creationId xmlns="" xmlns:a16="http://schemas.microsoft.com/office/drawing/2014/main" id="{00000000-0008-0000-0000-0000F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" name="Text Box 3088">
          <a:extLst>
            <a:ext uri="{FF2B5EF4-FFF2-40B4-BE49-F238E27FC236}">
              <a16:creationId xmlns="" xmlns:a16="http://schemas.microsoft.com/office/drawing/2014/main" id="{00000000-0008-0000-0000-0000F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0" name="Text Box 3089">
          <a:extLst>
            <a:ext uri="{FF2B5EF4-FFF2-40B4-BE49-F238E27FC236}">
              <a16:creationId xmlns="" xmlns:a16="http://schemas.microsoft.com/office/drawing/2014/main" id="{00000000-0008-0000-0000-0000F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1" name="Text Box 3090">
          <a:extLst>
            <a:ext uri="{FF2B5EF4-FFF2-40B4-BE49-F238E27FC236}">
              <a16:creationId xmlns="" xmlns:a16="http://schemas.microsoft.com/office/drawing/2014/main" id="{00000000-0008-0000-0000-0000F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" name="Text Box 3091">
          <a:extLst>
            <a:ext uri="{FF2B5EF4-FFF2-40B4-BE49-F238E27FC236}">
              <a16:creationId xmlns="" xmlns:a16="http://schemas.microsoft.com/office/drawing/2014/main" id="{00000000-0008-0000-0000-0000F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" name="Text Box 3092">
          <a:extLst>
            <a:ext uri="{FF2B5EF4-FFF2-40B4-BE49-F238E27FC236}">
              <a16:creationId xmlns="" xmlns:a16="http://schemas.microsoft.com/office/drawing/2014/main" id="{00000000-0008-0000-0000-0000F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" name="Text Box 3093">
          <a:extLst>
            <a:ext uri="{FF2B5EF4-FFF2-40B4-BE49-F238E27FC236}">
              <a16:creationId xmlns="" xmlns:a16="http://schemas.microsoft.com/office/drawing/2014/main" id="{00000000-0008-0000-0000-0000F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5" name="Text Box 3094">
          <a:extLst>
            <a:ext uri="{FF2B5EF4-FFF2-40B4-BE49-F238E27FC236}">
              <a16:creationId xmlns="" xmlns:a16="http://schemas.microsoft.com/office/drawing/2014/main" id="{00000000-0008-0000-0000-0000F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" name="Text Box 3095">
          <a:extLst>
            <a:ext uri="{FF2B5EF4-FFF2-40B4-BE49-F238E27FC236}">
              <a16:creationId xmlns="" xmlns:a16="http://schemas.microsoft.com/office/drawing/2014/main" id="{00000000-0008-0000-0000-00000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" name="Text Box 3096">
          <a:extLst>
            <a:ext uri="{FF2B5EF4-FFF2-40B4-BE49-F238E27FC236}">
              <a16:creationId xmlns="" xmlns:a16="http://schemas.microsoft.com/office/drawing/2014/main" id="{00000000-0008-0000-0000-00000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" name="Text Box 3097">
          <a:extLst>
            <a:ext uri="{FF2B5EF4-FFF2-40B4-BE49-F238E27FC236}">
              <a16:creationId xmlns="" xmlns:a16="http://schemas.microsoft.com/office/drawing/2014/main" id="{00000000-0008-0000-0000-00000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9" name="Text Box 3098">
          <a:extLst>
            <a:ext uri="{FF2B5EF4-FFF2-40B4-BE49-F238E27FC236}">
              <a16:creationId xmlns="" xmlns:a16="http://schemas.microsoft.com/office/drawing/2014/main" id="{00000000-0008-0000-0000-00000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0" name="Text Box 3099">
          <a:extLst>
            <a:ext uri="{FF2B5EF4-FFF2-40B4-BE49-F238E27FC236}">
              <a16:creationId xmlns="" xmlns:a16="http://schemas.microsoft.com/office/drawing/2014/main" id="{00000000-0008-0000-0000-00000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" name="Text Box 3100">
          <a:extLst>
            <a:ext uri="{FF2B5EF4-FFF2-40B4-BE49-F238E27FC236}">
              <a16:creationId xmlns="" xmlns:a16="http://schemas.microsoft.com/office/drawing/2014/main" id="{00000000-0008-0000-0000-00000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" name="Text Box 3101">
          <a:extLst>
            <a:ext uri="{FF2B5EF4-FFF2-40B4-BE49-F238E27FC236}">
              <a16:creationId xmlns="" xmlns:a16="http://schemas.microsoft.com/office/drawing/2014/main" id="{00000000-0008-0000-0000-00000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3" name="Text Box 3102">
          <a:extLst>
            <a:ext uri="{FF2B5EF4-FFF2-40B4-BE49-F238E27FC236}">
              <a16:creationId xmlns="" xmlns:a16="http://schemas.microsoft.com/office/drawing/2014/main" id="{00000000-0008-0000-0000-00000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" name="Text Box 59">
          <a:extLst>
            <a:ext uri="{FF2B5EF4-FFF2-40B4-BE49-F238E27FC236}">
              <a16:creationId xmlns="" xmlns:a16="http://schemas.microsoft.com/office/drawing/2014/main" id="{00000000-0008-0000-0000-00000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" name="Text Box 60">
          <a:extLst>
            <a:ext uri="{FF2B5EF4-FFF2-40B4-BE49-F238E27FC236}">
              <a16:creationId xmlns="" xmlns:a16="http://schemas.microsoft.com/office/drawing/2014/main" id="{00000000-0008-0000-0000-00000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" name="Text Box 61">
          <a:extLst>
            <a:ext uri="{FF2B5EF4-FFF2-40B4-BE49-F238E27FC236}">
              <a16:creationId xmlns="" xmlns:a16="http://schemas.microsoft.com/office/drawing/2014/main" id="{00000000-0008-0000-0000-00000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7" name="Text Box 62">
          <a:extLst>
            <a:ext uri="{FF2B5EF4-FFF2-40B4-BE49-F238E27FC236}">
              <a16:creationId xmlns="" xmlns:a16="http://schemas.microsoft.com/office/drawing/2014/main" id="{00000000-0008-0000-0000-00000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" name="Text Box 63">
          <a:extLst>
            <a:ext uri="{FF2B5EF4-FFF2-40B4-BE49-F238E27FC236}">
              <a16:creationId xmlns="" xmlns:a16="http://schemas.microsoft.com/office/drawing/2014/main" id="{00000000-0008-0000-0000-00000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" name="Text Box 64">
          <a:extLst>
            <a:ext uri="{FF2B5EF4-FFF2-40B4-BE49-F238E27FC236}">
              <a16:creationId xmlns="" xmlns:a16="http://schemas.microsoft.com/office/drawing/2014/main" id="{00000000-0008-0000-0000-00000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" name="Text Box 65">
          <a:extLst>
            <a:ext uri="{FF2B5EF4-FFF2-40B4-BE49-F238E27FC236}">
              <a16:creationId xmlns="" xmlns:a16="http://schemas.microsoft.com/office/drawing/2014/main" id="{00000000-0008-0000-0000-00000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1" name="Text Box 66">
          <a:extLst>
            <a:ext uri="{FF2B5EF4-FFF2-40B4-BE49-F238E27FC236}">
              <a16:creationId xmlns="" xmlns:a16="http://schemas.microsoft.com/office/drawing/2014/main" id="{00000000-0008-0000-0000-00000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2" name="Text Box 67">
          <a:extLst>
            <a:ext uri="{FF2B5EF4-FFF2-40B4-BE49-F238E27FC236}">
              <a16:creationId xmlns="" xmlns:a16="http://schemas.microsoft.com/office/drawing/2014/main" id="{00000000-0008-0000-0000-00001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" name="Text Box 68">
          <a:extLst>
            <a:ext uri="{FF2B5EF4-FFF2-40B4-BE49-F238E27FC236}">
              <a16:creationId xmlns="" xmlns:a16="http://schemas.microsoft.com/office/drawing/2014/main" id="{00000000-0008-0000-0000-00001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" name="Text Box 69">
          <a:extLst>
            <a:ext uri="{FF2B5EF4-FFF2-40B4-BE49-F238E27FC236}">
              <a16:creationId xmlns="" xmlns:a16="http://schemas.microsoft.com/office/drawing/2014/main" id="{00000000-0008-0000-0000-00001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" name="Text Box 70">
          <a:extLst>
            <a:ext uri="{FF2B5EF4-FFF2-40B4-BE49-F238E27FC236}">
              <a16:creationId xmlns="" xmlns:a16="http://schemas.microsoft.com/office/drawing/2014/main" id="{00000000-0008-0000-0000-00001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6" name="Text Box 71">
          <a:extLst>
            <a:ext uri="{FF2B5EF4-FFF2-40B4-BE49-F238E27FC236}">
              <a16:creationId xmlns="" xmlns:a16="http://schemas.microsoft.com/office/drawing/2014/main" id="{00000000-0008-0000-0000-00001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7" name="Text Box 72">
          <a:extLst>
            <a:ext uri="{FF2B5EF4-FFF2-40B4-BE49-F238E27FC236}">
              <a16:creationId xmlns="" xmlns:a16="http://schemas.microsoft.com/office/drawing/2014/main" id="{00000000-0008-0000-0000-00001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" name="Text Box 73">
          <a:extLst>
            <a:ext uri="{FF2B5EF4-FFF2-40B4-BE49-F238E27FC236}">
              <a16:creationId xmlns="" xmlns:a16="http://schemas.microsoft.com/office/drawing/2014/main" id="{00000000-0008-0000-0000-00001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" name="Text Box 74">
          <a:extLst>
            <a:ext uri="{FF2B5EF4-FFF2-40B4-BE49-F238E27FC236}">
              <a16:creationId xmlns="" xmlns:a16="http://schemas.microsoft.com/office/drawing/2014/main" id="{00000000-0008-0000-0000-00001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" name="Text Box 75">
          <a:extLst>
            <a:ext uri="{FF2B5EF4-FFF2-40B4-BE49-F238E27FC236}">
              <a16:creationId xmlns="" xmlns:a16="http://schemas.microsoft.com/office/drawing/2014/main" id="{00000000-0008-0000-0000-00001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1" name="Text Box 76">
          <a:extLst>
            <a:ext uri="{FF2B5EF4-FFF2-40B4-BE49-F238E27FC236}">
              <a16:creationId xmlns="" xmlns:a16="http://schemas.microsoft.com/office/drawing/2014/main" id="{00000000-0008-0000-0000-00001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2" name="Text Box 77">
          <a:extLst>
            <a:ext uri="{FF2B5EF4-FFF2-40B4-BE49-F238E27FC236}">
              <a16:creationId xmlns="" xmlns:a16="http://schemas.microsoft.com/office/drawing/2014/main" id="{00000000-0008-0000-0000-00001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" name="Text Box 78">
          <a:extLst>
            <a:ext uri="{FF2B5EF4-FFF2-40B4-BE49-F238E27FC236}">
              <a16:creationId xmlns="" xmlns:a16="http://schemas.microsoft.com/office/drawing/2014/main" id="{00000000-0008-0000-0000-00001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" name="Text Box 79">
          <a:extLst>
            <a:ext uri="{FF2B5EF4-FFF2-40B4-BE49-F238E27FC236}">
              <a16:creationId xmlns="" xmlns:a16="http://schemas.microsoft.com/office/drawing/2014/main" id="{00000000-0008-0000-0000-00001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" name="Text Box 80">
          <a:extLst>
            <a:ext uri="{FF2B5EF4-FFF2-40B4-BE49-F238E27FC236}">
              <a16:creationId xmlns="" xmlns:a16="http://schemas.microsoft.com/office/drawing/2014/main" id="{00000000-0008-0000-0000-00001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6" name="Text Box 81">
          <a:extLst>
            <a:ext uri="{FF2B5EF4-FFF2-40B4-BE49-F238E27FC236}">
              <a16:creationId xmlns="" xmlns:a16="http://schemas.microsoft.com/office/drawing/2014/main" id="{00000000-0008-0000-0000-00001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" name="Text Box 3079">
          <a:extLst>
            <a:ext uri="{FF2B5EF4-FFF2-40B4-BE49-F238E27FC236}">
              <a16:creationId xmlns="" xmlns:a16="http://schemas.microsoft.com/office/drawing/2014/main" id="{00000000-0008-0000-0000-00001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8" name="Text Box 3080">
          <a:extLst>
            <a:ext uri="{FF2B5EF4-FFF2-40B4-BE49-F238E27FC236}">
              <a16:creationId xmlns="" xmlns:a16="http://schemas.microsoft.com/office/drawing/2014/main" id="{00000000-0008-0000-0000-00002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9" name="Text Box 3081">
          <a:extLst>
            <a:ext uri="{FF2B5EF4-FFF2-40B4-BE49-F238E27FC236}">
              <a16:creationId xmlns="" xmlns:a16="http://schemas.microsoft.com/office/drawing/2014/main" id="{00000000-0008-0000-0000-00002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" name="Text Box 3082">
          <a:extLst>
            <a:ext uri="{FF2B5EF4-FFF2-40B4-BE49-F238E27FC236}">
              <a16:creationId xmlns="" xmlns:a16="http://schemas.microsoft.com/office/drawing/2014/main" id="{00000000-0008-0000-0000-00002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" name="Text Box 3083">
          <a:extLst>
            <a:ext uri="{FF2B5EF4-FFF2-40B4-BE49-F238E27FC236}">
              <a16:creationId xmlns="" xmlns:a16="http://schemas.microsoft.com/office/drawing/2014/main" id="{00000000-0008-0000-0000-00002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" name="Text Box 3084">
          <a:extLst>
            <a:ext uri="{FF2B5EF4-FFF2-40B4-BE49-F238E27FC236}">
              <a16:creationId xmlns="" xmlns:a16="http://schemas.microsoft.com/office/drawing/2014/main" id="{00000000-0008-0000-0000-00002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3" name="Text Box 3085">
          <a:extLst>
            <a:ext uri="{FF2B5EF4-FFF2-40B4-BE49-F238E27FC236}">
              <a16:creationId xmlns="" xmlns:a16="http://schemas.microsoft.com/office/drawing/2014/main" id="{00000000-0008-0000-0000-00002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" name="Text Box 3086">
          <a:extLst>
            <a:ext uri="{FF2B5EF4-FFF2-40B4-BE49-F238E27FC236}">
              <a16:creationId xmlns="" xmlns:a16="http://schemas.microsoft.com/office/drawing/2014/main" id="{00000000-0008-0000-0000-00002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" name="Text Box 3087">
          <a:extLst>
            <a:ext uri="{FF2B5EF4-FFF2-40B4-BE49-F238E27FC236}">
              <a16:creationId xmlns="" xmlns:a16="http://schemas.microsoft.com/office/drawing/2014/main" id="{00000000-0008-0000-0000-00002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" name="Text Box 3088">
          <a:extLst>
            <a:ext uri="{FF2B5EF4-FFF2-40B4-BE49-F238E27FC236}">
              <a16:creationId xmlns="" xmlns:a16="http://schemas.microsoft.com/office/drawing/2014/main" id="{00000000-0008-0000-0000-00002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7" name="Text Box 3089">
          <a:extLst>
            <a:ext uri="{FF2B5EF4-FFF2-40B4-BE49-F238E27FC236}">
              <a16:creationId xmlns="" xmlns:a16="http://schemas.microsoft.com/office/drawing/2014/main" id="{00000000-0008-0000-0000-00002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8" name="Text Box 3090">
          <a:extLst>
            <a:ext uri="{FF2B5EF4-FFF2-40B4-BE49-F238E27FC236}">
              <a16:creationId xmlns="" xmlns:a16="http://schemas.microsoft.com/office/drawing/2014/main" id="{00000000-0008-0000-0000-00002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" name="Text Box 3091">
          <a:extLst>
            <a:ext uri="{FF2B5EF4-FFF2-40B4-BE49-F238E27FC236}">
              <a16:creationId xmlns="" xmlns:a16="http://schemas.microsoft.com/office/drawing/2014/main" id="{00000000-0008-0000-0000-00002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" name="Text Box 3092">
          <a:extLst>
            <a:ext uri="{FF2B5EF4-FFF2-40B4-BE49-F238E27FC236}">
              <a16:creationId xmlns="" xmlns:a16="http://schemas.microsoft.com/office/drawing/2014/main" id="{00000000-0008-0000-0000-00002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" name="Text Box 3093">
          <a:extLst>
            <a:ext uri="{FF2B5EF4-FFF2-40B4-BE49-F238E27FC236}">
              <a16:creationId xmlns="" xmlns:a16="http://schemas.microsoft.com/office/drawing/2014/main" id="{00000000-0008-0000-0000-00002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2" name="Text Box 3094">
          <a:extLst>
            <a:ext uri="{FF2B5EF4-FFF2-40B4-BE49-F238E27FC236}">
              <a16:creationId xmlns="" xmlns:a16="http://schemas.microsoft.com/office/drawing/2014/main" id="{00000000-0008-0000-0000-00002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3" name="Text Box 3095">
          <a:extLst>
            <a:ext uri="{FF2B5EF4-FFF2-40B4-BE49-F238E27FC236}">
              <a16:creationId xmlns="" xmlns:a16="http://schemas.microsoft.com/office/drawing/2014/main" id="{00000000-0008-0000-0000-00002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" name="Text Box 3096">
          <a:extLst>
            <a:ext uri="{FF2B5EF4-FFF2-40B4-BE49-F238E27FC236}">
              <a16:creationId xmlns="" xmlns:a16="http://schemas.microsoft.com/office/drawing/2014/main" id="{00000000-0008-0000-0000-00003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" name="Text Box 3097">
          <a:extLst>
            <a:ext uri="{FF2B5EF4-FFF2-40B4-BE49-F238E27FC236}">
              <a16:creationId xmlns="" xmlns:a16="http://schemas.microsoft.com/office/drawing/2014/main" id="{00000000-0008-0000-0000-00003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" name="Text Box 3098">
          <a:extLst>
            <a:ext uri="{FF2B5EF4-FFF2-40B4-BE49-F238E27FC236}">
              <a16:creationId xmlns="" xmlns:a16="http://schemas.microsoft.com/office/drawing/2014/main" id="{00000000-0008-0000-0000-00003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7" name="Text Box 3099">
          <a:extLst>
            <a:ext uri="{FF2B5EF4-FFF2-40B4-BE49-F238E27FC236}">
              <a16:creationId xmlns="" xmlns:a16="http://schemas.microsoft.com/office/drawing/2014/main" id="{00000000-0008-0000-0000-00003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8" name="Text Box 3100">
          <a:extLst>
            <a:ext uri="{FF2B5EF4-FFF2-40B4-BE49-F238E27FC236}">
              <a16:creationId xmlns="" xmlns:a16="http://schemas.microsoft.com/office/drawing/2014/main" id="{00000000-0008-0000-0000-00003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" name="Text Box 3101">
          <a:extLst>
            <a:ext uri="{FF2B5EF4-FFF2-40B4-BE49-F238E27FC236}">
              <a16:creationId xmlns="" xmlns:a16="http://schemas.microsoft.com/office/drawing/2014/main" id="{00000000-0008-0000-0000-00003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0" name="Text Box 3102">
          <a:extLst>
            <a:ext uri="{FF2B5EF4-FFF2-40B4-BE49-F238E27FC236}">
              <a16:creationId xmlns="" xmlns:a16="http://schemas.microsoft.com/office/drawing/2014/main" id="{00000000-0008-0000-0000-00003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" name="Text Box 59">
          <a:extLst>
            <a:ext uri="{FF2B5EF4-FFF2-40B4-BE49-F238E27FC236}">
              <a16:creationId xmlns="" xmlns:a16="http://schemas.microsoft.com/office/drawing/2014/main" id="{00000000-0008-0000-0000-00003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" name="Text Box 60">
          <a:extLst>
            <a:ext uri="{FF2B5EF4-FFF2-40B4-BE49-F238E27FC236}">
              <a16:creationId xmlns="" xmlns:a16="http://schemas.microsoft.com/office/drawing/2014/main" id="{00000000-0008-0000-0000-00003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" name="Text Box 61">
          <a:extLst>
            <a:ext uri="{FF2B5EF4-FFF2-40B4-BE49-F238E27FC236}">
              <a16:creationId xmlns="" xmlns:a16="http://schemas.microsoft.com/office/drawing/2014/main" id="{00000000-0008-0000-0000-00003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4" name="Text Box 62">
          <a:extLst>
            <a:ext uri="{FF2B5EF4-FFF2-40B4-BE49-F238E27FC236}">
              <a16:creationId xmlns="" xmlns:a16="http://schemas.microsoft.com/office/drawing/2014/main" id="{00000000-0008-0000-0000-00003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5" name="Text Box 63">
          <a:extLst>
            <a:ext uri="{FF2B5EF4-FFF2-40B4-BE49-F238E27FC236}">
              <a16:creationId xmlns="" xmlns:a16="http://schemas.microsoft.com/office/drawing/2014/main" id="{00000000-0008-0000-0000-00003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" name="Text Box 64">
          <a:extLst>
            <a:ext uri="{FF2B5EF4-FFF2-40B4-BE49-F238E27FC236}">
              <a16:creationId xmlns="" xmlns:a16="http://schemas.microsoft.com/office/drawing/2014/main" id="{00000000-0008-0000-0000-00003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" name="Text Box 65">
          <a:extLst>
            <a:ext uri="{FF2B5EF4-FFF2-40B4-BE49-F238E27FC236}">
              <a16:creationId xmlns="" xmlns:a16="http://schemas.microsoft.com/office/drawing/2014/main" id="{00000000-0008-0000-0000-00003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" name="Text Box 66">
          <a:extLst>
            <a:ext uri="{FF2B5EF4-FFF2-40B4-BE49-F238E27FC236}">
              <a16:creationId xmlns="" xmlns:a16="http://schemas.microsoft.com/office/drawing/2014/main" id="{00000000-0008-0000-0000-00003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9" name="Text Box 67">
          <a:extLst>
            <a:ext uri="{FF2B5EF4-FFF2-40B4-BE49-F238E27FC236}">
              <a16:creationId xmlns="" xmlns:a16="http://schemas.microsoft.com/office/drawing/2014/main" id="{00000000-0008-0000-0000-00003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0" name="Text Box 68">
          <a:extLst>
            <a:ext uri="{FF2B5EF4-FFF2-40B4-BE49-F238E27FC236}">
              <a16:creationId xmlns="" xmlns:a16="http://schemas.microsoft.com/office/drawing/2014/main" id="{00000000-0008-0000-0000-00004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" name="Text Box 69">
          <a:extLst>
            <a:ext uri="{FF2B5EF4-FFF2-40B4-BE49-F238E27FC236}">
              <a16:creationId xmlns="" xmlns:a16="http://schemas.microsoft.com/office/drawing/2014/main" id="{00000000-0008-0000-0000-00004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" name="Text Box 70">
          <a:extLst>
            <a:ext uri="{FF2B5EF4-FFF2-40B4-BE49-F238E27FC236}">
              <a16:creationId xmlns="" xmlns:a16="http://schemas.microsoft.com/office/drawing/2014/main" id="{00000000-0008-0000-0000-00004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" name="Text Box 71">
          <a:extLst>
            <a:ext uri="{FF2B5EF4-FFF2-40B4-BE49-F238E27FC236}">
              <a16:creationId xmlns="" xmlns:a16="http://schemas.microsoft.com/office/drawing/2014/main" id="{00000000-0008-0000-0000-00004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4" name="Text Box 72">
          <a:extLst>
            <a:ext uri="{FF2B5EF4-FFF2-40B4-BE49-F238E27FC236}">
              <a16:creationId xmlns="" xmlns:a16="http://schemas.microsoft.com/office/drawing/2014/main" id="{00000000-0008-0000-0000-00004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" name="Text Box 73">
          <a:extLst>
            <a:ext uri="{FF2B5EF4-FFF2-40B4-BE49-F238E27FC236}">
              <a16:creationId xmlns="" xmlns:a16="http://schemas.microsoft.com/office/drawing/2014/main" id="{00000000-0008-0000-0000-00004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" name="Text Box 74">
          <a:extLst>
            <a:ext uri="{FF2B5EF4-FFF2-40B4-BE49-F238E27FC236}">
              <a16:creationId xmlns="" xmlns:a16="http://schemas.microsoft.com/office/drawing/2014/main" id="{00000000-0008-0000-0000-00004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" name="Text Box 75">
          <a:extLst>
            <a:ext uri="{FF2B5EF4-FFF2-40B4-BE49-F238E27FC236}">
              <a16:creationId xmlns="" xmlns:a16="http://schemas.microsoft.com/office/drawing/2014/main" id="{00000000-0008-0000-0000-00004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8" name="Text Box 76">
          <a:extLst>
            <a:ext uri="{FF2B5EF4-FFF2-40B4-BE49-F238E27FC236}">
              <a16:creationId xmlns="" xmlns:a16="http://schemas.microsoft.com/office/drawing/2014/main" id="{00000000-0008-0000-0000-00004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9" name="Text Box 77">
          <a:extLst>
            <a:ext uri="{FF2B5EF4-FFF2-40B4-BE49-F238E27FC236}">
              <a16:creationId xmlns="" xmlns:a16="http://schemas.microsoft.com/office/drawing/2014/main" id="{00000000-0008-0000-0000-00004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" name="Text Box 78">
          <a:extLst>
            <a:ext uri="{FF2B5EF4-FFF2-40B4-BE49-F238E27FC236}">
              <a16:creationId xmlns="" xmlns:a16="http://schemas.microsoft.com/office/drawing/2014/main" id="{00000000-0008-0000-0000-00004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" name="Text Box 79">
          <a:extLst>
            <a:ext uri="{FF2B5EF4-FFF2-40B4-BE49-F238E27FC236}">
              <a16:creationId xmlns="" xmlns:a16="http://schemas.microsoft.com/office/drawing/2014/main" id="{00000000-0008-0000-0000-00004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" name="Text Box 80">
          <a:extLst>
            <a:ext uri="{FF2B5EF4-FFF2-40B4-BE49-F238E27FC236}">
              <a16:creationId xmlns="" xmlns:a16="http://schemas.microsoft.com/office/drawing/2014/main" id="{00000000-0008-0000-0000-00004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3" name="Text Box 81">
          <a:extLst>
            <a:ext uri="{FF2B5EF4-FFF2-40B4-BE49-F238E27FC236}">
              <a16:creationId xmlns="" xmlns:a16="http://schemas.microsoft.com/office/drawing/2014/main" id="{00000000-0008-0000-0000-00004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34" name="Text Box 82">
          <a:extLst>
            <a:ext uri="{FF2B5EF4-FFF2-40B4-BE49-F238E27FC236}">
              <a16:creationId xmlns="" xmlns:a16="http://schemas.microsoft.com/office/drawing/2014/main" id="{00000000-0008-0000-0000-00004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5" name="Text Box 3079">
          <a:extLst>
            <a:ext uri="{FF2B5EF4-FFF2-40B4-BE49-F238E27FC236}">
              <a16:creationId xmlns="" xmlns:a16="http://schemas.microsoft.com/office/drawing/2014/main" id="{00000000-0008-0000-0000-00004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6" name="Text Box 3080">
          <a:extLst>
            <a:ext uri="{FF2B5EF4-FFF2-40B4-BE49-F238E27FC236}">
              <a16:creationId xmlns="" xmlns:a16="http://schemas.microsoft.com/office/drawing/2014/main" id="{00000000-0008-0000-0000-00005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" name="Text Box 3081">
          <a:extLst>
            <a:ext uri="{FF2B5EF4-FFF2-40B4-BE49-F238E27FC236}">
              <a16:creationId xmlns="" xmlns:a16="http://schemas.microsoft.com/office/drawing/2014/main" id="{00000000-0008-0000-0000-00005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" name="Text Box 3082">
          <a:extLst>
            <a:ext uri="{FF2B5EF4-FFF2-40B4-BE49-F238E27FC236}">
              <a16:creationId xmlns="" xmlns:a16="http://schemas.microsoft.com/office/drawing/2014/main" id="{00000000-0008-0000-0000-00005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" name="Text Box 3083">
          <a:extLst>
            <a:ext uri="{FF2B5EF4-FFF2-40B4-BE49-F238E27FC236}">
              <a16:creationId xmlns="" xmlns:a16="http://schemas.microsoft.com/office/drawing/2014/main" id="{00000000-0008-0000-0000-00005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0" name="Text Box 3084">
          <a:extLst>
            <a:ext uri="{FF2B5EF4-FFF2-40B4-BE49-F238E27FC236}">
              <a16:creationId xmlns="" xmlns:a16="http://schemas.microsoft.com/office/drawing/2014/main" id="{00000000-0008-0000-0000-00005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1" name="Text Box 3085">
          <a:extLst>
            <a:ext uri="{FF2B5EF4-FFF2-40B4-BE49-F238E27FC236}">
              <a16:creationId xmlns="" xmlns:a16="http://schemas.microsoft.com/office/drawing/2014/main" id="{00000000-0008-0000-0000-00005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" name="Text Box 3086">
          <a:extLst>
            <a:ext uri="{FF2B5EF4-FFF2-40B4-BE49-F238E27FC236}">
              <a16:creationId xmlns="" xmlns:a16="http://schemas.microsoft.com/office/drawing/2014/main" id="{00000000-0008-0000-0000-00005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" name="Text Box 3087">
          <a:extLst>
            <a:ext uri="{FF2B5EF4-FFF2-40B4-BE49-F238E27FC236}">
              <a16:creationId xmlns="" xmlns:a16="http://schemas.microsoft.com/office/drawing/2014/main" id="{00000000-0008-0000-0000-00005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" name="Text Box 3088">
          <a:extLst>
            <a:ext uri="{FF2B5EF4-FFF2-40B4-BE49-F238E27FC236}">
              <a16:creationId xmlns="" xmlns:a16="http://schemas.microsoft.com/office/drawing/2014/main" id="{00000000-0008-0000-0000-00005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5" name="Text Box 3089">
          <a:extLst>
            <a:ext uri="{FF2B5EF4-FFF2-40B4-BE49-F238E27FC236}">
              <a16:creationId xmlns="" xmlns:a16="http://schemas.microsoft.com/office/drawing/2014/main" id="{00000000-0008-0000-0000-00005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6" name="Text Box 3090">
          <a:extLst>
            <a:ext uri="{FF2B5EF4-FFF2-40B4-BE49-F238E27FC236}">
              <a16:creationId xmlns="" xmlns:a16="http://schemas.microsoft.com/office/drawing/2014/main" id="{00000000-0008-0000-0000-00005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" name="Text Box 3091">
          <a:extLst>
            <a:ext uri="{FF2B5EF4-FFF2-40B4-BE49-F238E27FC236}">
              <a16:creationId xmlns="" xmlns:a16="http://schemas.microsoft.com/office/drawing/2014/main" id="{00000000-0008-0000-0000-00005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" name="Text Box 3092">
          <a:extLst>
            <a:ext uri="{FF2B5EF4-FFF2-40B4-BE49-F238E27FC236}">
              <a16:creationId xmlns="" xmlns:a16="http://schemas.microsoft.com/office/drawing/2014/main" id="{00000000-0008-0000-0000-00005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" name="Text Box 3093">
          <a:extLst>
            <a:ext uri="{FF2B5EF4-FFF2-40B4-BE49-F238E27FC236}">
              <a16:creationId xmlns="" xmlns:a16="http://schemas.microsoft.com/office/drawing/2014/main" id="{00000000-0008-0000-0000-00005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0" name="Text Box 3094">
          <a:extLst>
            <a:ext uri="{FF2B5EF4-FFF2-40B4-BE49-F238E27FC236}">
              <a16:creationId xmlns="" xmlns:a16="http://schemas.microsoft.com/office/drawing/2014/main" id="{00000000-0008-0000-0000-00005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" name="Text Box 3095">
          <a:extLst>
            <a:ext uri="{FF2B5EF4-FFF2-40B4-BE49-F238E27FC236}">
              <a16:creationId xmlns="" xmlns:a16="http://schemas.microsoft.com/office/drawing/2014/main" id="{00000000-0008-0000-0000-00005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" name="Text Box 3096">
          <a:extLst>
            <a:ext uri="{FF2B5EF4-FFF2-40B4-BE49-F238E27FC236}">
              <a16:creationId xmlns="" xmlns:a16="http://schemas.microsoft.com/office/drawing/2014/main" id="{00000000-0008-0000-0000-00006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" name="Text Box 3097">
          <a:extLst>
            <a:ext uri="{FF2B5EF4-FFF2-40B4-BE49-F238E27FC236}">
              <a16:creationId xmlns="" xmlns:a16="http://schemas.microsoft.com/office/drawing/2014/main" id="{00000000-0008-0000-0000-00006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4" name="Text Box 3098">
          <a:extLst>
            <a:ext uri="{FF2B5EF4-FFF2-40B4-BE49-F238E27FC236}">
              <a16:creationId xmlns="" xmlns:a16="http://schemas.microsoft.com/office/drawing/2014/main" id="{00000000-0008-0000-0000-00006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5" name="Text Box 3099">
          <a:extLst>
            <a:ext uri="{FF2B5EF4-FFF2-40B4-BE49-F238E27FC236}">
              <a16:creationId xmlns="" xmlns:a16="http://schemas.microsoft.com/office/drawing/2014/main" id="{00000000-0008-0000-0000-00006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" name="Text Box 3100">
          <a:extLst>
            <a:ext uri="{FF2B5EF4-FFF2-40B4-BE49-F238E27FC236}">
              <a16:creationId xmlns="" xmlns:a16="http://schemas.microsoft.com/office/drawing/2014/main" id="{00000000-0008-0000-0000-00006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" name="Text Box 3101">
          <a:extLst>
            <a:ext uri="{FF2B5EF4-FFF2-40B4-BE49-F238E27FC236}">
              <a16:creationId xmlns="" xmlns:a16="http://schemas.microsoft.com/office/drawing/2014/main" id="{00000000-0008-0000-0000-00006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8" name="Text Box 3102">
          <a:extLst>
            <a:ext uri="{FF2B5EF4-FFF2-40B4-BE49-F238E27FC236}">
              <a16:creationId xmlns="" xmlns:a16="http://schemas.microsoft.com/office/drawing/2014/main" id="{00000000-0008-0000-0000-00006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" name="Text Box 59">
          <a:extLst>
            <a:ext uri="{FF2B5EF4-FFF2-40B4-BE49-F238E27FC236}">
              <a16:creationId xmlns="" xmlns:a16="http://schemas.microsoft.com/office/drawing/2014/main" id="{00000000-0008-0000-0000-00006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" name="Text Box 60">
          <a:extLst>
            <a:ext uri="{FF2B5EF4-FFF2-40B4-BE49-F238E27FC236}">
              <a16:creationId xmlns="" xmlns:a16="http://schemas.microsoft.com/office/drawing/2014/main" id="{00000000-0008-0000-0000-00006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" name="Text Box 61">
          <a:extLst>
            <a:ext uri="{FF2B5EF4-FFF2-40B4-BE49-F238E27FC236}">
              <a16:creationId xmlns="" xmlns:a16="http://schemas.microsoft.com/office/drawing/2014/main" id="{00000000-0008-0000-0000-00006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2" name="Text Box 62">
          <a:extLst>
            <a:ext uri="{FF2B5EF4-FFF2-40B4-BE49-F238E27FC236}">
              <a16:creationId xmlns="" xmlns:a16="http://schemas.microsoft.com/office/drawing/2014/main" id="{00000000-0008-0000-0000-00006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" name="Text Box 63">
          <a:extLst>
            <a:ext uri="{FF2B5EF4-FFF2-40B4-BE49-F238E27FC236}">
              <a16:creationId xmlns="" xmlns:a16="http://schemas.microsoft.com/office/drawing/2014/main" id="{00000000-0008-0000-0000-00006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" name="Text Box 64">
          <a:extLst>
            <a:ext uri="{FF2B5EF4-FFF2-40B4-BE49-F238E27FC236}">
              <a16:creationId xmlns="" xmlns:a16="http://schemas.microsoft.com/office/drawing/2014/main" id="{00000000-0008-0000-0000-00006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" name="Text Box 65">
          <a:extLst>
            <a:ext uri="{FF2B5EF4-FFF2-40B4-BE49-F238E27FC236}">
              <a16:creationId xmlns="" xmlns:a16="http://schemas.microsoft.com/office/drawing/2014/main" id="{00000000-0008-0000-0000-00006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6" name="Text Box 66">
          <a:extLst>
            <a:ext uri="{FF2B5EF4-FFF2-40B4-BE49-F238E27FC236}">
              <a16:creationId xmlns="" xmlns:a16="http://schemas.microsoft.com/office/drawing/2014/main" id="{00000000-0008-0000-0000-00006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7" name="Text Box 67">
          <a:extLst>
            <a:ext uri="{FF2B5EF4-FFF2-40B4-BE49-F238E27FC236}">
              <a16:creationId xmlns="" xmlns:a16="http://schemas.microsoft.com/office/drawing/2014/main" id="{00000000-0008-0000-0000-00006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" name="Text Box 68">
          <a:extLst>
            <a:ext uri="{FF2B5EF4-FFF2-40B4-BE49-F238E27FC236}">
              <a16:creationId xmlns=""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" name="Text Box 69">
          <a:extLst>
            <a:ext uri="{FF2B5EF4-FFF2-40B4-BE49-F238E27FC236}">
              <a16:creationId xmlns=""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" name="Text Box 70">
          <a:extLst>
            <a:ext uri="{FF2B5EF4-FFF2-40B4-BE49-F238E27FC236}">
              <a16:creationId xmlns=""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1" name="Text Box 71">
          <a:extLst>
            <a:ext uri="{FF2B5EF4-FFF2-40B4-BE49-F238E27FC236}">
              <a16:creationId xmlns=""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2" name="Text Box 72">
          <a:extLst>
            <a:ext uri="{FF2B5EF4-FFF2-40B4-BE49-F238E27FC236}">
              <a16:creationId xmlns=""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" name="Text Box 73">
          <a:extLst>
            <a:ext uri="{FF2B5EF4-FFF2-40B4-BE49-F238E27FC236}">
              <a16:creationId xmlns=""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" name="Text Box 74">
          <a:extLst>
            <a:ext uri="{FF2B5EF4-FFF2-40B4-BE49-F238E27FC236}">
              <a16:creationId xmlns=""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" name="Text Box 75">
          <a:extLst>
            <a:ext uri="{FF2B5EF4-FFF2-40B4-BE49-F238E27FC236}">
              <a16:creationId xmlns=""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6" name="Text Box 76">
          <a:extLst>
            <a:ext uri="{FF2B5EF4-FFF2-40B4-BE49-F238E27FC236}">
              <a16:creationId xmlns=""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7" name="Text Box 77">
          <a:extLst>
            <a:ext uri="{FF2B5EF4-FFF2-40B4-BE49-F238E27FC236}">
              <a16:creationId xmlns=""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" name="Text Box 78">
          <a:extLst>
            <a:ext uri="{FF2B5EF4-FFF2-40B4-BE49-F238E27FC236}">
              <a16:creationId xmlns=""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" name="Text Box 79">
          <a:extLst>
            <a:ext uri="{FF2B5EF4-FFF2-40B4-BE49-F238E27FC236}">
              <a16:creationId xmlns=""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" name="Text Box 80">
          <a:extLst>
            <a:ext uri="{FF2B5EF4-FFF2-40B4-BE49-F238E27FC236}">
              <a16:creationId xmlns=""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1" name="Text Box 81">
          <a:extLst>
            <a:ext uri="{FF2B5EF4-FFF2-40B4-BE49-F238E27FC236}">
              <a16:creationId xmlns=""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" name="Text Box 3079">
          <a:extLst>
            <a:ext uri="{FF2B5EF4-FFF2-40B4-BE49-F238E27FC236}">
              <a16:creationId xmlns=""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3" name="Text Box 3080">
          <a:extLst>
            <a:ext uri="{FF2B5EF4-FFF2-40B4-BE49-F238E27FC236}">
              <a16:creationId xmlns=""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4" name="Text Box 3081">
          <a:extLst>
            <a:ext uri="{FF2B5EF4-FFF2-40B4-BE49-F238E27FC236}">
              <a16:creationId xmlns=""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" name="Text Box 3082">
          <a:extLst>
            <a:ext uri="{FF2B5EF4-FFF2-40B4-BE49-F238E27FC236}">
              <a16:creationId xmlns=""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" name="Text Box 3083">
          <a:extLst>
            <a:ext uri="{FF2B5EF4-FFF2-40B4-BE49-F238E27FC236}">
              <a16:creationId xmlns=""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" name="Text Box 3084">
          <a:extLst>
            <a:ext uri="{FF2B5EF4-FFF2-40B4-BE49-F238E27FC236}">
              <a16:creationId xmlns=""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8" name="Text Box 3085">
          <a:extLst>
            <a:ext uri="{FF2B5EF4-FFF2-40B4-BE49-F238E27FC236}">
              <a16:creationId xmlns=""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" name="Text Box 3086">
          <a:extLst>
            <a:ext uri="{FF2B5EF4-FFF2-40B4-BE49-F238E27FC236}">
              <a16:creationId xmlns=""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" name="Text Box 3087">
          <a:extLst>
            <a:ext uri="{FF2B5EF4-FFF2-40B4-BE49-F238E27FC236}">
              <a16:creationId xmlns=""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" name="Text Box 3088">
          <a:extLst>
            <a:ext uri="{FF2B5EF4-FFF2-40B4-BE49-F238E27FC236}">
              <a16:creationId xmlns=""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2" name="Text Box 3089">
          <a:extLst>
            <a:ext uri="{FF2B5EF4-FFF2-40B4-BE49-F238E27FC236}">
              <a16:creationId xmlns=""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3" name="Text Box 3090">
          <a:extLst>
            <a:ext uri="{FF2B5EF4-FFF2-40B4-BE49-F238E27FC236}">
              <a16:creationId xmlns=""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" name="Text Box 3091">
          <a:extLst>
            <a:ext uri="{FF2B5EF4-FFF2-40B4-BE49-F238E27FC236}">
              <a16:creationId xmlns=""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" name="Text Box 3092">
          <a:extLst>
            <a:ext uri="{FF2B5EF4-FFF2-40B4-BE49-F238E27FC236}">
              <a16:creationId xmlns=""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" name="Text Box 3093">
          <a:extLst>
            <a:ext uri="{FF2B5EF4-FFF2-40B4-BE49-F238E27FC236}">
              <a16:creationId xmlns=""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7" name="Text Box 3094">
          <a:extLst>
            <a:ext uri="{FF2B5EF4-FFF2-40B4-BE49-F238E27FC236}">
              <a16:creationId xmlns=""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8" name="Text Box 3095">
          <a:extLst>
            <a:ext uri="{FF2B5EF4-FFF2-40B4-BE49-F238E27FC236}">
              <a16:creationId xmlns=""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" name="Text Box 3096">
          <a:extLst>
            <a:ext uri="{FF2B5EF4-FFF2-40B4-BE49-F238E27FC236}">
              <a16:creationId xmlns=""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" name="Text Box 3097">
          <a:extLst>
            <a:ext uri="{FF2B5EF4-FFF2-40B4-BE49-F238E27FC236}">
              <a16:creationId xmlns=""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" name="Text Box 3098">
          <a:extLst>
            <a:ext uri="{FF2B5EF4-FFF2-40B4-BE49-F238E27FC236}">
              <a16:creationId xmlns=""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2" name="Text Box 3099">
          <a:extLst>
            <a:ext uri="{FF2B5EF4-FFF2-40B4-BE49-F238E27FC236}">
              <a16:creationId xmlns=""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3" name="Text Box 3100">
          <a:extLst>
            <a:ext uri="{FF2B5EF4-FFF2-40B4-BE49-F238E27FC236}">
              <a16:creationId xmlns=""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" name="Text Box 3101">
          <a:extLst>
            <a:ext uri="{FF2B5EF4-FFF2-40B4-BE49-F238E27FC236}">
              <a16:creationId xmlns=""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5" name="Text Box 3102">
          <a:extLst>
            <a:ext uri="{FF2B5EF4-FFF2-40B4-BE49-F238E27FC236}">
              <a16:creationId xmlns=""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" name="Text Box 59">
          <a:extLst>
            <a:ext uri="{FF2B5EF4-FFF2-40B4-BE49-F238E27FC236}">
              <a16:creationId xmlns=""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" name="Text Box 60">
          <a:extLst>
            <a:ext uri="{FF2B5EF4-FFF2-40B4-BE49-F238E27FC236}">
              <a16:creationId xmlns=""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" name="Text Box 61">
          <a:extLst>
            <a:ext uri="{FF2B5EF4-FFF2-40B4-BE49-F238E27FC236}">
              <a16:creationId xmlns="" xmlns:a16="http://schemas.microsoft.com/office/drawing/2014/main" id="{00000000-0008-0000-0000-00009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9" name="Text Box 62">
          <a:extLst>
            <a:ext uri="{FF2B5EF4-FFF2-40B4-BE49-F238E27FC236}">
              <a16:creationId xmlns="" xmlns:a16="http://schemas.microsoft.com/office/drawing/2014/main" id="{00000000-0008-0000-0000-00009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0" name="Text Box 63">
          <a:extLst>
            <a:ext uri="{FF2B5EF4-FFF2-40B4-BE49-F238E27FC236}">
              <a16:creationId xmlns="" xmlns:a16="http://schemas.microsoft.com/office/drawing/2014/main" id="{00000000-0008-0000-0000-00009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" name="Text Box 64">
          <a:extLst>
            <a:ext uri="{FF2B5EF4-FFF2-40B4-BE49-F238E27FC236}">
              <a16:creationId xmlns="" xmlns:a16="http://schemas.microsoft.com/office/drawing/2014/main" id="{00000000-0008-0000-0000-00009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" name="Text Box 65">
          <a:extLst>
            <a:ext uri="{FF2B5EF4-FFF2-40B4-BE49-F238E27FC236}">
              <a16:creationId xmlns="" xmlns:a16="http://schemas.microsoft.com/office/drawing/2014/main" id="{00000000-0008-0000-0000-00009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" name="Text Box 66">
          <a:extLst>
            <a:ext uri="{FF2B5EF4-FFF2-40B4-BE49-F238E27FC236}">
              <a16:creationId xmlns="" xmlns:a16="http://schemas.microsoft.com/office/drawing/2014/main" id="{00000000-0008-0000-0000-00009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4" name="Text Box 67">
          <a:extLst>
            <a:ext uri="{FF2B5EF4-FFF2-40B4-BE49-F238E27FC236}">
              <a16:creationId xmlns="" xmlns:a16="http://schemas.microsoft.com/office/drawing/2014/main" id="{00000000-0008-0000-0000-00009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5" name="Text Box 68">
          <a:extLst>
            <a:ext uri="{FF2B5EF4-FFF2-40B4-BE49-F238E27FC236}">
              <a16:creationId xmlns="" xmlns:a16="http://schemas.microsoft.com/office/drawing/2014/main" id="{00000000-0008-0000-0000-00009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" name="Text Box 69">
          <a:extLst>
            <a:ext uri="{FF2B5EF4-FFF2-40B4-BE49-F238E27FC236}">
              <a16:creationId xmlns="" xmlns:a16="http://schemas.microsoft.com/office/drawing/2014/main" id="{00000000-0008-0000-0000-0000A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" name="Text Box 70">
          <a:extLst>
            <a:ext uri="{FF2B5EF4-FFF2-40B4-BE49-F238E27FC236}">
              <a16:creationId xmlns="" xmlns:a16="http://schemas.microsoft.com/office/drawing/2014/main" id="{00000000-0008-0000-0000-0000A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" name="Text Box 71">
          <a:extLst>
            <a:ext uri="{FF2B5EF4-FFF2-40B4-BE49-F238E27FC236}">
              <a16:creationId xmlns="" xmlns:a16="http://schemas.microsoft.com/office/drawing/2014/main" id="{00000000-0008-0000-0000-0000A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9" name="Text Box 72">
          <a:extLst>
            <a:ext uri="{FF2B5EF4-FFF2-40B4-BE49-F238E27FC236}">
              <a16:creationId xmlns="" xmlns:a16="http://schemas.microsoft.com/office/drawing/2014/main" id="{00000000-0008-0000-0000-0000A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" name="Text Box 73">
          <a:extLst>
            <a:ext uri="{FF2B5EF4-FFF2-40B4-BE49-F238E27FC236}">
              <a16:creationId xmlns="" xmlns:a16="http://schemas.microsoft.com/office/drawing/2014/main" id="{00000000-0008-0000-0000-0000A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" name="Text Box 74">
          <a:extLst>
            <a:ext uri="{FF2B5EF4-FFF2-40B4-BE49-F238E27FC236}">
              <a16:creationId xmlns="" xmlns:a16="http://schemas.microsoft.com/office/drawing/2014/main" id="{00000000-0008-0000-0000-0000A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" name="Text Box 75">
          <a:extLst>
            <a:ext uri="{FF2B5EF4-FFF2-40B4-BE49-F238E27FC236}">
              <a16:creationId xmlns="" xmlns:a16="http://schemas.microsoft.com/office/drawing/2014/main" id="{00000000-0008-0000-0000-0000A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3" name="Text Box 76">
          <a:extLst>
            <a:ext uri="{FF2B5EF4-FFF2-40B4-BE49-F238E27FC236}">
              <a16:creationId xmlns="" xmlns:a16="http://schemas.microsoft.com/office/drawing/2014/main" id="{00000000-0008-0000-0000-0000A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4" name="Text Box 77">
          <a:extLst>
            <a:ext uri="{FF2B5EF4-FFF2-40B4-BE49-F238E27FC236}">
              <a16:creationId xmlns="" xmlns:a16="http://schemas.microsoft.com/office/drawing/2014/main" id="{00000000-0008-0000-0000-0000A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" name="Text Box 78">
          <a:extLst>
            <a:ext uri="{FF2B5EF4-FFF2-40B4-BE49-F238E27FC236}">
              <a16:creationId xmlns="" xmlns:a16="http://schemas.microsoft.com/office/drawing/2014/main" id="{00000000-0008-0000-0000-0000A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" name="Text Box 79">
          <a:extLst>
            <a:ext uri="{FF2B5EF4-FFF2-40B4-BE49-F238E27FC236}">
              <a16:creationId xmlns="" xmlns:a16="http://schemas.microsoft.com/office/drawing/2014/main" id="{00000000-0008-0000-0000-0000A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" name="Text Box 80">
          <a:extLst>
            <a:ext uri="{FF2B5EF4-FFF2-40B4-BE49-F238E27FC236}">
              <a16:creationId xmlns="" xmlns:a16="http://schemas.microsoft.com/office/drawing/2014/main" id="{00000000-0008-0000-0000-0000A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8" name="Text Box 81">
          <a:extLst>
            <a:ext uri="{FF2B5EF4-FFF2-40B4-BE49-F238E27FC236}">
              <a16:creationId xmlns="" xmlns:a16="http://schemas.microsoft.com/office/drawing/2014/main" id="{00000000-0008-0000-0000-0000A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29" name="Text Box 82">
          <a:extLst>
            <a:ext uri="{FF2B5EF4-FFF2-40B4-BE49-F238E27FC236}">
              <a16:creationId xmlns="" xmlns:a16="http://schemas.microsoft.com/office/drawing/2014/main" id="{00000000-0008-0000-0000-0000A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0" name="Text Box 3079">
          <a:extLst>
            <a:ext uri="{FF2B5EF4-FFF2-40B4-BE49-F238E27FC236}">
              <a16:creationId xmlns="" xmlns:a16="http://schemas.microsoft.com/office/drawing/2014/main" id="{00000000-0008-0000-0000-0000A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1" name="Text Box 3080">
          <a:extLst>
            <a:ext uri="{FF2B5EF4-FFF2-40B4-BE49-F238E27FC236}">
              <a16:creationId xmlns="" xmlns:a16="http://schemas.microsoft.com/office/drawing/2014/main" id="{00000000-0008-0000-0000-0000A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" name="Text Box 3081">
          <a:extLst>
            <a:ext uri="{FF2B5EF4-FFF2-40B4-BE49-F238E27FC236}">
              <a16:creationId xmlns="" xmlns:a16="http://schemas.microsoft.com/office/drawing/2014/main" id="{00000000-0008-0000-0000-0000B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" name="Text Box 3082">
          <a:extLst>
            <a:ext uri="{FF2B5EF4-FFF2-40B4-BE49-F238E27FC236}">
              <a16:creationId xmlns="" xmlns:a16="http://schemas.microsoft.com/office/drawing/2014/main" id="{00000000-0008-0000-0000-0000B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" name="Text Box 3083">
          <a:extLst>
            <a:ext uri="{FF2B5EF4-FFF2-40B4-BE49-F238E27FC236}">
              <a16:creationId xmlns="" xmlns:a16="http://schemas.microsoft.com/office/drawing/2014/main" id="{00000000-0008-0000-0000-0000B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5" name="Text Box 3084">
          <a:extLst>
            <a:ext uri="{FF2B5EF4-FFF2-40B4-BE49-F238E27FC236}">
              <a16:creationId xmlns="" xmlns:a16="http://schemas.microsoft.com/office/drawing/2014/main" id="{00000000-0008-0000-0000-0000B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6" name="Text Box 3085">
          <a:extLst>
            <a:ext uri="{FF2B5EF4-FFF2-40B4-BE49-F238E27FC236}">
              <a16:creationId xmlns="" xmlns:a16="http://schemas.microsoft.com/office/drawing/2014/main" id="{00000000-0008-0000-0000-0000B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" name="Text Box 3086">
          <a:extLst>
            <a:ext uri="{FF2B5EF4-FFF2-40B4-BE49-F238E27FC236}">
              <a16:creationId xmlns="" xmlns:a16="http://schemas.microsoft.com/office/drawing/2014/main" id="{00000000-0008-0000-0000-0000B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" name="Text Box 3087">
          <a:extLst>
            <a:ext uri="{FF2B5EF4-FFF2-40B4-BE49-F238E27FC236}">
              <a16:creationId xmlns="" xmlns:a16="http://schemas.microsoft.com/office/drawing/2014/main" id="{00000000-0008-0000-0000-0000B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" name="Text Box 3088">
          <a:extLst>
            <a:ext uri="{FF2B5EF4-FFF2-40B4-BE49-F238E27FC236}">
              <a16:creationId xmlns="" xmlns:a16="http://schemas.microsoft.com/office/drawing/2014/main" id="{00000000-0008-0000-0000-0000B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0" name="Text Box 3089">
          <a:extLst>
            <a:ext uri="{FF2B5EF4-FFF2-40B4-BE49-F238E27FC236}">
              <a16:creationId xmlns="" xmlns:a16="http://schemas.microsoft.com/office/drawing/2014/main" id="{00000000-0008-0000-0000-0000B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1" name="Text Box 3090">
          <a:extLst>
            <a:ext uri="{FF2B5EF4-FFF2-40B4-BE49-F238E27FC236}">
              <a16:creationId xmlns="" xmlns:a16="http://schemas.microsoft.com/office/drawing/2014/main" id="{00000000-0008-0000-0000-0000B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" name="Text Box 3091">
          <a:extLst>
            <a:ext uri="{FF2B5EF4-FFF2-40B4-BE49-F238E27FC236}">
              <a16:creationId xmlns="" xmlns:a16="http://schemas.microsoft.com/office/drawing/2014/main" id="{00000000-0008-0000-0000-0000B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" name="Text Box 3092">
          <a:extLst>
            <a:ext uri="{FF2B5EF4-FFF2-40B4-BE49-F238E27FC236}">
              <a16:creationId xmlns="" xmlns:a16="http://schemas.microsoft.com/office/drawing/2014/main" id="{00000000-0008-0000-0000-0000B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" name="Text Box 3093">
          <a:extLst>
            <a:ext uri="{FF2B5EF4-FFF2-40B4-BE49-F238E27FC236}">
              <a16:creationId xmlns="" xmlns:a16="http://schemas.microsoft.com/office/drawing/2014/main" id="{00000000-0008-0000-0000-0000B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5" name="Text Box 3094">
          <a:extLst>
            <a:ext uri="{FF2B5EF4-FFF2-40B4-BE49-F238E27FC236}">
              <a16:creationId xmlns="" xmlns:a16="http://schemas.microsoft.com/office/drawing/2014/main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" name="Text Box 3095">
          <a:extLst>
            <a:ext uri="{FF2B5EF4-FFF2-40B4-BE49-F238E27FC236}">
              <a16:creationId xmlns="" xmlns:a16="http://schemas.microsoft.com/office/drawing/2014/main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" name="Text Box 3096">
          <a:extLst>
            <a:ext uri="{FF2B5EF4-FFF2-40B4-BE49-F238E27FC236}">
              <a16:creationId xmlns="" xmlns:a16="http://schemas.microsoft.com/office/drawing/2014/main" id="{00000000-0008-0000-0000-0000B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" name="Text Box 3097">
          <a:extLst>
            <a:ext uri="{FF2B5EF4-FFF2-40B4-BE49-F238E27FC236}">
              <a16:creationId xmlns="" xmlns:a16="http://schemas.microsoft.com/office/drawing/2014/main" id="{00000000-0008-0000-0000-0000C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9" name="Text Box 3098">
          <a:extLst>
            <a:ext uri="{FF2B5EF4-FFF2-40B4-BE49-F238E27FC236}">
              <a16:creationId xmlns="" xmlns:a16="http://schemas.microsoft.com/office/drawing/2014/main" id="{00000000-0008-0000-0000-0000C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0" name="Text Box 3099">
          <a:extLst>
            <a:ext uri="{FF2B5EF4-FFF2-40B4-BE49-F238E27FC236}">
              <a16:creationId xmlns="" xmlns:a16="http://schemas.microsoft.com/office/drawing/2014/main" id="{00000000-0008-0000-0000-0000C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" name="Text Box 3100">
          <a:extLst>
            <a:ext uri="{FF2B5EF4-FFF2-40B4-BE49-F238E27FC236}">
              <a16:creationId xmlns="" xmlns:a16="http://schemas.microsoft.com/office/drawing/2014/main" id="{00000000-0008-0000-0000-0000C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" name="Text Box 3101">
          <a:extLst>
            <a:ext uri="{FF2B5EF4-FFF2-40B4-BE49-F238E27FC236}">
              <a16:creationId xmlns="" xmlns:a16="http://schemas.microsoft.com/office/drawing/2014/main" id="{00000000-0008-0000-0000-0000C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3" name="Text Box 3102">
          <a:extLst>
            <a:ext uri="{FF2B5EF4-FFF2-40B4-BE49-F238E27FC236}">
              <a16:creationId xmlns="" xmlns:a16="http://schemas.microsoft.com/office/drawing/2014/main" id="{00000000-0008-0000-0000-0000C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" name="Text Box 59">
          <a:extLst>
            <a:ext uri="{FF2B5EF4-FFF2-40B4-BE49-F238E27FC236}">
              <a16:creationId xmlns="" xmlns:a16="http://schemas.microsoft.com/office/drawing/2014/main" id="{00000000-0008-0000-0000-0000C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" name="Text Box 60">
          <a:extLst>
            <a:ext uri="{FF2B5EF4-FFF2-40B4-BE49-F238E27FC236}">
              <a16:creationId xmlns="" xmlns:a16="http://schemas.microsoft.com/office/drawing/2014/main" id="{00000000-0008-0000-0000-0000C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" name="Text Box 61">
          <a:extLst>
            <a:ext uri="{FF2B5EF4-FFF2-40B4-BE49-F238E27FC236}">
              <a16:creationId xmlns="" xmlns:a16="http://schemas.microsoft.com/office/drawing/2014/main" id="{00000000-0008-0000-0000-0000C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7" name="Text Box 62">
          <a:extLst>
            <a:ext uri="{FF2B5EF4-FFF2-40B4-BE49-F238E27FC236}">
              <a16:creationId xmlns="" xmlns:a16="http://schemas.microsoft.com/office/drawing/2014/main" id="{00000000-0008-0000-0000-0000C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" name="Text Box 63">
          <a:extLst>
            <a:ext uri="{FF2B5EF4-FFF2-40B4-BE49-F238E27FC236}">
              <a16:creationId xmlns="" xmlns:a16="http://schemas.microsoft.com/office/drawing/2014/main" id="{00000000-0008-0000-0000-0000C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" name="Text Box 64">
          <a:extLst>
            <a:ext uri="{FF2B5EF4-FFF2-40B4-BE49-F238E27FC236}">
              <a16:creationId xmlns="" xmlns:a16="http://schemas.microsoft.com/office/drawing/2014/main" id="{00000000-0008-0000-0000-0000C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" name="Text Box 65">
          <a:extLst>
            <a:ext uri="{FF2B5EF4-FFF2-40B4-BE49-F238E27FC236}">
              <a16:creationId xmlns="" xmlns:a16="http://schemas.microsoft.com/office/drawing/2014/main" id="{00000000-0008-0000-0000-0000C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1" name="Text Box 66">
          <a:extLst>
            <a:ext uri="{FF2B5EF4-FFF2-40B4-BE49-F238E27FC236}">
              <a16:creationId xmlns="" xmlns:a16="http://schemas.microsoft.com/office/drawing/2014/main" id="{00000000-0008-0000-0000-0000C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2" name="Text Box 67">
          <a:extLst>
            <a:ext uri="{FF2B5EF4-FFF2-40B4-BE49-F238E27FC236}">
              <a16:creationId xmlns="" xmlns:a16="http://schemas.microsoft.com/office/drawing/2014/main" id="{00000000-0008-0000-0000-0000C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" name="Text Box 68">
          <a:extLst>
            <a:ext uri="{FF2B5EF4-FFF2-40B4-BE49-F238E27FC236}">
              <a16:creationId xmlns="" xmlns:a16="http://schemas.microsoft.com/office/drawing/2014/main" id="{00000000-0008-0000-0000-0000C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" name="Text Box 69">
          <a:extLst>
            <a:ext uri="{FF2B5EF4-FFF2-40B4-BE49-F238E27FC236}">
              <a16:creationId xmlns="" xmlns:a16="http://schemas.microsoft.com/office/drawing/2014/main" id="{00000000-0008-0000-0000-0000D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" name="Text Box 70">
          <a:extLst>
            <a:ext uri="{FF2B5EF4-FFF2-40B4-BE49-F238E27FC236}">
              <a16:creationId xmlns="" xmlns:a16="http://schemas.microsoft.com/office/drawing/2014/main" id="{00000000-0008-0000-0000-0000D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6" name="Text Box 71">
          <a:extLst>
            <a:ext uri="{FF2B5EF4-FFF2-40B4-BE49-F238E27FC236}">
              <a16:creationId xmlns="" xmlns:a16="http://schemas.microsoft.com/office/drawing/2014/main" id="{00000000-0008-0000-0000-0000D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7" name="Text Box 72">
          <a:extLst>
            <a:ext uri="{FF2B5EF4-FFF2-40B4-BE49-F238E27FC236}">
              <a16:creationId xmlns="" xmlns:a16="http://schemas.microsoft.com/office/drawing/2014/main" id="{00000000-0008-0000-0000-0000D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" name="Text Box 73">
          <a:extLst>
            <a:ext uri="{FF2B5EF4-FFF2-40B4-BE49-F238E27FC236}">
              <a16:creationId xmlns="" xmlns:a16="http://schemas.microsoft.com/office/drawing/2014/main" id="{00000000-0008-0000-0000-0000D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" name="Text Box 74">
          <a:extLst>
            <a:ext uri="{FF2B5EF4-FFF2-40B4-BE49-F238E27FC236}">
              <a16:creationId xmlns="" xmlns:a16="http://schemas.microsoft.com/office/drawing/2014/main" id="{00000000-0008-0000-0000-0000D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" name="Text Box 75">
          <a:extLst>
            <a:ext uri="{FF2B5EF4-FFF2-40B4-BE49-F238E27FC236}">
              <a16:creationId xmlns="" xmlns:a16="http://schemas.microsoft.com/office/drawing/2014/main" id="{00000000-0008-0000-0000-0000D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1" name="Text Box 76">
          <a:extLst>
            <a:ext uri="{FF2B5EF4-FFF2-40B4-BE49-F238E27FC236}">
              <a16:creationId xmlns="" xmlns:a16="http://schemas.microsoft.com/office/drawing/2014/main" id="{00000000-0008-0000-0000-0000D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2" name="Text Box 77">
          <a:extLst>
            <a:ext uri="{FF2B5EF4-FFF2-40B4-BE49-F238E27FC236}">
              <a16:creationId xmlns="" xmlns:a16="http://schemas.microsoft.com/office/drawing/2014/main" id="{00000000-0008-0000-0000-0000D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" name="Text Box 78">
          <a:extLst>
            <a:ext uri="{FF2B5EF4-FFF2-40B4-BE49-F238E27FC236}">
              <a16:creationId xmlns="" xmlns:a16="http://schemas.microsoft.com/office/drawing/2014/main" id="{00000000-0008-0000-0000-0000D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" name="Text Box 79">
          <a:extLst>
            <a:ext uri="{FF2B5EF4-FFF2-40B4-BE49-F238E27FC236}">
              <a16:creationId xmlns="" xmlns:a16="http://schemas.microsoft.com/office/drawing/2014/main" id="{00000000-0008-0000-0000-0000D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" name="Text Box 80">
          <a:extLst>
            <a:ext uri="{FF2B5EF4-FFF2-40B4-BE49-F238E27FC236}">
              <a16:creationId xmlns="" xmlns:a16="http://schemas.microsoft.com/office/drawing/2014/main" id="{00000000-0008-0000-0000-0000D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6" name="Text Box 81">
          <a:extLst>
            <a:ext uri="{FF2B5EF4-FFF2-40B4-BE49-F238E27FC236}">
              <a16:creationId xmlns="" xmlns:a16="http://schemas.microsoft.com/office/drawing/2014/main" id="{00000000-0008-0000-0000-0000D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" name="Text Box 3079">
          <a:extLst>
            <a:ext uri="{FF2B5EF4-FFF2-40B4-BE49-F238E27FC236}">
              <a16:creationId xmlns="" xmlns:a16="http://schemas.microsoft.com/office/drawing/2014/main" id="{00000000-0008-0000-0000-0000D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8" name="Text Box 3080">
          <a:extLst>
            <a:ext uri="{FF2B5EF4-FFF2-40B4-BE49-F238E27FC236}">
              <a16:creationId xmlns="" xmlns:a16="http://schemas.microsoft.com/office/drawing/2014/main" id="{00000000-0008-0000-0000-0000D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9" name="Text Box 3081">
          <a:extLst>
            <a:ext uri="{FF2B5EF4-FFF2-40B4-BE49-F238E27FC236}">
              <a16:creationId xmlns="" xmlns:a16="http://schemas.microsoft.com/office/drawing/2014/main" id="{00000000-0008-0000-0000-0000D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" name="Text Box 3082">
          <a:extLst>
            <a:ext uri="{FF2B5EF4-FFF2-40B4-BE49-F238E27FC236}">
              <a16:creationId xmlns="" xmlns:a16="http://schemas.microsoft.com/office/drawing/2014/main" id="{00000000-0008-0000-0000-0000E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" name="Text Box 3083">
          <a:extLst>
            <a:ext uri="{FF2B5EF4-FFF2-40B4-BE49-F238E27FC236}">
              <a16:creationId xmlns="" xmlns:a16="http://schemas.microsoft.com/office/drawing/2014/main" id="{00000000-0008-0000-0000-0000E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" name="Text Box 3084">
          <a:extLst>
            <a:ext uri="{FF2B5EF4-FFF2-40B4-BE49-F238E27FC236}">
              <a16:creationId xmlns="" xmlns:a16="http://schemas.microsoft.com/office/drawing/2014/main" id="{00000000-0008-0000-0000-0000E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3" name="Text Box 3085">
          <a:extLst>
            <a:ext uri="{FF2B5EF4-FFF2-40B4-BE49-F238E27FC236}">
              <a16:creationId xmlns="" xmlns:a16="http://schemas.microsoft.com/office/drawing/2014/main" id="{00000000-0008-0000-0000-0000E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" name="Text Box 3086">
          <a:extLst>
            <a:ext uri="{FF2B5EF4-FFF2-40B4-BE49-F238E27FC236}">
              <a16:creationId xmlns="" xmlns:a16="http://schemas.microsoft.com/office/drawing/2014/main" id="{00000000-0008-0000-0000-0000E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" name="Text Box 3087">
          <a:extLst>
            <a:ext uri="{FF2B5EF4-FFF2-40B4-BE49-F238E27FC236}">
              <a16:creationId xmlns="" xmlns:a16="http://schemas.microsoft.com/office/drawing/2014/main" id="{00000000-0008-0000-0000-0000E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" name="Text Box 3088">
          <a:extLst>
            <a:ext uri="{FF2B5EF4-FFF2-40B4-BE49-F238E27FC236}">
              <a16:creationId xmlns="" xmlns:a16="http://schemas.microsoft.com/office/drawing/2014/main" id="{00000000-0008-0000-0000-0000E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7" name="Text Box 3089">
          <a:extLst>
            <a:ext uri="{FF2B5EF4-FFF2-40B4-BE49-F238E27FC236}">
              <a16:creationId xmlns="" xmlns:a16="http://schemas.microsoft.com/office/drawing/2014/main" id="{00000000-0008-0000-0000-0000E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8" name="Text Box 3090">
          <a:extLst>
            <a:ext uri="{FF2B5EF4-FFF2-40B4-BE49-F238E27FC236}">
              <a16:creationId xmlns="" xmlns:a16="http://schemas.microsoft.com/office/drawing/2014/main" id="{00000000-0008-0000-0000-0000E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" name="Text Box 3091">
          <a:extLst>
            <a:ext uri="{FF2B5EF4-FFF2-40B4-BE49-F238E27FC236}">
              <a16:creationId xmlns="" xmlns:a16="http://schemas.microsoft.com/office/drawing/2014/main" id="{00000000-0008-0000-0000-0000E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" name="Text Box 3092">
          <a:extLst>
            <a:ext uri="{FF2B5EF4-FFF2-40B4-BE49-F238E27FC236}">
              <a16:creationId xmlns="" xmlns:a16="http://schemas.microsoft.com/office/drawing/2014/main" id="{00000000-0008-0000-0000-0000E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" name="Text Box 3093">
          <a:extLst>
            <a:ext uri="{FF2B5EF4-FFF2-40B4-BE49-F238E27FC236}">
              <a16:creationId xmlns="" xmlns:a16="http://schemas.microsoft.com/office/drawing/2014/main" id="{00000000-0008-0000-0000-0000E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2" name="Text Box 3094">
          <a:extLst>
            <a:ext uri="{FF2B5EF4-FFF2-40B4-BE49-F238E27FC236}">
              <a16:creationId xmlns="" xmlns:a16="http://schemas.microsoft.com/office/drawing/2014/main" id="{00000000-0008-0000-0000-0000E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3" name="Text Box 3095">
          <a:extLst>
            <a:ext uri="{FF2B5EF4-FFF2-40B4-BE49-F238E27FC236}">
              <a16:creationId xmlns="" xmlns:a16="http://schemas.microsoft.com/office/drawing/2014/main" id="{00000000-0008-0000-0000-0000E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" name="Text Box 3096">
          <a:extLst>
            <a:ext uri="{FF2B5EF4-FFF2-40B4-BE49-F238E27FC236}">
              <a16:creationId xmlns="" xmlns:a16="http://schemas.microsoft.com/office/drawing/2014/main" id="{00000000-0008-0000-0000-0000E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" name="Text Box 3097">
          <a:extLst>
            <a:ext uri="{FF2B5EF4-FFF2-40B4-BE49-F238E27FC236}">
              <a16:creationId xmlns="" xmlns:a16="http://schemas.microsoft.com/office/drawing/2014/main" id="{00000000-0008-0000-0000-0000E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" name="Text Box 3098">
          <a:extLst>
            <a:ext uri="{FF2B5EF4-FFF2-40B4-BE49-F238E27FC236}">
              <a16:creationId xmlns="" xmlns:a16="http://schemas.microsoft.com/office/drawing/2014/main" id="{00000000-0008-0000-0000-0000F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7" name="Text Box 3099">
          <a:extLst>
            <a:ext uri="{FF2B5EF4-FFF2-40B4-BE49-F238E27FC236}">
              <a16:creationId xmlns="" xmlns:a16="http://schemas.microsoft.com/office/drawing/2014/main" id="{00000000-0008-0000-0000-0000F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8" name="Text Box 3100">
          <a:extLst>
            <a:ext uri="{FF2B5EF4-FFF2-40B4-BE49-F238E27FC236}">
              <a16:creationId xmlns="" xmlns:a16="http://schemas.microsoft.com/office/drawing/2014/main" id="{00000000-0008-0000-0000-0000F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" name="Text Box 3101">
          <a:extLst>
            <a:ext uri="{FF2B5EF4-FFF2-40B4-BE49-F238E27FC236}">
              <a16:creationId xmlns="" xmlns:a16="http://schemas.microsoft.com/office/drawing/2014/main" id="{00000000-0008-0000-0000-0000F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0" name="Text Box 3102">
          <a:extLst>
            <a:ext uri="{FF2B5EF4-FFF2-40B4-BE49-F238E27FC236}">
              <a16:creationId xmlns="" xmlns:a16="http://schemas.microsoft.com/office/drawing/2014/main" id="{00000000-0008-0000-0000-0000F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" name="Text Box 59">
          <a:extLst>
            <a:ext uri="{FF2B5EF4-FFF2-40B4-BE49-F238E27FC236}">
              <a16:creationId xmlns="" xmlns:a16="http://schemas.microsoft.com/office/drawing/2014/main" id="{00000000-0008-0000-0000-0000F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" name="Text Box 60">
          <a:extLst>
            <a:ext uri="{FF2B5EF4-FFF2-40B4-BE49-F238E27FC236}">
              <a16:creationId xmlns="" xmlns:a16="http://schemas.microsoft.com/office/drawing/2014/main" id="{00000000-0008-0000-0000-0000F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" name="Text Box 61">
          <a:extLst>
            <a:ext uri="{FF2B5EF4-FFF2-40B4-BE49-F238E27FC236}">
              <a16:creationId xmlns="" xmlns:a16="http://schemas.microsoft.com/office/drawing/2014/main" id="{00000000-0008-0000-0000-0000F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4" name="Text Box 62">
          <a:extLst>
            <a:ext uri="{FF2B5EF4-FFF2-40B4-BE49-F238E27FC236}">
              <a16:creationId xmlns="" xmlns:a16="http://schemas.microsoft.com/office/drawing/2014/main" id="{00000000-0008-0000-0000-0000F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5" name="Text Box 63">
          <a:extLst>
            <a:ext uri="{FF2B5EF4-FFF2-40B4-BE49-F238E27FC236}">
              <a16:creationId xmlns="" xmlns:a16="http://schemas.microsoft.com/office/drawing/2014/main" id="{00000000-0008-0000-0000-0000F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" name="Text Box 64">
          <a:extLst>
            <a:ext uri="{FF2B5EF4-FFF2-40B4-BE49-F238E27FC236}">
              <a16:creationId xmlns="" xmlns:a16="http://schemas.microsoft.com/office/drawing/2014/main" id="{00000000-0008-0000-0000-0000F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" name="Text Box 65">
          <a:extLst>
            <a:ext uri="{FF2B5EF4-FFF2-40B4-BE49-F238E27FC236}">
              <a16:creationId xmlns="" xmlns:a16="http://schemas.microsoft.com/office/drawing/2014/main" id="{00000000-0008-0000-0000-0000F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" name="Text Box 66">
          <a:extLst>
            <a:ext uri="{FF2B5EF4-FFF2-40B4-BE49-F238E27FC236}">
              <a16:creationId xmlns="" xmlns:a16="http://schemas.microsoft.com/office/drawing/2014/main" id="{00000000-0008-0000-0000-0000F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9" name="Text Box 67">
          <a:extLst>
            <a:ext uri="{FF2B5EF4-FFF2-40B4-BE49-F238E27FC236}">
              <a16:creationId xmlns="" xmlns:a16="http://schemas.microsoft.com/office/drawing/2014/main" id="{00000000-0008-0000-0000-0000F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0" name="Text Box 68">
          <a:extLst>
            <a:ext uri="{FF2B5EF4-FFF2-40B4-BE49-F238E27FC236}">
              <a16:creationId xmlns="" xmlns:a16="http://schemas.microsoft.com/office/drawing/2014/main" id="{00000000-0008-0000-0000-0000F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" name="Text Box 69">
          <a:extLst>
            <a:ext uri="{FF2B5EF4-FFF2-40B4-BE49-F238E27FC236}">
              <a16:creationId xmlns="" xmlns:a16="http://schemas.microsoft.com/office/drawing/2014/main" id="{00000000-0008-0000-0000-0000F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" name="Text Box 70">
          <a:extLst>
            <a:ext uri="{FF2B5EF4-FFF2-40B4-BE49-F238E27FC236}">
              <a16:creationId xmlns="" xmlns:a16="http://schemas.microsoft.com/office/drawing/2014/main" id="{00000000-0008-0000-0000-00000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" name="Text Box 71">
          <a:extLst>
            <a:ext uri="{FF2B5EF4-FFF2-40B4-BE49-F238E27FC236}">
              <a16:creationId xmlns="" xmlns:a16="http://schemas.microsoft.com/office/drawing/2014/main" id="{00000000-0008-0000-0000-00000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4" name="Text Box 72">
          <a:extLst>
            <a:ext uri="{FF2B5EF4-FFF2-40B4-BE49-F238E27FC236}">
              <a16:creationId xmlns="" xmlns:a16="http://schemas.microsoft.com/office/drawing/2014/main" id="{00000000-0008-0000-0000-00000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" name="Text Box 73">
          <a:extLst>
            <a:ext uri="{FF2B5EF4-FFF2-40B4-BE49-F238E27FC236}">
              <a16:creationId xmlns="" xmlns:a16="http://schemas.microsoft.com/office/drawing/2014/main" id="{00000000-0008-0000-0000-00000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" name="Text Box 74">
          <a:extLst>
            <a:ext uri="{FF2B5EF4-FFF2-40B4-BE49-F238E27FC236}">
              <a16:creationId xmlns="" xmlns:a16="http://schemas.microsoft.com/office/drawing/2014/main" id="{00000000-0008-0000-0000-00000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" name="Text Box 75">
          <a:extLst>
            <a:ext uri="{FF2B5EF4-FFF2-40B4-BE49-F238E27FC236}">
              <a16:creationId xmlns="" xmlns:a16="http://schemas.microsoft.com/office/drawing/2014/main" id="{00000000-0008-0000-0000-00000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8" name="Text Box 76">
          <a:extLst>
            <a:ext uri="{FF2B5EF4-FFF2-40B4-BE49-F238E27FC236}">
              <a16:creationId xmlns="" xmlns:a16="http://schemas.microsoft.com/office/drawing/2014/main" id="{00000000-0008-0000-0000-00000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9" name="Text Box 77">
          <a:extLst>
            <a:ext uri="{FF2B5EF4-FFF2-40B4-BE49-F238E27FC236}">
              <a16:creationId xmlns="" xmlns:a16="http://schemas.microsoft.com/office/drawing/2014/main" id="{00000000-0008-0000-0000-00000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0" name="Text Box 78">
          <a:extLst>
            <a:ext uri="{FF2B5EF4-FFF2-40B4-BE49-F238E27FC236}">
              <a16:creationId xmlns="" xmlns:a16="http://schemas.microsoft.com/office/drawing/2014/main" id="{00000000-0008-0000-0000-00000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1" name="Text Box 79">
          <a:extLst>
            <a:ext uri="{FF2B5EF4-FFF2-40B4-BE49-F238E27FC236}">
              <a16:creationId xmlns="" xmlns:a16="http://schemas.microsoft.com/office/drawing/2014/main" id="{00000000-0008-0000-0000-00000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2" name="Text Box 80">
          <a:extLst>
            <a:ext uri="{FF2B5EF4-FFF2-40B4-BE49-F238E27FC236}">
              <a16:creationId xmlns="" xmlns:a16="http://schemas.microsoft.com/office/drawing/2014/main" id="{00000000-0008-0000-0000-00000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3" name="Text Box 81">
          <a:extLst>
            <a:ext uri="{FF2B5EF4-FFF2-40B4-BE49-F238E27FC236}">
              <a16:creationId xmlns="" xmlns:a16="http://schemas.microsoft.com/office/drawing/2014/main" id="{00000000-0008-0000-0000-00000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24" name="Text Box 82">
          <a:extLst>
            <a:ext uri="{FF2B5EF4-FFF2-40B4-BE49-F238E27FC236}">
              <a16:creationId xmlns="" xmlns:a16="http://schemas.microsoft.com/office/drawing/2014/main" id="{00000000-0008-0000-0000-00000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5" name="Text Box 3079">
          <a:extLst>
            <a:ext uri="{FF2B5EF4-FFF2-40B4-BE49-F238E27FC236}">
              <a16:creationId xmlns="" xmlns:a16="http://schemas.microsoft.com/office/drawing/2014/main" id="{00000000-0008-0000-0000-00000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6" name="Text Box 3080">
          <a:extLst>
            <a:ext uri="{FF2B5EF4-FFF2-40B4-BE49-F238E27FC236}">
              <a16:creationId xmlns="" xmlns:a16="http://schemas.microsoft.com/office/drawing/2014/main" id="{00000000-0008-0000-0000-00000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7" name="Text Box 3081">
          <a:extLst>
            <a:ext uri="{FF2B5EF4-FFF2-40B4-BE49-F238E27FC236}">
              <a16:creationId xmlns="" xmlns:a16="http://schemas.microsoft.com/office/drawing/2014/main" id="{00000000-0008-0000-0000-00000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8" name="Text Box 3082">
          <a:extLst>
            <a:ext uri="{FF2B5EF4-FFF2-40B4-BE49-F238E27FC236}">
              <a16:creationId xmlns=""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9" name="Text Box 3083">
          <a:extLst>
            <a:ext uri="{FF2B5EF4-FFF2-40B4-BE49-F238E27FC236}">
              <a16:creationId xmlns=""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0" name="Text Box 3084">
          <a:extLst>
            <a:ext uri="{FF2B5EF4-FFF2-40B4-BE49-F238E27FC236}">
              <a16:creationId xmlns=""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1" name="Text Box 3085">
          <a:extLst>
            <a:ext uri="{FF2B5EF4-FFF2-40B4-BE49-F238E27FC236}">
              <a16:creationId xmlns=""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2" name="Text Box 3086">
          <a:extLst>
            <a:ext uri="{FF2B5EF4-FFF2-40B4-BE49-F238E27FC236}">
              <a16:creationId xmlns=""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3" name="Text Box 3087">
          <a:extLst>
            <a:ext uri="{FF2B5EF4-FFF2-40B4-BE49-F238E27FC236}">
              <a16:creationId xmlns=""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4" name="Text Box 3088">
          <a:extLst>
            <a:ext uri="{FF2B5EF4-FFF2-40B4-BE49-F238E27FC236}">
              <a16:creationId xmlns=""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5" name="Text Box 3089">
          <a:extLst>
            <a:ext uri="{FF2B5EF4-FFF2-40B4-BE49-F238E27FC236}">
              <a16:creationId xmlns=""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6" name="Text Box 3090">
          <a:extLst>
            <a:ext uri="{FF2B5EF4-FFF2-40B4-BE49-F238E27FC236}">
              <a16:creationId xmlns=""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7" name="Text Box 3091">
          <a:extLst>
            <a:ext uri="{FF2B5EF4-FFF2-40B4-BE49-F238E27FC236}">
              <a16:creationId xmlns=""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8" name="Text Box 3092">
          <a:extLst>
            <a:ext uri="{FF2B5EF4-FFF2-40B4-BE49-F238E27FC236}">
              <a16:creationId xmlns=""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9" name="Text Box 3093">
          <a:extLst>
            <a:ext uri="{FF2B5EF4-FFF2-40B4-BE49-F238E27FC236}">
              <a16:creationId xmlns=""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0" name="Text Box 3094">
          <a:extLst>
            <a:ext uri="{FF2B5EF4-FFF2-40B4-BE49-F238E27FC236}">
              <a16:creationId xmlns=""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1" name="Text Box 3095">
          <a:extLst>
            <a:ext uri="{FF2B5EF4-FFF2-40B4-BE49-F238E27FC236}">
              <a16:creationId xmlns=""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2" name="Text Box 3096">
          <a:extLst>
            <a:ext uri="{FF2B5EF4-FFF2-40B4-BE49-F238E27FC236}">
              <a16:creationId xmlns=""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3" name="Text Box 3097">
          <a:extLst>
            <a:ext uri="{FF2B5EF4-FFF2-40B4-BE49-F238E27FC236}">
              <a16:creationId xmlns=""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4" name="Text Box 3098">
          <a:extLst>
            <a:ext uri="{FF2B5EF4-FFF2-40B4-BE49-F238E27FC236}">
              <a16:creationId xmlns=""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5" name="Text Box 3099">
          <a:extLst>
            <a:ext uri="{FF2B5EF4-FFF2-40B4-BE49-F238E27FC236}">
              <a16:creationId xmlns=""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6" name="Text Box 3100">
          <a:extLst>
            <a:ext uri="{FF2B5EF4-FFF2-40B4-BE49-F238E27FC236}">
              <a16:creationId xmlns=""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7" name="Text Box 3101">
          <a:extLst>
            <a:ext uri="{FF2B5EF4-FFF2-40B4-BE49-F238E27FC236}">
              <a16:creationId xmlns=""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48" name="Text Box 3102">
          <a:extLst>
            <a:ext uri="{FF2B5EF4-FFF2-40B4-BE49-F238E27FC236}">
              <a16:creationId xmlns=""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49" name="Text Box 59">
          <a:extLst>
            <a:ext uri="{FF2B5EF4-FFF2-40B4-BE49-F238E27FC236}">
              <a16:creationId xmlns=""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0" name="Text Box 60">
          <a:extLst>
            <a:ext uri="{FF2B5EF4-FFF2-40B4-BE49-F238E27FC236}">
              <a16:creationId xmlns=""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1" name="Text Box 61">
          <a:extLst>
            <a:ext uri="{FF2B5EF4-FFF2-40B4-BE49-F238E27FC236}">
              <a16:creationId xmlns=""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2" name="Text Box 62">
          <a:extLst>
            <a:ext uri="{FF2B5EF4-FFF2-40B4-BE49-F238E27FC236}">
              <a16:creationId xmlns=""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3" name="Text Box 63">
          <a:extLst>
            <a:ext uri="{FF2B5EF4-FFF2-40B4-BE49-F238E27FC236}">
              <a16:creationId xmlns=""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4" name="Text Box 64">
          <a:extLst>
            <a:ext uri="{FF2B5EF4-FFF2-40B4-BE49-F238E27FC236}">
              <a16:creationId xmlns=""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5" name="Text Box 65">
          <a:extLst>
            <a:ext uri="{FF2B5EF4-FFF2-40B4-BE49-F238E27FC236}">
              <a16:creationId xmlns=""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6" name="Text Box 66">
          <a:extLst>
            <a:ext uri="{FF2B5EF4-FFF2-40B4-BE49-F238E27FC236}">
              <a16:creationId xmlns=""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7" name="Text Box 67">
          <a:extLst>
            <a:ext uri="{FF2B5EF4-FFF2-40B4-BE49-F238E27FC236}">
              <a16:creationId xmlns=""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8" name="Text Box 68">
          <a:extLst>
            <a:ext uri="{FF2B5EF4-FFF2-40B4-BE49-F238E27FC236}">
              <a16:creationId xmlns=""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9" name="Text Box 69">
          <a:extLst>
            <a:ext uri="{FF2B5EF4-FFF2-40B4-BE49-F238E27FC236}">
              <a16:creationId xmlns=""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0" name="Text Box 70">
          <a:extLst>
            <a:ext uri="{FF2B5EF4-FFF2-40B4-BE49-F238E27FC236}">
              <a16:creationId xmlns=""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1" name="Text Box 71">
          <a:extLst>
            <a:ext uri="{FF2B5EF4-FFF2-40B4-BE49-F238E27FC236}">
              <a16:creationId xmlns=""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2" name="Text Box 72">
          <a:extLst>
            <a:ext uri="{FF2B5EF4-FFF2-40B4-BE49-F238E27FC236}">
              <a16:creationId xmlns=""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3" name="Text Box 73">
          <a:extLst>
            <a:ext uri="{FF2B5EF4-FFF2-40B4-BE49-F238E27FC236}">
              <a16:creationId xmlns=""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4" name="Text Box 74">
          <a:extLst>
            <a:ext uri="{FF2B5EF4-FFF2-40B4-BE49-F238E27FC236}">
              <a16:creationId xmlns=""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5" name="Text Box 75">
          <a:extLst>
            <a:ext uri="{FF2B5EF4-FFF2-40B4-BE49-F238E27FC236}">
              <a16:creationId xmlns=""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6" name="Text Box 76">
          <a:extLst>
            <a:ext uri="{FF2B5EF4-FFF2-40B4-BE49-F238E27FC236}">
              <a16:creationId xmlns=""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7" name="Text Box 77">
          <a:extLst>
            <a:ext uri="{FF2B5EF4-FFF2-40B4-BE49-F238E27FC236}">
              <a16:creationId xmlns=""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8" name="Text Box 78">
          <a:extLst>
            <a:ext uri="{FF2B5EF4-FFF2-40B4-BE49-F238E27FC236}">
              <a16:creationId xmlns="" xmlns:a16="http://schemas.microsoft.com/office/drawing/2014/main" id="{00000000-0008-0000-0000-00003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9" name="Text Box 79">
          <a:extLst>
            <a:ext uri="{FF2B5EF4-FFF2-40B4-BE49-F238E27FC236}">
              <a16:creationId xmlns="" xmlns:a16="http://schemas.microsoft.com/office/drawing/2014/main" id="{00000000-0008-0000-0000-00003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70" name="Text Box 80">
          <a:extLst>
            <a:ext uri="{FF2B5EF4-FFF2-40B4-BE49-F238E27FC236}">
              <a16:creationId xmlns="" xmlns:a16="http://schemas.microsoft.com/office/drawing/2014/main" id="{00000000-0008-0000-0000-00003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71" name="Text Box 81">
          <a:extLst>
            <a:ext uri="{FF2B5EF4-FFF2-40B4-BE49-F238E27FC236}">
              <a16:creationId xmlns="" xmlns:a16="http://schemas.microsoft.com/office/drawing/2014/main" id="{00000000-0008-0000-0000-00003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2" name="Text Box 3079">
          <a:extLst>
            <a:ext uri="{FF2B5EF4-FFF2-40B4-BE49-F238E27FC236}">
              <a16:creationId xmlns="" xmlns:a16="http://schemas.microsoft.com/office/drawing/2014/main" id="{00000000-0008-0000-0000-00003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3" name="Text Box 3080">
          <a:extLst>
            <a:ext uri="{FF2B5EF4-FFF2-40B4-BE49-F238E27FC236}">
              <a16:creationId xmlns="" xmlns:a16="http://schemas.microsoft.com/office/drawing/2014/main" id="{00000000-0008-0000-0000-00003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4" name="Text Box 3081">
          <a:extLst>
            <a:ext uri="{FF2B5EF4-FFF2-40B4-BE49-F238E27FC236}">
              <a16:creationId xmlns="" xmlns:a16="http://schemas.microsoft.com/office/drawing/2014/main" id="{00000000-0008-0000-0000-00003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5" name="Text Box 3082">
          <a:extLst>
            <a:ext uri="{FF2B5EF4-FFF2-40B4-BE49-F238E27FC236}">
              <a16:creationId xmlns="" xmlns:a16="http://schemas.microsoft.com/office/drawing/2014/main" id="{00000000-0008-0000-0000-00003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6" name="Text Box 3083">
          <a:extLst>
            <a:ext uri="{FF2B5EF4-FFF2-40B4-BE49-F238E27FC236}">
              <a16:creationId xmlns="" xmlns:a16="http://schemas.microsoft.com/office/drawing/2014/main" id="{00000000-0008-0000-0000-00004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7" name="Text Box 3084">
          <a:extLst>
            <a:ext uri="{FF2B5EF4-FFF2-40B4-BE49-F238E27FC236}">
              <a16:creationId xmlns="" xmlns:a16="http://schemas.microsoft.com/office/drawing/2014/main" id="{00000000-0008-0000-0000-00004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8" name="Text Box 3085">
          <a:extLst>
            <a:ext uri="{FF2B5EF4-FFF2-40B4-BE49-F238E27FC236}">
              <a16:creationId xmlns="" xmlns:a16="http://schemas.microsoft.com/office/drawing/2014/main" id="{00000000-0008-0000-0000-00004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9" name="Text Box 3086">
          <a:extLst>
            <a:ext uri="{FF2B5EF4-FFF2-40B4-BE49-F238E27FC236}">
              <a16:creationId xmlns="" xmlns:a16="http://schemas.microsoft.com/office/drawing/2014/main" id="{00000000-0008-0000-0000-00004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0" name="Text Box 3087">
          <a:extLst>
            <a:ext uri="{FF2B5EF4-FFF2-40B4-BE49-F238E27FC236}">
              <a16:creationId xmlns="" xmlns:a16="http://schemas.microsoft.com/office/drawing/2014/main" id="{00000000-0008-0000-0000-00004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1" name="Text Box 3088">
          <a:extLst>
            <a:ext uri="{FF2B5EF4-FFF2-40B4-BE49-F238E27FC236}">
              <a16:creationId xmlns="" xmlns:a16="http://schemas.microsoft.com/office/drawing/2014/main" id="{00000000-0008-0000-0000-00004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2" name="Text Box 3089">
          <a:extLst>
            <a:ext uri="{FF2B5EF4-FFF2-40B4-BE49-F238E27FC236}">
              <a16:creationId xmlns="" xmlns:a16="http://schemas.microsoft.com/office/drawing/2014/main" id="{00000000-0008-0000-0000-00004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3" name="Text Box 3090">
          <a:extLst>
            <a:ext uri="{FF2B5EF4-FFF2-40B4-BE49-F238E27FC236}">
              <a16:creationId xmlns="" xmlns:a16="http://schemas.microsoft.com/office/drawing/2014/main" id="{00000000-0008-0000-0000-00004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4" name="Text Box 3091">
          <a:extLst>
            <a:ext uri="{FF2B5EF4-FFF2-40B4-BE49-F238E27FC236}">
              <a16:creationId xmlns="" xmlns:a16="http://schemas.microsoft.com/office/drawing/2014/main" id="{00000000-0008-0000-0000-00004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5" name="Text Box 3092">
          <a:extLst>
            <a:ext uri="{FF2B5EF4-FFF2-40B4-BE49-F238E27FC236}">
              <a16:creationId xmlns="" xmlns:a16="http://schemas.microsoft.com/office/drawing/2014/main" id="{00000000-0008-0000-0000-00004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6" name="Text Box 3093">
          <a:extLst>
            <a:ext uri="{FF2B5EF4-FFF2-40B4-BE49-F238E27FC236}">
              <a16:creationId xmlns="" xmlns:a16="http://schemas.microsoft.com/office/drawing/2014/main" id="{00000000-0008-0000-0000-00004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7" name="Text Box 3094">
          <a:extLst>
            <a:ext uri="{FF2B5EF4-FFF2-40B4-BE49-F238E27FC236}">
              <a16:creationId xmlns="" xmlns:a16="http://schemas.microsoft.com/office/drawing/2014/main" id="{00000000-0008-0000-0000-00004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8" name="Text Box 3095">
          <a:extLst>
            <a:ext uri="{FF2B5EF4-FFF2-40B4-BE49-F238E27FC236}">
              <a16:creationId xmlns="" xmlns:a16="http://schemas.microsoft.com/office/drawing/2014/main" id="{00000000-0008-0000-0000-00004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9" name="Text Box 3096">
          <a:extLst>
            <a:ext uri="{FF2B5EF4-FFF2-40B4-BE49-F238E27FC236}">
              <a16:creationId xmlns="" xmlns:a16="http://schemas.microsoft.com/office/drawing/2014/main" id="{00000000-0008-0000-0000-00004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0" name="Text Box 3097">
          <a:extLst>
            <a:ext uri="{FF2B5EF4-FFF2-40B4-BE49-F238E27FC236}">
              <a16:creationId xmlns="" xmlns:a16="http://schemas.microsoft.com/office/drawing/2014/main" id="{00000000-0008-0000-0000-00004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1" name="Text Box 3098">
          <a:extLst>
            <a:ext uri="{FF2B5EF4-FFF2-40B4-BE49-F238E27FC236}">
              <a16:creationId xmlns="" xmlns:a16="http://schemas.microsoft.com/office/drawing/2014/main" id="{00000000-0008-0000-0000-00004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2" name="Text Box 3099">
          <a:extLst>
            <a:ext uri="{FF2B5EF4-FFF2-40B4-BE49-F238E27FC236}">
              <a16:creationId xmlns="" xmlns:a16="http://schemas.microsoft.com/office/drawing/2014/main" id="{00000000-0008-0000-0000-00005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3" name="Text Box 3100">
          <a:extLst>
            <a:ext uri="{FF2B5EF4-FFF2-40B4-BE49-F238E27FC236}">
              <a16:creationId xmlns="" xmlns:a16="http://schemas.microsoft.com/office/drawing/2014/main" id="{00000000-0008-0000-0000-00005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4" name="Text Box 3101">
          <a:extLst>
            <a:ext uri="{FF2B5EF4-FFF2-40B4-BE49-F238E27FC236}">
              <a16:creationId xmlns="" xmlns:a16="http://schemas.microsoft.com/office/drawing/2014/main" id="{00000000-0008-0000-0000-00005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95" name="Text Box 3102">
          <a:extLst>
            <a:ext uri="{FF2B5EF4-FFF2-40B4-BE49-F238E27FC236}">
              <a16:creationId xmlns="" xmlns:a16="http://schemas.microsoft.com/office/drawing/2014/main" id="{00000000-0008-0000-0000-00005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6" name="Text Box 59">
          <a:extLst>
            <a:ext uri="{FF2B5EF4-FFF2-40B4-BE49-F238E27FC236}">
              <a16:creationId xmlns="" xmlns:a16="http://schemas.microsoft.com/office/drawing/2014/main" id="{00000000-0008-0000-0000-00005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7" name="Text Box 60">
          <a:extLst>
            <a:ext uri="{FF2B5EF4-FFF2-40B4-BE49-F238E27FC236}">
              <a16:creationId xmlns="" xmlns:a16="http://schemas.microsoft.com/office/drawing/2014/main" id="{00000000-0008-0000-0000-00005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8" name="Text Box 61">
          <a:extLst>
            <a:ext uri="{FF2B5EF4-FFF2-40B4-BE49-F238E27FC236}">
              <a16:creationId xmlns="" xmlns:a16="http://schemas.microsoft.com/office/drawing/2014/main" id="{00000000-0008-0000-0000-00005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9" name="Text Box 62">
          <a:extLst>
            <a:ext uri="{FF2B5EF4-FFF2-40B4-BE49-F238E27FC236}">
              <a16:creationId xmlns="" xmlns:a16="http://schemas.microsoft.com/office/drawing/2014/main" id="{00000000-0008-0000-0000-00005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0" name="Text Box 63">
          <a:extLst>
            <a:ext uri="{FF2B5EF4-FFF2-40B4-BE49-F238E27FC236}">
              <a16:creationId xmlns="" xmlns:a16="http://schemas.microsoft.com/office/drawing/2014/main" id="{00000000-0008-0000-0000-00005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1" name="Text Box 64">
          <a:extLst>
            <a:ext uri="{FF2B5EF4-FFF2-40B4-BE49-F238E27FC236}">
              <a16:creationId xmlns="" xmlns:a16="http://schemas.microsoft.com/office/drawing/2014/main" id="{00000000-0008-0000-0000-00005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2" name="Text Box 65">
          <a:extLst>
            <a:ext uri="{FF2B5EF4-FFF2-40B4-BE49-F238E27FC236}">
              <a16:creationId xmlns="" xmlns:a16="http://schemas.microsoft.com/office/drawing/2014/main" id="{00000000-0008-0000-0000-00005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3" name="Text Box 66">
          <a:extLst>
            <a:ext uri="{FF2B5EF4-FFF2-40B4-BE49-F238E27FC236}">
              <a16:creationId xmlns="" xmlns:a16="http://schemas.microsoft.com/office/drawing/2014/main" id="{00000000-0008-0000-0000-00005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4" name="Text Box 67">
          <a:extLst>
            <a:ext uri="{FF2B5EF4-FFF2-40B4-BE49-F238E27FC236}">
              <a16:creationId xmlns="" xmlns:a16="http://schemas.microsoft.com/office/drawing/2014/main" id="{00000000-0008-0000-0000-00005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5" name="Text Box 68">
          <a:extLst>
            <a:ext uri="{FF2B5EF4-FFF2-40B4-BE49-F238E27FC236}">
              <a16:creationId xmlns="" xmlns:a16="http://schemas.microsoft.com/office/drawing/2014/main" id="{00000000-0008-0000-0000-00005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6" name="Text Box 69">
          <a:extLst>
            <a:ext uri="{FF2B5EF4-FFF2-40B4-BE49-F238E27FC236}">
              <a16:creationId xmlns="" xmlns:a16="http://schemas.microsoft.com/office/drawing/2014/main" id="{00000000-0008-0000-0000-00005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7" name="Text Box 70">
          <a:extLst>
            <a:ext uri="{FF2B5EF4-FFF2-40B4-BE49-F238E27FC236}">
              <a16:creationId xmlns="" xmlns:a16="http://schemas.microsoft.com/office/drawing/2014/main" id="{00000000-0008-0000-0000-00005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8" name="Text Box 71">
          <a:extLst>
            <a:ext uri="{FF2B5EF4-FFF2-40B4-BE49-F238E27FC236}">
              <a16:creationId xmlns="" xmlns:a16="http://schemas.microsoft.com/office/drawing/2014/main" id="{00000000-0008-0000-0000-00006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9" name="Text Box 72">
          <a:extLst>
            <a:ext uri="{FF2B5EF4-FFF2-40B4-BE49-F238E27FC236}">
              <a16:creationId xmlns="" xmlns:a16="http://schemas.microsoft.com/office/drawing/2014/main" id="{00000000-0008-0000-0000-00006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0" name="Text Box 73">
          <a:extLst>
            <a:ext uri="{FF2B5EF4-FFF2-40B4-BE49-F238E27FC236}">
              <a16:creationId xmlns="" xmlns:a16="http://schemas.microsoft.com/office/drawing/2014/main" id="{00000000-0008-0000-0000-00006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1" name="Text Box 74">
          <a:extLst>
            <a:ext uri="{FF2B5EF4-FFF2-40B4-BE49-F238E27FC236}">
              <a16:creationId xmlns="" xmlns:a16="http://schemas.microsoft.com/office/drawing/2014/main" id="{00000000-0008-0000-0000-00006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2" name="Text Box 75">
          <a:extLst>
            <a:ext uri="{FF2B5EF4-FFF2-40B4-BE49-F238E27FC236}">
              <a16:creationId xmlns="" xmlns:a16="http://schemas.microsoft.com/office/drawing/2014/main" id="{00000000-0008-0000-0000-00006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3" name="Text Box 76">
          <a:extLst>
            <a:ext uri="{FF2B5EF4-FFF2-40B4-BE49-F238E27FC236}">
              <a16:creationId xmlns="" xmlns:a16="http://schemas.microsoft.com/office/drawing/2014/main" id="{00000000-0008-0000-0000-00006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4" name="Text Box 77">
          <a:extLst>
            <a:ext uri="{FF2B5EF4-FFF2-40B4-BE49-F238E27FC236}">
              <a16:creationId xmlns="" xmlns:a16="http://schemas.microsoft.com/office/drawing/2014/main" id="{00000000-0008-0000-0000-00006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5" name="Text Box 78">
          <a:extLst>
            <a:ext uri="{FF2B5EF4-FFF2-40B4-BE49-F238E27FC236}">
              <a16:creationId xmlns="" xmlns:a16="http://schemas.microsoft.com/office/drawing/2014/main" id="{00000000-0008-0000-0000-00006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6" name="Text Box 79">
          <a:extLst>
            <a:ext uri="{FF2B5EF4-FFF2-40B4-BE49-F238E27FC236}">
              <a16:creationId xmlns="" xmlns:a16="http://schemas.microsoft.com/office/drawing/2014/main" id="{00000000-0008-0000-0000-00006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7" name="Text Box 80">
          <a:extLst>
            <a:ext uri="{FF2B5EF4-FFF2-40B4-BE49-F238E27FC236}">
              <a16:creationId xmlns="" xmlns:a16="http://schemas.microsoft.com/office/drawing/2014/main" id="{00000000-0008-0000-0000-00006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8" name="Text Box 81">
          <a:extLst>
            <a:ext uri="{FF2B5EF4-FFF2-40B4-BE49-F238E27FC236}">
              <a16:creationId xmlns="" xmlns:a16="http://schemas.microsoft.com/office/drawing/2014/main" id="{00000000-0008-0000-0000-00006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619" name="Text Box 82">
          <a:extLst>
            <a:ext uri="{FF2B5EF4-FFF2-40B4-BE49-F238E27FC236}">
              <a16:creationId xmlns="" xmlns:a16="http://schemas.microsoft.com/office/drawing/2014/main" id="{00000000-0008-0000-0000-00006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0" name="Text Box 3079">
          <a:extLst>
            <a:ext uri="{FF2B5EF4-FFF2-40B4-BE49-F238E27FC236}">
              <a16:creationId xmlns="" xmlns:a16="http://schemas.microsoft.com/office/drawing/2014/main" id="{00000000-0008-0000-0000-00006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1" name="Text Box 3080">
          <a:extLst>
            <a:ext uri="{FF2B5EF4-FFF2-40B4-BE49-F238E27FC236}">
              <a16:creationId xmlns="" xmlns:a16="http://schemas.microsoft.com/office/drawing/2014/main" id="{00000000-0008-0000-0000-00006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2" name="Text Box 3081">
          <a:extLst>
            <a:ext uri="{FF2B5EF4-FFF2-40B4-BE49-F238E27FC236}">
              <a16:creationId xmlns="" xmlns:a16="http://schemas.microsoft.com/office/drawing/2014/main" id="{00000000-0008-0000-0000-00006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3" name="Text Box 3082">
          <a:extLst>
            <a:ext uri="{FF2B5EF4-FFF2-40B4-BE49-F238E27FC236}">
              <a16:creationId xmlns="" xmlns:a16="http://schemas.microsoft.com/office/drawing/2014/main" id="{00000000-0008-0000-0000-00006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4" name="Text Box 3083">
          <a:extLst>
            <a:ext uri="{FF2B5EF4-FFF2-40B4-BE49-F238E27FC236}">
              <a16:creationId xmlns="" xmlns:a16="http://schemas.microsoft.com/office/drawing/2014/main" id="{00000000-0008-0000-0000-00007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5" name="Text Box 3084">
          <a:extLst>
            <a:ext uri="{FF2B5EF4-FFF2-40B4-BE49-F238E27FC236}">
              <a16:creationId xmlns="" xmlns:a16="http://schemas.microsoft.com/office/drawing/2014/main" id="{00000000-0008-0000-0000-00007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6" name="Text Box 3085">
          <a:extLst>
            <a:ext uri="{FF2B5EF4-FFF2-40B4-BE49-F238E27FC236}">
              <a16:creationId xmlns="" xmlns:a16="http://schemas.microsoft.com/office/drawing/2014/main" id="{00000000-0008-0000-0000-00007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7" name="Text Box 3086">
          <a:extLst>
            <a:ext uri="{FF2B5EF4-FFF2-40B4-BE49-F238E27FC236}">
              <a16:creationId xmlns="" xmlns:a16="http://schemas.microsoft.com/office/drawing/2014/main" id="{00000000-0008-0000-0000-00007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8" name="Text Box 3087">
          <a:extLst>
            <a:ext uri="{FF2B5EF4-FFF2-40B4-BE49-F238E27FC236}">
              <a16:creationId xmlns="" xmlns:a16="http://schemas.microsoft.com/office/drawing/2014/main" id="{00000000-0008-0000-0000-00007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9" name="Text Box 3088">
          <a:extLst>
            <a:ext uri="{FF2B5EF4-FFF2-40B4-BE49-F238E27FC236}">
              <a16:creationId xmlns="" xmlns:a16="http://schemas.microsoft.com/office/drawing/2014/main" id="{00000000-0008-0000-0000-00007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0" name="Text Box 3089">
          <a:extLst>
            <a:ext uri="{FF2B5EF4-FFF2-40B4-BE49-F238E27FC236}">
              <a16:creationId xmlns="" xmlns:a16="http://schemas.microsoft.com/office/drawing/2014/main" id="{00000000-0008-0000-0000-00007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1" name="Text Box 3090">
          <a:extLst>
            <a:ext uri="{FF2B5EF4-FFF2-40B4-BE49-F238E27FC236}">
              <a16:creationId xmlns="" xmlns:a16="http://schemas.microsoft.com/office/drawing/2014/main" id="{00000000-0008-0000-0000-00007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2" name="Text Box 3091">
          <a:extLst>
            <a:ext uri="{FF2B5EF4-FFF2-40B4-BE49-F238E27FC236}">
              <a16:creationId xmlns="" xmlns:a16="http://schemas.microsoft.com/office/drawing/2014/main" id="{00000000-0008-0000-0000-00007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3" name="Text Box 3092">
          <a:extLst>
            <a:ext uri="{FF2B5EF4-FFF2-40B4-BE49-F238E27FC236}">
              <a16:creationId xmlns="" xmlns:a16="http://schemas.microsoft.com/office/drawing/2014/main" id="{00000000-0008-0000-0000-00007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4" name="Text Box 3093">
          <a:extLst>
            <a:ext uri="{FF2B5EF4-FFF2-40B4-BE49-F238E27FC236}">
              <a16:creationId xmlns="" xmlns:a16="http://schemas.microsoft.com/office/drawing/2014/main" id="{00000000-0008-0000-0000-00007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5" name="Text Box 3094">
          <a:extLst>
            <a:ext uri="{FF2B5EF4-FFF2-40B4-BE49-F238E27FC236}">
              <a16:creationId xmlns="" xmlns:a16="http://schemas.microsoft.com/office/drawing/2014/main" id="{00000000-0008-0000-0000-00007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6" name="Text Box 3095">
          <a:extLst>
            <a:ext uri="{FF2B5EF4-FFF2-40B4-BE49-F238E27FC236}">
              <a16:creationId xmlns="" xmlns:a16="http://schemas.microsoft.com/office/drawing/2014/main" id="{00000000-0008-0000-0000-00007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7" name="Text Box 3096">
          <a:extLst>
            <a:ext uri="{FF2B5EF4-FFF2-40B4-BE49-F238E27FC236}">
              <a16:creationId xmlns="" xmlns:a16="http://schemas.microsoft.com/office/drawing/2014/main" id="{00000000-0008-0000-0000-00007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8" name="Text Box 3097">
          <a:extLst>
            <a:ext uri="{FF2B5EF4-FFF2-40B4-BE49-F238E27FC236}">
              <a16:creationId xmlns="" xmlns:a16="http://schemas.microsoft.com/office/drawing/2014/main" id="{00000000-0008-0000-0000-00007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9" name="Text Box 3098">
          <a:extLst>
            <a:ext uri="{FF2B5EF4-FFF2-40B4-BE49-F238E27FC236}">
              <a16:creationId xmlns="" xmlns:a16="http://schemas.microsoft.com/office/drawing/2014/main" id="{00000000-0008-0000-0000-00007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0" name="Text Box 3099">
          <a:extLst>
            <a:ext uri="{FF2B5EF4-FFF2-40B4-BE49-F238E27FC236}">
              <a16:creationId xmlns="" xmlns:a16="http://schemas.microsoft.com/office/drawing/2014/main" id="{00000000-0008-0000-0000-00008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1" name="Text Box 3100">
          <a:extLst>
            <a:ext uri="{FF2B5EF4-FFF2-40B4-BE49-F238E27FC236}">
              <a16:creationId xmlns="" xmlns:a16="http://schemas.microsoft.com/office/drawing/2014/main" id="{00000000-0008-0000-0000-00008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2" name="Text Box 3101">
          <a:extLst>
            <a:ext uri="{FF2B5EF4-FFF2-40B4-BE49-F238E27FC236}">
              <a16:creationId xmlns="" xmlns:a16="http://schemas.microsoft.com/office/drawing/2014/main" id="{00000000-0008-0000-0000-00008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643" name="Text Box 3102">
          <a:extLst>
            <a:ext uri="{FF2B5EF4-FFF2-40B4-BE49-F238E27FC236}">
              <a16:creationId xmlns="" xmlns:a16="http://schemas.microsoft.com/office/drawing/2014/main" id="{00000000-0008-0000-0000-00008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4" name="Text Box 59">
          <a:extLst>
            <a:ext uri="{FF2B5EF4-FFF2-40B4-BE49-F238E27FC236}">
              <a16:creationId xmlns="" xmlns:a16="http://schemas.microsoft.com/office/drawing/2014/main" id="{00000000-0008-0000-0000-00008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5" name="Text Box 60">
          <a:extLst>
            <a:ext uri="{FF2B5EF4-FFF2-40B4-BE49-F238E27FC236}">
              <a16:creationId xmlns="" xmlns:a16="http://schemas.microsoft.com/office/drawing/2014/main" id="{00000000-0008-0000-0000-00008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6" name="Text Box 61">
          <a:extLst>
            <a:ext uri="{FF2B5EF4-FFF2-40B4-BE49-F238E27FC236}">
              <a16:creationId xmlns="" xmlns:a16="http://schemas.microsoft.com/office/drawing/2014/main" id="{00000000-0008-0000-0000-00008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7" name="Text Box 62">
          <a:extLst>
            <a:ext uri="{FF2B5EF4-FFF2-40B4-BE49-F238E27FC236}">
              <a16:creationId xmlns="" xmlns:a16="http://schemas.microsoft.com/office/drawing/2014/main" id="{00000000-0008-0000-0000-00008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8" name="Text Box 63">
          <a:extLst>
            <a:ext uri="{FF2B5EF4-FFF2-40B4-BE49-F238E27FC236}">
              <a16:creationId xmlns=""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9" name="Text Box 64">
          <a:extLst>
            <a:ext uri="{FF2B5EF4-FFF2-40B4-BE49-F238E27FC236}">
              <a16:creationId xmlns=""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0" name="Text Box 65">
          <a:extLst>
            <a:ext uri="{FF2B5EF4-FFF2-40B4-BE49-F238E27FC236}">
              <a16:creationId xmlns=""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1" name="Text Box 66">
          <a:extLst>
            <a:ext uri="{FF2B5EF4-FFF2-40B4-BE49-F238E27FC236}">
              <a16:creationId xmlns=""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2" name="Text Box 67">
          <a:extLst>
            <a:ext uri="{FF2B5EF4-FFF2-40B4-BE49-F238E27FC236}">
              <a16:creationId xmlns=""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3" name="Text Box 68">
          <a:extLst>
            <a:ext uri="{FF2B5EF4-FFF2-40B4-BE49-F238E27FC236}">
              <a16:creationId xmlns=""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4" name="Text Box 69">
          <a:extLst>
            <a:ext uri="{FF2B5EF4-FFF2-40B4-BE49-F238E27FC236}">
              <a16:creationId xmlns=""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5" name="Text Box 70">
          <a:extLst>
            <a:ext uri="{FF2B5EF4-FFF2-40B4-BE49-F238E27FC236}">
              <a16:creationId xmlns=""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6" name="Text Box 71">
          <a:extLst>
            <a:ext uri="{FF2B5EF4-FFF2-40B4-BE49-F238E27FC236}">
              <a16:creationId xmlns=""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7" name="Text Box 72">
          <a:extLst>
            <a:ext uri="{FF2B5EF4-FFF2-40B4-BE49-F238E27FC236}">
              <a16:creationId xmlns=""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8" name="Text Box 73">
          <a:extLst>
            <a:ext uri="{FF2B5EF4-FFF2-40B4-BE49-F238E27FC236}">
              <a16:creationId xmlns=""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9" name="Text Box 74">
          <a:extLst>
            <a:ext uri="{FF2B5EF4-FFF2-40B4-BE49-F238E27FC236}">
              <a16:creationId xmlns=""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0" name="Text Box 75">
          <a:extLst>
            <a:ext uri="{FF2B5EF4-FFF2-40B4-BE49-F238E27FC236}">
              <a16:creationId xmlns=""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1" name="Text Box 76">
          <a:extLst>
            <a:ext uri="{FF2B5EF4-FFF2-40B4-BE49-F238E27FC236}">
              <a16:creationId xmlns=""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2" name="Text Box 77">
          <a:extLst>
            <a:ext uri="{FF2B5EF4-FFF2-40B4-BE49-F238E27FC236}">
              <a16:creationId xmlns=""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3" name="Text Box 78">
          <a:extLst>
            <a:ext uri="{FF2B5EF4-FFF2-40B4-BE49-F238E27FC236}">
              <a16:creationId xmlns=""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4" name="Text Box 79">
          <a:extLst>
            <a:ext uri="{FF2B5EF4-FFF2-40B4-BE49-F238E27FC236}">
              <a16:creationId xmlns=""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5" name="Text Box 80">
          <a:extLst>
            <a:ext uri="{FF2B5EF4-FFF2-40B4-BE49-F238E27FC236}">
              <a16:creationId xmlns=""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6" name="Text Box 81">
          <a:extLst>
            <a:ext uri="{FF2B5EF4-FFF2-40B4-BE49-F238E27FC236}">
              <a16:creationId xmlns=""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7" name="Text Box 3079">
          <a:extLst>
            <a:ext uri="{FF2B5EF4-FFF2-40B4-BE49-F238E27FC236}">
              <a16:creationId xmlns=""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8" name="Text Box 3080">
          <a:extLst>
            <a:ext uri="{FF2B5EF4-FFF2-40B4-BE49-F238E27FC236}">
              <a16:creationId xmlns=""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9" name="Text Box 3081">
          <a:extLst>
            <a:ext uri="{FF2B5EF4-FFF2-40B4-BE49-F238E27FC236}">
              <a16:creationId xmlns=""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0" name="Text Box 3082">
          <a:extLst>
            <a:ext uri="{FF2B5EF4-FFF2-40B4-BE49-F238E27FC236}">
              <a16:creationId xmlns=""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1" name="Text Box 3083">
          <a:extLst>
            <a:ext uri="{FF2B5EF4-FFF2-40B4-BE49-F238E27FC236}">
              <a16:creationId xmlns=""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2" name="Text Box 3084">
          <a:extLst>
            <a:ext uri="{FF2B5EF4-FFF2-40B4-BE49-F238E27FC236}">
              <a16:creationId xmlns=""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3" name="Text Box 3085">
          <a:extLst>
            <a:ext uri="{FF2B5EF4-FFF2-40B4-BE49-F238E27FC236}">
              <a16:creationId xmlns=""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4" name="Text Box 3086">
          <a:extLst>
            <a:ext uri="{FF2B5EF4-FFF2-40B4-BE49-F238E27FC236}">
              <a16:creationId xmlns=""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5" name="Text Box 3087">
          <a:extLst>
            <a:ext uri="{FF2B5EF4-FFF2-40B4-BE49-F238E27FC236}">
              <a16:creationId xmlns=""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6" name="Text Box 3088">
          <a:extLst>
            <a:ext uri="{FF2B5EF4-FFF2-40B4-BE49-F238E27FC236}">
              <a16:creationId xmlns=""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7" name="Text Box 3089">
          <a:extLst>
            <a:ext uri="{FF2B5EF4-FFF2-40B4-BE49-F238E27FC236}">
              <a16:creationId xmlns=""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8" name="Text Box 3090">
          <a:extLst>
            <a:ext uri="{FF2B5EF4-FFF2-40B4-BE49-F238E27FC236}">
              <a16:creationId xmlns=""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9" name="Text Box 3091">
          <a:extLst>
            <a:ext uri="{FF2B5EF4-FFF2-40B4-BE49-F238E27FC236}">
              <a16:creationId xmlns=""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0" name="Text Box 3092">
          <a:extLst>
            <a:ext uri="{FF2B5EF4-FFF2-40B4-BE49-F238E27FC236}">
              <a16:creationId xmlns=""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1" name="Text Box 3093">
          <a:extLst>
            <a:ext uri="{FF2B5EF4-FFF2-40B4-BE49-F238E27FC236}">
              <a16:creationId xmlns=""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2" name="Text Box 3094">
          <a:extLst>
            <a:ext uri="{FF2B5EF4-FFF2-40B4-BE49-F238E27FC236}">
              <a16:creationId xmlns=""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3" name="Text Box 3095">
          <a:extLst>
            <a:ext uri="{FF2B5EF4-FFF2-40B4-BE49-F238E27FC236}">
              <a16:creationId xmlns=""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4" name="Text Box 3096">
          <a:extLst>
            <a:ext uri="{FF2B5EF4-FFF2-40B4-BE49-F238E27FC236}">
              <a16:creationId xmlns=""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5" name="Text Box 3097">
          <a:extLst>
            <a:ext uri="{FF2B5EF4-FFF2-40B4-BE49-F238E27FC236}">
              <a16:creationId xmlns=""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6" name="Text Box 3098">
          <a:extLst>
            <a:ext uri="{FF2B5EF4-FFF2-40B4-BE49-F238E27FC236}">
              <a16:creationId xmlns=""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7" name="Text Box 3099">
          <a:extLst>
            <a:ext uri="{FF2B5EF4-FFF2-40B4-BE49-F238E27FC236}">
              <a16:creationId xmlns=""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8" name="Text Box 3100">
          <a:extLst>
            <a:ext uri="{FF2B5EF4-FFF2-40B4-BE49-F238E27FC236}">
              <a16:creationId xmlns="" xmlns:a16="http://schemas.microsoft.com/office/drawing/2014/main" id="{00000000-0008-0000-0000-0000B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9" name="Text Box 3101">
          <a:extLst>
            <a:ext uri="{FF2B5EF4-FFF2-40B4-BE49-F238E27FC236}">
              <a16:creationId xmlns="" xmlns:a16="http://schemas.microsoft.com/office/drawing/2014/main" id="{00000000-0008-0000-0000-0000B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690" name="Text Box 3102">
          <a:extLst>
            <a:ext uri="{FF2B5EF4-FFF2-40B4-BE49-F238E27FC236}">
              <a16:creationId xmlns="" xmlns:a16="http://schemas.microsoft.com/office/drawing/2014/main" id="{00000000-0008-0000-0000-0000B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1" name="Text Box 59">
          <a:extLst>
            <a:ext uri="{FF2B5EF4-FFF2-40B4-BE49-F238E27FC236}">
              <a16:creationId xmlns="" xmlns:a16="http://schemas.microsoft.com/office/drawing/2014/main" id="{00000000-0008-0000-0000-0000B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2" name="Text Box 60">
          <a:extLst>
            <a:ext uri="{FF2B5EF4-FFF2-40B4-BE49-F238E27FC236}">
              <a16:creationId xmlns="" xmlns:a16="http://schemas.microsoft.com/office/drawing/2014/main" id="{00000000-0008-0000-0000-0000B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3" name="Text Box 61">
          <a:extLst>
            <a:ext uri="{FF2B5EF4-FFF2-40B4-BE49-F238E27FC236}">
              <a16:creationId xmlns="" xmlns:a16="http://schemas.microsoft.com/office/drawing/2014/main" id="{00000000-0008-0000-0000-0000B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4" name="Text Box 62">
          <a:extLst>
            <a:ext uri="{FF2B5EF4-FFF2-40B4-BE49-F238E27FC236}">
              <a16:creationId xmlns="" xmlns:a16="http://schemas.microsoft.com/office/drawing/2014/main" id="{00000000-0008-0000-0000-0000B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5" name="Text Box 63">
          <a:extLst>
            <a:ext uri="{FF2B5EF4-FFF2-40B4-BE49-F238E27FC236}">
              <a16:creationId xmlns="" xmlns:a16="http://schemas.microsoft.com/office/drawing/2014/main" id="{00000000-0008-0000-0000-0000B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6" name="Text Box 64">
          <a:extLst>
            <a:ext uri="{FF2B5EF4-FFF2-40B4-BE49-F238E27FC236}">
              <a16:creationId xmlns="" xmlns:a16="http://schemas.microsoft.com/office/drawing/2014/main" id="{00000000-0008-0000-0000-0000B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7" name="Text Box 65">
          <a:extLst>
            <a:ext uri="{FF2B5EF4-FFF2-40B4-BE49-F238E27FC236}">
              <a16:creationId xmlns="" xmlns:a16="http://schemas.microsoft.com/office/drawing/2014/main" id="{00000000-0008-0000-0000-0000B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8" name="Text Box 66">
          <a:extLst>
            <a:ext uri="{FF2B5EF4-FFF2-40B4-BE49-F238E27FC236}">
              <a16:creationId xmlns="" xmlns:a16="http://schemas.microsoft.com/office/drawing/2014/main" id="{00000000-0008-0000-0000-0000B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9" name="Text Box 67">
          <a:extLst>
            <a:ext uri="{FF2B5EF4-FFF2-40B4-BE49-F238E27FC236}">
              <a16:creationId xmlns="" xmlns:a16="http://schemas.microsoft.com/office/drawing/2014/main" id="{00000000-0008-0000-0000-0000B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0" name="Text Box 68">
          <a:extLst>
            <a:ext uri="{FF2B5EF4-FFF2-40B4-BE49-F238E27FC236}">
              <a16:creationId xmlns="" xmlns:a16="http://schemas.microsoft.com/office/drawing/2014/main" id="{00000000-0008-0000-0000-0000B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1" name="Text Box 69">
          <a:extLst>
            <a:ext uri="{FF2B5EF4-FFF2-40B4-BE49-F238E27FC236}">
              <a16:creationId xmlns="" xmlns:a16="http://schemas.microsoft.com/office/drawing/2014/main" id="{00000000-0008-0000-0000-0000B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2" name="Text Box 70">
          <a:extLst>
            <a:ext uri="{FF2B5EF4-FFF2-40B4-BE49-F238E27FC236}">
              <a16:creationId xmlns="" xmlns:a16="http://schemas.microsoft.com/office/drawing/2014/main" id="{00000000-0008-0000-0000-0000B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3" name="Text Box 71">
          <a:extLst>
            <a:ext uri="{FF2B5EF4-FFF2-40B4-BE49-F238E27FC236}">
              <a16:creationId xmlns="" xmlns:a16="http://schemas.microsoft.com/office/drawing/2014/main" id="{00000000-0008-0000-0000-0000B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4" name="Text Box 72">
          <a:extLst>
            <a:ext uri="{FF2B5EF4-FFF2-40B4-BE49-F238E27FC236}">
              <a16:creationId xmlns="" xmlns:a16="http://schemas.microsoft.com/office/drawing/2014/main" id="{00000000-0008-0000-0000-0000C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5" name="Text Box 73">
          <a:extLst>
            <a:ext uri="{FF2B5EF4-FFF2-40B4-BE49-F238E27FC236}">
              <a16:creationId xmlns="" xmlns:a16="http://schemas.microsoft.com/office/drawing/2014/main" id="{00000000-0008-0000-0000-0000C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6" name="Text Box 74">
          <a:extLst>
            <a:ext uri="{FF2B5EF4-FFF2-40B4-BE49-F238E27FC236}">
              <a16:creationId xmlns="" xmlns:a16="http://schemas.microsoft.com/office/drawing/2014/main" id="{00000000-0008-0000-0000-0000C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7" name="Text Box 75">
          <a:extLst>
            <a:ext uri="{FF2B5EF4-FFF2-40B4-BE49-F238E27FC236}">
              <a16:creationId xmlns="" xmlns:a16="http://schemas.microsoft.com/office/drawing/2014/main" id="{00000000-0008-0000-0000-0000C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8" name="Text Box 76">
          <a:extLst>
            <a:ext uri="{FF2B5EF4-FFF2-40B4-BE49-F238E27FC236}">
              <a16:creationId xmlns="" xmlns:a16="http://schemas.microsoft.com/office/drawing/2014/main" id="{00000000-0008-0000-0000-0000C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9" name="Text Box 77">
          <a:extLst>
            <a:ext uri="{FF2B5EF4-FFF2-40B4-BE49-F238E27FC236}">
              <a16:creationId xmlns="" xmlns:a16="http://schemas.microsoft.com/office/drawing/2014/main" id="{00000000-0008-0000-0000-0000C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0" name="Text Box 78">
          <a:extLst>
            <a:ext uri="{FF2B5EF4-FFF2-40B4-BE49-F238E27FC236}">
              <a16:creationId xmlns="" xmlns:a16="http://schemas.microsoft.com/office/drawing/2014/main" id="{00000000-0008-0000-0000-0000C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1" name="Text Box 79">
          <a:extLst>
            <a:ext uri="{FF2B5EF4-FFF2-40B4-BE49-F238E27FC236}">
              <a16:creationId xmlns="" xmlns:a16="http://schemas.microsoft.com/office/drawing/2014/main" id="{00000000-0008-0000-0000-0000C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2" name="Text Box 80">
          <a:extLst>
            <a:ext uri="{FF2B5EF4-FFF2-40B4-BE49-F238E27FC236}">
              <a16:creationId xmlns="" xmlns:a16="http://schemas.microsoft.com/office/drawing/2014/main" id="{00000000-0008-0000-0000-0000C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3" name="Text Box 81">
          <a:extLst>
            <a:ext uri="{FF2B5EF4-FFF2-40B4-BE49-F238E27FC236}">
              <a16:creationId xmlns="" xmlns:a16="http://schemas.microsoft.com/office/drawing/2014/main" id="{00000000-0008-0000-0000-0000C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714" name="Text Box 82">
          <a:extLst>
            <a:ext uri="{FF2B5EF4-FFF2-40B4-BE49-F238E27FC236}">
              <a16:creationId xmlns="" xmlns:a16="http://schemas.microsoft.com/office/drawing/2014/main" id="{00000000-0008-0000-0000-0000C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5" name="Text Box 3079">
          <a:extLst>
            <a:ext uri="{FF2B5EF4-FFF2-40B4-BE49-F238E27FC236}">
              <a16:creationId xmlns="" xmlns:a16="http://schemas.microsoft.com/office/drawing/2014/main" id="{00000000-0008-0000-0000-0000C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6" name="Text Box 3080">
          <a:extLst>
            <a:ext uri="{FF2B5EF4-FFF2-40B4-BE49-F238E27FC236}">
              <a16:creationId xmlns="" xmlns:a16="http://schemas.microsoft.com/office/drawing/2014/main" id="{00000000-0008-0000-0000-0000C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7" name="Text Box 3081">
          <a:extLst>
            <a:ext uri="{FF2B5EF4-FFF2-40B4-BE49-F238E27FC236}">
              <a16:creationId xmlns="" xmlns:a16="http://schemas.microsoft.com/office/drawing/2014/main" id="{00000000-0008-0000-0000-0000C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8" name="Text Box 3082">
          <a:extLst>
            <a:ext uri="{FF2B5EF4-FFF2-40B4-BE49-F238E27FC236}">
              <a16:creationId xmlns="" xmlns:a16="http://schemas.microsoft.com/office/drawing/2014/main" id="{00000000-0008-0000-0000-0000C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9" name="Text Box 3083">
          <a:extLst>
            <a:ext uri="{FF2B5EF4-FFF2-40B4-BE49-F238E27FC236}">
              <a16:creationId xmlns="" xmlns:a16="http://schemas.microsoft.com/office/drawing/2014/main" id="{00000000-0008-0000-0000-0000C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0" name="Text Box 3084">
          <a:extLst>
            <a:ext uri="{FF2B5EF4-FFF2-40B4-BE49-F238E27FC236}">
              <a16:creationId xmlns="" xmlns:a16="http://schemas.microsoft.com/office/drawing/2014/main" id="{00000000-0008-0000-0000-0000D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1" name="Text Box 3085">
          <a:extLst>
            <a:ext uri="{FF2B5EF4-FFF2-40B4-BE49-F238E27FC236}">
              <a16:creationId xmlns="" xmlns:a16="http://schemas.microsoft.com/office/drawing/2014/main" id="{00000000-0008-0000-0000-0000D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2" name="Text Box 3086">
          <a:extLst>
            <a:ext uri="{FF2B5EF4-FFF2-40B4-BE49-F238E27FC236}">
              <a16:creationId xmlns="" xmlns:a16="http://schemas.microsoft.com/office/drawing/2014/main" id="{00000000-0008-0000-0000-0000D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3" name="Text Box 3087">
          <a:extLst>
            <a:ext uri="{FF2B5EF4-FFF2-40B4-BE49-F238E27FC236}">
              <a16:creationId xmlns="" xmlns:a16="http://schemas.microsoft.com/office/drawing/2014/main" id="{00000000-0008-0000-0000-0000D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4" name="Text Box 3088">
          <a:extLst>
            <a:ext uri="{FF2B5EF4-FFF2-40B4-BE49-F238E27FC236}">
              <a16:creationId xmlns="" xmlns:a16="http://schemas.microsoft.com/office/drawing/2014/main" id="{00000000-0008-0000-0000-0000D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5" name="Text Box 3089">
          <a:extLst>
            <a:ext uri="{FF2B5EF4-FFF2-40B4-BE49-F238E27FC236}">
              <a16:creationId xmlns="" xmlns:a16="http://schemas.microsoft.com/office/drawing/2014/main" id="{00000000-0008-0000-0000-0000D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6" name="Text Box 3090">
          <a:extLst>
            <a:ext uri="{FF2B5EF4-FFF2-40B4-BE49-F238E27FC236}">
              <a16:creationId xmlns="" xmlns:a16="http://schemas.microsoft.com/office/drawing/2014/main" id="{00000000-0008-0000-0000-0000D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7" name="Text Box 3091">
          <a:extLst>
            <a:ext uri="{FF2B5EF4-FFF2-40B4-BE49-F238E27FC236}">
              <a16:creationId xmlns="" xmlns:a16="http://schemas.microsoft.com/office/drawing/2014/main" id="{00000000-0008-0000-0000-0000D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8" name="Text Box 3092">
          <a:extLst>
            <a:ext uri="{FF2B5EF4-FFF2-40B4-BE49-F238E27FC236}">
              <a16:creationId xmlns="" xmlns:a16="http://schemas.microsoft.com/office/drawing/2014/main" id="{00000000-0008-0000-0000-0000D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9" name="Text Box 3093">
          <a:extLst>
            <a:ext uri="{FF2B5EF4-FFF2-40B4-BE49-F238E27FC236}">
              <a16:creationId xmlns="" xmlns:a16="http://schemas.microsoft.com/office/drawing/2014/main" id="{00000000-0008-0000-0000-0000D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0" name="Text Box 3094">
          <a:extLst>
            <a:ext uri="{FF2B5EF4-FFF2-40B4-BE49-F238E27FC236}">
              <a16:creationId xmlns="" xmlns:a16="http://schemas.microsoft.com/office/drawing/2014/main" id="{00000000-0008-0000-0000-0000D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1" name="Text Box 3095">
          <a:extLst>
            <a:ext uri="{FF2B5EF4-FFF2-40B4-BE49-F238E27FC236}">
              <a16:creationId xmlns="" xmlns:a16="http://schemas.microsoft.com/office/drawing/2014/main" id="{00000000-0008-0000-0000-0000D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2" name="Text Box 3096">
          <a:extLst>
            <a:ext uri="{FF2B5EF4-FFF2-40B4-BE49-F238E27FC236}">
              <a16:creationId xmlns="" xmlns:a16="http://schemas.microsoft.com/office/drawing/2014/main" id="{00000000-0008-0000-0000-0000D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3" name="Text Box 3097">
          <a:extLst>
            <a:ext uri="{FF2B5EF4-FFF2-40B4-BE49-F238E27FC236}">
              <a16:creationId xmlns="" xmlns:a16="http://schemas.microsoft.com/office/drawing/2014/main" id="{00000000-0008-0000-0000-0000D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4" name="Text Box 3098">
          <a:extLst>
            <a:ext uri="{FF2B5EF4-FFF2-40B4-BE49-F238E27FC236}">
              <a16:creationId xmlns="" xmlns:a16="http://schemas.microsoft.com/office/drawing/2014/main" id="{00000000-0008-0000-0000-0000D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5" name="Text Box 3099">
          <a:extLst>
            <a:ext uri="{FF2B5EF4-FFF2-40B4-BE49-F238E27FC236}">
              <a16:creationId xmlns="" xmlns:a16="http://schemas.microsoft.com/office/drawing/2014/main" id="{00000000-0008-0000-0000-0000D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6" name="Text Box 3100">
          <a:extLst>
            <a:ext uri="{FF2B5EF4-FFF2-40B4-BE49-F238E27FC236}">
              <a16:creationId xmlns="" xmlns:a16="http://schemas.microsoft.com/office/drawing/2014/main" id="{00000000-0008-0000-0000-0000E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7" name="Text Box 3101">
          <a:extLst>
            <a:ext uri="{FF2B5EF4-FFF2-40B4-BE49-F238E27FC236}">
              <a16:creationId xmlns="" xmlns:a16="http://schemas.microsoft.com/office/drawing/2014/main" id="{00000000-0008-0000-0000-0000E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38" name="Text Box 3102">
          <a:extLst>
            <a:ext uri="{FF2B5EF4-FFF2-40B4-BE49-F238E27FC236}">
              <a16:creationId xmlns="" xmlns:a16="http://schemas.microsoft.com/office/drawing/2014/main" id="{00000000-0008-0000-0000-0000E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39" name="Text Box 59">
          <a:extLst>
            <a:ext uri="{FF2B5EF4-FFF2-40B4-BE49-F238E27FC236}">
              <a16:creationId xmlns="" xmlns:a16="http://schemas.microsoft.com/office/drawing/2014/main" id="{00000000-0008-0000-0000-0000E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0" name="Text Box 60">
          <a:extLst>
            <a:ext uri="{FF2B5EF4-FFF2-40B4-BE49-F238E27FC236}">
              <a16:creationId xmlns="" xmlns:a16="http://schemas.microsoft.com/office/drawing/2014/main" id="{00000000-0008-0000-0000-0000E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1" name="Text Box 61">
          <a:extLst>
            <a:ext uri="{FF2B5EF4-FFF2-40B4-BE49-F238E27FC236}">
              <a16:creationId xmlns="" xmlns:a16="http://schemas.microsoft.com/office/drawing/2014/main" id="{00000000-0008-0000-0000-0000E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2" name="Text Box 62">
          <a:extLst>
            <a:ext uri="{FF2B5EF4-FFF2-40B4-BE49-F238E27FC236}">
              <a16:creationId xmlns="" xmlns:a16="http://schemas.microsoft.com/office/drawing/2014/main" id="{00000000-0008-0000-0000-0000E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3" name="Text Box 63">
          <a:extLst>
            <a:ext uri="{FF2B5EF4-FFF2-40B4-BE49-F238E27FC236}">
              <a16:creationId xmlns="" xmlns:a16="http://schemas.microsoft.com/office/drawing/2014/main" id="{00000000-0008-0000-0000-0000E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4" name="Text Box 64">
          <a:extLst>
            <a:ext uri="{FF2B5EF4-FFF2-40B4-BE49-F238E27FC236}">
              <a16:creationId xmlns="" xmlns:a16="http://schemas.microsoft.com/office/drawing/2014/main" id="{00000000-0008-0000-0000-0000E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5" name="Text Box 65">
          <a:extLst>
            <a:ext uri="{FF2B5EF4-FFF2-40B4-BE49-F238E27FC236}">
              <a16:creationId xmlns="" xmlns:a16="http://schemas.microsoft.com/office/drawing/2014/main" id="{00000000-0008-0000-0000-0000E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6" name="Text Box 66">
          <a:extLst>
            <a:ext uri="{FF2B5EF4-FFF2-40B4-BE49-F238E27FC236}">
              <a16:creationId xmlns="" xmlns:a16="http://schemas.microsoft.com/office/drawing/2014/main" id="{00000000-0008-0000-0000-0000E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7" name="Text Box 67">
          <a:extLst>
            <a:ext uri="{FF2B5EF4-FFF2-40B4-BE49-F238E27FC236}">
              <a16:creationId xmlns="" xmlns:a16="http://schemas.microsoft.com/office/drawing/2014/main" id="{00000000-0008-0000-0000-0000E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8" name="Text Box 68">
          <a:extLst>
            <a:ext uri="{FF2B5EF4-FFF2-40B4-BE49-F238E27FC236}">
              <a16:creationId xmlns="" xmlns:a16="http://schemas.microsoft.com/office/drawing/2014/main" id="{00000000-0008-0000-0000-0000E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9" name="Text Box 69">
          <a:extLst>
            <a:ext uri="{FF2B5EF4-FFF2-40B4-BE49-F238E27FC236}">
              <a16:creationId xmlns="" xmlns:a16="http://schemas.microsoft.com/office/drawing/2014/main" id="{00000000-0008-0000-0000-0000E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0" name="Text Box 70">
          <a:extLst>
            <a:ext uri="{FF2B5EF4-FFF2-40B4-BE49-F238E27FC236}">
              <a16:creationId xmlns="" xmlns:a16="http://schemas.microsoft.com/office/drawing/2014/main" id="{00000000-0008-0000-0000-0000E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1" name="Text Box 71">
          <a:extLst>
            <a:ext uri="{FF2B5EF4-FFF2-40B4-BE49-F238E27FC236}">
              <a16:creationId xmlns="" xmlns:a16="http://schemas.microsoft.com/office/drawing/2014/main" id="{00000000-0008-0000-0000-0000E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2" name="Text Box 72">
          <a:extLst>
            <a:ext uri="{FF2B5EF4-FFF2-40B4-BE49-F238E27FC236}">
              <a16:creationId xmlns="" xmlns:a16="http://schemas.microsoft.com/office/drawing/2014/main" id="{00000000-0008-0000-0000-0000F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3" name="Text Box 73">
          <a:extLst>
            <a:ext uri="{FF2B5EF4-FFF2-40B4-BE49-F238E27FC236}">
              <a16:creationId xmlns="" xmlns:a16="http://schemas.microsoft.com/office/drawing/2014/main" id="{00000000-0008-0000-0000-0000F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4" name="Text Box 74">
          <a:extLst>
            <a:ext uri="{FF2B5EF4-FFF2-40B4-BE49-F238E27FC236}">
              <a16:creationId xmlns="" xmlns:a16="http://schemas.microsoft.com/office/drawing/2014/main" id="{00000000-0008-0000-0000-0000F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5" name="Text Box 75">
          <a:extLst>
            <a:ext uri="{FF2B5EF4-FFF2-40B4-BE49-F238E27FC236}">
              <a16:creationId xmlns="" xmlns:a16="http://schemas.microsoft.com/office/drawing/2014/main" id="{00000000-0008-0000-0000-0000F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6" name="Text Box 76">
          <a:extLst>
            <a:ext uri="{FF2B5EF4-FFF2-40B4-BE49-F238E27FC236}">
              <a16:creationId xmlns="" xmlns:a16="http://schemas.microsoft.com/office/drawing/2014/main" id="{00000000-0008-0000-0000-0000F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7" name="Text Box 77">
          <a:extLst>
            <a:ext uri="{FF2B5EF4-FFF2-40B4-BE49-F238E27FC236}">
              <a16:creationId xmlns="" xmlns:a16="http://schemas.microsoft.com/office/drawing/2014/main" id="{00000000-0008-0000-0000-0000F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8" name="Text Box 78">
          <a:extLst>
            <a:ext uri="{FF2B5EF4-FFF2-40B4-BE49-F238E27FC236}">
              <a16:creationId xmlns="" xmlns:a16="http://schemas.microsoft.com/office/drawing/2014/main" id="{00000000-0008-0000-0000-0000F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9" name="Text Box 79">
          <a:extLst>
            <a:ext uri="{FF2B5EF4-FFF2-40B4-BE49-F238E27FC236}">
              <a16:creationId xmlns="" xmlns:a16="http://schemas.microsoft.com/office/drawing/2014/main" id="{00000000-0008-0000-0000-0000F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0" name="Text Box 80">
          <a:extLst>
            <a:ext uri="{FF2B5EF4-FFF2-40B4-BE49-F238E27FC236}">
              <a16:creationId xmlns="" xmlns:a16="http://schemas.microsoft.com/office/drawing/2014/main" id="{00000000-0008-0000-0000-0000F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1" name="Text Box 81">
          <a:extLst>
            <a:ext uri="{FF2B5EF4-FFF2-40B4-BE49-F238E27FC236}">
              <a16:creationId xmlns="" xmlns:a16="http://schemas.microsoft.com/office/drawing/2014/main" id="{00000000-0008-0000-0000-0000F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2" name="Text Box 3079">
          <a:extLst>
            <a:ext uri="{FF2B5EF4-FFF2-40B4-BE49-F238E27FC236}">
              <a16:creationId xmlns="" xmlns:a16="http://schemas.microsoft.com/office/drawing/2014/main" id="{00000000-0008-0000-0000-0000F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3" name="Text Box 3080">
          <a:extLst>
            <a:ext uri="{FF2B5EF4-FFF2-40B4-BE49-F238E27FC236}">
              <a16:creationId xmlns="" xmlns:a16="http://schemas.microsoft.com/office/drawing/2014/main" id="{00000000-0008-0000-0000-0000F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4" name="Text Box 3081">
          <a:extLst>
            <a:ext uri="{FF2B5EF4-FFF2-40B4-BE49-F238E27FC236}">
              <a16:creationId xmlns="" xmlns:a16="http://schemas.microsoft.com/office/drawing/2014/main" id="{00000000-0008-0000-0000-0000F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5" name="Text Box 3082">
          <a:extLst>
            <a:ext uri="{FF2B5EF4-FFF2-40B4-BE49-F238E27FC236}">
              <a16:creationId xmlns="" xmlns:a16="http://schemas.microsoft.com/office/drawing/2014/main" id="{00000000-0008-0000-0000-0000F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6" name="Text Box 3083">
          <a:extLst>
            <a:ext uri="{FF2B5EF4-FFF2-40B4-BE49-F238E27FC236}">
              <a16:creationId xmlns="" xmlns:a16="http://schemas.microsoft.com/office/drawing/2014/main" id="{00000000-0008-0000-0000-0000F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7" name="Text Box 3084">
          <a:extLst>
            <a:ext uri="{FF2B5EF4-FFF2-40B4-BE49-F238E27FC236}">
              <a16:creationId xmlns="" xmlns:a16="http://schemas.microsoft.com/office/drawing/2014/main" id="{00000000-0008-0000-0000-0000F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8" name="Text Box 3085">
          <a:extLst>
            <a:ext uri="{FF2B5EF4-FFF2-40B4-BE49-F238E27FC236}">
              <a16:creationId xmlns="" xmlns:a16="http://schemas.microsoft.com/office/drawing/2014/main" id="{00000000-0008-0000-0000-00000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9" name="Text Box 3086">
          <a:extLst>
            <a:ext uri="{FF2B5EF4-FFF2-40B4-BE49-F238E27FC236}">
              <a16:creationId xmlns="" xmlns:a16="http://schemas.microsoft.com/office/drawing/2014/main" id="{00000000-0008-0000-0000-00000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0" name="Text Box 3087">
          <a:extLst>
            <a:ext uri="{FF2B5EF4-FFF2-40B4-BE49-F238E27FC236}">
              <a16:creationId xmlns="" xmlns:a16="http://schemas.microsoft.com/office/drawing/2014/main" id="{00000000-0008-0000-0000-00000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1" name="Text Box 3088">
          <a:extLst>
            <a:ext uri="{FF2B5EF4-FFF2-40B4-BE49-F238E27FC236}">
              <a16:creationId xmlns="" xmlns:a16="http://schemas.microsoft.com/office/drawing/2014/main" id="{00000000-0008-0000-0000-00000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2" name="Text Box 3089">
          <a:extLst>
            <a:ext uri="{FF2B5EF4-FFF2-40B4-BE49-F238E27FC236}">
              <a16:creationId xmlns="" xmlns:a16="http://schemas.microsoft.com/office/drawing/2014/main" id="{00000000-0008-0000-0000-00000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3" name="Text Box 3090">
          <a:extLst>
            <a:ext uri="{FF2B5EF4-FFF2-40B4-BE49-F238E27FC236}">
              <a16:creationId xmlns="" xmlns:a16="http://schemas.microsoft.com/office/drawing/2014/main" id="{00000000-0008-0000-0000-00000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4" name="Text Box 3091">
          <a:extLst>
            <a:ext uri="{FF2B5EF4-FFF2-40B4-BE49-F238E27FC236}">
              <a16:creationId xmlns="" xmlns:a16="http://schemas.microsoft.com/office/drawing/2014/main" id="{00000000-0008-0000-0000-00000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5" name="Text Box 3092">
          <a:extLst>
            <a:ext uri="{FF2B5EF4-FFF2-40B4-BE49-F238E27FC236}">
              <a16:creationId xmlns="" xmlns:a16="http://schemas.microsoft.com/office/drawing/2014/main" id="{00000000-0008-0000-0000-00000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6" name="Text Box 3093">
          <a:extLst>
            <a:ext uri="{FF2B5EF4-FFF2-40B4-BE49-F238E27FC236}">
              <a16:creationId xmlns="" xmlns:a16="http://schemas.microsoft.com/office/drawing/2014/main" id="{00000000-0008-0000-0000-00000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7" name="Text Box 3094">
          <a:extLst>
            <a:ext uri="{FF2B5EF4-FFF2-40B4-BE49-F238E27FC236}">
              <a16:creationId xmlns="" xmlns:a16="http://schemas.microsoft.com/office/drawing/2014/main" id="{00000000-0008-0000-0000-00000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8" name="Text Box 3095">
          <a:extLst>
            <a:ext uri="{FF2B5EF4-FFF2-40B4-BE49-F238E27FC236}">
              <a16:creationId xmlns="" xmlns:a16="http://schemas.microsoft.com/office/drawing/2014/main" id="{00000000-0008-0000-0000-00000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9" name="Text Box 3096">
          <a:extLst>
            <a:ext uri="{FF2B5EF4-FFF2-40B4-BE49-F238E27FC236}">
              <a16:creationId xmlns="" xmlns:a16="http://schemas.microsoft.com/office/drawing/2014/main" id="{00000000-0008-0000-0000-00000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0" name="Text Box 3097">
          <a:extLst>
            <a:ext uri="{FF2B5EF4-FFF2-40B4-BE49-F238E27FC236}">
              <a16:creationId xmlns="" xmlns:a16="http://schemas.microsoft.com/office/drawing/2014/main" id="{00000000-0008-0000-0000-00000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1" name="Text Box 3098">
          <a:extLst>
            <a:ext uri="{FF2B5EF4-FFF2-40B4-BE49-F238E27FC236}">
              <a16:creationId xmlns="" xmlns:a16="http://schemas.microsoft.com/office/drawing/2014/main" id="{00000000-0008-0000-0000-00000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2" name="Text Box 3099">
          <a:extLst>
            <a:ext uri="{FF2B5EF4-FFF2-40B4-BE49-F238E27FC236}">
              <a16:creationId xmlns="" xmlns:a16="http://schemas.microsoft.com/office/drawing/2014/main" id="{00000000-0008-0000-0000-00000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3" name="Text Box 3100">
          <a:extLst>
            <a:ext uri="{FF2B5EF4-FFF2-40B4-BE49-F238E27FC236}">
              <a16:creationId xmlns="" xmlns:a16="http://schemas.microsoft.com/office/drawing/2014/main" id="{00000000-0008-0000-0000-00000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4" name="Text Box 3101">
          <a:extLst>
            <a:ext uri="{FF2B5EF4-FFF2-40B4-BE49-F238E27FC236}">
              <a16:creationId xmlns="" xmlns:a16="http://schemas.microsoft.com/office/drawing/2014/main" id="{00000000-0008-0000-0000-00001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85" name="Text Box 3102">
          <a:extLst>
            <a:ext uri="{FF2B5EF4-FFF2-40B4-BE49-F238E27FC236}">
              <a16:creationId xmlns="" xmlns:a16="http://schemas.microsoft.com/office/drawing/2014/main" id="{00000000-0008-0000-0000-00001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6" name="Text Box 59">
          <a:extLst>
            <a:ext uri="{FF2B5EF4-FFF2-40B4-BE49-F238E27FC236}">
              <a16:creationId xmlns="" xmlns:a16="http://schemas.microsoft.com/office/drawing/2014/main" id="{00000000-0008-0000-0000-00001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7" name="Text Box 60">
          <a:extLst>
            <a:ext uri="{FF2B5EF4-FFF2-40B4-BE49-F238E27FC236}">
              <a16:creationId xmlns="" xmlns:a16="http://schemas.microsoft.com/office/drawing/2014/main" id="{00000000-0008-0000-0000-00001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8" name="Text Box 61">
          <a:extLst>
            <a:ext uri="{FF2B5EF4-FFF2-40B4-BE49-F238E27FC236}">
              <a16:creationId xmlns="" xmlns:a16="http://schemas.microsoft.com/office/drawing/2014/main" id="{00000000-0008-0000-0000-00001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9" name="Text Box 62">
          <a:extLst>
            <a:ext uri="{FF2B5EF4-FFF2-40B4-BE49-F238E27FC236}">
              <a16:creationId xmlns="" xmlns:a16="http://schemas.microsoft.com/office/drawing/2014/main" id="{00000000-0008-0000-0000-00001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0" name="Text Box 63">
          <a:extLst>
            <a:ext uri="{FF2B5EF4-FFF2-40B4-BE49-F238E27FC236}">
              <a16:creationId xmlns="" xmlns:a16="http://schemas.microsoft.com/office/drawing/2014/main" id="{00000000-0008-0000-0000-00001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1" name="Text Box 64">
          <a:extLst>
            <a:ext uri="{FF2B5EF4-FFF2-40B4-BE49-F238E27FC236}">
              <a16:creationId xmlns="" xmlns:a16="http://schemas.microsoft.com/office/drawing/2014/main" id="{00000000-0008-0000-0000-00001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2" name="Text Box 65">
          <a:extLst>
            <a:ext uri="{FF2B5EF4-FFF2-40B4-BE49-F238E27FC236}">
              <a16:creationId xmlns="" xmlns:a16="http://schemas.microsoft.com/office/drawing/2014/main" id="{00000000-0008-0000-0000-00001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3" name="Text Box 66">
          <a:extLst>
            <a:ext uri="{FF2B5EF4-FFF2-40B4-BE49-F238E27FC236}">
              <a16:creationId xmlns="" xmlns:a16="http://schemas.microsoft.com/office/drawing/2014/main" id="{00000000-0008-0000-0000-00001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4" name="Text Box 67">
          <a:extLst>
            <a:ext uri="{FF2B5EF4-FFF2-40B4-BE49-F238E27FC236}">
              <a16:creationId xmlns="" xmlns:a16="http://schemas.microsoft.com/office/drawing/2014/main" id="{00000000-0008-0000-0000-00001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5" name="Text Box 68">
          <a:extLst>
            <a:ext uri="{FF2B5EF4-FFF2-40B4-BE49-F238E27FC236}">
              <a16:creationId xmlns="" xmlns:a16="http://schemas.microsoft.com/office/drawing/2014/main" id="{00000000-0008-0000-0000-00001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6" name="Text Box 69">
          <a:extLst>
            <a:ext uri="{FF2B5EF4-FFF2-40B4-BE49-F238E27FC236}">
              <a16:creationId xmlns="" xmlns:a16="http://schemas.microsoft.com/office/drawing/2014/main" id="{00000000-0008-0000-0000-00001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7" name="Text Box 70">
          <a:extLst>
            <a:ext uri="{FF2B5EF4-FFF2-40B4-BE49-F238E27FC236}">
              <a16:creationId xmlns="" xmlns:a16="http://schemas.microsoft.com/office/drawing/2014/main" id="{00000000-0008-0000-0000-00001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8" name="Text Box 71">
          <a:extLst>
            <a:ext uri="{FF2B5EF4-FFF2-40B4-BE49-F238E27FC236}">
              <a16:creationId xmlns="" xmlns:a16="http://schemas.microsoft.com/office/drawing/2014/main" id="{00000000-0008-0000-0000-00001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9" name="Text Box 72">
          <a:extLst>
            <a:ext uri="{FF2B5EF4-FFF2-40B4-BE49-F238E27FC236}">
              <a16:creationId xmlns="" xmlns:a16="http://schemas.microsoft.com/office/drawing/2014/main" id="{00000000-0008-0000-0000-00001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0" name="Text Box 73">
          <a:extLst>
            <a:ext uri="{FF2B5EF4-FFF2-40B4-BE49-F238E27FC236}">
              <a16:creationId xmlns="" xmlns:a16="http://schemas.microsoft.com/office/drawing/2014/main" id="{00000000-0008-0000-0000-00002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1" name="Text Box 74">
          <a:extLst>
            <a:ext uri="{FF2B5EF4-FFF2-40B4-BE49-F238E27FC236}">
              <a16:creationId xmlns="" xmlns:a16="http://schemas.microsoft.com/office/drawing/2014/main" id="{00000000-0008-0000-0000-00002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2" name="Text Box 75">
          <a:extLst>
            <a:ext uri="{FF2B5EF4-FFF2-40B4-BE49-F238E27FC236}">
              <a16:creationId xmlns="" xmlns:a16="http://schemas.microsoft.com/office/drawing/2014/main" id="{00000000-0008-0000-0000-00002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3" name="Text Box 76">
          <a:extLst>
            <a:ext uri="{FF2B5EF4-FFF2-40B4-BE49-F238E27FC236}">
              <a16:creationId xmlns="" xmlns:a16="http://schemas.microsoft.com/office/drawing/2014/main" id="{00000000-0008-0000-0000-00002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4" name="Text Box 77">
          <a:extLst>
            <a:ext uri="{FF2B5EF4-FFF2-40B4-BE49-F238E27FC236}">
              <a16:creationId xmlns="" xmlns:a16="http://schemas.microsoft.com/office/drawing/2014/main" id="{00000000-0008-0000-0000-00002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5" name="Text Box 78">
          <a:extLst>
            <a:ext uri="{FF2B5EF4-FFF2-40B4-BE49-F238E27FC236}">
              <a16:creationId xmlns="" xmlns:a16="http://schemas.microsoft.com/office/drawing/2014/main" id="{00000000-0008-0000-0000-00002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6" name="Text Box 79">
          <a:extLst>
            <a:ext uri="{FF2B5EF4-FFF2-40B4-BE49-F238E27FC236}">
              <a16:creationId xmlns="" xmlns:a16="http://schemas.microsoft.com/office/drawing/2014/main" id="{00000000-0008-0000-0000-00002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7" name="Text Box 80">
          <a:extLst>
            <a:ext uri="{FF2B5EF4-FFF2-40B4-BE49-F238E27FC236}">
              <a16:creationId xmlns="" xmlns:a16="http://schemas.microsoft.com/office/drawing/2014/main" id="{00000000-0008-0000-0000-00002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8" name="Text Box 81">
          <a:extLst>
            <a:ext uri="{FF2B5EF4-FFF2-40B4-BE49-F238E27FC236}">
              <a16:creationId xmlns="" xmlns:a16="http://schemas.microsoft.com/office/drawing/2014/main" id="{00000000-0008-0000-0000-00002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809" name="Text Box 82">
          <a:extLst>
            <a:ext uri="{FF2B5EF4-FFF2-40B4-BE49-F238E27FC236}">
              <a16:creationId xmlns="" xmlns:a16="http://schemas.microsoft.com/office/drawing/2014/main" id="{00000000-0008-0000-0000-00002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0" name="Text Box 3079">
          <a:extLst>
            <a:ext uri="{FF2B5EF4-FFF2-40B4-BE49-F238E27FC236}">
              <a16:creationId xmlns="" xmlns:a16="http://schemas.microsoft.com/office/drawing/2014/main" id="{00000000-0008-0000-0000-00002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1" name="Text Box 3080">
          <a:extLst>
            <a:ext uri="{FF2B5EF4-FFF2-40B4-BE49-F238E27FC236}">
              <a16:creationId xmlns="" xmlns:a16="http://schemas.microsoft.com/office/drawing/2014/main" id="{00000000-0008-0000-0000-00002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2" name="Text Box 3081">
          <a:extLst>
            <a:ext uri="{FF2B5EF4-FFF2-40B4-BE49-F238E27FC236}">
              <a16:creationId xmlns="" xmlns:a16="http://schemas.microsoft.com/office/drawing/2014/main" id="{00000000-0008-0000-0000-00002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3" name="Text Box 3082">
          <a:extLst>
            <a:ext uri="{FF2B5EF4-FFF2-40B4-BE49-F238E27FC236}">
              <a16:creationId xmlns="" xmlns:a16="http://schemas.microsoft.com/office/drawing/2014/main" id="{00000000-0008-0000-0000-00002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4" name="Text Box 3083">
          <a:extLst>
            <a:ext uri="{FF2B5EF4-FFF2-40B4-BE49-F238E27FC236}">
              <a16:creationId xmlns="" xmlns:a16="http://schemas.microsoft.com/office/drawing/2014/main" id="{00000000-0008-0000-0000-00002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5" name="Text Box 3084">
          <a:extLst>
            <a:ext uri="{FF2B5EF4-FFF2-40B4-BE49-F238E27FC236}">
              <a16:creationId xmlns="" xmlns:a16="http://schemas.microsoft.com/office/drawing/2014/main" id="{00000000-0008-0000-0000-00002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6" name="Text Box 3085">
          <a:extLst>
            <a:ext uri="{FF2B5EF4-FFF2-40B4-BE49-F238E27FC236}">
              <a16:creationId xmlns="" xmlns:a16="http://schemas.microsoft.com/office/drawing/2014/main" id="{00000000-0008-0000-0000-00003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7" name="Text Box 3086">
          <a:extLst>
            <a:ext uri="{FF2B5EF4-FFF2-40B4-BE49-F238E27FC236}">
              <a16:creationId xmlns="" xmlns:a16="http://schemas.microsoft.com/office/drawing/2014/main" id="{00000000-0008-0000-0000-00003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8" name="Text Box 3087">
          <a:extLst>
            <a:ext uri="{FF2B5EF4-FFF2-40B4-BE49-F238E27FC236}">
              <a16:creationId xmlns="" xmlns:a16="http://schemas.microsoft.com/office/drawing/2014/main" id="{00000000-0008-0000-0000-00003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9" name="Text Box 3088">
          <a:extLst>
            <a:ext uri="{FF2B5EF4-FFF2-40B4-BE49-F238E27FC236}">
              <a16:creationId xmlns="" xmlns:a16="http://schemas.microsoft.com/office/drawing/2014/main" id="{00000000-0008-0000-0000-00003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0" name="Text Box 3089">
          <a:extLst>
            <a:ext uri="{FF2B5EF4-FFF2-40B4-BE49-F238E27FC236}">
              <a16:creationId xmlns="" xmlns:a16="http://schemas.microsoft.com/office/drawing/2014/main" id="{00000000-0008-0000-0000-00003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1" name="Text Box 3090">
          <a:extLst>
            <a:ext uri="{FF2B5EF4-FFF2-40B4-BE49-F238E27FC236}">
              <a16:creationId xmlns="" xmlns:a16="http://schemas.microsoft.com/office/drawing/2014/main" id="{00000000-0008-0000-0000-00003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2" name="Text Box 3091">
          <a:extLst>
            <a:ext uri="{FF2B5EF4-FFF2-40B4-BE49-F238E27FC236}">
              <a16:creationId xmlns="" xmlns:a16="http://schemas.microsoft.com/office/drawing/2014/main" id="{00000000-0008-0000-0000-00003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3" name="Text Box 3092">
          <a:extLst>
            <a:ext uri="{FF2B5EF4-FFF2-40B4-BE49-F238E27FC236}">
              <a16:creationId xmlns="" xmlns:a16="http://schemas.microsoft.com/office/drawing/2014/main" id="{00000000-0008-0000-0000-00003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4" name="Text Box 3093">
          <a:extLst>
            <a:ext uri="{FF2B5EF4-FFF2-40B4-BE49-F238E27FC236}">
              <a16:creationId xmlns="" xmlns:a16="http://schemas.microsoft.com/office/drawing/2014/main" id="{00000000-0008-0000-0000-00003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5" name="Text Box 3094">
          <a:extLst>
            <a:ext uri="{FF2B5EF4-FFF2-40B4-BE49-F238E27FC236}">
              <a16:creationId xmlns="" xmlns:a16="http://schemas.microsoft.com/office/drawing/2014/main" id="{00000000-0008-0000-0000-00003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6" name="Text Box 3095">
          <a:extLst>
            <a:ext uri="{FF2B5EF4-FFF2-40B4-BE49-F238E27FC236}">
              <a16:creationId xmlns="" xmlns:a16="http://schemas.microsoft.com/office/drawing/2014/main" id="{00000000-0008-0000-0000-00003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7" name="Text Box 3096">
          <a:extLst>
            <a:ext uri="{FF2B5EF4-FFF2-40B4-BE49-F238E27FC236}">
              <a16:creationId xmlns="" xmlns:a16="http://schemas.microsoft.com/office/drawing/2014/main" id="{00000000-0008-0000-0000-00003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8" name="Text Box 3097">
          <a:extLst>
            <a:ext uri="{FF2B5EF4-FFF2-40B4-BE49-F238E27FC236}">
              <a16:creationId xmlns="" xmlns:a16="http://schemas.microsoft.com/office/drawing/2014/main" id="{00000000-0008-0000-0000-00003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9" name="Text Box 3098">
          <a:extLst>
            <a:ext uri="{FF2B5EF4-FFF2-40B4-BE49-F238E27FC236}">
              <a16:creationId xmlns="" xmlns:a16="http://schemas.microsoft.com/office/drawing/2014/main" id="{00000000-0008-0000-0000-00003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0" name="Text Box 3099">
          <a:extLst>
            <a:ext uri="{FF2B5EF4-FFF2-40B4-BE49-F238E27FC236}">
              <a16:creationId xmlns="" xmlns:a16="http://schemas.microsoft.com/office/drawing/2014/main" id="{00000000-0008-0000-0000-00003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1" name="Text Box 3100">
          <a:extLst>
            <a:ext uri="{FF2B5EF4-FFF2-40B4-BE49-F238E27FC236}">
              <a16:creationId xmlns="" xmlns:a16="http://schemas.microsoft.com/office/drawing/2014/main" id="{00000000-0008-0000-0000-00003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2" name="Text Box 3101">
          <a:extLst>
            <a:ext uri="{FF2B5EF4-FFF2-40B4-BE49-F238E27FC236}">
              <a16:creationId xmlns="" xmlns:a16="http://schemas.microsoft.com/office/drawing/2014/main" id="{00000000-0008-0000-0000-00004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833" name="Text Box 3102">
          <a:extLst>
            <a:ext uri="{FF2B5EF4-FFF2-40B4-BE49-F238E27FC236}">
              <a16:creationId xmlns="" xmlns:a16="http://schemas.microsoft.com/office/drawing/2014/main" id="{00000000-0008-0000-0000-00004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4" name="Text Box 59">
          <a:extLst>
            <a:ext uri="{FF2B5EF4-FFF2-40B4-BE49-F238E27FC236}">
              <a16:creationId xmlns="" xmlns:a16="http://schemas.microsoft.com/office/drawing/2014/main" id="{00000000-0008-0000-0000-00004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5" name="Text Box 60">
          <a:extLst>
            <a:ext uri="{FF2B5EF4-FFF2-40B4-BE49-F238E27FC236}">
              <a16:creationId xmlns="" xmlns:a16="http://schemas.microsoft.com/office/drawing/2014/main" id="{00000000-0008-0000-0000-00004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6" name="Text Box 61">
          <a:extLst>
            <a:ext uri="{FF2B5EF4-FFF2-40B4-BE49-F238E27FC236}">
              <a16:creationId xmlns="" xmlns:a16="http://schemas.microsoft.com/office/drawing/2014/main" id="{00000000-0008-0000-0000-00004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7" name="Text Box 62">
          <a:extLst>
            <a:ext uri="{FF2B5EF4-FFF2-40B4-BE49-F238E27FC236}">
              <a16:creationId xmlns="" xmlns:a16="http://schemas.microsoft.com/office/drawing/2014/main" id="{00000000-0008-0000-0000-00004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8" name="Text Box 63">
          <a:extLst>
            <a:ext uri="{FF2B5EF4-FFF2-40B4-BE49-F238E27FC236}">
              <a16:creationId xmlns="" xmlns:a16="http://schemas.microsoft.com/office/drawing/2014/main" id="{00000000-0008-0000-0000-00004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9" name="Text Box 64">
          <a:extLst>
            <a:ext uri="{FF2B5EF4-FFF2-40B4-BE49-F238E27FC236}">
              <a16:creationId xmlns="" xmlns:a16="http://schemas.microsoft.com/office/drawing/2014/main" id="{00000000-0008-0000-0000-00004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0" name="Text Box 65">
          <a:extLst>
            <a:ext uri="{FF2B5EF4-FFF2-40B4-BE49-F238E27FC236}">
              <a16:creationId xmlns="" xmlns:a16="http://schemas.microsoft.com/office/drawing/2014/main" id="{00000000-0008-0000-0000-00004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1" name="Text Box 66">
          <a:extLst>
            <a:ext uri="{FF2B5EF4-FFF2-40B4-BE49-F238E27FC236}">
              <a16:creationId xmlns="" xmlns:a16="http://schemas.microsoft.com/office/drawing/2014/main" id="{00000000-0008-0000-0000-00004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2" name="Text Box 67">
          <a:extLst>
            <a:ext uri="{FF2B5EF4-FFF2-40B4-BE49-F238E27FC236}">
              <a16:creationId xmlns="" xmlns:a16="http://schemas.microsoft.com/office/drawing/2014/main" id="{00000000-0008-0000-0000-00004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3" name="Text Box 68">
          <a:extLst>
            <a:ext uri="{FF2B5EF4-FFF2-40B4-BE49-F238E27FC236}">
              <a16:creationId xmlns="" xmlns:a16="http://schemas.microsoft.com/office/drawing/2014/main" id="{00000000-0008-0000-0000-00004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4" name="Text Box 69">
          <a:extLst>
            <a:ext uri="{FF2B5EF4-FFF2-40B4-BE49-F238E27FC236}">
              <a16:creationId xmlns="" xmlns:a16="http://schemas.microsoft.com/office/drawing/2014/main" id="{00000000-0008-0000-0000-00004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5" name="Text Box 70">
          <a:extLst>
            <a:ext uri="{FF2B5EF4-FFF2-40B4-BE49-F238E27FC236}">
              <a16:creationId xmlns="" xmlns:a16="http://schemas.microsoft.com/office/drawing/2014/main" id="{00000000-0008-0000-0000-00004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6" name="Text Box 71">
          <a:extLst>
            <a:ext uri="{FF2B5EF4-FFF2-40B4-BE49-F238E27FC236}">
              <a16:creationId xmlns="" xmlns:a16="http://schemas.microsoft.com/office/drawing/2014/main" id="{00000000-0008-0000-0000-00004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7" name="Text Box 72">
          <a:extLst>
            <a:ext uri="{FF2B5EF4-FFF2-40B4-BE49-F238E27FC236}">
              <a16:creationId xmlns="" xmlns:a16="http://schemas.microsoft.com/office/drawing/2014/main" id="{00000000-0008-0000-0000-00004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8" name="Text Box 73">
          <a:extLst>
            <a:ext uri="{FF2B5EF4-FFF2-40B4-BE49-F238E27FC236}">
              <a16:creationId xmlns="" xmlns:a16="http://schemas.microsoft.com/office/drawing/2014/main" id="{00000000-0008-0000-0000-00005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9" name="Text Box 74">
          <a:extLst>
            <a:ext uri="{FF2B5EF4-FFF2-40B4-BE49-F238E27FC236}">
              <a16:creationId xmlns="" xmlns:a16="http://schemas.microsoft.com/office/drawing/2014/main" id="{00000000-0008-0000-0000-00005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0" name="Text Box 75">
          <a:extLst>
            <a:ext uri="{FF2B5EF4-FFF2-40B4-BE49-F238E27FC236}">
              <a16:creationId xmlns="" xmlns:a16="http://schemas.microsoft.com/office/drawing/2014/main" id="{00000000-0008-0000-0000-00005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1" name="Text Box 76">
          <a:extLst>
            <a:ext uri="{FF2B5EF4-FFF2-40B4-BE49-F238E27FC236}">
              <a16:creationId xmlns="" xmlns:a16="http://schemas.microsoft.com/office/drawing/2014/main" id="{00000000-0008-0000-0000-00005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2" name="Text Box 77">
          <a:extLst>
            <a:ext uri="{FF2B5EF4-FFF2-40B4-BE49-F238E27FC236}">
              <a16:creationId xmlns="" xmlns:a16="http://schemas.microsoft.com/office/drawing/2014/main" id="{00000000-0008-0000-0000-00005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3" name="Text Box 78">
          <a:extLst>
            <a:ext uri="{FF2B5EF4-FFF2-40B4-BE49-F238E27FC236}">
              <a16:creationId xmlns="" xmlns:a16="http://schemas.microsoft.com/office/drawing/2014/main" id="{00000000-0008-0000-0000-00005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4" name="Text Box 79">
          <a:extLst>
            <a:ext uri="{FF2B5EF4-FFF2-40B4-BE49-F238E27FC236}">
              <a16:creationId xmlns="" xmlns:a16="http://schemas.microsoft.com/office/drawing/2014/main" id="{00000000-0008-0000-0000-00005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5" name="Text Box 80">
          <a:extLst>
            <a:ext uri="{FF2B5EF4-FFF2-40B4-BE49-F238E27FC236}">
              <a16:creationId xmlns="" xmlns:a16="http://schemas.microsoft.com/office/drawing/2014/main" id="{00000000-0008-0000-0000-00005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6" name="Text Box 81">
          <a:extLst>
            <a:ext uri="{FF2B5EF4-FFF2-40B4-BE49-F238E27FC236}">
              <a16:creationId xmlns="" xmlns:a16="http://schemas.microsoft.com/office/drawing/2014/main" id="{00000000-0008-0000-0000-00005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7" name="Text Box 3079">
          <a:extLst>
            <a:ext uri="{FF2B5EF4-FFF2-40B4-BE49-F238E27FC236}">
              <a16:creationId xmlns="" xmlns:a16="http://schemas.microsoft.com/office/drawing/2014/main" id="{00000000-0008-0000-0000-00005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8" name="Text Box 3080">
          <a:extLst>
            <a:ext uri="{FF2B5EF4-FFF2-40B4-BE49-F238E27FC236}">
              <a16:creationId xmlns="" xmlns:a16="http://schemas.microsoft.com/office/drawing/2014/main" id="{00000000-0008-0000-0000-00005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9" name="Text Box 3081">
          <a:extLst>
            <a:ext uri="{FF2B5EF4-FFF2-40B4-BE49-F238E27FC236}">
              <a16:creationId xmlns="" xmlns:a16="http://schemas.microsoft.com/office/drawing/2014/main" id="{00000000-0008-0000-0000-00005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0" name="Text Box 3082">
          <a:extLst>
            <a:ext uri="{FF2B5EF4-FFF2-40B4-BE49-F238E27FC236}">
              <a16:creationId xmlns="" xmlns:a16="http://schemas.microsoft.com/office/drawing/2014/main" id="{00000000-0008-0000-0000-00005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1" name="Text Box 3083">
          <a:extLst>
            <a:ext uri="{FF2B5EF4-FFF2-40B4-BE49-F238E27FC236}">
              <a16:creationId xmlns="" xmlns:a16="http://schemas.microsoft.com/office/drawing/2014/main" id="{00000000-0008-0000-0000-00005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2" name="Text Box 3084">
          <a:extLst>
            <a:ext uri="{FF2B5EF4-FFF2-40B4-BE49-F238E27FC236}">
              <a16:creationId xmlns="" xmlns:a16="http://schemas.microsoft.com/office/drawing/2014/main" id="{00000000-0008-0000-0000-00005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3" name="Text Box 3085">
          <a:extLst>
            <a:ext uri="{FF2B5EF4-FFF2-40B4-BE49-F238E27FC236}">
              <a16:creationId xmlns="" xmlns:a16="http://schemas.microsoft.com/office/drawing/2014/main" id="{00000000-0008-0000-0000-00005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4" name="Text Box 3086">
          <a:extLst>
            <a:ext uri="{FF2B5EF4-FFF2-40B4-BE49-F238E27FC236}">
              <a16:creationId xmlns="" xmlns:a16="http://schemas.microsoft.com/office/drawing/2014/main" id="{00000000-0008-0000-0000-00006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5" name="Text Box 3087">
          <a:extLst>
            <a:ext uri="{FF2B5EF4-FFF2-40B4-BE49-F238E27FC236}">
              <a16:creationId xmlns="" xmlns:a16="http://schemas.microsoft.com/office/drawing/2014/main" id="{00000000-0008-0000-0000-00006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6" name="Text Box 3088">
          <a:extLst>
            <a:ext uri="{FF2B5EF4-FFF2-40B4-BE49-F238E27FC236}">
              <a16:creationId xmlns="" xmlns:a16="http://schemas.microsoft.com/office/drawing/2014/main" id="{00000000-0008-0000-0000-00006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7" name="Text Box 3089">
          <a:extLst>
            <a:ext uri="{FF2B5EF4-FFF2-40B4-BE49-F238E27FC236}">
              <a16:creationId xmlns="" xmlns:a16="http://schemas.microsoft.com/office/drawing/2014/main" id="{00000000-0008-0000-0000-00006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8" name="Text Box 3090">
          <a:extLst>
            <a:ext uri="{FF2B5EF4-FFF2-40B4-BE49-F238E27FC236}">
              <a16:creationId xmlns="" xmlns:a16="http://schemas.microsoft.com/office/drawing/2014/main" id="{00000000-0008-0000-0000-00006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9" name="Text Box 3091">
          <a:extLst>
            <a:ext uri="{FF2B5EF4-FFF2-40B4-BE49-F238E27FC236}">
              <a16:creationId xmlns="" xmlns:a16="http://schemas.microsoft.com/office/drawing/2014/main" id="{00000000-0008-0000-0000-00006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0" name="Text Box 3092">
          <a:extLst>
            <a:ext uri="{FF2B5EF4-FFF2-40B4-BE49-F238E27FC236}">
              <a16:creationId xmlns="" xmlns:a16="http://schemas.microsoft.com/office/drawing/2014/main" id="{00000000-0008-0000-0000-00006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1" name="Text Box 3093">
          <a:extLst>
            <a:ext uri="{FF2B5EF4-FFF2-40B4-BE49-F238E27FC236}">
              <a16:creationId xmlns="" xmlns:a16="http://schemas.microsoft.com/office/drawing/2014/main" id="{00000000-0008-0000-0000-00006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2" name="Text Box 3094">
          <a:extLst>
            <a:ext uri="{FF2B5EF4-FFF2-40B4-BE49-F238E27FC236}">
              <a16:creationId xmlns="" xmlns:a16="http://schemas.microsoft.com/office/drawing/2014/main" id="{00000000-0008-0000-0000-00006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3" name="Text Box 3095">
          <a:extLst>
            <a:ext uri="{FF2B5EF4-FFF2-40B4-BE49-F238E27FC236}">
              <a16:creationId xmlns="" xmlns:a16="http://schemas.microsoft.com/office/drawing/2014/main" id="{00000000-0008-0000-0000-00006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4" name="Text Box 3096">
          <a:extLst>
            <a:ext uri="{FF2B5EF4-FFF2-40B4-BE49-F238E27FC236}">
              <a16:creationId xmlns="" xmlns:a16="http://schemas.microsoft.com/office/drawing/2014/main" id="{00000000-0008-0000-0000-00006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5" name="Text Box 3097">
          <a:extLst>
            <a:ext uri="{FF2B5EF4-FFF2-40B4-BE49-F238E27FC236}">
              <a16:creationId xmlns="" xmlns:a16="http://schemas.microsoft.com/office/drawing/2014/main" id="{00000000-0008-0000-0000-00006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6" name="Text Box 3098">
          <a:extLst>
            <a:ext uri="{FF2B5EF4-FFF2-40B4-BE49-F238E27FC236}">
              <a16:creationId xmlns="" xmlns:a16="http://schemas.microsoft.com/office/drawing/2014/main" id="{00000000-0008-0000-0000-00006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7" name="Text Box 3099">
          <a:extLst>
            <a:ext uri="{FF2B5EF4-FFF2-40B4-BE49-F238E27FC236}">
              <a16:creationId xmlns="" xmlns:a16="http://schemas.microsoft.com/office/drawing/2014/main" id="{00000000-0008-0000-0000-00006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8" name="Text Box 3100">
          <a:extLst>
            <a:ext uri="{FF2B5EF4-FFF2-40B4-BE49-F238E27FC236}">
              <a16:creationId xmlns="" xmlns:a16="http://schemas.microsoft.com/office/drawing/2014/main" id="{00000000-0008-0000-0000-00006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9" name="Text Box 3101">
          <a:extLst>
            <a:ext uri="{FF2B5EF4-FFF2-40B4-BE49-F238E27FC236}">
              <a16:creationId xmlns="" xmlns:a16="http://schemas.microsoft.com/office/drawing/2014/main" id="{00000000-0008-0000-0000-00006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880" name="Text Box 3102">
          <a:extLst>
            <a:ext uri="{FF2B5EF4-FFF2-40B4-BE49-F238E27FC236}">
              <a16:creationId xmlns="" xmlns:a16="http://schemas.microsoft.com/office/drawing/2014/main" id="{00000000-0008-0000-0000-00007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1" name="Text Box 59">
          <a:extLst>
            <a:ext uri="{FF2B5EF4-FFF2-40B4-BE49-F238E27FC236}">
              <a16:creationId xmlns="" xmlns:a16="http://schemas.microsoft.com/office/drawing/2014/main" id="{00000000-0008-0000-0000-00007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2" name="Text Box 60">
          <a:extLst>
            <a:ext uri="{FF2B5EF4-FFF2-40B4-BE49-F238E27FC236}">
              <a16:creationId xmlns="" xmlns:a16="http://schemas.microsoft.com/office/drawing/2014/main" id="{00000000-0008-0000-0000-00007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3" name="Text Box 61">
          <a:extLst>
            <a:ext uri="{FF2B5EF4-FFF2-40B4-BE49-F238E27FC236}">
              <a16:creationId xmlns="" xmlns:a16="http://schemas.microsoft.com/office/drawing/2014/main" id="{00000000-0008-0000-0000-00007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4" name="Text Box 62">
          <a:extLst>
            <a:ext uri="{FF2B5EF4-FFF2-40B4-BE49-F238E27FC236}">
              <a16:creationId xmlns="" xmlns:a16="http://schemas.microsoft.com/office/drawing/2014/main" id="{00000000-0008-0000-0000-00007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5" name="Text Box 63">
          <a:extLst>
            <a:ext uri="{FF2B5EF4-FFF2-40B4-BE49-F238E27FC236}">
              <a16:creationId xmlns="" xmlns:a16="http://schemas.microsoft.com/office/drawing/2014/main" id="{00000000-0008-0000-0000-00007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6" name="Text Box 64">
          <a:extLst>
            <a:ext uri="{FF2B5EF4-FFF2-40B4-BE49-F238E27FC236}">
              <a16:creationId xmlns="" xmlns:a16="http://schemas.microsoft.com/office/drawing/2014/main" id="{00000000-0008-0000-0000-00007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7" name="Text Box 65">
          <a:extLst>
            <a:ext uri="{FF2B5EF4-FFF2-40B4-BE49-F238E27FC236}">
              <a16:creationId xmlns="" xmlns:a16="http://schemas.microsoft.com/office/drawing/2014/main" id="{00000000-0008-0000-0000-00007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8" name="Text Box 66">
          <a:extLst>
            <a:ext uri="{FF2B5EF4-FFF2-40B4-BE49-F238E27FC236}">
              <a16:creationId xmlns="" xmlns:a16="http://schemas.microsoft.com/office/drawing/2014/main" id="{00000000-0008-0000-0000-00007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9" name="Text Box 67">
          <a:extLst>
            <a:ext uri="{FF2B5EF4-FFF2-40B4-BE49-F238E27FC236}">
              <a16:creationId xmlns="" xmlns:a16="http://schemas.microsoft.com/office/drawing/2014/main" id="{00000000-0008-0000-0000-00007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0" name="Text Box 68">
          <a:extLst>
            <a:ext uri="{FF2B5EF4-FFF2-40B4-BE49-F238E27FC236}">
              <a16:creationId xmlns="" xmlns:a16="http://schemas.microsoft.com/office/drawing/2014/main" id="{00000000-0008-0000-0000-00007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1" name="Text Box 69">
          <a:extLst>
            <a:ext uri="{FF2B5EF4-FFF2-40B4-BE49-F238E27FC236}">
              <a16:creationId xmlns="" xmlns:a16="http://schemas.microsoft.com/office/drawing/2014/main" id="{00000000-0008-0000-0000-00007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2" name="Text Box 70">
          <a:extLst>
            <a:ext uri="{FF2B5EF4-FFF2-40B4-BE49-F238E27FC236}">
              <a16:creationId xmlns="" xmlns:a16="http://schemas.microsoft.com/office/drawing/2014/main" id="{00000000-0008-0000-0000-00007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3" name="Text Box 71">
          <a:extLst>
            <a:ext uri="{FF2B5EF4-FFF2-40B4-BE49-F238E27FC236}">
              <a16:creationId xmlns="" xmlns:a16="http://schemas.microsoft.com/office/drawing/2014/main" id="{00000000-0008-0000-0000-00007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4" name="Text Box 72">
          <a:extLst>
            <a:ext uri="{FF2B5EF4-FFF2-40B4-BE49-F238E27FC236}">
              <a16:creationId xmlns="" xmlns:a16="http://schemas.microsoft.com/office/drawing/2014/main" id="{00000000-0008-0000-0000-00007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5" name="Text Box 73">
          <a:extLst>
            <a:ext uri="{FF2B5EF4-FFF2-40B4-BE49-F238E27FC236}">
              <a16:creationId xmlns="" xmlns:a16="http://schemas.microsoft.com/office/drawing/2014/main" id="{00000000-0008-0000-0000-00007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6" name="Text Box 74">
          <a:extLst>
            <a:ext uri="{FF2B5EF4-FFF2-40B4-BE49-F238E27FC236}">
              <a16:creationId xmlns="" xmlns:a16="http://schemas.microsoft.com/office/drawing/2014/main" id="{00000000-0008-0000-0000-00008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7" name="Text Box 75">
          <a:extLst>
            <a:ext uri="{FF2B5EF4-FFF2-40B4-BE49-F238E27FC236}">
              <a16:creationId xmlns="" xmlns:a16="http://schemas.microsoft.com/office/drawing/2014/main" id="{00000000-0008-0000-0000-00008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8" name="Text Box 76">
          <a:extLst>
            <a:ext uri="{FF2B5EF4-FFF2-40B4-BE49-F238E27FC236}">
              <a16:creationId xmlns="" xmlns:a16="http://schemas.microsoft.com/office/drawing/2014/main" id="{00000000-0008-0000-0000-00008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9" name="Text Box 77">
          <a:extLst>
            <a:ext uri="{FF2B5EF4-FFF2-40B4-BE49-F238E27FC236}">
              <a16:creationId xmlns="" xmlns:a16="http://schemas.microsoft.com/office/drawing/2014/main" id="{00000000-0008-0000-0000-00008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0" name="Text Box 78">
          <a:extLst>
            <a:ext uri="{FF2B5EF4-FFF2-40B4-BE49-F238E27FC236}">
              <a16:creationId xmlns="" xmlns:a16="http://schemas.microsoft.com/office/drawing/2014/main" id="{00000000-0008-0000-0000-00008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1" name="Text Box 79">
          <a:extLst>
            <a:ext uri="{FF2B5EF4-FFF2-40B4-BE49-F238E27FC236}">
              <a16:creationId xmlns="" xmlns:a16="http://schemas.microsoft.com/office/drawing/2014/main" id="{00000000-0008-0000-0000-00008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2" name="Text Box 80">
          <a:extLst>
            <a:ext uri="{FF2B5EF4-FFF2-40B4-BE49-F238E27FC236}">
              <a16:creationId xmlns="" xmlns:a16="http://schemas.microsoft.com/office/drawing/2014/main" id="{00000000-0008-0000-0000-00008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3" name="Text Box 81">
          <a:extLst>
            <a:ext uri="{FF2B5EF4-FFF2-40B4-BE49-F238E27FC236}">
              <a16:creationId xmlns="" xmlns:a16="http://schemas.microsoft.com/office/drawing/2014/main" id="{00000000-0008-0000-0000-00008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904" name="Text Box 82">
          <a:extLst>
            <a:ext uri="{FF2B5EF4-FFF2-40B4-BE49-F238E27FC236}">
              <a16:creationId xmlns="" xmlns:a16="http://schemas.microsoft.com/office/drawing/2014/main" id="{00000000-0008-0000-0000-00008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5" name="Text Box 3079">
          <a:extLst>
            <a:ext uri="{FF2B5EF4-FFF2-40B4-BE49-F238E27FC236}">
              <a16:creationId xmlns="" xmlns:a16="http://schemas.microsoft.com/office/drawing/2014/main" id="{00000000-0008-0000-0000-00008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6" name="Text Box 3080">
          <a:extLst>
            <a:ext uri="{FF2B5EF4-FFF2-40B4-BE49-F238E27FC236}">
              <a16:creationId xmlns="" xmlns:a16="http://schemas.microsoft.com/office/drawing/2014/main" id="{00000000-0008-0000-0000-00008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7" name="Text Box 3081">
          <a:extLst>
            <a:ext uri="{FF2B5EF4-FFF2-40B4-BE49-F238E27FC236}">
              <a16:creationId xmlns="" xmlns:a16="http://schemas.microsoft.com/office/drawing/2014/main" id="{00000000-0008-0000-0000-00008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8" name="Text Box 3082">
          <a:extLst>
            <a:ext uri="{FF2B5EF4-FFF2-40B4-BE49-F238E27FC236}">
              <a16:creationId xmlns="" xmlns:a16="http://schemas.microsoft.com/office/drawing/2014/main" id="{00000000-0008-0000-0000-00008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9" name="Text Box 3083">
          <a:extLst>
            <a:ext uri="{FF2B5EF4-FFF2-40B4-BE49-F238E27FC236}">
              <a16:creationId xmlns="" xmlns:a16="http://schemas.microsoft.com/office/drawing/2014/main" id="{00000000-0008-0000-0000-00008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0" name="Text Box 3084">
          <a:extLst>
            <a:ext uri="{FF2B5EF4-FFF2-40B4-BE49-F238E27FC236}">
              <a16:creationId xmlns="" xmlns:a16="http://schemas.microsoft.com/office/drawing/2014/main" id="{00000000-0008-0000-0000-00008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1" name="Text Box 3085">
          <a:extLst>
            <a:ext uri="{FF2B5EF4-FFF2-40B4-BE49-F238E27FC236}">
              <a16:creationId xmlns="" xmlns:a16="http://schemas.microsoft.com/office/drawing/2014/main" id="{00000000-0008-0000-0000-00008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2" name="Text Box 3086">
          <a:extLst>
            <a:ext uri="{FF2B5EF4-FFF2-40B4-BE49-F238E27FC236}">
              <a16:creationId xmlns="" xmlns:a16="http://schemas.microsoft.com/office/drawing/2014/main" id="{00000000-0008-0000-0000-00009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3" name="Text Box 3087">
          <a:extLst>
            <a:ext uri="{FF2B5EF4-FFF2-40B4-BE49-F238E27FC236}">
              <a16:creationId xmlns="" xmlns:a16="http://schemas.microsoft.com/office/drawing/2014/main" id="{00000000-0008-0000-0000-00009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4" name="Text Box 3088">
          <a:extLst>
            <a:ext uri="{FF2B5EF4-FFF2-40B4-BE49-F238E27FC236}">
              <a16:creationId xmlns="" xmlns:a16="http://schemas.microsoft.com/office/drawing/2014/main" id="{00000000-0008-0000-0000-00009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5" name="Text Box 3089">
          <a:extLst>
            <a:ext uri="{FF2B5EF4-FFF2-40B4-BE49-F238E27FC236}">
              <a16:creationId xmlns="" xmlns:a16="http://schemas.microsoft.com/office/drawing/2014/main" id="{00000000-0008-0000-0000-00009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6" name="Text Box 3090">
          <a:extLst>
            <a:ext uri="{FF2B5EF4-FFF2-40B4-BE49-F238E27FC236}">
              <a16:creationId xmlns="" xmlns:a16="http://schemas.microsoft.com/office/drawing/2014/main" id="{00000000-0008-0000-0000-00009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7" name="Text Box 3091">
          <a:extLst>
            <a:ext uri="{FF2B5EF4-FFF2-40B4-BE49-F238E27FC236}">
              <a16:creationId xmlns="" xmlns:a16="http://schemas.microsoft.com/office/drawing/2014/main" id="{00000000-0008-0000-0000-00009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8" name="Text Box 3092">
          <a:extLst>
            <a:ext uri="{FF2B5EF4-FFF2-40B4-BE49-F238E27FC236}">
              <a16:creationId xmlns="" xmlns:a16="http://schemas.microsoft.com/office/drawing/2014/main" id="{00000000-0008-0000-0000-00009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9" name="Text Box 3093">
          <a:extLst>
            <a:ext uri="{FF2B5EF4-FFF2-40B4-BE49-F238E27FC236}">
              <a16:creationId xmlns="" xmlns:a16="http://schemas.microsoft.com/office/drawing/2014/main" id="{00000000-0008-0000-0000-00009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0" name="Text Box 3094">
          <a:extLst>
            <a:ext uri="{FF2B5EF4-FFF2-40B4-BE49-F238E27FC236}">
              <a16:creationId xmlns="" xmlns:a16="http://schemas.microsoft.com/office/drawing/2014/main" id="{00000000-0008-0000-0000-00009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1" name="Text Box 3095">
          <a:extLst>
            <a:ext uri="{FF2B5EF4-FFF2-40B4-BE49-F238E27FC236}">
              <a16:creationId xmlns="" xmlns:a16="http://schemas.microsoft.com/office/drawing/2014/main" id="{00000000-0008-0000-0000-00009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2" name="Text Box 3096">
          <a:extLst>
            <a:ext uri="{FF2B5EF4-FFF2-40B4-BE49-F238E27FC236}">
              <a16:creationId xmlns="" xmlns:a16="http://schemas.microsoft.com/office/drawing/2014/main" id="{00000000-0008-0000-0000-00009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3" name="Text Box 3097">
          <a:extLst>
            <a:ext uri="{FF2B5EF4-FFF2-40B4-BE49-F238E27FC236}">
              <a16:creationId xmlns="" xmlns:a16="http://schemas.microsoft.com/office/drawing/2014/main" id="{00000000-0008-0000-0000-00009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4" name="Text Box 3098">
          <a:extLst>
            <a:ext uri="{FF2B5EF4-FFF2-40B4-BE49-F238E27FC236}">
              <a16:creationId xmlns="" xmlns:a16="http://schemas.microsoft.com/office/drawing/2014/main" id="{00000000-0008-0000-0000-00009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5" name="Text Box 3099">
          <a:extLst>
            <a:ext uri="{FF2B5EF4-FFF2-40B4-BE49-F238E27FC236}">
              <a16:creationId xmlns="" xmlns:a16="http://schemas.microsoft.com/office/drawing/2014/main" id="{00000000-0008-0000-0000-00009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6" name="Text Box 3100">
          <a:extLst>
            <a:ext uri="{FF2B5EF4-FFF2-40B4-BE49-F238E27FC236}">
              <a16:creationId xmlns="" xmlns:a16="http://schemas.microsoft.com/office/drawing/2014/main" id="{00000000-0008-0000-0000-00009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7" name="Text Box 3101">
          <a:extLst>
            <a:ext uri="{FF2B5EF4-FFF2-40B4-BE49-F238E27FC236}">
              <a16:creationId xmlns="" xmlns:a16="http://schemas.microsoft.com/office/drawing/2014/main" id="{00000000-0008-0000-0000-00009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928" name="Text Box 3102">
          <a:extLst>
            <a:ext uri="{FF2B5EF4-FFF2-40B4-BE49-F238E27FC236}">
              <a16:creationId xmlns="" xmlns:a16="http://schemas.microsoft.com/office/drawing/2014/main" id="{00000000-0008-0000-0000-0000A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29" name="Text Box 59">
          <a:extLst>
            <a:ext uri="{FF2B5EF4-FFF2-40B4-BE49-F238E27FC236}">
              <a16:creationId xmlns="" xmlns:a16="http://schemas.microsoft.com/office/drawing/2014/main" id="{00000000-0008-0000-0000-0000A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0" name="Text Box 60">
          <a:extLst>
            <a:ext uri="{FF2B5EF4-FFF2-40B4-BE49-F238E27FC236}">
              <a16:creationId xmlns="" xmlns:a16="http://schemas.microsoft.com/office/drawing/2014/main" id="{00000000-0008-0000-0000-0000A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1" name="Text Box 61">
          <a:extLst>
            <a:ext uri="{FF2B5EF4-FFF2-40B4-BE49-F238E27FC236}">
              <a16:creationId xmlns="" xmlns:a16="http://schemas.microsoft.com/office/drawing/2014/main" id="{00000000-0008-0000-0000-0000A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2" name="Text Box 62">
          <a:extLst>
            <a:ext uri="{FF2B5EF4-FFF2-40B4-BE49-F238E27FC236}">
              <a16:creationId xmlns="" xmlns:a16="http://schemas.microsoft.com/office/drawing/2014/main" id="{00000000-0008-0000-0000-0000A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3" name="Text Box 63">
          <a:extLst>
            <a:ext uri="{FF2B5EF4-FFF2-40B4-BE49-F238E27FC236}">
              <a16:creationId xmlns="" xmlns:a16="http://schemas.microsoft.com/office/drawing/2014/main" id="{00000000-0008-0000-0000-0000A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4" name="Text Box 64">
          <a:extLst>
            <a:ext uri="{FF2B5EF4-FFF2-40B4-BE49-F238E27FC236}">
              <a16:creationId xmlns="" xmlns:a16="http://schemas.microsoft.com/office/drawing/2014/main" id="{00000000-0008-0000-0000-0000A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5" name="Text Box 65">
          <a:extLst>
            <a:ext uri="{FF2B5EF4-FFF2-40B4-BE49-F238E27FC236}">
              <a16:creationId xmlns="" xmlns:a16="http://schemas.microsoft.com/office/drawing/2014/main" id="{00000000-0008-0000-0000-0000A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6" name="Text Box 66">
          <a:extLst>
            <a:ext uri="{FF2B5EF4-FFF2-40B4-BE49-F238E27FC236}">
              <a16:creationId xmlns="" xmlns:a16="http://schemas.microsoft.com/office/drawing/2014/main" id="{00000000-0008-0000-0000-0000A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7" name="Text Box 67">
          <a:extLst>
            <a:ext uri="{FF2B5EF4-FFF2-40B4-BE49-F238E27FC236}">
              <a16:creationId xmlns="" xmlns:a16="http://schemas.microsoft.com/office/drawing/2014/main" id="{00000000-0008-0000-0000-0000A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8" name="Text Box 68">
          <a:extLst>
            <a:ext uri="{FF2B5EF4-FFF2-40B4-BE49-F238E27FC236}">
              <a16:creationId xmlns="" xmlns:a16="http://schemas.microsoft.com/office/drawing/2014/main" id="{00000000-0008-0000-0000-0000A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9" name="Text Box 69">
          <a:extLst>
            <a:ext uri="{FF2B5EF4-FFF2-40B4-BE49-F238E27FC236}">
              <a16:creationId xmlns="" xmlns:a16="http://schemas.microsoft.com/office/drawing/2014/main" id="{00000000-0008-0000-0000-0000A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0" name="Text Box 70">
          <a:extLst>
            <a:ext uri="{FF2B5EF4-FFF2-40B4-BE49-F238E27FC236}">
              <a16:creationId xmlns="" xmlns:a16="http://schemas.microsoft.com/office/drawing/2014/main" id="{00000000-0008-0000-0000-0000A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1" name="Text Box 71">
          <a:extLst>
            <a:ext uri="{FF2B5EF4-FFF2-40B4-BE49-F238E27FC236}">
              <a16:creationId xmlns="" xmlns:a16="http://schemas.microsoft.com/office/drawing/2014/main" id="{00000000-0008-0000-0000-0000A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2" name="Text Box 72">
          <a:extLst>
            <a:ext uri="{FF2B5EF4-FFF2-40B4-BE49-F238E27FC236}">
              <a16:creationId xmlns="" xmlns:a16="http://schemas.microsoft.com/office/drawing/2014/main" id="{00000000-0008-0000-0000-0000A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3" name="Text Box 73">
          <a:extLst>
            <a:ext uri="{FF2B5EF4-FFF2-40B4-BE49-F238E27FC236}">
              <a16:creationId xmlns="" xmlns:a16="http://schemas.microsoft.com/office/drawing/2014/main" id="{00000000-0008-0000-0000-0000A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4" name="Text Box 74">
          <a:extLst>
            <a:ext uri="{FF2B5EF4-FFF2-40B4-BE49-F238E27FC236}">
              <a16:creationId xmlns="" xmlns:a16="http://schemas.microsoft.com/office/drawing/2014/main" id="{00000000-0008-0000-0000-0000B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5" name="Text Box 75">
          <a:extLst>
            <a:ext uri="{FF2B5EF4-FFF2-40B4-BE49-F238E27FC236}">
              <a16:creationId xmlns="" xmlns:a16="http://schemas.microsoft.com/office/drawing/2014/main" id="{00000000-0008-0000-0000-0000B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6" name="Text Box 76">
          <a:extLst>
            <a:ext uri="{FF2B5EF4-FFF2-40B4-BE49-F238E27FC236}">
              <a16:creationId xmlns="" xmlns:a16="http://schemas.microsoft.com/office/drawing/2014/main" id="{00000000-0008-0000-0000-0000B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7" name="Text Box 77">
          <a:extLst>
            <a:ext uri="{FF2B5EF4-FFF2-40B4-BE49-F238E27FC236}">
              <a16:creationId xmlns="" xmlns:a16="http://schemas.microsoft.com/office/drawing/2014/main" id="{00000000-0008-0000-0000-0000B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8" name="Text Box 78">
          <a:extLst>
            <a:ext uri="{FF2B5EF4-FFF2-40B4-BE49-F238E27FC236}">
              <a16:creationId xmlns="" xmlns:a16="http://schemas.microsoft.com/office/drawing/2014/main" id="{00000000-0008-0000-0000-0000B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9" name="Text Box 79">
          <a:extLst>
            <a:ext uri="{FF2B5EF4-FFF2-40B4-BE49-F238E27FC236}">
              <a16:creationId xmlns="" xmlns:a16="http://schemas.microsoft.com/office/drawing/2014/main" id="{00000000-0008-0000-0000-0000B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0" name="Text Box 80">
          <a:extLst>
            <a:ext uri="{FF2B5EF4-FFF2-40B4-BE49-F238E27FC236}">
              <a16:creationId xmlns="" xmlns:a16="http://schemas.microsoft.com/office/drawing/2014/main" id="{00000000-0008-0000-0000-0000B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1" name="Text Box 81">
          <a:extLst>
            <a:ext uri="{FF2B5EF4-FFF2-40B4-BE49-F238E27FC236}">
              <a16:creationId xmlns="" xmlns:a16="http://schemas.microsoft.com/office/drawing/2014/main" id="{00000000-0008-0000-0000-0000B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2" name="Text Box 3079">
          <a:extLst>
            <a:ext uri="{FF2B5EF4-FFF2-40B4-BE49-F238E27FC236}">
              <a16:creationId xmlns="" xmlns:a16="http://schemas.microsoft.com/office/drawing/2014/main" id="{00000000-0008-0000-0000-0000B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3" name="Text Box 3080">
          <a:extLst>
            <a:ext uri="{FF2B5EF4-FFF2-40B4-BE49-F238E27FC236}">
              <a16:creationId xmlns="" xmlns:a16="http://schemas.microsoft.com/office/drawing/2014/main" id="{00000000-0008-0000-0000-0000B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4" name="Text Box 3081">
          <a:extLst>
            <a:ext uri="{FF2B5EF4-FFF2-40B4-BE49-F238E27FC236}">
              <a16:creationId xmlns="" xmlns:a16="http://schemas.microsoft.com/office/drawing/2014/main" id="{00000000-0008-0000-0000-0000B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5" name="Text Box 3082">
          <a:extLst>
            <a:ext uri="{FF2B5EF4-FFF2-40B4-BE49-F238E27FC236}">
              <a16:creationId xmlns="" xmlns:a16="http://schemas.microsoft.com/office/drawing/2014/main" id="{00000000-0008-0000-0000-0000B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6" name="Text Box 3083">
          <a:extLst>
            <a:ext uri="{FF2B5EF4-FFF2-40B4-BE49-F238E27FC236}">
              <a16:creationId xmlns="" xmlns:a16="http://schemas.microsoft.com/office/drawing/2014/main" id="{00000000-0008-0000-0000-0000B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7" name="Text Box 3084">
          <a:extLst>
            <a:ext uri="{FF2B5EF4-FFF2-40B4-BE49-F238E27FC236}">
              <a16:creationId xmlns="" xmlns:a16="http://schemas.microsoft.com/office/drawing/2014/main" id="{00000000-0008-0000-0000-0000B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8" name="Text Box 3085">
          <a:extLst>
            <a:ext uri="{FF2B5EF4-FFF2-40B4-BE49-F238E27FC236}">
              <a16:creationId xmlns="" xmlns:a16="http://schemas.microsoft.com/office/drawing/2014/main" id="{00000000-0008-0000-0000-0000B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9" name="Text Box 3086">
          <a:extLst>
            <a:ext uri="{FF2B5EF4-FFF2-40B4-BE49-F238E27FC236}">
              <a16:creationId xmlns="" xmlns:a16="http://schemas.microsoft.com/office/drawing/2014/main" id="{00000000-0008-0000-0000-0000B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0" name="Text Box 3087">
          <a:extLst>
            <a:ext uri="{FF2B5EF4-FFF2-40B4-BE49-F238E27FC236}">
              <a16:creationId xmlns="" xmlns:a16="http://schemas.microsoft.com/office/drawing/2014/main" id="{00000000-0008-0000-0000-0000C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1" name="Text Box 3088">
          <a:extLst>
            <a:ext uri="{FF2B5EF4-FFF2-40B4-BE49-F238E27FC236}">
              <a16:creationId xmlns="" xmlns:a16="http://schemas.microsoft.com/office/drawing/2014/main" id="{00000000-0008-0000-0000-0000C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2" name="Text Box 3089">
          <a:extLst>
            <a:ext uri="{FF2B5EF4-FFF2-40B4-BE49-F238E27FC236}">
              <a16:creationId xmlns="" xmlns:a16="http://schemas.microsoft.com/office/drawing/2014/main" id="{00000000-0008-0000-0000-0000C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3" name="Text Box 3090">
          <a:extLst>
            <a:ext uri="{FF2B5EF4-FFF2-40B4-BE49-F238E27FC236}">
              <a16:creationId xmlns="" xmlns:a16="http://schemas.microsoft.com/office/drawing/2014/main" id="{00000000-0008-0000-0000-0000C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4" name="Text Box 3091">
          <a:extLst>
            <a:ext uri="{FF2B5EF4-FFF2-40B4-BE49-F238E27FC236}">
              <a16:creationId xmlns="" xmlns:a16="http://schemas.microsoft.com/office/drawing/2014/main" id="{00000000-0008-0000-0000-0000C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5" name="Text Box 3092">
          <a:extLst>
            <a:ext uri="{FF2B5EF4-FFF2-40B4-BE49-F238E27FC236}">
              <a16:creationId xmlns="" xmlns:a16="http://schemas.microsoft.com/office/drawing/2014/main" id="{00000000-0008-0000-0000-0000C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6" name="Text Box 3093">
          <a:extLst>
            <a:ext uri="{FF2B5EF4-FFF2-40B4-BE49-F238E27FC236}">
              <a16:creationId xmlns="" xmlns:a16="http://schemas.microsoft.com/office/drawing/2014/main" id="{00000000-0008-0000-0000-0000C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7" name="Text Box 3094">
          <a:extLst>
            <a:ext uri="{FF2B5EF4-FFF2-40B4-BE49-F238E27FC236}">
              <a16:creationId xmlns="" xmlns:a16="http://schemas.microsoft.com/office/drawing/2014/main" id="{00000000-0008-0000-0000-0000C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8" name="Text Box 3095">
          <a:extLst>
            <a:ext uri="{FF2B5EF4-FFF2-40B4-BE49-F238E27FC236}">
              <a16:creationId xmlns="" xmlns:a16="http://schemas.microsoft.com/office/drawing/2014/main" id="{00000000-0008-0000-0000-0000C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9" name="Text Box 3096">
          <a:extLst>
            <a:ext uri="{FF2B5EF4-FFF2-40B4-BE49-F238E27FC236}">
              <a16:creationId xmlns="" xmlns:a16="http://schemas.microsoft.com/office/drawing/2014/main" id="{00000000-0008-0000-0000-0000C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0" name="Text Box 3097">
          <a:extLst>
            <a:ext uri="{FF2B5EF4-FFF2-40B4-BE49-F238E27FC236}">
              <a16:creationId xmlns="" xmlns:a16="http://schemas.microsoft.com/office/drawing/2014/main" id="{00000000-0008-0000-0000-0000C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1" name="Text Box 3098">
          <a:extLst>
            <a:ext uri="{FF2B5EF4-FFF2-40B4-BE49-F238E27FC236}">
              <a16:creationId xmlns="" xmlns:a16="http://schemas.microsoft.com/office/drawing/2014/main" id="{00000000-0008-0000-0000-0000C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2" name="Text Box 3099">
          <a:extLst>
            <a:ext uri="{FF2B5EF4-FFF2-40B4-BE49-F238E27FC236}">
              <a16:creationId xmlns="" xmlns:a16="http://schemas.microsoft.com/office/drawing/2014/main" id="{00000000-0008-0000-0000-0000C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3" name="Text Box 3100">
          <a:extLst>
            <a:ext uri="{FF2B5EF4-FFF2-40B4-BE49-F238E27FC236}">
              <a16:creationId xmlns="" xmlns:a16="http://schemas.microsoft.com/office/drawing/2014/main" id="{00000000-0008-0000-0000-0000C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4" name="Text Box 3101">
          <a:extLst>
            <a:ext uri="{FF2B5EF4-FFF2-40B4-BE49-F238E27FC236}">
              <a16:creationId xmlns="" xmlns:a16="http://schemas.microsoft.com/office/drawing/2014/main" id="{00000000-0008-0000-0000-0000C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975" name="Text Box 3102">
          <a:extLst>
            <a:ext uri="{FF2B5EF4-FFF2-40B4-BE49-F238E27FC236}">
              <a16:creationId xmlns="" xmlns:a16="http://schemas.microsoft.com/office/drawing/2014/main" id="{00000000-0008-0000-0000-0000C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6" name="Text Box 59">
          <a:extLst>
            <a:ext uri="{FF2B5EF4-FFF2-40B4-BE49-F238E27FC236}">
              <a16:creationId xmlns="" xmlns:a16="http://schemas.microsoft.com/office/drawing/2014/main" id="{00000000-0008-0000-0000-0000D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7" name="Text Box 60">
          <a:extLst>
            <a:ext uri="{FF2B5EF4-FFF2-40B4-BE49-F238E27FC236}">
              <a16:creationId xmlns="" xmlns:a16="http://schemas.microsoft.com/office/drawing/2014/main" id="{00000000-0008-0000-0000-0000D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8" name="Text Box 61">
          <a:extLst>
            <a:ext uri="{FF2B5EF4-FFF2-40B4-BE49-F238E27FC236}">
              <a16:creationId xmlns="" xmlns:a16="http://schemas.microsoft.com/office/drawing/2014/main" id="{00000000-0008-0000-0000-0000D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9" name="Text Box 62">
          <a:extLst>
            <a:ext uri="{FF2B5EF4-FFF2-40B4-BE49-F238E27FC236}">
              <a16:creationId xmlns="" xmlns:a16="http://schemas.microsoft.com/office/drawing/2014/main" id="{00000000-0008-0000-0000-0000D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0" name="Text Box 63">
          <a:extLst>
            <a:ext uri="{FF2B5EF4-FFF2-40B4-BE49-F238E27FC236}">
              <a16:creationId xmlns="" xmlns:a16="http://schemas.microsoft.com/office/drawing/2014/main" id="{00000000-0008-0000-0000-0000D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1" name="Text Box 64">
          <a:extLst>
            <a:ext uri="{FF2B5EF4-FFF2-40B4-BE49-F238E27FC236}">
              <a16:creationId xmlns="" xmlns:a16="http://schemas.microsoft.com/office/drawing/2014/main" id="{00000000-0008-0000-0000-0000D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2" name="Text Box 65">
          <a:extLst>
            <a:ext uri="{FF2B5EF4-FFF2-40B4-BE49-F238E27FC236}">
              <a16:creationId xmlns="" xmlns:a16="http://schemas.microsoft.com/office/drawing/2014/main" id="{00000000-0008-0000-0000-0000D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3" name="Text Box 66">
          <a:extLst>
            <a:ext uri="{FF2B5EF4-FFF2-40B4-BE49-F238E27FC236}">
              <a16:creationId xmlns="" xmlns:a16="http://schemas.microsoft.com/office/drawing/2014/main" id="{00000000-0008-0000-0000-0000D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4" name="Text Box 67">
          <a:extLst>
            <a:ext uri="{FF2B5EF4-FFF2-40B4-BE49-F238E27FC236}">
              <a16:creationId xmlns="" xmlns:a16="http://schemas.microsoft.com/office/drawing/2014/main" id="{00000000-0008-0000-0000-0000D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5" name="Text Box 68">
          <a:extLst>
            <a:ext uri="{FF2B5EF4-FFF2-40B4-BE49-F238E27FC236}">
              <a16:creationId xmlns="" xmlns:a16="http://schemas.microsoft.com/office/drawing/2014/main" id="{00000000-0008-0000-0000-0000D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6" name="Text Box 69">
          <a:extLst>
            <a:ext uri="{FF2B5EF4-FFF2-40B4-BE49-F238E27FC236}">
              <a16:creationId xmlns="" xmlns:a16="http://schemas.microsoft.com/office/drawing/2014/main" id="{00000000-0008-0000-0000-0000D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7" name="Text Box 70">
          <a:extLst>
            <a:ext uri="{FF2B5EF4-FFF2-40B4-BE49-F238E27FC236}">
              <a16:creationId xmlns="" xmlns:a16="http://schemas.microsoft.com/office/drawing/2014/main" id="{00000000-0008-0000-0000-0000D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8" name="Text Box 71">
          <a:extLst>
            <a:ext uri="{FF2B5EF4-FFF2-40B4-BE49-F238E27FC236}">
              <a16:creationId xmlns="" xmlns:a16="http://schemas.microsoft.com/office/drawing/2014/main" id="{00000000-0008-0000-0000-0000D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9" name="Text Box 72">
          <a:extLst>
            <a:ext uri="{FF2B5EF4-FFF2-40B4-BE49-F238E27FC236}">
              <a16:creationId xmlns="" xmlns:a16="http://schemas.microsoft.com/office/drawing/2014/main" id="{00000000-0008-0000-0000-0000D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0" name="Text Box 73">
          <a:extLst>
            <a:ext uri="{FF2B5EF4-FFF2-40B4-BE49-F238E27FC236}">
              <a16:creationId xmlns="" xmlns:a16="http://schemas.microsoft.com/office/drawing/2014/main" id="{00000000-0008-0000-0000-0000D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1" name="Text Box 74">
          <a:extLst>
            <a:ext uri="{FF2B5EF4-FFF2-40B4-BE49-F238E27FC236}">
              <a16:creationId xmlns="" xmlns:a16="http://schemas.microsoft.com/office/drawing/2014/main" id="{00000000-0008-0000-0000-0000D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2" name="Text Box 75">
          <a:extLst>
            <a:ext uri="{FF2B5EF4-FFF2-40B4-BE49-F238E27FC236}">
              <a16:creationId xmlns="" xmlns:a16="http://schemas.microsoft.com/office/drawing/2014/main" id="{00000000-0008-0000-0000-0000E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3" name="Text Box 76">
          <a:extLst>
            <a:ext uri="{FF2B5EF4-FFF2-40B4-BE49-F238E27FC236}">
              <a16:creationId xmlns="" xmlns:a16="http://schemas.microsoft.com/office/drawing/2014/main" id="{00000000-0008-0000-0000-0000E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4" name="Text Box 77">
          <a:extLst>
            <a:ext uri="{FF2B5EF4-FFF2-40B4-BE49-F238E27FC236}">
              <a16:creationId xmlns="" xmlns:a16="http://schemas.microsoft.com/office/drawing/2014/main" id="{00000000-0008-0000-0000-0000E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5" name="Text Box 78">
          <a:extLst>
            <a:ext uri="{FF2B5EF4-FFF2-40B4-BE49-F238E27FC236}">
              <a16:creationId xmlns="" xmlns:a16="http://schemas.microsoft.com/office/drawing/2014/main" id="{00000000-0008-0000-0000-0000E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6" name="Text Box 79">
          <a:extLst>
            <a:ext uri="{FF2B5EF4-FFF2-40B4-BE49-F238E27FC236}">
              <a16:creationId xmlns="" xmlns:a16="http://schemas.microsoft.com/office/drawing/2014/main" id="{00000000-0008-0000-0000-0000E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7" name="Text Box 80">
          <a:extLst>
            <a:ext uri="{FF2B5EF4-FFF2-40B4-BE49-F238E27FC236}">
              <a16:creationId xmlns="" xmlns:a16="http://schemas.microsoft.com/office/drawing/2014/main" id="{00000000-0008-0000-0000-0000E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8" name="Text Box 81">
          <a:extLst>
            <a:ext uri="{FF2B5EF4-FFF2-40B4-BE49-F238E27FC236}">
              <a16:creationId xmlns="" xmlns:a16="http://schemas.microsoft.com/office/drawing/2014/main" id="{00000000-0008-0000-0000-0000E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999" name="Text Box 82">
          <a:extLst>
            <a:ext uri="{FF2B5EF4-FFF2-40B4-BE49-F238E27FC236}">
              <a16:creationId xmlns="" xmlns:a16="http://schemas.microsoft.com/office/drawing/2014/main" id="{00000000-0008-0000-0000-0000E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0" name="Text Box 3079">
          <a:extLst>
            <a:ext uri="{FF2B5EF4-FFF2-40B4-BE49-F238E27FC236}">
              <a16:creationId xmlns="" xmlns:a16="http://schemas.microsoft.com/office/drawing/2014/main" id="{00000000-0008-0000-0000-0000E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1" name="Text Box 3080">
          <a:extLst>
            <a:ext uri="{FF2B5EF4-FFF2-40B4-BE49-F238E27FC236}">
              <a16:creationId xmlns="" xmlns:a16="http://schemas.microsoft.com/office/drawing/2014/main" id="{00000000-0008-0000-0000-0000E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2" name="Text Box 3081">
          <a:extLst>
            <a:ext uri="{FF2B5EF4-FFF2-40B4-BE49-F238E27FC236}">
              <a16:creationId xmlns="" xmlns:a16="http://schemas.microsoft.com/office/drawing/2014/main" id="{00000000-0008-0000-0000-0000E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3" name="Text Box 3082">
          <a:extLst>
            <a:ext uri="{FF2B5EF4-FFF2-40B4-BE49-F238E27FC236}">
              <a16:creationId xmlns="" xmlns:a16="http://schemas.microsoft.com/office/drawing/2014/main" id="{00000000-0008-0000-0000-0000E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4" name="Text Box 3083">
          <a:extLst>
            <a:ext uri="{FF2B5EF4-FFF2-40B4-BE49-F238E27FC236}">
              <a16:creationId xmlns="" xmlns:a16="http://schemas.microsoft.com/office/drawing/2014/main" id="{00000000-0008-0000-0000-0000E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5" name="Text Box 3084">
          <a:extLst>
            <a:ext uri="{FF2B5EF4-FFF2-40B4-BE49-F238E27FC236}">
              <a16:creationId xmlns="" xmlns:a16="http://schemas.microsoft.com/office/drawing/2014/main" id="{00000000-0008-0000-0000-0000E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6" name="Text Box 3085">
          <a:extLst>
            <a:ext uri="{FF2B5EF4-FFF2-40B4-BE49-F238E27FC236}">
              <a16:creationId xmlns="" xmlns:a16="http://schemas.microsoft.com/office/drawing/2014/main" id="{00000000-0008-0000-0000-0000E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7" name="Text Box 3086">
          <a:extLst>
            <a:ext uri="{FF2B5EF4-FFF2-40B4-BE49-F238E27FC236}">
              <a16:creationId xmlns="" xmlns:a16="http://schemas.microsoft.com/office/drawing/2014/main" id="{00000000-0008-0000-0000-0000E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8" name="Text Box 3087">
          <a:extLst>
            <a:ext uri="{FF2B5EF4-FFF2-40B4-BE49-F238E27FC236}">
              <a16:creationId xmlns="" xmlns:a16="http://schemas.microsoft.com/office/drawing/2014/main" id="{00000000-0008-0000-0000-0000F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9" name="Text Box 3088">
          <a:extLst>
            <a:ext uri="{FF2B5EF4-FFF2-40B4-BE49-F238E27FC236}">
              <a16:creationId xmlns="" xmlns:a16="http://schemas.microsoft.com/office/drawing/2014/main" id="{00000000-0008-0000-0000-0000F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0" name="Text Box 3089">
          <a:extLst>
            <a:ext uri="{FF2B5EF4-FFF2-40B4-BE49-F238E27FC236}">
              <a16:creationId xmlns="" xmlns:a16="http://schemas.microsoft.com/office/drawing/2014/main" id="{00000000-0008-0000-0000-0000F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1" name="Text Box 3090">
          <a:extLst>
            <a:ext uri="{FF2B5EF4-FFF2-40B4-BE49-F238E27FC236}">
              <a16:creationId xmlns="" xmlns:a16="http://schemas.microsoft.com/office/drawing/2014/main" id="{00000000-0008-0000-0000-0000F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2" name="Text Box 3091">
          <a:extLst>
            <a:ext uri="{FF2B5EF4-FFF2-40B4-BE49-F238E27FC236}">
              <a16:creationId xmlns="" xmlns:a16="http://schemas.microsoft.com/office/drawing/2014/main" id="{00000000-0008-0000-0000-0000F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3" name="Text Box 3092">
          <a:extLst>
            <a:ext uri="{FF2B5EF4-FFF2-40B4-BE49-F238E27FC236}">
              <a16:creationId xmlns="" xmlns:a16="http://schemas.microsoft.com/office/drawing/2014/main" id="{00000000-0008-0000-0000-0000F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4" name="Text Box 3093">
          <a:extLst>
            <a:ext uri="{FF2B5EF4-FFF2-40B4-BE49-F238E27FC236}">
              <a16:creationId xmlns="" xmlns:a16="http://schemas.microsoft.com/office/drawing/2014/main" id="{00000000-0008-0000-0000-0000F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5" name="Text Box 3094">
          <a:extLst>
            <a:ext uri="{FF2B5EF4-FFF2-40B4-BE49-F238E27FC236}">
              <a16:creationId xmlns="" xmlns:a16="http://schemas.microsoft.com/office/drawing/2014/main" id="{00000000-0008-0000-0000-0000F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6" name="Text Box 3095">
          <a:extLst>
            <a:ext uri="{FF2B5EF4-FFF2-40B4-BE49-F238E27FC236}">
              <a16:creationId xmlns="" xmlns:a16="http://schemas.microsoft.com/office/drawing/2014/main" id="{00000000-0008-0000-0000-0000F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7" name="Text Box 3096">
          <a:extLst>
            <a:ext uri="{FF2B5EF4-FFF2-40B4-BE49-F238E27FC236}">
              <a16:creationId xmlns="" xmlns:a16="http://schemas.microsoft.com/office/drawing/2014/main" id="{00000000-0008-0000-0000-0000F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8" name="Text Box 3097">
          <a:extLst>
            <a:ext uri="{FF2B5EF4-FFF2-40B4-BE49-F238E27FC236}">
              <a16:creationId xmlns="" xmlns:a16="http://schemas.microsoft.com/office/drawing/2014/main" id="{00000000-0008-0000-0000-0000F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9" name="Text Box 3098">
          <a:extLst>
            <a:ext uri="{FF2B5EF4-FFF2-40B4-BE49-F238E27FC236}">
              <a16:creationId xmlns="" xmlns:a16="http://schemas.microsoft.com/office/drawing/2014/main" id="{00000000-0008-0000-0000-0000F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0" name="Text Box 3099">
          <a:extLst>
            <a:ext uri="{FF2B5EF4-FFF2-40B4-BE49-F238E27FC236}">
              <a16:creationId xmlns="" xmlns:a16="http://schemas.microsoft.com/office/drawing/2014/main" id="{00000000-0008-0000-0000-0000F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1" name="Text Box 3100">
          <a:extLst>
            <a:ext uri="{FF2B5EF4-FFF2-40B4-BE49-F238E27FC236}">
              <a16:creationId xmlns="" xmlns:a16="http://schemas.microsoft.com/office/drawing/2014/main" id="{00000000-0008-0000-0000-0000F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2" name="Text Box 3101">
          <a:extLst>
            <a:ext uri="{FF2B5EF4-FFF2-40B4-BE49-F238E27FC236}">
              <a16:creationId xmlns="" xmlns:a16="http://schemas.microsoft.com/office/drawing/2014/main" id="{00000000-0008-0000-0000-0000F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023" name="Text Box 3102">
          <a:extLst>
            <a:ext uri="{FF2B5EF4-FFF2-40B4-BE49-F238E27FC236}">
              <a16:creationId xmlns="" xmlns:a16="http://schemas.microsoft.com/office/drawing/2014/main" id="{00000000-0008-0000-0000-0000F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4" name="Text Box 59">
          <a:extLst>
            <a:ext uri="{FF2B5EF4-FFF2-40B4-BE49-F238E27FC236}">
              <a16:creationId xmlns="" xmlns:a16="http://schemas.microsoft.com/office/drawing/2014/main" id="{00000000-0008-0000-0000-00000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5" name="Text Box 60">
          <a:extLst>
            <a:ext uri="{FF2B5EF4-FFF2-40B4-BE49-F238E27FC236}">
              <a16:creationId xmlns=""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6" name="Text Box 61">
          <a:extLst>
            <a:ext uri="{FF2B5EF4-FFF2-40B4-BE49-F238E27FC236}">
              <a16:creationId xmlns=""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7" name="Text Box 62">
          <a:extLst>
            <a:ext uri="{FF2B5EF4-FFF2-40B4-BE49-F238E27FC236}">
              <a16:creationId xmlns=""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8" name="Text Box 63">
          <a:extLst>
            <a:ext uri="{FF2B5EF4-FFF2-40B4-BE49-F238E27FC236}">
              <a16:creationId xmlns=""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9" name="Text Box 64">
          <a:extLst>
            <a:ext uri="{FF2B5EF4-FFF2-40B4-BE49-F238E27FC236}">
              <a16:creationId xmlns=""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0" name="Text Box 65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1" name="Text Box 66">
          <a:extLst>
            <a:ext uri="{FF2B5EF4-FFF2-40B4-BE49-F238E27FC236}">
              <a16:creationId xmlns=""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2" name="Text Box 67">
          <a:extLst>
            <a:ext uri="{FF2B5EF4-FFF2-40B4-BE49-F238E27FC236}">
              <a16:creationId xmlns=""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3" name="Text Box 68">
          <a:extLst>
            <a:ext uri="{FF2B5EF4-FFF2-40B4-BE49-F238E27FC236}">
              <a16:creationId xmlns="" xmlns:a16="http://schemas.microsoft.com/office/drawing/2014/main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4" name="Text Box 69">
          <a:extLst>
            <a:ext uri="{FF2B5EF4-FFF2-40B4-BE49-F238E27FC236}">
              <a16:creationId xmlns=""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5" name="Text Box 70">
          <a:extLst>
            <a:ext uri="{FF2B5EF4-FFF2-40B4-BE49-F238E27FC236}">
              <a16:creationId xmlns="" xmlns:a16="http://schemas.microsoft.com/office/drawing/2014/main" id="{00000000-0008-0000-0000-00000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6" name="Text Box 71">
          <a:extLst>
            <a:ext uri="{FF2B5EF4-FFF2-40B4-BE49-F238E27FC236}">
              <a16:creationId xmlns="" xmlns:a16="http://schemas.microsoft.com/office/drawing/2014/main" id="{00000000-0008-0000-0000-00000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7" name="Text Box 72">
          <a:extLst>
            <a:ext uri="{FF2B5EF4-FFF2-40B4-BE49-F238E27FC236}">
              <a16:creationId xmlns="" xmlns:a16="http://schemas.microsoft.com/office/drawing/2014/main" id="{00000000-0008-0000-0000-00000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8" name="Text Box 73">
          <a:extLst>
            <a:ext uri="{FF2B5EF4-FFF2-40B4-BE49-F238E27FC236}">
              <a16:creationId xmlns="" xmlns:a16="http://schemas.microsoft.com/office/drawing/2014/main" id="{00000000-0008-0000-0000-00000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9" name="Text Box 74">
          <a:extLst>
            <a:ext uri="{FF2B5EF4-FFF2-40B4-BE49-F238E27FC236}">
              <a16:creationId xmlns="" xmlns:a16="http://schemas.microsoft.com/office/drawing/2014/main" id="{00000000-0008-0000-0000-00000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0" name="Text Box 75">
          <a:extLst>
            <a:ext uri="{FF2B5EF4-FFF2-40B4-BE49-F238E27FC236}">
              <a16:creationId xmlns="" xmlns:a16="http://schemas.microsoft.com/office/drawing/2014/main" id="{00000000-0008-0000-0000-00001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1" name="Text Box 76">
          <a:extLst>
            <a:ext uri="{FF2B5EF4-FFF2-40B4-BE49-F238E27FC236}">
              <a16:creationId xmlns="" xmlns:a16="http://schemas.microsoft.com/office/drawing/2014/main" id="{00000000-0008-0000-0000-00001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2" name="Text Box 77">
          <a:extLst>
            <a:ext uri="{FF2B5EF4-FFF2-40B4-BE49-F238E27FC236}">
              <a16:creationId xmlns="" xmlns:a16="http://schemas.microsoft.com/office/drawing/2014/main" id="{00000000-0008-0000-0000-00001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3" name="Text Box 78">
          <a:extLst>
            <a:ext uri="{FF2B5EF4-FFF2-40B4-BE49-F238E27FC236}">
              <a16:creationId xmlns="" xmlns:a16="http://schemas.microsoft.com/office/drawing/2014/main" id="{00000000-0008-0000-0000-00001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4" name="Text Box 79">
          <a:extLst>
            <a:ext uri="{FF2B5EF4-FFF2-40B4-BE49-F238E27FC236}">
              <a16:creationId xmlns="" xmlns:a16="http://schemas.microsoft.com/office/drawing/2014/main" id="{00000000-0008-0000-0000-00001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5" name="Text Box 80">
          <a:extLst>
            <a:ext uri="{FF2B5EF4-FFF2-40B4-BE49-F238E27FC236}">
              <a16:creationId xmlns=""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6" name="Text Box 81">
          <a:extLst>
            <a:ext uri="{FF2B5EF4-FFF2-40B4-BE49-F238E27FC236}">
              <a16:creationId xmlns="" xmlns:a16="http://schemas.microsoft.com/office/drawing/2014/main" id="{00000000-0008-0000-0000-00001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7" name="Text Box 3079">
          <a:extLst>
            <a:ext uri="{FF2B5EF4-FFF2-40B4-BE49-F238E27FC236}">
              <a16:creationId xmlns="" xmlns:a16="http://schemas.microsoft.com/office/drawing/2014/main" id="{00000000-0008-0000-0000-00001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8" name="Text Box 3080">
          <a:extLst>
            <a:ext uri="{FF2B5EF4-FFF2-40B4-BE49-F238E27FC236}">
              <a16:creationId xmlns="" xmlns:a16="http://schemas.microsoft.com/office/drawing/2014/main" id="{00000000-0008-0000-0000-00001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9" name="Text Box 3081">
          <a:extLst>
            <a:ext uri="{FF2B5EF4-FFF2-40B4-BE49-F238E27FC236}">
              <a16:creationId xmlns="" xmlns:a16="http://schemas.microsoft.com/office/drawing/2014/main" id="{00000000-0008-0000-0000-00001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0" name="Text Box 3082">
          <a:extLst>
            <a:ext uri="{FF2B5EF4-FFF2-40B4-BE49-F238E27FC236}">
              <a16:creationId xmlns="" xmlns:a16="http://schemas.microsoft.com/office/drawing/2014/main" id="{00000000-0008-0000-0000-00001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1" name="Text Box 3083">
          <a:extLst>
            <a:ext uri="{FF2B5EF4-FFF2-40B4-BE49-F238E27FC236}">
              <a16:creationId xmlns=""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2" name="Text Box 3084">
          <a:extLst>
            <a:ext uri="{FF2B5EF4-FFF2-40B4-BE49-F238E27FC236}">
              <a16:creationId xmlns=""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3" name="Text Box 3085">
          <a:extLst>
            <a:ext uri="{FF2B5EF4-FFF2-40B4-BE49-F238E27FC236}">
              <a16:creationId xmlns="" xmlns:a16="http://schemas.microsoft.com/office/drawing/2014/main" id="{00000000-0008-0000-0000-00001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4" name="Text Box 3086">
          <a:extLst>
            <a:ext uri="{FF2B5EF4-FFF2-40B4-BE49-F238E27FC236}">
              <a16:creationId xmlns="" xmlns:a16="http://schemas.microsoft.com/office/drawing/2014/main" id="{00000000-0008-0000-0000-00001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5" name="Text Box 3087">
          <a:extLst>
            <a:ext uri="{FF2B5EF4-FFF2-40B4-BE49-F238E27FC236}">
              <a16:creationId xmlns="" xmlns:a16="http://schemas.microsoft.com/office/drawing/2014/main" id="{00000000-0008-0000-0000-00001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6" name="Text Box 3088">
          <a:extLst>
            <a:ext uri="{FF2B5EF4-FFF2-40B4-BE49-F238E27FC236}">
              <a16:creationId xmlns=""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7" name="Text Box 3089">
          <a:extLst>
            <a:ext uri="{FF2B5EF4-FFF2-40B4-BE49-F238E27FC236}">
              <a16:creationId xmlns="" xmlns:a16="http://schemas.microsoft.com/office/drawing/2014/main" id="{00000000-0008-0000-0000-00002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8" name="Text Box 3090">
          <a:extLst>
            <a:ext uri="{FF2B5EF4-FFF2-40B4-BE49-F238E27FC236}">
              <a16:creationId xmlns="" xmlns:a16="http://schemas.microsoft.com/office/drawing/2014/main" id="{00000000-0008-0000-0000-00002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9" name="Text Box 3091">
          <a:extLst>
            <a:ext uri="{FF2B5EF4-FFF2-40B4-BE49-F238E27FC236}">
              <a16:creationId xmlns="" xmlns:a16="http://schemas.microsoft.com/office/drawing/2014/main" id="{00000000-0008-0000-0000-00002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0" name="Text Box 3092">
          <a:extLst>
            <a:ext uri="{FF2B5EF4-FFF2-40B4-BE49-F238E27FC236}">
              <a16:creationId xmlns="" xmlns:a16="http://schemas.microsoft.com/office/drawing/2014/main" id="{00000000-0008-0000-0000-00002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1" name="Text Box 3093">
          <a:extLst>
            <a:ext uri="{FF2B5EF4-FFF2-40B4-BE49-F238E27FC236}">
              <a16:creationId xmlns="" xmlns:a16="http://schemas.microsoft.com/office/drawing/2014/main" id="{00000000-0008-0000-0000-00002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2" name="Text Box 3094">
          <a:extLst>
            <a:ext uri="{FF2B5EF4-FFF2-40B4-BE49-F238E27FC236}">
              <a16:creationId xmlns="" xmlns:a16="http://schemas.microsoft.com/office/drawing/2014/main" id="{00000000-0008-0000-0000-00002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3" name="Text Box 3095">
          <a:extLst>
            <a:ext uri="{FF2B5EF4-FFF2-40B4-BE49-F238E27FC236}">
              <a16:creationId xmlns="" xmlns:a16="http://schemas.microsoft.com/office/drawing/2014/main" id="{00000000-0008-0000-0000-00002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4" name="Text Box 3096">
          <a:extLst>
            <a:ext uri="{FF2B5EF4-FFF2-40B4-BE49-F238E27FC236}">
              <a16:creationId xmlns=""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5" name="Text Box 3097">
          <a:extLst>
            <a:ext uri="{FF2B5EF4-FFF2-40B4-BE49-F238E27FC236}">
              <a16:creationId xmlns="" xmlns:a16="http://schemas.microsoft.com/office/drawing/2014/main" id="{00000000-0008-0000-0000-00002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6" name="Text Box 3098">
          <a:extLst>
            <a:ext uri="{FF2B5EF4-FFF2-40B4-BE49-F238E27FC236}">
              <a16:creationId xmlns="" xmlns:a16="http://schemas.microsoft.com/office/drawing/2014/main" id="{00000000-0008-0000-0000-00002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7" name="Text Box 3099">
          <a:extLst>
            <a:ext uri="{FF2B5EF4-FFF2-40B4-BE49-F238E27FC236}">
              <a16:creationId xmlns="" xmlns:a16="http://schemas.microsoft.com/office/drawing/2014/main" id="{00000000-0008-0000-0000-00002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8" name="Text Box 3100">
          <a:extLst>
            <a:ext uri="{FF2B5EF4-FFF2-40B4-BE49-F238E27FC236}">
              <a16:creationId xmlns="" xmlns:a16="http://schemas.microsoft.com/office/drawing/2014/main" id="{00000000-0008-0000-0000-00002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9" name="Text Box 3101">
          <a:extLst>
            <a:ext uri="{FF2B5EF4-FFF2-40B4-BE49-F238E27FC236}">
              <a16:creationId xmlns="" xmlns:a16="http://schemas.microsoft.com/office/drawing/2014/main" id="{00000000-0008-0000-0000-00002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070" name="Text Box 3102">
          <a:extLst>
            <a:ext uri="{FF2B5EF4-FFF2-40B4-BE49-F238E27FC236}">
              <a16:creationId xmlns="" xmlns:a16="http://schemas.microsoft.com/office/drawing/2014/main" id="{00000000-0008-0000-0000-00002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1" name="Text Box 59">
          <a:extLst>
            <a:ext uri="{FF2B5EF4-FFF2-40B4-BE49-F238E27FC236}">
              <a16:creationId xmlns="" xmlns:a16="http://schemas.microsoft.com/office/drawing/2014/main" id="{00000000-0008-0000-0000-00002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2" name="Text Box 60">
          <a:extLst>
            <a:ext uri="{FF2B5EF4-FFF2-40B4-BE49-F238E27FC236}">
              <a16:creationId xmlns="" xmlns:a16="http://schemas.microsoft.com/office/drawing/2014/main" id="{00000000-0008-0000-0000-00003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3" name="Text Box 61">
          <a:extLst>
            <a:ext uri="{FF2B5EF4-FFF2-40B4-BE49-F238E27FC236}">
              <a16:creationId xmlns="" xmlns:a16="http://schemas.microsoft.com/office/drawing/2014/main" id="{00000000-0008-0000-0000-00003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4" name="Text Box 62">
          <a:extLst>
            <a:ext uri="{FF2B5EF4-FFF2-40B4-BE49-F238E27FC236}">
              <a16:creationId xmlns="" xmlns:a16="http://schemas.microsoft.com/office/drawing/2014/main" id="{00000000-0008-0000-0000-00003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5" name="Text Box 63">
          <a:extLst>
            <a:ext uri="{FF2B5EF4-FFF2-40B4-BE49-F238E27FC236}">
              <a16:creationId xmlns="" xmlns:a16="http://schemas.microsoft.com/office/drawing/2014/main" id="{00000000-0008-0000-0000-00003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6" name="Text Box 64">
          <a:extLst>
            <a:ext uri="{FF2B5EF4-FFF2-40B4-BE49-F238E27FC236}">
              <a16:creationId xmlns="" xmlns:a16="http://schemas.microsoft.com/office/drawing/2014/main" id="{00000000-0008-0000-0000-00003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7" name="Text Box 65">
          <a:extLst>
            <a:ext uri="{FF2B5EF4-FFF2-40B4-BE49-F238E27FC236}">
              <a16:creationId xmlns="" xmlns:a16="http://schemas.microsoft.com/office/drawing/2014/main" id="{00000000-0008-0000-0000-00003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8" name="Text Box 66">
          <a:extLst>
            <a:ext uri="{FF2B5EF4-FFF2-40B4-BE49-F238E27FC236}">
              <a16:creationId xmlns="" xmlns:a16="http://schemas.microsoft.com/office/drawing/2014/main" id="{00000000-0008-0000-0000-00003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9" name="Text Box 67">
          <a:extLst>
            <a:ext uri="{FF2B5EF4-FFF2-40B4-BE49-F238E27FC236}">
              <a16:creationId xmlns="" xmlns:a16="http://schemas.microsoft.com/office/drawing/2014/main" id="{00000000-0008-0000-0000-00003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0" name="Text Box 68">
          <a:extLst>
            <a:ext uri="{FF2B5EF4-FFF2-40B4-BE49-F238E27FC236}">
              <a16:creationId xmlns="" xmlns:a16="http://schemas.microsoft.com/office/drawing/2014/main" id="{00000000-0008-0000-0000-00003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1" name="Text Box 69">
          <a:extLst>
            <a:ext uri="{FF2B5EF4-FFF2-40B4-BE49-F238E27FC236}">
              <a16:creationId xmlns="" xmlns:a16="http://schemas.microsoft.com/office/drawing/2014/main" id="{00000000-0008-0000-0000-00003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2" name="Text Box 70">
          <a:extLst>
            <a:ext uri="{FF2B5EF4-FFF2-40B4-BE49-F238E27FC236}">
              <a16:creationId xmlns="" xmlns:a16="http://schemas.microsoft.com/office/drawing/2014/main" id="{00000000-0008-0000-0000-00003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3" name="Text Box 71">
          <a:extLst>
            <a:ext uri="{FF2B5EF4-FFF2-40B4-BE49-F238E27FC236}">
              <a16:creationId xmlns="" xmlns:a16="http://schemas.microsoft.com/office/drawing/2014/main" id="{00000000-0008-0000-0000-00003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4" name="Text Box 72">
          <a:extLst>
            <a:ext uri="{FF2B5EF4-FFF2-40B4-BE49-F238E27FC236}">
              <a16:creationId xmlns="" xmlns:a16="http://schemas.microsoft.com/office/drawing/2014/main" id="{00000000-0008-0000-0000-00003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5" name="Text Box 73">
          <a:extLst>
            <a:ext uri="{FF2B5EF4-FFF2-40B4-BE49-F238E27FC236}">
              <a16:creationId xmlns="" xmlns:a16="http://schemas.microsoft.com/office/drawing/2014/main" id="{00000000-0008-0000-0000-00003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6" name="Text Box 74">
          <a:extLst>
            <a:ext uri="{FF2B5EF4-FFF2-40B4-BE49-F238E27FC236}">
              <a16:creationId xmlns="" xmlns:a16="http://schemas.microsoft.com/office/drawing/2014/main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7" name="Text Box 75">
          <a:extLst>
            <a:ext uri="{FF2B5EF4-FFF2-40B4-BE49-F238E27FC236}">
              <a16:creationId xmlns="" xmlns:a16="http://schemas.microsoft.com/office/drawing/2014/main" id="{00000000-0008-0000-0000-00003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8" name="Text Box 76">
          <a:extLst>
            <a:ext uri="{FF2B5EF4-FFF2-40B4-BE49-F238E27FC236}">
              <a16:creationId xmlns="" xmlns:a16="http://schemas.microsoft.com/office/drawing/2014/main" id="{00000000-0008-0000-0000-00004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9" name="Text Box 77">
          <a:extLst>
            <a:ext uri="{FF2B5EF4-FFF2-40B4-BE49-F238E27FC236}">
              <a16:creationId xmlns="" xmlns:a16="http://schemas.microsoft.com/office/drawing/2014/main" id="{00000000-0008-0000-0000-00004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0" name="Text Box 78">
          <a:extLst>
            <a:ext uri="{FF2B5EF4-FFF2-40B4-BE49-F238E27FC236}">
              <a16:creationId xmlns="" xmlns:a16="http://schemas.microsoft.com/office/drawing/2014/main" id="{00000000-0008-0000-0000-00004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1" name="Text Box 79">
          <a:extLst>
            <a:ext uri="{FF2B5EF4-FFF2-40B4-BE49-F238E27FC236}">
              <a16:creationId xmlns="" xmlns:a16="http://schemas.microsoft.com/office/drawing/2014/main" id="{00000000-0008-0000-0000-00004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2" name="Text Box 80">
          <a:extLst>
            <a:ext uri="{FF2B5EF4-FFF2-40B4-BE49-F238E27FC236}">
              <a16:creationId xmlns="" xmlns:a16="http://schemas.microsoft.com/office/drawing/2014/main" id="{00000000-0008-0000-0000-00004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3" name="Text Box 81">
          <a:extLst>
            <a:ext uri="{FF2B5EF4-FFF2-40B4-BE49-F238E27FC236}">
              <a16:creationId xmlns="" xmlns:a16="http://schemas.microsoft.com/office/drawing/2014/main" id="{00000000-0008-0000-0000-00004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094" name="Text Box 82">
          <a:extLst>
            <a:ext uri="{FF2B5EF4-FFF2-40B4-BE49-F238E27FC236}">
              <a16:creationId xmlns="" xmlns:a16="http://schemas.microsoft.com/office/drawing/2014/main" id="{00000000-0008-0000-0000-00004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5" name="Text Box 3079">
          <a:extLst>
            <a:ext uri="{FF2B5EF4-FFF2-40B4-BE49-F238E27FC236}">
              <a16:creationId xmlns="" xmlns:a16="http://schemas.microsoft.com/office/drawing/2014/main" id="{00000000-0008-0000-0000-00004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6" name="Text Box 3080">
          <a:extLst>
            <a:ext uri="{FF2B5EF4-FFF2-40B4-BE49-F238E27FC236}">
              <a16:creationId xmlns="" xmlns:a16="http://schemas.microsoft.com/office/drawing/2014/main" id="{00000000-0008-0000-0000-00004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7" name="Text Box 3081">
          <a:extLst>
            <a:ext uri="{FF2B5EF4-FFF2-40B4-BE49-F238E27FC236}">
              <a16:creationId xmlns="" xmlns:a16="http://schemas.microsoft.com/office/drawing/2014/main" id="{00000000-0008-0000-0000-00004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8" name="Text Box 3082">
          <a:extLst>
            <a:ext uri="{FF2B5EF4-FFF2-40B4-BE49-F238E27FC236}">
              <a16:creationId xmlns="" xmlns:a16="http://schemas.microsoft.com/office/drawing/2014/main" id="{00000000-0008-0000-0000-00004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9" name="Text Box 3083">
          <a:extLst>
            <a:ext uri="{FF2B5EF4-FFF2-40B4-BE49-F238E27FC236}">
              <a16:creationId xmlns="" xmlns:a16="http://schemas.microsoft.com/office/drawing/2014/main" id="{00000000-0008-0000-0000-00004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0" name="Text Box 3084">
          <a:extLst>
            <a:ext uri="{FF2B5EF4-FFF2-40B4-BE49-F238E27FC236}">
              <a16:creationId xmlns="" xmlns:a16="http://schemas.microsoft.com/office/drawing/2014/main" id="{00000000-0008-0000-0000-00004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1" name="Text Box 3085">
          <a:extLst>
            <a:ext uri="{FF2B5EF4-FFF2-40B4-BE49-F238E27FC236}">
              <a16:creationId xmlns="" xmlns:a16="http://schemas.microsoft.com/office/drawing/2014/main" id="{00000000-0008-0000-0000-00004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2" name="Text Box 3086">
          <a:extLst>
            <a:ext uri="{FF2B5EF4-FFF2-40B4-BE49-F238E27FC236}">
              <a16:creationId xmlns="" xmlns:a16="http://schemas.microsoft.com/office/drawing/2014/main" id="{00000000-0008-0000-0000-00004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3" name="Text Box 3087">
          <a:extLst>
            <a:ext uri="{FF2B5EF4-FFF2-40B4-BE49-F238E27FC236}">
              <a16:creationId xmlns="" xmlns:a16="http://schemas.microsoft.com/office/drawing/2014/main" id="{00000000-0008-0000-0000-00004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4" name="Text Box 3088">
          <a:extLst>
            <a:ext uri="{FF2B5EF4-FFF2-40B4-BE49-F238E27FC236}">
              <a16:creationId xmlns="" xmlns:a16="http://schemas.microsoft.com/office/drawing/2014/main" id="{00000000-0008-0000-0000-00005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5" name="Text Box 3089">
          <a:extLst>
            <a:ext uri="{FF2B5EF4-FFF2-40B4-BE49-F238E27FC236}">
              <a16:creationId xmlns="" xmlns:a16="http://schemas.microsoft.com/office/drawing/2014/main" id="{00000000-0008-0000-0000-00005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6" name="Text Box 3090">
          <a:extLst>
            <a:ext uri="{FF2B5EF4-FFF2-40B4-BE49-F238E27FC236}">
              <a16:creationId xmlns="" xmlns:a16="http://schemas.microsoft.com/office/drawing/2014/main" id="{00000000-0008-0000-0000-00005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7" name="Text Box 3091">
          <a:extLst>
            <a:ext uri="{FF2B5EF4-FFF2-40B4-BE49-F238E27FC236}">
              <a16:creationId xmlns="" xmlns:a16="http://schemas.microsoft.com/office/drawing/2014/main" id="{00000000-0008-0000-0000-00005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8" name="Text Box 3092">
          <a:extLst>
            <a:ext uri="{FF2B5EF4-FFF2-40B4-BE49-F238E27FC236}">
              <a16:creationId xmlns="" xmlns:a16="http://schemas.microsoft.com/office/drawing/2014/main" id="{00000000-0008-0000-0000-00005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9" name="Text Box 3093">
          <a:extLst>
            <a:ext uri="{FF2B5EF4-FFF2-40B4-BE49-F238E27FC236}">
              <a16:creationId xmlns="" xmlns:a16="http://schemas.microsoft.com/office/drawing/2014/main" id="{00000000-0008-0000-0000-00005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0" name="Text Box 3094">
          <a:extLst>
            <a:ext uri="{FF2B5EF4-FFF2-40B4-BE49-F238E27FC236}">
              <a16:creationId xmlns="" xmlns:a16="http://schemas.microsoft.com/office/drawing/2014/main" id="{00000000-0008-0000-0000-00005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1" name="Text Box 3095">
          <a:extLst>
            <a:ext uri="{FF2B5EF4-FFF2-40B4-BE49-F238E27FC236}">
              <a16:creationId xmlns="" xmlns:a16="http://schemas.microsoft.com/office/drawing/2014/main" id="{00000000-0008-0000-0000-00005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2" name="Text Box 3096">
          <a:extLst>
            <a:ext uri="{FF2B5EF4-FFF2-40B4-BE49-F238E27FC236}">
              <a16:creationId xmlns="" xmlns:a16="http://schemas.microsoft.com/office/drawing/2014/main" id="{00000000-0008-0000-0000-00005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3" name="Text Box 3097">
          <a:extLst>
            <a:ext uri="{FF2B5EF4-FFF2-40B4-BE49-F238E27FC236}">
              <a16:creationId xmlns="" xmlns:a16="http://schemas.microsoft.com/office/drawing/2014/main" id="{00000000-0008-0000-0000-00005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4" name="Text Box 3098">
          <a:extLst>
            <a:ext uri="{FF2B5EF4-FFF2-40B4-BE49-F238E27FC236}">
              <a16:creationId xmlns="" xmlns:a16="http://schemas.microsoft.com/office/drawing/2014/main" id="{00000000-0008-0000-0000-00005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5" name="Text Box 3099">
          <a:extLst>
            <a:ext uri="{FF2B5EF4-FFF2-40B4-BE49-F238E27FC236}">
              <a16:creationId xmlns="" xmlns:a16="http://schemas.microsoft.com/office/drawing/2014/main" id="{00000000-0008-0000-0000-00005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6" name="Text Box 3100">
          <a:extLst>
            <a:ext uri="{FF2B5EF4-FFF2-40B4-BE49-F238E27FC236}">
              <a16:creationId xmlns="" xmlns:a16="http://schemas.microsoft.com/office/drawing/2014/main" id="{00000000-0008-0000-0000-00005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7" name="Text Box 3101">
          <a:extLst>
            <a:ext uri="{FF2B5EF4-FFF2-40B4-BE49-F238E27FC236}">
              <a16:creationId xmlns="" xmlns:a16="http://schemas.microsoft.com/office/drawing/2014/main" id="{00000000-0008-0000-0000-00005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118" name="Text Box 3102">
          <a:extLst>
            <a:ext uri="{FF2B5EF4-FFF2-40B4-BE49-F238E27FC236}">
              <a16:creationId xmlns="" xmlns:a16="http://schemas.microsoft.com/office/drawing/2014/main" id="{00000000-0008-0000-0000-00005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19" name="Text Box 59">
          <a:extLst>
            <a:ext uri="{FF2B5EF4-FFF2-40B4-BE49-F238E27FC236}">
              <a16:creationId xmlns="" xmlns:a16="http://schemas.microsoft.com/office/drawing/2014/main" id="{00000000-0008-0000-0000-00005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0" name="Text Box 60">
          <a:extLst>
            <a:ext uri="{FF2B5EF4-FFF2-40B4-BE49-F238E27FC236}">
              <a16:creationId xmlns="" xmlns:a16="http://schemas.microsoft.com/office/drawing/2014/main" id="{00000000-0008-0000-0000-00006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1" name="Text Box 61">
          <a:extLst>
            <a:ext uri="{FF2B5EF4-FFF2-40B4-BE49-F238E27FC236}">
              <a16:creationId xmlns="" xmlns:a16="http://schemas.microsoft.com/office/drawing/2014/main" id="{00000000-0008-0000-0000-00006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2" name="Text Box 62">
          <a:extLst>
            <a:ext uri="{FF2B5EF4-FFF2-40B4-BE49-F238E27FC236}">
              <a16:creationId xmlns="" xmlns:a16="http://schemas.microsoft.com/office/drawing/2014/main" id="{00000000-0008-0000-0000-00006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3" name="Text Box 63">
          <a:extLst>
            <a:ext uri="{FF2B5EF4-FFF2-40B4-BE49-F238E27FC236}">
              <a16:creationId xmlns="" xmlns:a16="http://schemas.microsoft.com/office/drawing/2014/main" id="{00000000-0008-0000-0000-00006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4" name="Text Box 64">
          <a:extLst>
            <a:ext uri="{FF2B5EF4-FFF2-40B4-BE49-F238E27FC236}">
              <a16:creationId xmlns="" xmlns:a16="http://schemas.microsoft.com/office/drawing/2014/main" id="{00000000-0008-0000-0000-00006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5" name="Text Box 65">
          <a:extLst>
            <a:ext uri="{FF2B5EF4-FFF2-40B4-BE49-F238E27FC236}">
              <a16:creationId xmlns="" xmlns:a16="http://schemas.microsoft.com/office/drawing/2014/main" id="{00000000-0008-0000-0000-00006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6" name="Text Box 66">
          <a:extLst>
            <a:ext uri="{FF2B5EF4-FFF2-40B4-BE49-F238E27FC236}">
              <a16:creationId xmlns="" xmlns:a16="http://schemas.microsoft.com/office/drawing/2014/main" id="{00000000-0008-0000-0000-00006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7" name="Text Box 67">
          <a:extLst>
            <a:ext uri="{FF2B5EF4-FFF2-40B4-BE49-F238E27FC236}">
              <a16:creationId xmlns="" xmlns:a16="http://schemas.microsoft.com/office/drawing/2014/main" id="{00000000-0008-0000-0000-00006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8" name="Text Box 68">
          <a:extLst>
            <a:ext uri="{FF2B5EF4-FFF2-40B4-BE49-F238E27FC236}">
              <a16:creationId xmlns="" xmlns:a16="http://schemas.microsoft.com/office/drawing/2014/main" id="{00000000-0008-0000-0000-00006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9" name="Text Box 69">
          <a:extLst>
            <a:ext uri="{FF2B5EF4-FFF2-40B4-BE49-F238E27FC236}">
              <a16:creationId xmlns="" xmlns:a16="http://schemas.microsoft.com/office/drawing/2014/main" id="{00000000-0008-0000-0000-00006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0" name="Text Box 70">
          <a:extLst>
            <a:ext uri="{FF2B5EF4-FFF2-40B4-BE49-F238E27FC236}">
              <a16:creationId xmlns="" xmlns:a16="http://schemas.microsoft.com/office/drawing/2014/main" id="{00000000-0008-0000-0000-00006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1" name="Text Box 71">
          <a:extLst>
            <a:ext uri="{FF2B5EF4-FFF2-40B4-BE49-F238E27FC236}">
              <a16:creationId xmlns="" xmlns:a16="http://schemas.microsoft.com/office/drawing/2014/main" id="{00000000-0008-0000-0000-00006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2" name="Text Box 72">
          <a:extLst>
            <a:ext uri="{FF2B5EF4-FFF2-40B4-BE49-F238E27FC236}">
              <a16:creationId xmlns="" xmlns:a16="http://schemas.microsoft.com/office/drawing/2014/main" id="{00000000-0008-0000-0000-00006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3" name="Text Box 73">
          <a:extLst>
            <a:ext uri="{FF2B5EF4-FFF2-40B4-BE49-F238E27FC236}">
              <a16:creationId xmlns="" xmlns:a16="http://schemas.microsoft.com/office/drawing/2014/main" id="{00000000-0008-0000-0000-00006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4" name="Text Box 74">
          <a:extLst>
            <a:ext uri="{FF2B5EF4-FFF2-40B4-BE49-F238E27FC236}">
              <a16:creationId xmlns="" xmlns:a16="http://schemas.microsoft.com/office/drawing/2014/main" id="{00000000-0008-0000-0000-00006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5" name="Text Box 75">
          <a:extLst>
            <a:ext uri="{FF2B5EF4-FFF2-40B4-BE49-F238E27FC236}">
              <a16:creationId xmlns="" xmlns:a16="http://schemas.microsoft.com/office/drawing/2014/main" id="{00000000-0008-0000-0000-00006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6" name="Text Box 76">
          <a:extLst>
            <a:ext uri="{FF2B5EF4-FFF2-40B4-BE49-F238E27FC236}">
              <a16:creationId xmlns="" xmlns:a16="http://schemas.microsoft.com/office/drawing/2014/main" id="{00000000-0008-0000-0000-00007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7" name="Text Box 77">
          <a:extLst>
            <a:ext uri="{FF2B5EF4-FFF2-40B4-BE49-F238E27FC236}">
              <a16:creationId xmlns="" xmlns:a16="http://schemas.microsoft.com/office/drawing/2014/main" id="{00000000-0008-0000-0000-00007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8" name="Text Box 78">
          <a:extLst>
            <a:ext uri="{FF2B5EF4-FFF2-40B4-BE49-F238E27FC236}">
              <a16:creationId xmlns="" xmlns:a16="http://schemas.microsoft.com/office/drawing/2014/main" id="{00000000-0008-0000-0000-00007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9" name="Text Box 79">
          <a:extLst>
            <a:ext uri="{FF2B5EF4-FFF2-40B4-BE49-F238E27FC236}">
              <a16:creationId xmlns="" xmlns:a16="http://schemas.microsoft.com/office/drawing/2014/main" id="{00000000-0008-0000-0000-00007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40" name="Text Box 80">
          <a:extLst>
            <a:ext uri="{FF2B5EF4-FFF2-40B4-BE49-F238E27FC236}">
              <a16:creationId xmlns="" xmlns:a16="http://schemas.microsoft.com/office/drawing/2014/main" id="{00000000-0008-0000-0000-00007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41" name="Text Box 81">
          <a:extLst>
            <a:ext uri="{FF2B5EF4-FFF2-40B4-BE49-F238E27FC236}">
              <a16:creationId xmlns="" xmlns:a16="http://schemas.microsoft.com/office/drawing/2014/main" id="{00000000-0008-0000-0000-00007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2" name="Text Box 3079">
          <a:extLst>
            <a:ext uri="{FF2B5EF4-FFF2-40B4-BE49-F238E27FC236}">
              <a16:creationId xmlns="" xmlns:a16="http://schemas.microsoft.com/office/drawing/2014/main" id="{00000000-0008-0000-0000-00007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3" name="Text Box 3080">
          <a:extLst>
            <a:ext uri="{FF2B5EF4-FFF2-40B4-BE49-F238E27FC236}">
              <a16:creationId xmlns="" xmlns:a16="http://schemas.microsoft.com/office/drawing/2014/main" id="{00000000-0008-0000-0000-00007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4" name="Text Box 3081">
          <a:extLst>
            <a:ext uri="{FF2B5EF4-FFF2-40B4-BE49-F238E27FC236}">
              <a16:creationId xmlns="" xmlns:a16="http://schemas.microsoft.com/office/drawing/2014/main" id="{00000000-0008-0000-0000-00007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5" name="Text Box 3082">
          <a:extLst>
            <a:ext uri="{FF2B5EF4-FFF2-40B4-BE49-F238E27FC236}">
              <a16:creationId xmlns="" xmlns:a16="http://schemas.microsoft.com/office/drawing/2014/main" id="{00000000-0008-0000-0000-00007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6" name="Text Box 3083">
          <a:extLst>
            <a:ext uri="{FF2B5EF4-FFF2-40B4-BE49-F238E27FC236}">
              <a16:creationId xmlns="" xmlns:a16="http://schemas.microsoft.com/office/drawing/2014/main" id="{00000000-0008-0000-0000-00007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7" name="Text Box 3084">
          <a:extLst>
            <a:ext uri="{FF2B5EF4-FFF2-40B4-BE49-F238E27FC236}">
              <a16:creationId xmlns="" xmlns:a16="http://schemas.microsoft.com/office/drawing/2014/main" id="{00000000-0008-0000-0000-00007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8" name="Text Box 3085">
          <a:extLst>
            <a:ext uri="{FF2B5EF4-FFF2-40B4-BE49-F238E27FC236}">
              <a16:creationId xmlns="" xmlns:a16="http://schemas.microsoft.com/office/drawing/2014/main" id="{00000000-0008-0000-0000-00007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9" name="Text Box 3086">
          <a:extLst>
            <a:ext uri="{FF2B5EF4-FFF2-40B4-BE49-F238E27FC236}">
              <a16:creationId xmlns="" xmlns:a16="http://schemas.microsoft.com/office/drawing/2014/main" id="{00000000-0008-0000-0000-00007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0" name="Text Box 3087">
          <a:extLst>
            <a:ext uri="{FF2B5EF4-FFF2-40B4-BE49-F238E27FC236}">
              <a16:creationId xmlns="" xmlns:a16="http://schemas.microsoft.com/office/drawing/2014/main" id="{00000000-0008-0000-0000-00007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1" name="Text Box 3088">
          <a:extLst>
            <a:ext uri="{FF2B5EF4-FFF2-40B4-BE49-F238E27FC236}">
              <a16:creationId xmlns="" xmlns:a16="http://schemas.microsoft.com/office/drawing/2014/main" id="{00000000-0008-0000-0000-00007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2" name="Text Box 3089">
          <a:extLst>
            <a:ext uri="{FF2B5EF4-FFF2-40B4-BE49-F238E27FC236}">
              <a16:creationId xmlns="" xmlns:a16="http://schemas.microsoft.com/office/drawing/2014/main" id="{00000000-0008-0000-0000-00008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3" name="Text Box 3090">
          <a:extLst>
            <a:ext uri="{FF2B5EF4-FFF2-40B4-BE49-F238E27FC236}">
              <a16:creationId xmlns="" xmlns:a16="http://schemas.microsoft.com/office/drawing/2014/main" id="{00000000-0008-0000-0000-00008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4" name="Text Box 3091">
          <a:extLst>
            <a:ext uri="{FF2B5EF4-FFF2-40B4-BE49-F238E27FC236}">
              <a16:creationId xmlns="" xmlns:a16="http://schemas.microsoft.com/office/drawing/2014/main" id="{00000000-0008-0000-0000-00008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5" name="Text Box 3092">
          <a:extLst>
            <a:ext uri="{FF2B5EF4-FFF2-40B4-BE49-F238E27FC236}">
              <a16:creationId xmlns="" xmlns:a16="http://schemas.microsoft.com/office/drawing/2014/main" id="{00000000-0008-0000-0000-00008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6" name="Text Box 3093">
          <a:extLst>
            <a:ext uri="{FF2B5EF4-FFF2-40B4-BE49-F238E27FC236}">
              <a16:creationId xmlns="" xmlns:a16="http://schemas.microsoft.com/office/drawing/2014/main" id="{00000000-0008-0000-0000-00008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7" name="Text Box 3094">
          <a:extLst>
            <a:ext uri="{FF2B5EF4-FFF2-40B4-BE49-F238E27FC236}">
              <a16:creationId xmlns="" xmlns:a16="http://schemas.microsoft.com/office/drawing/2014/main" id="{00000000-0008-0000-0000-00008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8" name="Text Box 3095">
          <a:extLst>
            <a:ext uri="{FF2B5EF4-FFF2-40B4-BE49-F238E27FC236}">
              <a16:creationId xmlns="" xmlns:a16="http://schemas.microsoft.com/office/drawing/2014/main" id="{00000000-0008-0000-0000-00008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9" name="Text Box 3096">
          <a:extLst>
            <a:ext uri="{FF2B5EF4-FFF2-40B4-BE49-F238E27FC236}">
              <a16:creationId xmlns="" xmlns:a16="http://schemas.microsoft.com/office/drawing/2014/main" id="{00000000-0008-0000-0000-00008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0" name="Text Box 3097">
          <a:extLst>
            <a:ext uri="{FF2B5EF4-FFF2-40B4-BE49-F238E27FC236}">
              <a16:creationId xmlns="" xmlns:a16="http://schemas.microsoft.com/office/drawing/2014/main" id="{00000000-0008-0000-0000-00008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1" name="Text Box 3098">
          <a:extLst>
            <a:ext uri="{FF2B5EF4-FFF2-40B4-BE49-F238E27FC236}">
              <a16:creationId xmlns="" xmlns:a16="http://schemas.microsoft.com/office/drawing/2014/main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2" name="Text Box 3099">
          <a:extLst>
            <a:ext uri="{FF2B5EF4-FFF2-40B4-BE49-F238E27FC236}">
              <a16:creationId xmlns="" xmlns:a16="http://schemas.microsoft.com/office/drawing/2014/main" id="{00000000-0008-0000-0000-00008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3" name="Text Box 3100">
          <a:extLst>
            <a:ext uri="{FF2B5EF4-FFF2-40B4-BE49-F238E27FC236}">
              <a16:creationId xmlns="" xmlns:a16="http://schemas.microsoft.com/office/drawing/2014/main" id="{00000000-0008-0000-0000-00008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4" name="Text Box 3101">
          <a:extLst>
            <a:ext uri="{FF2B5EF4-FFF2-40B4-BE49-F238E27FC236}">
              <a16:creationId xmlns="" xmlns:a16="http://schemas.microsoft.com/office/drawing/2014/main" id="{00000000-0008-0000-0000-00008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165" name="Text Box 3102">
          <a:extLst>
            <a:ext uri="{FF2B5EF4-FFF2-40B4-BE49-F238E27FC236}">
              <a16:creationId xmlns="" xmlns:a16="http://schemas.microsoft.com/office/drawing/2014/main" id="{00000000-0008-0000-0000-00008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6" name="Text Box 59">
          <a:extLst>
            <a:ext uri="{FF2B5EF4-FFF2-40B4-BE49-F238E27FC236}">
              <a16:creationId xmlns="" xmlns:a16="http://schemas.microsoft.com/office/drawing/2014/main" id="{00000000-0008-0000-0000-00008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7" name="Text Box 60">
          <a:extLst>
            <a:ext uri="{FF2B5EF4-FFF2-40B4-BE49-F238E27FC236}">
              <a16:creationId xmlns="" xmlns:a16="http://schemas.microsoft.com/office/drawing/2014/main" id="{00000000-0008-0000-0000-00008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8" name="Text Box 61">
          <a:extLst>
            <a:ext uri="{FF2B5EF4-FFF2-40B4-BE49-F238E27FC236}">
              <a16:creationId xmlns="" xmlns:a16="http://schemas.microsoft.com/office/drawing/2014/main" id="{00000000-0008-0000-0000-00009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9" name="Text Box 62">
          <a:extLst>
            <a:ext uri="{FF2B5EF4-FFF2-40B4-BE49-F238E27FC236}">
              <a16:creationId xmlns="" xmlns:a16="http://schemas.microsoft.com/office/drawing/2014/main" id="{00000000-0008-0000-0000-00009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0" name="Text Box 63">
          <a:extLst>
            <a:ext uri="{FF2B5EF4-FFF2-40B4-BE49-F238E27FC236}">
              <a16:creationId xmlns="" xmlns:a16="http://schemas.microsoft.com/office/drawing/2014/main" id="{00000000-0008-0000-0000-00009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1" name="Text Box 64">
          <a:extLst>
            <a:ext uri="{FF2B5EF4-FFF2-40B4-BE49-F238E27FC236}">
              <a16:creationId xmlns="" xmlns:a16="http://schemas.microsoft.com/office/drawing/2014/main" id="{00000000-0008-0000-0000-00009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2" name="Text Box 65">
          <a:extLst>
            <a:ext uri="{FF2B5EF4-FFF2-40B4-BE49-F238E27FC236}">
              <a16:creationId xmlns="" xmlns:a16="http://schemas.microsoft.com/office/drawing/2014/main" id="{00000000-0008-0000-0000-00009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3" name="Text Box 66">
          <a:extLst>
            <a:ext uri="{FF2B5EF4-FFF2-40B4-BE49-F238E27FC236}">
              <a16:creationId xmlns="" xmlns:a16="http://schemas.microsoft.com/office/drawing/2014/main" id="{00000000-0008-0000-0000-00009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4" name="Text Box 67">
          <a:extLst>
            <a:ext uri="{FF2B5EF4-FFF2-40B4-BE49-F238E27FC236}">
              <a16:creationId xmlns="" xmlns:a16="http://schemas.microsoft.com/office/drawing/2014/main" id="{00000000-0008-0000-0000-00009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5" name="Text Box 68">
          <a:extLst>
            <a:ext uri="{FF2B5EF4-FFF2-40B4-BE49-F238E27FC236}">
              <a16:creationId xmlns="" xmlns:a16="http://schemas.microsoft.com/office/drawing/2014/main" id="{00000000-0008-0000-0000-00009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6" name="Text Box 69">
          <a:extLst>
            <a:ext uri="{FF2B5EF4-FFF2-40B4-BE49-F238E27FC236}">
              <a16:creationId xmlns="" xmlns:a16="http://schemas.microsoft.com/office/drawing/2014/main" id="{00000000-0008-0000-0000-00009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7" name="Text Box 70">
          <a:extLst>
            <a:ext uri="{FF2B5EF4-FFF2-40B4-BE49-F238E27FC236}">
              <a16:creationId xmlns="" xmlns:a16="http://schemas.microsoft.com/office/drawing/2014/main" id="{00000000-0008-0000-0000-00009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8" name="Text Box 71">
          <a:extLst>
            <a:ext uri="{FF2B5EF4-FFF2-40B4-BE49-F238E27FC236}">
              <a16:creationId xmlns="" xmlns:a16="http://schemas.microsoft.com/office/drawing/2014/main" id="{00000000-0008-0000-0000-00009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9" name="Text Box 72">
          <a:extLst>
            <a:ext uri="{FF2B5EF4-FFF2-40B4-BE49-F238E27FC236}">
              <a16:creationId xmlns="" xmlns:a16="http://schemas.microsoft.com/office/drawing/2014/main" id="{00000000-0008-0000-0000-00009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0" name="Text Box 73">
          <a:extLst>
            <a:ext uri="{FF2B5EF4-FFF2-40B4-BE49-F238E27FC236}">
              <a16:creationId xmlns="" xmlns:a16="http://schemas.microsoft.com/office/drawing/2014/main" id="{00000000-0008-0000-0000-00009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1" name="Text Box 74">
          <a:extLst>
            <a:ext uri="{FF2B5EF4-FFF2-40B4-BE49-F238E27FC236}">
              <a16:creationId xmlns="" xmlns:a16="http://schemas.microsoft.com/office/drawing/2014/main" id="{00000000-0008-0000-0000-00009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2" name="Text Box 75">
          <a:extLst>
            <a:ext uri="{FF2B5EF4-FFF2-40B4-BE49-F238E27FC236}">
              <a16:creationId xmlns="" xmlns:a16="http://schemas.microsoft.com/office/drawing/2014/main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3" name="Text Box 76">
          <a:extLst>
            <a:ext uri="{FF2B5EF4-FFF2-40B4-BE49-F238E27FC236}">
              <a16:creationId xmlns="" xmlns:a16="http://schemas.microsoft.com/office/drawing/2014/main" id="{00000000-0008-0000-0000-00009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4" name="Text Box 77">
          <a:extLst>
            <a:ext uri="{FF2B5EF4-FFF2-40B4-BE49-F238E27FC236}">
              <a16:creationId xmlns="" xmlns:a16="http://schemas.microsoft.com/office/drawing/2014/main" id="{00000000-0008-0000-0000-0000A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5" name="Text Box 78">
          <a:extLst>
            <a:ext uri="{FF2B5EF4-FFF2-40B4-BE49-F238E27FC236}">
              <a16:creationId xmlns="" xmlns:a16="http://schemas.microsoft.com/office/drawing/2014/main" id="{00000000-0008-0000-0000-0000A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6" name="Text Box 79">
          <a:extLst>
            <a:ext uri="{FF2B5EF4-FFF2-40B4-BE49-F238E27FC236}">
              <a16:creationId xmlns="" xmlns:a16="http://schemas.microsoft.com/office/drawing/2014/main" id="{00000000-0008-0000-0000-0000A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7" name="Text Box 80">
          <a:extLst>
            <a:ext uri="{FF2B5EF4-FFF2-40B4-BE49-F238E27FC236}">
              <a16:creationId xmlns="" xmlns:a16="http://schemas.microsoft.com/office/drawing/2014/main" id="{00000000-0008-0000-0000-0000A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8" name="Text Box 81">
          <a:extLst>
            <a:ext uri="{FF2B5EF4-FFF2-40B4-BE49-F238E27FC236}">
              <a16:creationId xmlns="" xmlns:a16="http://schemas.microsoft.com/office/drawing/2014/main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189" name="Text Box 82">
          <a:extLst>
            <a:ext uri="{FF2B5EF4-FFF2-40B4-BE49-F238E27FC236}">
              <a16:creationId xmlns="" xmlns:a16="http://schemas.microsoft.com/office/drawing/2014/main" id="{00000000-0008-0000-0000-0000A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0" name="Text Box 3079">
          <a:extLst>
            <a:ext uri="{FF2B5EF4-FFF2-40B4-BE49-F238E27FC236}">
              <a16:creationId xmlns="" xmlns:a16="http://schemas.microsoft.com/office/drawing/2014/main" id="{00000000-0008-0000-0000-0000A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1" name="Text Box 3080">
          <a:extLst>
            <a:ext uri="{FF2B5EF4-FFF2-40B4-BE49-F238E27FC236}">
              <a16:creationId xmlns="" xmlns:a16="http://schemas.microsoft.com/office/drawing/2014/main" id="{00000000-0008-0000-0000-0000A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2" name="Text Box 3081">
          <a:extLst>
            <a:ext uri="{FF2B5EF4-FFF2-40B4-BE49-F238E27FC236}">
              <a16:creationId xmlns="" xmlns:a16="http://schemas.microsoft.com/office/drawing/2014/main" id="{00000000-0008-0000-0000-0000A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3" name="Text Box 3082">
          <a:extLst>
            <a:ext uri="{FF2B5EF4-FFF2-40B4-BE49-F238E27FC236}">
              <a16:creationId xmlns="" xmlns:a16="http://schemas.microsoft.com/office/drawing/2014/main" id="{00000000-0008-0000-0000-0000A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4" name="Text Box 3083">
          <a:extLst>
            <a:ext uri="{FF2B5EF4-FFF2-40B4-BE49-F238E27FC236}">
              <a16:creationId xmlns="" xmlns:a16="http://schemas.microsoft.com/office/drawing/2014/main" id="{00000000-0008-0000-0000-0000A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5" name="Text Box 3084">
          <a:extLst>
            <a:ext uri="{FF2B5EF4-FFF2-40B4-BE49-F238E27FC236}">
              <a16:creationId xmlns="" xmlns:a16="http://schemas.microsoft.com/office/drawing/2014/main" id="{00000000-0008-0000-0000-0000A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6" name="Text Box 3085">
          <a:extLst>
            <a:ext uri="{FF2B5EF4-FFF2-40B4-BE49-F238E27FC236}">
              <a16:creationId xmlns="" xmlns:a16="http://schemas.microsoft.com/office/drawing/2014/main" id="{00000000-0008-0000-0000-0000A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7" name="Text Box 3086">
          <a:extLst>
            <a:ext uri="{FF2B5EF4-FFF2-40B4-BE49-F238E27FC236}">
              <a16:creationId xmlns="" xmlns:a16="http://schemas.microsoft.com/office/drawing/2014/main" id="{00000000-0008-0000-0000-0000A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8" name="Text Box 3087">
          <a:extLst>
            <a:ext uri="{FF2B5EF4-FFF2-40B4-BE49-F238E27FC236}">
              <a16:creationId xmlns="" xmlns:a16="http://schemas.microsoft.com/office/drawing/2014/main" id="{00000000-0008-0000-0000-0000A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9" name="Text Box 3088">
          <a:extLst>
            <a:ext uri="{FF2B5EF4-FFF2-40B4-BE49-F238E27FC236}">
              <a16:creationId xmlns="" xmlns:a16="http://schemas.microsoft.com/office/drawing/2014/main" id="{00000000-0008-0000-0000-0000A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0" name="Text Box 3089">
          <a:extLst>
            <a:ext uri="{FF2B5EF4-FFF2-40B4-BE49-F238E27FC236}">
              <a16:creationId xmlns="" xmlns:a16="http://schemas.microsoft.com/office/drawing/2014/main" id="{00000000-0008-0000-0000-0000B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1" name="Text Box 3090">
          <a:extLst>
            <a:ext uri="{FF2B5EF4-FFF2-40B4-BE49-F238E27FC236}">
              <a16:creationId xmlns="" xmlns:a16="http://schemas.microsoft.com/office/drawing/2014/main" id="{00000000-0008-0000-0000-0000B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2" name="Text Box 3091">
          <a:extLst>
            <a:ext uri="{FF2B5EF4-FFF2-40B4-BE49-F238E27FC236}">
              <a16:creationId xmlns="" xmlns:a16="http://schemas.microsoft.com/office/drawing/2014/main" id="{00000000-0008-0000-0000-0000B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3" name="Text Box 3092">
          <a:extLst>
            <a:ext uri="{FF2B5EF4-FFF2-40B4-BE49-F238E27FC236}">
              <a16:creationId xmlns="" xmlns:a16="http://schemas.microsoft.com/office/drawing/2014/main" id="{00000000-0008-0000-0000-0000B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4" name="Text Box 3093">
          <a:extLst>
            <a:ext uri="{FF2B5EF4-FFF2-40B4-BE49-F238E27FC236}">
              <a16:creationId xmlns="" xmlns:a16="http://schemas.microsoft.com/office/drawing/2014/main" id="{00000000-0008-0000-0000-0000B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5" name="Text Box 3094">
          <a:extLst>
            <a:ext uri="{FF2B5EF4-FFF2-40B4-BE49-F238E27FC236}">
              <a16:creationId xmlns="" xmlns:a16="http://schemas.microsoft.com/office/drawing/2014/main" id="{00000000-0008-0000-0000-0000B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6" name="Text Box 3095">
          <a:extLst>
            <a:ext uri="{FF2B5EF4-FFF2-40B4-BE49-F238E27FC236}">
              <a16:creationId xmlns="" xmlns:a16="http://schemas.microsoft.com/office/drawing/2014/main" id="{00000000-0008-0000-0000-0000B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7" name="Text Box 3096">
          <a:extLst>
            <a:ext uri="{FF2B5EF4-FFF2-40B4-BE49-F238E27FC236}">
              <a16:creationId xmlns="" xmlns:a16="http://schemas.microsoft.com/office/drawing/2014/main" id="{00000000-0008-0000-0000-0000B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8" name="Text Box 3097">
          <a:extLst>
            <a:ext uri="{FF2B5EF4-FFF2-40B4-BE49-F238E27FC236}">
              <a16:creationId xmlns="" xmlns:a16="http://schemas.microsoft.com/office/drawing/2014/main" id="{00000000-0008-0000-0000-0000B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9" name="Text Box 3098">
          <a:extLst>
            <a:ext uri="{FF2B5EF4-FFF2-40B4-BE49-F238E27FC236}">
              <a16:creationId xmlns="" xmlns:a16="http://schemas.microsoft.com/office/drawing/2014/main" id="{00000000-0008-0000-0000-0000B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0" name="Text Box 3099">
          <a:extLst>
            <a:ext uri="{FF2B5EF4-FFF2-40B4-BE49-F238E27FC236}">
              <a16:creationId xmlns="" xmlns:a16="http://schemas.microsoft.com/office/drawing/2014/main" id="{00000000-0008-0000-0000-0000B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1" name="Text Box 3100">
          <a:extLst>
            <a:ext uri="{FF2B5EF4-FFF2-40B4-BE49-F238E27FC236}">
              <a16:creationId xmlns="" xmlns:a16="http://schemas.microsoft.com/office/drawing/2014/main" id="{00000000-0008-0000-0000-0000B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2" name="Text Box 3101">
          <a:extLst>
            <a:ext uri="{FF2B5EF4-FFF2-40B4-BE49-F238E27FC236}">
              <a16:creationId xmlns="" xmlns:a16="http://schemas.microsoft.com/office/drawing/2014/main" id="{00000000-0008-0000-0000-0000B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13" name="Text Box 3102">
          <a:extLst>
            <a:ext uri="{FF2B5EF4-FFF2-40B4-BE49-F238E27FC236}">
              <a16:creationId xmlns="" xmlns:a16="http://schemas.microsoft.com/office/drawing/2014/main" id="{00000000-0008-0000-0000-0000B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4" name="Text Box 59">
          <a:extLst>
            <a:ext uri="{FF2B5EF4-FFF2-40B4-BE49-F238E27FC236}">
              <a16:creationId xmlns="" xmlns:a16="http://schemas.microsoft.com/office/drawing/2014/main" id="{00000000-0008-0000-0000-0000B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5" name="Text Box 60">
          <a:extLst>
            <a:ext uri="{FF2B5EF4-FFF2-40B4-BE49-F238E27FC236}">
              <a16:creationId xmlns="" xmlns:a16="http://schemas.microsoft.com/office/drawing/2014/main" id="{00000000-0008-0000-0000-0000B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6" name="Text Box 61">
          <a:extLst>
            <a:ext uri="{FF2B5EF4-FFF2-40B4-BE49-F238E27FC236}">
              <a16:creationId xmlns="" xmlns:a16="http://schemas.microsoft.com/office/drawing/2014/main" id="{00000000-0008-0000-0000-0000C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7" name="Text Box 62">
          <a:extLst>
            <a:ext uri="{FF2B5EF4-FFF2-40B4-BE49-F238E27FC236}">
              <a16:creationId xmlns="" xmlns:a16="http://schemas.microsoft.com/office/drawing/2014/main" id="{00000000-0008-0000-0000-0000C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8" name="Text Box 63">
          <a:extLst>
            <a:ext uri="{FF2B5EF4-FFF2-40B4-BE49-F238E27FC236}">
              <a16:creationId xmlns="" xmlns:a16="http://schemas.microsoft.com/office/drawing/2014/main" id="{00000000-0008-0000-0000-0000C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9" name="Text Box 64">
          <a:extLst>
            <a:ext uri="{FF2B5EF4-FFF2-40B4-BE49-F238E27FC236}">
              <a16:creationId xmlns="" xmlns:a16="http://schemas.microsoft.com/office/drawing/2014/main" id="{00000000-0008-0000-0000-0000C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0" name="Text Box 65">
          <a:extLst>
            <a:ext uri="{FF2B5EF4-FFF2-40B4-BE49-F238E27FC236}">
              <a16:creationId xmlns="" xmlns:a16="http://schemas.microsoft.com/office/drawing/2014/main" id="{00000000-0008-0000-0000-0000C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1" name="Text Box 66">
          <a:extLst>
            <a:ext uri="{FF2B5EF4-FFF2-40B4-BE49-F238E27FC236}">
              <a16:creationId xmlns="" xmlns:a16="http://schemas.microsoft.com/office/drawing/2014/main" id="{00000000-0008-0000-0000-0000C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2" name="Text Box 67">
          <a:extLst>
            <a:ext uri="{FF2B5EF4-FFF2-40B4-BE49-F238E27FC236}">
              <a16:creationId xmlns="" xmlns:a16="http://schemas.microsoft.com/office/drawing/2014/main" id="{00000000-0008-0000-0000-0000C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3" name="Text Box 68">
          <a:extLst>
            <a:ext uri="{FF2B5EF4-FFF2-40B4-BE49-F238E27FC236}">
              <a16:creationId xmlns="" xmlns:a16="http://schemas.microsoft.com/office/drawing/2014/main" id="{00000000-0008-0000-0000-0000C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4" name="Text Box 69">
          <a:extLst>
            <a:ext uri="{FF2B5EF4-FFF2-40B4-BE49-F238E27FC236}">
              <a16:creationId xmlns="" xmlns:a16="http://schemas.microsoft.com/office/drawing/2014/main" id="{00000000-0008-0000-0000-0000C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5" name="Text Box 70">
          <a:extLst>
            <a:ext uri="{FF2B5EF4-FFF2-40B4-BE49-F238E27FC236}">
              <a16:creationId xmlns="" xmlns:a16="http://schemas.microsoft.com/office/drawing/2014/main" id="{00000000-0008-0000-0000-0000C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6" name="Text Box 71">
          <a:extLst>
            <a:ext uri="{FF2B5EF4-FFF2-40B4-BE49-F238E27FC236}">
              <a16:creationId xmlns="" xmlns:a16="http://schemas.microsoft.com/office/drawing/2014/main" id="{00000000-0008-0000-0000-0000C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7" name="Text Box 72">
          <a:extLst>
            <a:ext uri="{FF2B5EF4-FFF2-40B4-BE49-F238E27FC236}">
              <a16:creationId xmlns="" xmlns:a16="http://schemas.microsoft.com/office/drawing/2014/main" id="{00000000-0008-0000-0000-0000C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8" name="Text Box 73">
          <a:extLst>
            <a:ext uri="{FF2B5EF4-FFF2-40B4-BE49-F238E27FC236}">
              <a16:creationId xmlns="" xmlns:a16="http://schemas.microsoft.com/office/drawing/2014/main" id="{00000000-0008-0000-0000-0000C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9" name="Text Box 74">
          <a:extLst>
            <a:ext uri="{FF2B5EF4-FFF2-40B4-BE49-F238E27FC236}">
              <a16:creationId xmlns="" xmlns:a16="http://schemas.microsoft.com/office/drawing/2014/main" id="{00000000-0008-0000-0000-0000C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0" name="Text Box 75">
          <a:extLst>
            <a:ext uri="{FF2B5EF4-FFF2-40B4-BE49-F238E27FC236}">
              <a16:creationId xmlns="" xmlns:a16="http://schemas.microsoft.com/office/drawing/2014/main" id="{00000000-0008-0000-0000-0000C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1" name="Text Box 76">
          <a:extLst>
            <a:ext uri="{FF2B5EF4-FFF2-40B4-BE49-F238E27FC236}">
              <a16:creationId xmlns="" xmlns:a16="http://schemas.microsoft.com/office/drawing/2014/main" id="{00000000-0008-0000-0000-0000C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2" name="Text Box 77">
          <a:extLst>
            <a:ext uri="{FF2B5EF4-FFF2-40B4-BE49-F238E27FC236}">
              <a16:creationId xmlns="" xmlns:a16="http://schemas.microsoft.com/office/drawing/2014/main" id="{00000000-0008-0000-0000-0000D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3" name="Text Box 78">
          <a:extLst>
            <a:ext uri="{FF2B5EF4-FFF2-40B4-BE49-F238E27FC236}">
              <a16:creationId xmlns="" xmlns:a16="http://schemas.microsoft.com/office/drawing/2014/main" id="{00000000-0008-0000-0000-0000D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4" name="Text Box 79">
          <a:extLst>
            <a:ext uri="{FF2B5EF4-FFF2-40B4-BE49-F238E27FC236}">
              <a16:creationId xmlns="" xmlns:a16="http://schemas.microsoft.com/office/drawing/2014/main" id="{00000000-0008-0000-0000-0000D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5" name="Text Box 80">
          <a:extLst>
            <a:ext uri="{FF2B5EF4-FFF2-40B4-BE49-F238E27FC236}">
              <a16:creationId xmlns="" xmlns:a16="http://schemas.microsoft.com/office/drawing/2014/main" id="{00000000-0008-0000-0000-0000D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6" name="Text Box 81">
          <a:extLst>
            <a:ext uri="{FF2B5EF4-FFF2-40B4-BE49-F238E27FC236}">
              <a16:creationId xmlns="" xmlns:a16="http://schemas.microsoft.com/office/drawing/2014/main" id="{00000000-0008-0000-0000-0000D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7" name="Text Box 3079">
          <a:extLst>
            <a:ext uri="{FF2B5EF4-FFF2-40B4-BE49-F238E27FC236}">
              <a16:creationId xmlns="" xmlns:a16="http://schemas.microsoft.com/office/drawing/2014/main" id="{00000000-0008-0000-0000-0000D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8" name="Text Box 3080">
          <a:extLst>
            <a:ext uri="{FF2B5EF4-FFF2-40B4-BE49-F238E27FC236}">
              <a16:creationId xmlns="" xmlns:a16="http://schemas.microsoft.com/office/drawing/2014/main" id="{00000000-0008-0000-0000-0000D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9" name="Text Box 3081">
          <a:extLst>
            <a:ext uri="{FF2B5EF4-FFF2-40B4-BE49-F238E27FC236}">
              <a16:creationId xmlns="" xmlns:a16="http://schemas.microsoft.com/office/drawing/2014/main" id="{00000000-0008-0000-0000-0000D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0" name="Text Box 3082">
          <a:extLst>
            <a:ext uri="{FF2B5EF4-FFF2-40B4-BE49-F238E27FC236}">
              <a16:creationId xmlns="" xmlns:a16="http://schemas.microsoft.com/office/drawing/2014/main" id="{00000000-0008-0000-0000-0000D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1" name="Text Box 3083">
          <a:extLst>
            <a:ext uri="{FF2B5EF4-FFF2-40B4-BE49-F238E27FC236}">
              <a16:creationId xmlns="" xmlns:a16="http://schemas.microsoft.com/office/drawing/2014/main" id="{00000000-0008-0000-0000-0000D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2" name="Text Box 3084">
          <a:extLst>
            <a:ext uri="{FF2B5EF4-FFF2-40B4-BE49-F238E27FC236}">
              <a16:creationId xmlns="" xmlns:a16="http://schemas.microsoft.com/office/drawing/2014/main" id="{00000000-0008-0000-0000-0000D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3" name="Text Box 3085">
          <a:extLst>
            <a:ext uri="{FF2B5EF4-FFF2-40B4-BE49-F238E27FC236}">
              <a16:creationId xmlns="" xmlns:a16="http://schemas.microsoft.com/office/drawing/2014/main" id="{00000000-0008-0000-0000-0000D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4" name="Text Box 3086">
          <a:extLst>
            <a:ext uri="{FF2B5EF4-FFF2-40B4-BE49-F238E27FC236}">
              <a16:creationId xmlns="" xmlns:a16="http://schemas.microsoft.com/office/drawing/2014/main" id="{00000000-0008-0000-0000-0000D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5" name="Text Box 3087">
          <a:extLst>
            <a:ext uri="{FF2B5EF4-FFF2-40B4-BE49-F238E27FC236}">
              <a16:creationId xmlns="" xmlns:a16="http://schemas.microsoft.com/office/drawing/2014/main" id="{00000000-0008-0000-0000-0000D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6" name="Text Box 3088">
          <a:extLst>
            <a:ext uri="{FF2B5EF4-FFF2-40B4-BE49-F238E27FC236}">
              <a16:creationId xmlns="" xmlns:a16="http://schemas.microsoft.com/office/drawing/2014/main" id="{00000000-0008-0000-0000-0000D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7" name="Text Box 3089">
          <a:extLst>
            <a:ext uri="{FF2B5EF4-FFF2-40B4-BE49-F238E27FC236}">
              <a16:creationId xmlns="" xmlns:a16="http://schemas.microsoft.com/office/drawing/2014/main" id="{00000000-0008-0000-0000-0000D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8" name="Text Box 3090">
          <a:extLst>
            <a:ext uri="{FF2B5EF4-FFF2-40B4-BE49-F238E27FC236}">
              <a16:creationId xmlns="" xmlns:a16="http://schemas.microsoft.com/office/drawing/2014/main" id="{00000000-0008-0000-0000-0000E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9" name="Text Box 3091">
          <a:extLst>
            <a:ext uri="{FF2B5EF4-FFF2-40B4-BE49-F238E27FC236}">
              <a16:creationId xmlns="" xmlns:a16="http://schemas.microsoft.com/office/drawing/2014/main" id="{00000000-0008-0000-0000-0000E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0" name="Text Box 3092">
          <a:extLst>
            <a:ext uri="{FF2B5EF4-FFF2-40B4-BE49-F238E27FC236}">
              <a16:creationId xmlns="" xmlns:a16="http://schemas.microsoft.com/office/drawing/2014/main" id="{00000000-0008-0000-0000-0000E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1" name="Text Box 3093">
          <a:extLst>
            <a:ext uri="{FF2B5EF4-FFF2-40B4-BE49-F238E27FC236}">
              <a16:creationId xmlns="" xmlns:a16="http://schemas.microsoft.com/office/drawing/2014/main" id="{00000000-0008-0000-0000-0000E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2" name="Text Box 3094">
          <a:extLst>
            <a:ext uri="{FF2B5EF4-FFF2-40B4-BE49-F238E27FC236}">
              <a16:creationId xmlns="" xmlns:a16="http://schemas.microsoft.com/office/drawing/2014/main" id="{00000000-0008-0000-0000-0000E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3" name="Text Box 3095">
          <a:extLst>
            <a:ext uri="{FF2B5EF4-FFF2-40B4-BE49-F238E27FC236}">
              <a16:creationId xmlns="" xmlns:a16="http://schemas.microsoft.com/office/drawing/2014/main" id="{00000000-0008-0000-0000-0000E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4" name="Text Box 3096">
          <a:extLst>
            <a:ext uri="{FF2B5EF4-FFF2-40B4-BE49-F238E27FC236}">
              <a16:creationId xmlns="" xmlns:a16="http://schemas.microsoft.com/office/drawing/2014/main" id="{00000000-0008-0000-0000-0000E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5" name="Text Box 3097">
          <a:extLst>
            <a:ext uri="{FF2B5EF4-FFF2-40B4-BE49-F238E27FC236}">
              <a16:creationId xmlns="" xmlns:a16="http://schemas.microsoft.com/office/drawing/2014/main" id="{00000000-0008-0000-0000-0000E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6" name="Text Box 3098">
          <a:extLst>
            <a:ext uri="{FF2B5EF4-FFF2-40B4-BE49-F238E27FC236}">
              <a16:creationId xmlns="" xmlns:a16="http://schemas.microsoft.com/office/drawing/2014/main" id="{00000000-0008-0000-0000-0000E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7" name="Text Box 3099">
          <a:extLst>
            <a:ext uri="{FF2B5EF4-FFF2-40B4-BE49-F238E27FC236}">
              <a16:creationId xmlns="" xmlns:a16="http://schemas.microsoft.com/office/drawing/2014/main" id="{00000000-0008-0000-0000-0000E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8" name="Text Box 3100">
          <a:extLst>
            <a:ext uri="{FF2B5EF4-FFF2-40B4-BE49-F238E27FC236}">
              <a16:creationId xmlns="" xmlns:a16="http://schemas.microsoft.com/office/drawing/2014/main" id="{00000000-0008-0000-0000-0000E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9" name="Text Box 3101">
          <a:extLst>
            <a:ext uri="{FF2B5EF4-FFF2-40B4-BE49-F238E27FC236}">
              <a16:creationId xmlns="" xmlns:a16="http://schemas.microsoft.com/office/drawing/2014/main" id="{00000000-0008-0000-0000-0000E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60" name="Text Box 3102">
          <a:extLst>
            <a:ext uri="{FF2B5EF4-FFF2-40B4-BE49-F238E27FC236}">
              <a16:creationId xmlns="" xmlns:a16="http://schemas.microsoft.com/office/drawing/2014/main" id="{00000000-0008-0000-0000-0000E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1" name="Text Box 59">
          <a:extLst>
            <a:ext uri="{FF2B5EF4-FFF2-40B4-BE49-F238E27FC236}">
              <a16:creationId xmlns="" xmlns:a16="http://schemas.microsoft.com/office/drawing/2014/main" id="{00000000-0008-0000-0000-0000E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2" name="Text Box 60">
          <a:extLst>
            <a:ext uri="{FF2B5EF4-FFF2-40B4-BE49-F238E27FC236}">
              <a16:creationId xmlns="" xmlns:a16="http://schemas.microsoft.com/office/drawing/2014/main" id="{00000000-0008-0000-0000-0000E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3" name="Text Box 61">
          <a:extLst>
            <a:ext uri="{FF2B5EF4-FFF2-40B4-BE49-F238E27FC236}">
              <a16:creationId xmlns="" xmlns:a16="http://schemas.microsoft.com/office/drawing/2014/main" id="{00000000-0008-0000-0000-0000E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4" name="Text Box 62">
          <a:extLst>
            <a:ext uri="{FF2B5EF4-FFF2-40B4-BE49-F238E27FC236}">
              <a16:creationId xmlns="" xmlns:a16="http://schemas.microsoft.com/office/drawing/2014/main" id="{00000000-0008-0000-0000-0000F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5" name="Text Box 63">
          <a:extLst>
            <a:ext uri="{FF2B5EF4-FFF2-40B4-BE49-F238E27FC236}">
              <a16:creationId xmlns="" xmlns:a16="http://schemas.microsoft.com/office/drawing/2014/main" id="{00000000-0008-0000-0000-0000F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6" name="Text Box 64">
          <a:extLst>
            <a:ext uri="{FF2B5EF4-FFF2-40B4-BE49-F238E27FC236}">
              <a16:creationId xmlns="" xmlns:a16="http://schemas.microsoft.com/office/drawing/2014/main" id="{00000000-0008-0000-0000-0000F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7" name="Text Box 65">
          <a:extLst>
            <a:ext uri="{FF2B5EF4-FFF2-40B4-BE49-F238E27FC236}">
              <a16:creationId xmlns="" xmlns:a16="http://schemas.microsoft.com/office/drawing/2014/main" id="{00000000-0008-0000-0000-0000F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8" name="Text Box 66">
          <a:extLst>
            <a:ext uri="{FF2B5EF4-FFF2-40B4-BE49-F238E27FC236}">
              <a16:creationId xmlns="" xmlns:a16="http://schemas.microsoft.com/office/drawing/2014/main" id="{00000000-0008-0000-0000-0000F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9" name="Text Box 67">
          <a:extLst>
            <a:ext uri="{FF2B5EF4-FFF2-40B4-BE49-F238E27FC236}">
              <a16:creationId xmlns="" xmlns:a16="http://schemas.microsoft.com/office/drawing/2014/main" id="{00000000-0008-0000-0000-0000F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0" name="Text Box 68">
          <a:extLst>
            <a:ext uri="{FF2B5EF4-FFF2-40B4-BE49-F238E27FC236}">
              <a16:creationId xmlns="" xmlns:a16="http://schemas.microsoft.com/office/drawing/2014/main" id="{00000000-0008-0000-0000-0000F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1" name="Text Box 69">
          <a:extLst>
            <a:ext uri="{FF2B5EF4-FFF2-40B4-BE49-F238E27FC236}">
              <a16:creationId xmlns="" xmlns:a16="http://schemas.microsoft.com/office/drawing/2014/main" id="{00000000-0008-0000-0000-0000F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2" name="Text Box 70">
          <a:extLst>
            <a:ext uri="{FF2B5EF4-FFF2-40B4-BE49-F238E27FC236}">
              <a16:creationId xmlns="" xmlns:a16="http://schemas.microsoft.com/office/drawing/2014/main" id="{00000000-0008-0000-0000-0000F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3" name="Text Box 71">
          <a:extLst>
            <a:ext uri="{FF2B5EF4-FFF2-40B4-BE49-F238E27FC236}">
              <a16:creationId xmlns="" xmlns:a16="http://schemas.microsoft.com/office/drawing/2014/main" id="{00000000-0008-0000-0000-0000F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4" name="Text Box 72">
          <a:extLst>
            <a:ext uri="{FF2B5EF4-FFF2-40B4-BE49-F238E27FC236}">
              <a16:creationId xmlns="" xmlns:a16="http://schemas.microsoft.com/office/drawing/2014/main" id="{00000000-0008-0000-0000-0000F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5" name="Text Box 73">
          <a:extLst>
            <a:ext uri="{FF2B5EF4-FFF2-40B4-BE49-F238E27FC236}">
              <a16:creationId xmlns="" xmlns:a16="http://schemas.microsoft.com/office/drawing/2014/main" id="{00000000-0008-0000-0000-0000F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6" name="Text Box 74">
          <a:extLst>
            <a:ext uri="{FF2B5EF4-FFF2-40B4-BE49-F238E27FC236}">
              <a16:creationId xmlns="" xmlns:a16="http://schemas.microsoft.com/office/drawing/2014/main" id="{00000000-0008-0000-0000-0000F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7" name="Text Box 75">
          <a:extLst>
            <a:ext uri="{FF2B5EF4-FFF2-40B4-BE49-F238E27FC236}">
              <a16:creationId xmlns="" xmlns:a16="http://schemas.microsoft.com/office/drawing/2014/main" id="{00000000-0008-0000-0000-0000F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8" name="Text Box 76">
          <a:extLst>
            <a:ext uri="{FF2B5EF4-FFF2-40B4-BE49-F238E27FC236}">
              <a16:creationId xmlns="" xmlns:a16="http://schemas.microsoft.com/office/drawing/2014/main" id="{00000000-0008-0000-0000-0000F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9" name="Text Box 77">
          <a:extLst>
            <a:ext uri="{FF2B5EF4-FFF2-40B4-BE49-F238E27FC236}">
              <a16:creationId xmlns="" xmlns:a16="http://schemas.microsoft.com/office/drawing/2014/main" id="{00000000-0008-0000-0000-0000F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0" name="Text Box 78">
          <a:extLst>
            <a:ext uri="{FF2B5EF4-FFF2-40B4-BE49-F238E27FC236}">
              <a16:creationId xmlns="" xmlns:a16="http://schemas.microsoft.com/office/drawing/2014/main" id="{00000000-0008-0000-0000-00000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1" name="Text Box 79">
          <a:extLst>
            <a:ext uri="{FF2B5EF4-FFF2-40B4-BE49-F238E27FC236}">
              <a16:creationId xmlns="" xmlns:a16="http://schemas.microsoft.com/office/drawing/2014/main" id="{00000000-0008-0000-0000-00000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2" name="Text Box 80">
          <a:extLst>
            <a:ext uri="{FF2B5EF4-FFF2-40B4-BE49-F238E27FC236}">
              <a16:creationId xmlns="" xmlns:a16="http://schemas.microsoft.com/office/drawing/2014/main" id="{00000000-0008-0000-0000-00000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3" name="Text Box 81">
          <a:extLst>
            <a:ext uri="{FF2B5EF4-FFF2-40B4-BE49-F238E27FC236}">
              <a16:creationId xmlns="" xmlns:a16="http://schemas.microsoft.com/office/drawing/2014/main" id="{00000000-0008-0000-0000-00000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284" name="Text Box 82">
          <a:extLst>
            <a:ext uri="{FF2B5EF4-FFF2-40B4-BE49-F238E27FC236}">
              <a16:creationId xmlns="" xmlns:a16="http://schemas.microsoft.com/office/drawing/2014/main" id="{00000000-0008-0000-0000-00000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5" name="Text Box 3079">
          <a:extLst>
            <a:ext uri="{FF2B5EF4-FFF2-40B4-BE49-F238E27FC236}">
              <a16:creationId xmlns="" xmlns:a16="http://schemas.microsoft.com/office/drawing/2014/main" id="{00000000-0008-0000-0000-00000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6" name="Text Box 3080">
          <a:extLst>
            <a:ext uri="{FF2B5EF4-FFF2-40B4-BE49-F238E27FC236}">
              <a16:creationId xmlns="" xmlns:a16="http://schemas.microsoft.com/office/drawing/2014/main" id="{00000000-0008-0000-0000-00000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7" name="Text Box 3081">
          <a:extLst>
            <a:ext uri="{FF2B5EF4-FFF2-40B4-BE49-F238E27FC236}">
              <a16:creationId xmlns="" xmlns:a16="http://schemas.microsoft.com/office/drawing/2014/main" id="{00000000-0008-0000-0000-00000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8" name="Text Box 3082">
          <a:extLst>
            <a:ext uri="{FF2B5EF4-FFF2-40B4-BE49-F238E27FC236}">
              <a16:creationId xmlns="" xmlns:a16="http://schemas.microsoft.com/office/drawing/2014/main" id="{00000000-0008-0000-0000-00000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9" name="Text Box 3083">
          <a:extLst>
            <a:ext uri="{FF2B5EF4-FFF2-40B4-BE49-F238E27FC236}">
              <a16:creationId xmlns="" xmlns:a16="http://schemas.microsoft.com/office/drawing/2014/main" id="{00000000-0008-0000-0000-00000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0" name="Text Box 3084">
          <a:extLst>
            <a:ext uri="{FF2B5EF4-FFF2-40B4-BE49-F238E27FC236}">
              <a16:creationId xmlns="" xmlns:a16="http://schemas.microsoft.com/office/drawing/2014/main" id="{00000000-0008-0000-0000-00000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1" name="Text Box 3085">
          <a:extLst>
            <a:ext uri="{FF2B5EF4-FFF2-40B4-BE49-F238E27FC236}">
              <a16:creationId xmlns="" xmlns:a16="http://schemas.microsoft.com/office/drawing/2014/main" id="{00000000-0008-0000-0000-00000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2" name="Text Box 3086">
          <a:extLst>
            <a:ext uri="{FF2B5EF4-FFF2-40B4-BE49-F238E27FC236}">
              <a16:creationId xmlns="" xmlns:a16="http://schemas.microsoft.com/office/drawing/2014/main" id="{00000000-0008-0000-0000-00000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3" name="Text Box 3087">
          <a:extLst>
            <a:ext uri="{FF2B5EF4-FFF2-40B4-BE49-F238E27FC236}">
              <a16:creationId xmlns="" xmlns:a16="http://schemas.microsoft.com/office/drawing/2014/main" id="{00000000-0008-0000-0000-00000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4" name="Text Box 3088">
          <a:extLst>
            <a:ext uri="{FF2B5EF4-FFF2-40B4-BE49-F238E27FC236}">
              <a16:creationId xmlns="" xmlns:a16="http://schemas.microsoft.com/office/drawing/2014/main" id="{00000000-0008-0000-0000-00000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5" name="Text Box 3089">
          <a:extLst>
            <a:ext uri="{FF2B5EF4-FFF2-40B4-BE49-F238E27FC236}">
              <a16:creationId xmlns="" xmlns:a16="http://schemas.microsoft.com/office/drawing/2014/main" id="{00000000-0008-0000-0000-00000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6" name="Text Box 3090">
          <a:extLst>
            <a:ext uri="{FF2B5EF4-FFF2-40B4-BE49-F238E27FC236}">
              <a16:creationId xmlns="" xmlns:a16="http://schemas.microsoft.com/office/drawing/2014/main" id="{00000000-0008-0000-0000-00001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7" name="Text Box 3091">
          <a:extLst>
            <a:ext uri="{FF2B5EF4-FFF2-40B4-BE49-F238E27FC236}">
              <a16:creationId xmlns="" xmlns:a16="http://schemas.microsoft.com/office/drawing/2014/main" id="{00000000-0008-0000-0000-00001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8" name="Text Box 3092">
          <a:extLst>
            <a:ext uri="{FF2B5EF4-FFF2-40B4-BE49-F238E27FC236}">
              <a16:creationId xmlns="" xmlns:a16="http://schemas.microsoft.com/office/drawing/2014/main" id="{00000000-0008-0000-0000-00001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9" name="Text Box 3093">
          <a:extLst>
            <a:ext uri="{FF2B5EF4-FFF2-40B4-BE49-F238E27FC236}">
              <a16:creationId xmlns="" xmlns:a16="http://schemas.microsoft.com/office/drawing/2014/main" id="{00000000-0008-0000-0000-00001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0" name="Text Box 3094">
          <a:extLst>
            <a:ext uri="{FF2B5EF4-FFF2-40B4-BE49-F238E27FC236}">
              <a16:creationId xmlns="" xmlns:a16="http://schemas.microsoft.com/office/drawing/2014/main" id="{00000000-0008-0000-0000-00001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1" name="Text Box 3095">
          <a:extLst>
            <a:ext uri="{FF2B5EF4-FFF2-40B4-BE49-F238E27FC236}">
              <a16:creationId xmlns="" xmlns:a16="http://schemas.microsoft.com/office/drawing/2014/main" id="{00000000-0008-0000-0000-00001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2" name="Text Box 3096">
          <a:extLst>
            <a:ext uri="{FF2B5EF4-FFF2-40B4-BE49-F238E27FC236}">
              <a16:creationId xmlns="" xmlns:a16="http://schemas.microsoft.com/office/drawing/2014/main" id="{00000000-0008-0000-0000-00001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3" name="Text Box 3097">
          <a:extLst>
            <a:ext uri="{FF2B5EF4-FFF2-40B4-BE49-F238E27FC236}">
              <a16:creationId xmlns="" xmlns:a16="http://schemas.microsoft.com/office/drawing/2014/main" id="{00000000-0008-0000-0000-00001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4" name="Text Box 3098">
          <a:extLst>
            <a:ext uri="{FF2B5EF4-FFF2-40B4-BE49-F238E27FC236}">
              <a16:creationId xmlns="" xmlns:a16="http://schemas.microsoft.com/office/drawing/2014/main" id="{00000000-0008-0000-0000-00001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5" name="Text Box 3099">
          <a:extLst>
            <a:ext uri="{FF2B5EF4-FFF2-40B4-BE49-F238E27FC236}">
              <a16:creationId xmlns="" xmlns:a16="http://schemas.microsoft.com/office/drawing/2014/main" id="{00000000-0008-0000-0000-00001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6" name="Text Box 3100">
          <a:extLst>
            <a:ext uri="{FF2B5EF4-FFF2-40B4-BE49-F238E27FC236}">
              <a16:creationId xmlns="" xmlns:a16="http://schemas.microsoft.com/office/drawing/2014/main" id="{00000000-0008-0000-0000-00001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7" name="Text Box 3101">
          <a:extLst>
            <a:ext uri="{FF2B5EF4-FFF2-40B4-BE49-F238E27FC236}">
              <a16:creationId xmlns="" xmlns:a16="http://schemas.microsoft.com/office/drawing/2014/main" id="{00000000-0008-0000-0000-00001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308" name="Text Box 3102">
          <a:extLst>
            <a:ext uri="{FF2B5EF4-FFF2-40B4-BE49-F238E27FC236}">
              <a16:creationId xmlns="" xmlns:a16="http://schemas.microsoft.com/office/drawing/2014/main" id="{00000000-0008-0000-0000-00001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09" name="Text Box 59">
          <a:extLst>
            <a:ext uri="{FF2B5EF4-FFF2-40B4-BE49-F238E27FC236}">
              <a16:creationId xmlns="" xmlns:a16="http://schemas.microsoft.com/office/drawing/2014/main" id="{00000000-0008-0000-0000-00001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0" name="Text Box 60">
          <a:extLst>
            <a:ext uri="{FF2B5EF4-FFF2-40B4-BE49-F238E27FC236}">
              <a16:creationId xmlns="" xmlns:a16="http://schemas.microsoft.com/office/drawing/2014/main" id="{00000000-0008-0000-0000-00001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1" name="Text Box 61">
          <a:extLst>
            <a:ext uri="{FF2B5EF4-FFF2-40B4-BE49-F238E27FC236}">
              <a16:creationId xmlns="" xmlns:a16="http://schemas.microsoft.com/office/drawing/2014/main" id="{00000000-0008-0000-0000-00001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2" name="Text Box 62">
          <a:extLst>
            <a:ext uri="{FF2B5EF4-FFF2-40B4-BE49-F238E27FC236}">
              <a16:creationId xmlns="" xmlns:a16="http://schemas.microsoft.com/office/drawing/2014/main" id="{00000000-0008-0000-0000-00002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3" name="Text Box 63">
          <a:extLst>
            <a:ext uri="{FF2B5EF4-FFF2-40B4-BE49-F238E27FC236}">
              <a16:creationId xmlns="" xmlns:a16="http://schemas.microsoft.com/office/drawing/2014/main" id="{00000000-0008-0000-0000-00002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4" name="Text Box 64">
          <a:extLst>
            <a:ext uri="{FF2B5EF4-FFF2-40B4-BE49-F238E27FC236}">
              <a16:creationId xmlns="" xmlns:a16="http://schemas.microsoft.com/office/drawing/2014/main" id="{00000000-0008-0000-0000-00002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5" name="Text Box 65">
          <a:extLst>
            <a:ext uri="{FF2B5EF4-FFF2-40B4-BE49-F238E27FC236}">
              <a16:creationId xmlns="" xmlns:a16="http://schemas.microsoft.com/office/drawing/2014/main" id="{00000000-0008-0000-0000-00002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6" name="Text Box 66">
          <a:extLst>
            <a:ext uri="{FF2B5EF4-FFF2-40B4-BE49-F238E27FC236}">
              <a16:creationId xmlns="" xmlns:a16="http://schemas.microsoft.com/office/drawing/2014/main" id="{00000000-0008-0000-0000-00002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7" name="Text Box 67">
          <a:extLst>
            <a:ext uri="{FF2B5EF4-FFF2-40B4-BE49-F238E27FC236}">
              <a16:creationId xmlns="" xmlns:a16="http://schemas.microsoft.com/office/drawing/2014/main" id="{00000000-0008-0000-0000-00002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8" name="Text Box 68">
          <a:extLst>
            <a:ext uri="{FF2B5EF4-FFF2-40B4-BE49-F238E27FC236}">
              <a16:creationId xmlns="" xmlns:a16="http://schemas.microsoft.com/office/drawing/2014/main" id="{00000000-0008-0000-0000-00002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9" name="Text Box 69">
          <a:extLst>
            <a:ext uri="{FF2B5EF4-FFF2-40B4-BE49-F238E27FC236}">
              <a16:creationId xmlns="" xmlns:a16="http://schemas.microsoft.com/office/drawing/2014/main" id="{00000000-0008-0000-0000-00002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0" name="Text Box 70">
          <a:extLst>
            <a:ext uri="{FF2B5EF4-FFF2-40B4-BE49-F238E27FC236}">
              <a16:creationId xmlns="" xmlns:a16="http://schemas.microsoft.com/office/drawing/2014/main" id="{00000000-0008-0000-0000-00002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1" name="Text Box 71">
          <a:extLst>
            <a:ext uri="{FF2B5EF4-FFF2-40B4-BE49-F238E27FC236}">
              <a16:creationId xmlns="" xmlns:a16="http://schemas.microsoft.com/office/drawing/2014/main" id="{00000000-0008-0000-0000-00002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2" name="Text Box 72">
          <a:extLst>
            <a:ext uri="{FF2B5EF4-FFF2-40B4-BE49-F238E27FC236}">
              <a16:creationId xmlns="" xmlns:a16="http://schemas.microsoft.com/office/drawing/2014/main" id="{00000000-0008-0000-0000-00002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3" name="Text Box 73">
          <a:extLst>
            <a:ext uri="{FF2B5EF4-FFF2-40B4-BE49-F238E27FC236}">
              <a16:creationId xmlns="" xmlns:a16="http://schemas.microsoft.com/office/drawing/2014/main" id="{00000000-0008-0000-0000-00002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4" name="Text Box 74">
          <a:extLst>
            <a:ext uri="{FF2B5EF4-FFF2-40B4-BE49-F238E27FC236}">
              <a16:creationId xmlns="" xmlns:a16="http://schemas.microsoft.com/office/drawing/2014/main" id="{00000000-0008-0000-0000-00002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5" name="Text Box 75">
          <a:extLst>
            <a:ext uri="{FF2B5EF4-FFF2-40B4-BE49-F238E27FC236}">
              <a16:creationId xmlns="" xmlns:a16="http://schemas.microsoft.com/office/drawing/2014/main" id="{00000000-0008-0000-0000-00002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6" name="Text Box 76">
          <a:extLst>
            <a:ext uri="{FF2B5EF4-FFF2-40B4-BE49-F238E27FC236}">
              <a16:creationId xmlns="" xmlns:a16="http://schemas.microsoft.com/office/drawing/2014/main" id="{00000000-0008-0000-0000-00002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7" name="Text Box 77">
          <a:extLst>
            <a:ext uri="{FF2B5EF4-FFF2-40B4-BE49-F238E27FC236}">
              <a16:creationId xmlns="" xmlns:a16="http://schemas.microsoft.com/office/drawing/2014/main" id="{00000000-0008-0000-0000-00002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8" name="Text Box 78">
          <a:extLst>
            <a:ext uri="{FF2B5EF4-FFF2-40B4-BE49-F238E27FC236}">
              <a16:creationId xmlns="" xmlns:a16="http://schemas.microsoft.com/office/drawing/2014/main" id="{00000000-0008-0000-0000-00003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9" name="Text Box 79">
          <a:extLst>
            <a:ext uri="{FF2B5EF4-FFF2-40B4-BE49-F238E27FC236}">
              <a16:creationId xmlns="" xmlns:a16="http://schemas.microsoft.com/office/drawing/2014/main" id="{00000000-0008-0000-0000-00003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0" name="Text Box 80">
          <a:extLst>
            <a:ext uri="{FF2B5EF4-FFF2-40B4-BE49-F238E27FC236}">
              <a16:creationId xmlns="" xmlns:a16="http://schemas.microsoft.com/office/drawing/2014/main" id="{00000000-0008-0000-0000-00003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1" name="Text Box 81">
          <a:extLst>
            <a:ext uri="{FF2B5EF4-FFF2-40B4-BE49-F238E27FC236}">
              <a16:creationId xmlns="" xmlns:a16="http://schemas.microsoft.com/office/drawing/2014/main" id="{00000000-0008-0000-0000-00003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2" name="Text Box 3079">
          <a:extLst>
            <a:ext uri="{FF2B5EF4-FFF2-40B4-BE49-F238E27FC236}">
              <a16:creationId xmlns="" xmlns:a16="http://schemas.microsoft.com/office/drawing/2014/main" id="{00000000-0008-0000-0000-00003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3" name="Text Box 3080">
          <a:extLst>
            <a:ext uri="{FF2B5EF4-FFF2-40B4-BE49-F238E27FC236}">
              <a16:creationId xmlns="" xmlns:a16="http://schemas.microsoft.com/office/drawing/2014/main" id="{00000000-0008-0000-0000-00003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4" name="Text Box 3081">
          <a:extLst>
            <a:ext uri="{FF2B5EF4-FFF2-40B4-BE49-F238E27FC236}">
              <a16:creationId xmlns="" xmlns:a16="http://schemas.microsoft.com/office/drawing/2014/main" id="{00000000-0008-0000-0000-00003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5" name="Text Box 3082">
          <a:extLst>
            <a:ext uri="{FF2B5EF4-FFF2-40B4-BE49-F238E27FC236}">
              <a16:creationId xmlns="" xmlns:a16="http://schemas.microsoft.com/office/drawing/2014/main" id="{00000000-0008-0000-0000-00003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6" name="Text Box 3083">
          <a:extLst>
            <a:ext uri="{FF2B5EF4-FFF2-40B4-BE49-F238E27FC236}">
              <a16:creationId xmlns="" xmlns:a16="http://schemas.microsoft.com/office/drawing/2014/main" id="{00000000-0008-0000-0000-00003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7" name="Text Box 3084">
          <a:extLst>
            <a:ext uri="{FF2B5EF4-FFF2-40B4-BE49-F238E27FC236}">
              <a16:creationId xmlns="" xmlns:a16="http://schemas.microsoft.com/office/drawing/2014/main" id="{00000000-0008-0000-0000-00003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8" name="Text Box 3085">
          <a:extLst>
            <a:ext uri="{FF2B5EF4-FFF2-40B4-BE49-F238E27FC236}">
              <a16:creationId xmlns="" xmlns:a16="http://schemas.microsoft.com/office/drawing/2014/main" id="{00000000-0008-0000-0000-00003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9" name="Text Box 3086">
          <a:extLst>
            <a:ext uri="{FF2B5EF4-FFF2-40B4-BE49-F238E27FC236}">
              <a16:creationId xmlns="" xmlns:a16="http://schemas.microsoft.com/office/drawing/2014/main" id="{00000000-0008-0000-0000-00003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0" name="Text Box 3087">
          <a:extLst>
            <a:ext uri="{FF2B5EF4-FFF2-40B4-BE49-F238E27FC236}">
              <a16:creationId xmlns="" xmlns:a16="http://schemas.microsoft.com/office/drawing/2014/main" id="{00000000-0008-0000-0000-00003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1" name="Text Box 3088">
          <a:extLst>
            <a:ext uri="{FF2B5EF4-FFF2-40B4-BE49-F238E27FC236}">
              <a16:creationId xmlns="" xmlns:a16="http://schemas.microsoft.com/office/drawing/2014/main" id="{00000000-0008-0000-0000-00003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2" name="Text Box 3089">
          <a:extLst>
            <a:ext uri="{FF2B5EF4-FFF2-40B4-BE49-F238E27FC236}">
              <a16:creationId xmlns="" xmlns:a16="http://schemas.microsoft.com/office/drawing/2014/main" id="{00000000-0008-0000-0000-00003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3" name="Text Box 3090">
          <a:extLst>
            <a:ext uri="{FF2B5EF4-FFF2-40B4-BE49-F238E27FC236}">
              <a16:creationId xmlns="" xmlns:a16="http://schemas.microsoft.com/office/drawing/2014/main" id="{00000000-0008-0000-0000-00003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4" name="Text Box 3091">
          <a:extLst>
            <a:ext uri="{FF2B5EF4-FFF2-40B4-BE49-F238E27FC236}">
              <a16:creationId xmlns="" xmlns:a16="http://schemas.microsoft.com/office/drawing/2014/main" id="{00000000-0008-0000-0000-00004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5" name="Text Box 3092">
          <a:extLst>
            <a:ext uri="{FF2B5EF4-FFF2-40B4-BE49-F238E27FC236}">
              <a16:creationId xmlns="" xmlns:a16="http://schemas.microsoft.com/office/drawing/2014/main" id="{00000000-0008-0000-0000-00004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6" name="Text Box 3093">
          <a:extLst>
            <a:ext uri="{FF2B5EF4-FFF2-40B4-BE49-F238E27FC236}">
              <a16:creationId xmlns="" xmlns:a16="http://schemas.microsoft.com/office/drawing/2014/main" id="{00000000-0008-0000-0000-00004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7" name="Text Box 3094">
          <a:extLst>
            <a:ext uri="{FF2B5EF4-FFF2-40B4-BE49-F238E27FC236}">
              <a16:creationId xmlns="" xmlns:a16="http://schemas.microsoft.com/office/drawing/2014/main" id="{00000000-0008-0000-0000-00004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8" name="Text Box 3095">
          <a:extLst>
            <a:ext uri="{FF2B5EF4-FFF2-40B4-BE49-F238E27FC236}">
              <a16:creationId xmlns="" xmlns:a16="http://schemas.microsoft.com/office/drawing/2014/main" id="{00000000-0008-0000-0000-00004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9" name="Text Box 3096">
          <a:extLst>
            <a:ext uri="{FF2B5EF4-FFF2-40B4-BE49-F238E27FC236}">
              <a16:creationId xmlns="" xmlns:a16="http://schemas.microsoft.com/office/drawing/2014/main" id="{00000000-0008-0000-0000-00004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0" name="Text Box 3097">
          <a:extLst>
            <a:ext uri="{FF2B5EF4-FFF2-40B4-BE49-F238E27FC236}">
              <a16:creationId xmlns="" xmlns:a16="http://schemas.microsoft.com/office/drawing/2014/main" id="{00000000-0008-0000-0000-00004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1" name="Text Box 3098">
          <a:extLst>
            <a:ext uri="{FF2B5EF4-FFF2-40B4-BE49-F238E27FC236}">
              <a16:creationId xmlns="" xmlns:a16="http://schemas.microsoft.com/office/drawing/2014/main" id="{00000000-0008-0000-0000-00004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2" name="Text Box 3099">
          <a:extLst>
            <a:ext uri="{FF2B5EF4-FFF2-40B4-BE49-F238E27FC236}">
              <a16:creationId xmlns="" xmlns:a16="http://schemas.microsoft.com/office/drawing/2014/main" id="{00000000-0008-0000-0000-00004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3" name="Text Box 3100">
          <a:extLst>
            <a:ext uri="{FF2B5EF4-FFF2-40B4-BE49-F238E27FC236}">
              <a16:creationId xmlns="" xmlns:a16="http://schemas.microsoft.com/office/drawing/2014/main" id="{00000000-0008-0000-0000-00004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4" name="Text Box 3101">
          <a:extLst>
            <a:ext uri="{FF2B5EF4-FFF2-40B4-BE49-F238E27FC236}">
              <a16:creationId xmlns="" xmlns:a16="http://schemas.microsoft.com/office/drawing/2014/main" id="{00000000-0008-0000-0000-00004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355" name="Text Box 3102">
          <a:extLst>
            <a:ext uri="{FF2B5EF4-FFF2-40B4-BE49-F238E27FC236}">
              <a16:creationId xmlns="" xmlns:a16="http://schemas.microsoft.com/office/drawing/2014/main" id="{00000000-0008-0000-0000-00004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6" name="Text Box 59">
          <a:extLst>
            <a:ext uri="{FF2B5EF4-FFF2-40B4-BE49-F238E27FC236}">
              <a16:creationId xmlns="" xmlns:a16="http://schemas.microsoft.com/office/drawing/2014/main" id="{00000000-0008-0000-0000-00004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7" name="Text Box 60">
          <a:extLst>
            <a:ext uri="{FF2B5EF4-FFF2-40B4-BE49-F238E27FC236}">
              <a16:creationId xmlns="" xmlns:a16="http://schemas.microsoft.com/office/drawing/2014/main" id="{00000000-0008-0000-0000-00004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8" name="Text Box 61">
          <a:extLst>
            <a:ext uri="{FF2B5EF4-FFF2-40B4-BE49-F238E27FC236}">
              <a16:creationId xmlns="" xmlns:a16="http://schemas.microsoft.com/office/drawing/2014/main" id="{00000000-0008-0000-0000-00004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9" name="Text Box 62">
          <a:extLst>
            <a:ext uri="{FF2B5EF4-FFF2-40B4-BE49-F238E27FC236}">
              <a16:creationId xmlns="" xmlns:a16="http://schemas.microsoft.com/office/drawing/2014/main" id="{00000000-0008-0000-0000-00004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0" name="Text Box 63">
          <a:extLst>
            <a:ext uri="{FF2B5EF4-FFF2-40B4-BE49-F238E27FC236}">
              <a16:creationId xmlns="" xmlns:a16="http://schemas.microsoft.com/office/drawing/2014/main" id="{00000000-0008-0000-0000-00005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1" name="Text Box 64">
          <a:extLst>
            <a:ext uri="{FF2B5EF4-FFF2-40B4-BE49-F238E27FC236}">
              <a16:creationId xmlns="" xmlns:a16="http://schemas.microsoft.com/office/drawing/2014/main" id="{00000000-0008-0000-0000-00005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2" name="Text Box 65">
          <a:extLst>
            <a:ext uri="{FF2B5EF4-FFF2-40B4-BE49-F238E27FC236}">
              <a16:creationId xmlns="" xmlns:a16="http://schemas.microsoft.com/office/drawing/2014/main" id="{00000000-0008-0000-0000-00005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3" name="Text Box 66">
          <a:extLst>
            <a:ext uri="{FF2B5EF4-FFF2-40B4-BE49-F238E27FC236}">
              <a16:creationId xmlns="" xmlns:a16="http://schemas.microsoft.com/office/drawing/2014/main" id="{00000000-0008-0000-0000-00005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4" name="Text Box 67">
          <a:extLst>
            <a:ext uri="{FF2B5EF4-FFF2-40B4-BE49-F238E27FC236}">
              <a16:creationId xmlns="" xmlns:a16="http://schemas.microsoft.com/office/drawing/2014/main" id="{00000000-0008-0000-0000-00005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5" name="Text Box 68">
          <a:extLst>
            <a:ext uri="{FF2B5EF4-FFF2-40B4-BE49-F238E27FC236}">
              <a16:creationId xmlns="" xmlns:a16="http://schemas.microsoft.com/office/drawing/2014/main" id="{00000000-0008-0000-0000-00005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6" name="Text Box 69">
          <a:extLst>
            <a:ext uri="{FF2B5EF4-FFF2-40B4-BE49-F238E27FC236}">
              <a16:creationId xmlns="" xmlns:a16="http://schemas.microsoft.com/office/drawing/2014/main" id="{00000000-0008-0000-0000-00005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7" name="Text Box 70">
          <a:extLst>
            <a:ext uri="{FF2B5EF4-FFF2-40B4-BE49-F238E27FC236}">
              <a16:creationId xmlns="" xmlns:a16="http://schemas.microsoft.com/office/drawing/2014/main" id="{00000000-0008-0000-0000-00005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8" name="Text Box 71">
          <a:extLst>
            <a:ext uri="{FF2B5EF4-FFF2-40B4-BE49-F238E27FC236}">
              <a16:creationId xmlns="" xmlns:a16="http://schemas.microsoft.com/office/drawing/2014/main" id="{00000000-0008-0000-0000-00005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9" name="Text Box 72">
          <a:extLst>
            <a:ext uri="{FF2B5EF4-FFF2-40B4-BE49-F238E27FC236}">
              <a16:creationId xmlns="" xmlns:a16="http://schemas.microsoft.com/office/drawing/2014/main" id="{00000000-0008-0000-0000-00005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0" name="Text Box 73">
          <a:extLst>
            <a:ext uri="{FF2B5EF4-FFF2-40B4-BE49-F238E27FC236}">
              <a16:creationId xmlns="" xmlns:a16="http://schemas.microsoft.com/office/drawing/2014/main" id="{00000000-0008-0000-0000-00005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1" name="Text Box 74">
          <a:extLst>
            <a:ext uri="{FF2B5EF4-FFF2-40B4-BE49-F238E27FC236}">
              <a16:creationId xmlns="" xmlns:a16="http://schemas.microsoft.com/office/drawing/2014/main" id="{00000000-0008-0000-0000-00005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2" name="Text Box 75">
          <a:extLst>
            <a:ext uri="{FF2B5EF4-FFF2-40B4-BE49-F238E27FC236}">
              <a16:creationId xmlns="" xmlns:a16="http://schemas.microsoft.com/office/drawing/2014/main" id="{00000000-0008-0000-0000-00005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3" name="Text Box 76">
          <a:extLst>
            <a:ext uri="{FF2B5EF4-FFF2-40B4-BE49-F238E27FC236}">
              <a16:creationId xmlns="" xmlns:a16="http://schemas.microsoft.com/office/drawing/2014/main" id="{00000000-0008-0000-0000-00005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4" name="Text Box 77">
          <a:extLst>
            <a:ext uri="{FF2B5EF4-FFF2-40B4-BE49-F238E27FC236}">
              <a16:creationId xmlns="" xmlns:a16="http://schemas.microsoft.com/office/drawing/2014/main" id="{00000000-0008-0000-0000-00005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5" name="Text Box 78">
          <a:extLst>
            <a:ext uri="{FF2B5EF4-FFF2-40B4-BE49-F238E27FC236}">
              <a16:creationId xmlns="" xmlns:a16="http://schemas.microsoft.com/office/drawing/2014/main" id="{00000000-0008-0000-0000-00005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6" name="Text Box 79">
          <a:extLst>
            <a:ext uri="{FF2B5EF4-FFF2-40B4-BE49-F238E27FC236}">
              <a16:creationId xmlns="" xmlns:a16="http://schemas.microsoft.com/office/drawing/2014/main" id="{00000000-0008-0000-0000-00006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7" name="Text Box 80">
          <a:extLst>
            <a:ext uri="{FF2B5EF4-FFF2-40B4-BE49-F238E27FC236}">
              <a16:creationId xmlns="" xmlns:a16="http://schemas.microsoft.com/office/drawing/2014/main" id="{00000000-0008-0000-0000-00006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8" name="Text Box 81">
          <a:extLst>
            <a:ext uri="{FF2B5EF4-FFF2-40B4-BE49-F238E27FC236}">
              <a16:creationId xmlns="" xmlns:a16="http://schemas.microsoft.com/office/drawing/2014/main" id="{00000000-0008-0000-0000-00006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379" name="Text Box 82">
          <a:extLst>
            <a:ext uri="{FF2B5EF4-FFF2-40B4-BE49-F238E27FC236}">
              <a16:creationId xmlns="" xmlns:a16="http://schemas.microsoft.com/office/drawing/2014/main" id="{00000000-0008-0000-0000-00006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0" name="Text Box 3079">
          <a:extLst>
            <a:ext uri="{FF2B5EF4-FFF2-40B4-BE49-F238E27FC236}">
              <a16:creationId xmlns="" xmlns:a16="http://schemas.microsoft.com/office/drawing/2014/main" id="{00000000-0008-0000-0000-00006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1" name="Text Box 3080">
          <a:extLst>
            <a:ext uri="{FF2B5EF4-FFF2-40B4-BE49-F238E27FC236}">
              <a16:creationId xmlns="" xmlns:a16="http://schemas.microsoft.com/office/drawing/2014/main" id="{00000000-0008-0000-0000-00006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2" name="Text Box 3081">
          <a:extLst>
            <a:ext uri="{FF2B5EF4-FFF2-40B4-BE49-F238E27FC236}">
              <a16:creationId xmlns="" xmlns:a16="http://schemas.microsoft.com/office/drawing/2014/main" id="{00000000-0008-0000-0000-00006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3" name="Text Box 3082">
          <a:extLst>
            <a:ext uri="{FF2B5EF4-FFF2-40B4-BE49-F238E27FC236}">
              <a16:creationId xmlns="" xmlns:a16="http://schemas.microsoft.com/office/drawing/2014/main" id="{00000000-0008-0000-0000-00006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4" name="Text Box 3083">
          <a:extLst>
            <a:ext uri="{FF2B5EF4-FFF2-40B4-BE49-F238E27FC236}">
              <a16:creationId xmlns="" xmlns:a16="http://schemas.microsoft.com/office/drawing/2014/main" id="{00000000-0008-0000-0000-00006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5" name="Text Box 3084">
          <a:extLst>
            <a:ext uri="{FF2B5EF4-FFF2-40B4-BE49-F238E27FC236}">
              <a16:creationId xmlns="" xmlns:a16="http://schemas.microsoft.com/office/drawing/2014/main" id="{00000000-0008-0000-0000-00006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6" name="Text Box 3085">
          <a:extLst>
            <a:ext uri="{FF2B5EF4-FFF2-40B4-BE49-F238E27FC236}">
              <a16:creationId xmlns="" xmlns:a16="http://schemas.microsoft.com/office/drawing/2014/main" id="{00000000-0008-0000-0000-00006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7" name="Text Box 3086">
          <a:extLst>
            <a:ext uri="{FF2B5EF4-FFF2-40B4-BE49-F238E27FC236}">
              <a16:creationId xmlns="" xmlns:a16="http://schemas.microsoft.com/office/drawing/2014/main" id="{00000000-0008-0000-0000-00006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8" name="Text Box 3087">
          <a:extLst>
            <a:ext uri="{FF2B5EF4-FFF2-40B4-BE49-F238E27FC236}">
              <a16:creationId xmlns="" xmlns:a16="http://schemas.microsoft.com/office/drawing/2014/main" id="{00000000-0008-0000-0000-00006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9" name="Text Box 3088">
          <a:extLst>
            <a:ext uri="{FF2B5EF4-FFF2-40B4-BE49-F238E27FC236}">
              <a16:creationId xmlns="" xmlns:a16="http://schemas.microsoft.com/office/drawing/2014/main" id="{00000000-0008-0000-0000-00006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0" name="Text Box 3089">
          <a:extLst>
            <a:ext uri="{FF2B5EF4-FFF2-40B4-BE49-F238E27FC236}">
              <a16:creationId xmlns="" xmlns:a16="http://schemas.microsoft.com/office/drawing/2014/main" id="{00000000-0008-0000-0000-00006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1" name="Text Box 3090">
          <a:extLst>
            <a:ext uri="{FF2B5EF4-FFF2-40B4-BE49-F238E27FC236}">
              <a16:creationId xmlns="" xmlns:a16="http://schemas.microsoft.com/office/drawing/2014/main" id="{00000000-0008-0000-0000-00006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2" name="Text Box 3091">
          <a:extLst>
            <a:ext uri="{FF2B5EF4-FFF2-40B4-BE49-F238E27FC236}">
              <a16:creationId xmlns="" xmlns:a16="http://schemas.microsoft.com/office/drawing/2014/main" id="{00000000-0008-0000-0000-00007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3" name="Text Box 3092">
          <a:extLst>
            <a:ext uri="{FF2B5EF4-FFF2-40B4-BE49-F238E27FC236}">
              <a16:creationId xmlns="" xmlns:a16="http://schemas.microsoft.com/office/drawing/2014/main" id="{00000000-0008-0000-0000-00007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4" name="Text Box 3093">
          <a:extLst>
            <a:ext uri="{FF2B5EF4-FFF2-40B4-BE49-F238E27FC236}">
              <a16:creationId xmlns="" xmlns:a16="http://schemas.microsoft.com/office/drawing/2014/main" id="{00000000-0008-0000-0000-00007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5" name="Text Box 3094">
          <a:extLst>
            <a:ext uri="{FF2B5EF4-FFF2-40B4-BE49-F238E27FC236}">
              <a16:creationId xmlns="" xmlns:a16="http://schemas.microsoft.com/office/drawing/2014/main" id="{00000000-0008-0000-0000-00007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6" name="Text Box 3095">
          <a:extLst>
            <a:ext uri="{FF2B5EF4-FFF2-40B4-BE49-F238E27FC236}">
              <a16:creationId xmlns="" xmlns:a16="http://schemas.microsoft.com/office/drawing/2014/main" id="{00000000-0008-0000-0000-00007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7" name="Text Box 3096">
          <a:extLst>
            <a:ext uri="{FF2B5EF4-FFF2-40B4-BE49-F238E27FC236}">
              <a16:creationId xmlns="" xmlns:a16="http://schemas.microsoft.com/office/drawing/2014/main" id="{00000000-0008-0000-0000-00007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8" name="Text Box 3097">
          <a:extLst>
            <a:ext uri="{FF2B5EF4-FFF2-40B4-BE49-F238E27FC236}">
              <a16:creationId xmlns="" xmlns:a16="http://schemas.microsoft.com/office/drawing/2014/main" id="{00000000-0008-0000-0000-00007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9" name="Text Box 3098">
          <a:extLst>
            <a:ext uri="{FF2B5EF4-FFF2-40B4-BE49-F238E27FC236}">
              <a16:creationId xmlns="" xmlns:a16="http://schemas.microsoft.com/office/drawing/2014/main" id="{00000000-0008-0000-0000-00007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0" name="Text Box 3099">
          <a:extLst>
            <a:ext uri="{FF2B5EF4-FFF2-40B4-BE49-F238E27FC236}">
              <a16:creationId xmlns="" xmlns:a16="http://schemas.microsoft.com/office/drawing/2014/main" id="{00000000-0008-0000-0000-00007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1" name="Text Box 3100">
          <a:extLst>
            <a:ext uri="{FF2B5EF4-FFF2-40B4-BE49-F238E27FC236}">
              <a16:creationId xmlns="" xmlns:a16="http://schemas.microsoft.com/office/drawing/2014/main" id="{00000000-0008-0000-0000-00007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2" name="Text Box 3101">
          <a:extLst>
            <a:ext uri="{FF2B5EF4-FFF2-40B4-BE49-F238E27FC236}">
              <a16:creationId xmlns="" xmlns:a16="http://schemas.microsoft.com/office/drawing/2014/main" id="{00000000-0008-0000-0000-00007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03" name="Text Box 3102">
          <a:extLst>
            <a:ext uri="{FF2B5EF4-FFF2-40B4-BE49-F238E27FC236}">
              <a16:creationId xmlns="" xmlns:a16="http://schemas.microsoft.com/office/drawing/2014/main" id="{00000000-0008-0000-0000-00007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4" name="Text Box 59">
          <a:extLst>
            <a:ext uri="{FF2B5EF4-FFF2-40B4-BE49-F238E27FC236}">
              <a16:creationId xmlns="" xmlns:a16="http://schemas.microsoft.com/office/drawing/2014/main" id="{00000000-0008-0000-0000-00007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5" name="Text Box 60">
          <a:extLst>
            <a:ext uri="{FF2B5EF4-FFF2-40B4-BE49-F238E27FC236}">
              <a16:creationId xmlns="" xmlns:a16="http://schemas.microsoft.com/office/drawing/2014/main" id="{00000000-0008-0000-0000-00007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6" name="Text Box 61">
          <a:extLst>
            <a:ext uri="{FF2B5EF4-FFF2-40B4-BE49-F238E27FC236}">
              <a16:creationId xmlns="" xmlns:a16="http://schemas.microsoft.com/office/drawing/2014/main" id="{00000000-0008-0000-0000-00007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7" name="Text Box 62">
          <a:extLst>
            <a:ext uri="{FF2B5EF4-FFF2-40B4-BE49-F238E27FC236}">
              <a16:creationId xmlns="" xmlns:a16="http://schemas.microsoft.com/office/drawing/2014/main" id="{00000000-0008-0000-0000-00007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8" name="Text Box 63">
          <a:extLst>
            <a:ext uri="{FF2B5EF4-FFF2-40B4-BE49-F238E27FC236}">
              <a16:creationId xmlns="" xmlns:a16="http://schemas.microsoft.com/office/drawing/2014/main" id="{00000000-0008-0000-0000-00008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9" name="Text Box 64">
          <a:extLst>
            <a:ext uri="{FF2B5EF4-FFF2-40B4-BE49-F238E27FC236}">
              <a16:creationId xmlns="" xmlns:a16="http://schemas.microsoft.com/office/drawing/2014/main" id="{00000000-0008-0000-0000-00008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0" name="Text Box 65">
          <a:extLst>
            <a:ext uri="{FF2B5EF4-FFF2-40B4-BE49-F238E27FC236}">
              <a16:creationId xmlns="" xmlns:a16="http://schemas.microsoft.com/office/drawing/2014/main" id="{00000000-0008-0000-0000-00008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1" name="Text Box 66">
          <a:extLst>
            <a:ext uri="{FF2B5EF4-FFF2-40B4-BE49-F238E27FC236}">
              <a16:creationId xmlns="" xmlns:a16="http://schemas.microsoft.com/office/drawing/2014/main" id="{00000000-0008-0000-0000-00008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2" name="Text Box 67">
          <a:extLst>
            <a:ext uri="{FF2B5EF4-FFF2-40B4-BE49-F238E27FC236}">
              <a16:creationId xmlns="" xmlns:a16="http://schemas.microsoft.com/office/drawing/2014/main" id="{00000000-0008-0000-0000-00008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3" name="Text Box 68">
          <a:extLst>
            <a:ext uri="{FF2B5EF4-FFF2-40B4-BE49-F238E27FC236}">
              <a16:creationId xmlns="" xmlns:a16="http://schemas.microsoft.com/office/drawing/2014/main" id="{00000000-0008-0000-0000-00008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4" name="Text Box 69">
          <a:extLst>
            <a:ext uri="{FF2B5EF4-FFF2-40B4-BE49-F238E27FC236}">
              <a16:creationId xmlns="" xmlns:a16="http://schemas.microsoft.com/office/drawing/2014/main" id="{00000000-0008-0000-0000-00008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5" name="Text Box 70">
          <a:extLst>
            <a:ext uri="{FF2B5EF4-FFF2-40B4-BE49-F238E27FC236}">
              <a16:creationId xmlns="" xmlns:a16="http://schemas.microsoft.com/office/drawing/2014/main" id="{00000000-0008-0000-0000-00008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6" name="Text Box 71">
          <a:extLst>
            <a:ext uri="{FF2B5EF4-FFF2-40B4-BE49-F238E27FC236}">
              <a16:creationId xmlns="" xmlns:a16="http://schemas.microsoft.com/office/drawing/2014/main" id="{00000000-0008-0000-0000-00008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7" name="Text Box 72">
          <a:extLst>
            <a:ext uri="{FF2B5EF4-FFF2-40B4-BE49-F238E27FC236}">
              <a16:creationId xmlns="" xmlns:a16="http://schemas.microsoft.com/office/drawing/2014/main" id="{00000000-0008-0000-0000-00008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8" name="Text Box 73">
          <a:extLst>
            <a:ext uri="{FF2B5EF4-FFF2-40B4-BE49-F238E27FC236}">
              <a16:creationId xmlns="" xmlns:a16="http://schemas.microsoft.com/office/drawing/2014/main" id="{00000000-0008-0000-0000-00008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9" name="Text Box 74">
          <a:extLst>
            <a:ext uri="{FF2B5EF4-FFF2-40B4-BE49-F238E27FC236}">
              <a16:creationId xmlns="" xmlns:a16="http://schemas.microsoft.com/office/drawing/2014/main" id="{00000000-0008-0000-0000-00008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0" name="Text Box 75">
          <a:extLst>
            <a:ext uri="{FF2B5EF4-FFF2-40B4-BE49-F238E27FC236}">
              <a16:creationId xmlns="" xmlns:a16="http://schemas.microsoft.com/office/drawing/2014/main" id="{00000000-0008-0000-0000-00008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1" name="Text Box 76">
          <a:extLst>
            <a:ext uri="{FF2B5EF4-FFF2-40B4-BE49-F238E27FC236}">
              <a16:creationId xmlns="" xmlns:a16="http://schemas.microsoft.com/office/drawing/2014/main" id="{00000000-0008-0000-0000-00008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2" name="Text Box 77">
          <a:extLst>
            <a:ext uri="{FF2B5EF4-FFF2-40B4-BE49-F238E27FC236}">
              <a16:creationId xmlns="" xmlns:a16="http://schemas.microsoft.com/office/drawing/2014/main" id="{00000000-0008-0000-0000-00008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3" name="Text Box 78">
          <a:extLst>
            <a:ext uri="{FF2B5EF4-FFF2-40B4-BE49-F238E27FC236}">
              <a16:creationId xmlns="" xmlns:a16="http://schemas.microsoft.com/office/drawing/2014/main" id="{00000000-0008-0000-0000-00008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4" name="Text Box 79">
          <a:extLst>
            <a:ext uri="{FF2B5EF4-FFF2-40B4-BE49-F238E27FC236}">
              <a16:creationId xmlns="" xmlns:a16="http://schemas.microsoft.com/office/drawing/2014/main" id="{00000000-0008-0000-0000-00009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5" name="Text Box 80">
          <a:extLst>
            <a:ext uri="{FF2B5EF4-FFF2-40B4-BE49-F238E27FC236}">
              <a16:creationId xmlns="" xmlns:a16="http://schemas.microsoft.com/office/drawing/2014/main" id="{00000000-0008-0000-0000-00009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6" name="Text Box 81">
          <a:extLst>
            <a:ext uri="{FF2B5EF4-FFF2-40B4-BE49-F238E27FC236}">
              <a16:creationId xmlns="" xmlns:a16="http://schemas.microsoft.com/office/drawing/2014/main" id="{00000000-0008-0000-0000-00009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7" name="Text Box 3079">
          <a:extLst>
            <a:ext uri="{FF2B5EF4-FFF2-40B4-BE49-F238E27FC236}">
              <a16:creationId xmlns="" xmlns:a16="http://schemas.microsoft.com/office/drawing/2014/main" id="{00000000-0008-0000-0000-00009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8" name="Text Box 3080">
          <a:extLst>
            <a:ext uri="{FF2B5EF4-FFF2-40B4-BE49-F238E27FC236}">
              <a16:creationId xmlns="" xmlns:a16="http://schemas.microsoft.com/office/drawing/2014/main" id="{00000000-0008-0000-0000-00009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9" name="Text Box 3081">
          <a:extLst>
            <a:ext uri="{FF2B5EF4-FFF2-40B4-BE49-F238E27FC236}">
              <a16:creationId xmlns="" xmlns:a16="http://schemas.microsoft.com/office/drawing/2014/main" id="{00000000-0008-0000-0000-00009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0" name="Text Box 3082">
          <a:extLst>
            <a:ext uri="{FF2B5EF4-FFF2-40B4-BE49-F238E27FC236}">
              <a16:creationId xmlns="" xmlns:a16="http://schemas.microsoft.com/office/drawing/2014/main" id="{00000000-0008-0000-0000-00009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1" name="Text Box 3083">
          <a:extLst>
            <a:ext uri="{FF2B5EF4-FFF2-40B4-BE49-F238E27FC236}">
              <a16:creationId xmlns="" xmlns:a16="http://schemas.microsoft.com/office/drawing/2014/main" id="{00000000-0008-0000-0000-00009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2" name="Text Box 3084">
          <a:extLst>
            <a:ext uri="{FF2B5EF4-FFF2-40B4-BE49-F238E27FC236}">
              <a16:creationId xmlns="" xmlns:a16="http://schemas.microsoft.com/office/drawing/2014/main" id="{00000000-0008-0000-0000-00009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3" name="Text Box 3085">
          <a:extLst>
            <a:ext uri="{FF2B5EF4-FFF2-40B4-BE49-F238E27FC236}">
              <a16:creationId xmlns="" xmlns:a16="http://schemas.microsoft.com/office/drawing/2014/main" id="{00000000-0008-0000-0000-00009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4" name="Text Box 3086">
          <a:extLst>
            <a:ext uri="{FF2B5EF4-FFF2-40B4-BE49-F238E27FC236}">
              <a16:creationId xmlns="" xmlns:a16="http://schemas.microsoft.com/office/drawing/2014/main" id="{00000000-0008-0000-0000-00009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5" name="Text Box 3087">
          <a:extLst>
            <a:ext uri="{FF2B5EF4-FFF2-40B4-BE49-F238E27FC236}">
              <a16:creationId xmlns="" xmlns:a16="http://schemas.microsoft.com/office/drawing/2014/main" id="{00000000-0008-0000-0000-00009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6" name="Text Box 3088">
          <a:extLst>
            <a:ext uri="{FF2B5EF4-FFF2-40B4-BE49-F238E27FC236}">
              <a16:creationId xmlns="" xmlns:a16="http://schemas.microsoft.com/office/drawing/2014/main" id="{00000000-0008-0000-0000-00009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7" name="Text Box 3089">
          <a:extLst>
            <a:ext uri="{FF2B5EF4-FFF2-40B4-BE49-F238E27FC236}">
              <a16:creationId xmlns="" xmlns:a16="http://schemas.microsoft.com/office/drawing/2014/main" id="{00000000-0008-0000-0000-00009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8" name="Text Box 3090">
          <a:extLst>
            <a:ext uri="{FF2B5EF4-FFF2-40B4-BE49-F238E27FC236}">
              <a16:creationId xmlns="" xmlns:a16="http://schemas.microsoft.com/office/drawing/2014/main" id="{00000000-0008-0000-0000-00009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9" name="Text Box 3091">
          <a:extLst>
            <a:ext uri="{FF2B5EF4-FFF2-40B4-BE49-F238E27FC236}">
              <a16:creationId xmlns="" xmlns:a16="http://schemas.microsoft.com/office/drawing/2014/main" id="{00000000-0008-0000-0000-00009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0" name="Text Box 3092">
          <a:extLst>
            <a:ext uri="{FF2B5EF4-FFF2-40B4-BE49-F238E27FC236}">
              <a16:creationId xmlns="" xmlns:a16="http://schemas.microsoft.com/office/drawing/2014/main" id="{00000000-0008-0000-0000-0000A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1" name="Text Box 3093">
          <a:extLst>
            <a:ext uri="{FF2B5EF4-FFF2-40B4-BE49-F238E27FC236}">
              <a16:creationId xmlns="" xmlns:a16="http://schemas.microsoft.com/office/drawing/2014/main" id="{00000000-0008-0000-0000-0000A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2" name="Text Box 3094">
          <a:extLst>
            <a:ext uri="{FF2B5EF4-FFF2-40B4-BE49-F238E27FC236}">
              <a16:creationId xmlns="" xmlns:a16="http://schemas.microsoft.com/office/drawing/2014/main" id="{00000000-0008-0000-0000-0000A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3" name="Text Box 3095">
          <a:extLst>
            <a:ext uri="{FF2B5EF4-FFF2-40B4-BE49-F238E27FC236}">
              <a16:creationId xmlns="" xmlns:a16="http://schemas.microsoft.com/office/drawing/2014/main" id="{00000000-0008-0000-0000-0000A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4" name="Text Box 3096">
          <a:extLst>
            <a:ext uri="{FF2B5EF4-FFF2-40B4-BE49-F238E27FC236}">
              <a16:creationId xmlns="" xmlns:a16="http://schemas.microsoft.com/office/drawing/2014/main" id="{00000000-0008-0000-0000-0000A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5" name="Text Box 3097">
          <a:extLst>
            <a:ext uri="{FF2B5EF4-FFF2-40B4-BE49-F238E27FC236}">
              <a16:creationId xmlns="" xmlns:a16="http://schemas.microsoft.com/office/drawing/2014/main" id="{00000000-0008-0000-0000-0000A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6" name="Text Box 3098">
          <a:extLst>
            <a:ext uri="{FF2B5EF4-FFF2-40B4-BE49-F238E27FC236}">
              <a16:creationId xmlns="" xmlns:a16="http://schemas.microsoft.com/office/drawing/2014/main" id="{00000000-0008-0000-0000-0000A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7" name="Text Box 3099">
          <a:extLst>
            <a:ext uri="{FF2B5EF4-FFF2-40B4-BE49-F238E27FC236}">
              <a16:creationId xmlns="" xmlns:a16="http://schemas.microsoft.com/office/drawing/2014/main" id="{00000000-0008-0000-0000-0000A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8" name="Text Box 3100">
          <a:extLst>
            <a:ext uri="{FF2B5EF4-FFF2-40B4-BE49-F238E27FC236}">
              <a16:creationId xmlns="" xmlns:a16="http://schemas.microsoft.com/office/drawing/2014/main" id="{00000000-0008-0000-0000-0000A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9" name="Text Box 3101">
          <a:extLst>
            <a:ext uri="{FF2B5EF4-FFF2-40B4-BE49-F238E27FC236}">
              <a16:creationId xmlns="" xmlns:a16="http://schemas.microsoft.com/office/drawing/2014/main" id="{00000000-0008-0000-0000-0000A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50" name="Text Box 3102">
          <a:extLst>
            <a:ext uri="{FF2B5EF4-FFF2-40B4-BE49-F238E27FC236}">
              <a16:creationId xmlns="" xmlns:a16="http://schemas.microsoft.com/office/drawing/2014/main" id="{00000000-0008-0000-0000-0000A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1" name="Text Box 59">
          <a:extLst>
            <a:ext uri="{FF2B5EF4-FFF2-40B4-BE49-F238E27FC236}">
              <a16:creationId xmlns="" xmlns:a16="http://schemas.microsoft.com/office/drawing/2014/main" id="{00000000-0008-0000-0000-0000A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2" name="Text Box 60">
          <a:extLst>
            <a:ext uri="{FF2B5EF4-FFF2-40B4-BE49-F238E27FC236}">
              <a16:creationId xmlns="" xmlns:a16="http://schemas.microsoft.com/office/drawing/2014/main" id="{00000000-0008-0000-0000-0000A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3" name="Text Box 61">
          <a:extLst>
            <a:ext uri="{FF2B5EF4-FFF2-40B4-BE49-F238E27FC236}">
              <a16:creationId xmlns="" xmlns:a16="http://schemas.microsoft.com/office/drawing/2014/main" id="{00000000-0008-0000-0000-0000A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4" name="Text Box 62">
          <a:extLst>
            <a:ext uri="{FF2B5EF4-FFF2-40B4-BE49-F238E27FC236}">
              <a16:creationId xmlns="" xmlns:a16="http://schemas.microsoft.com/office/drawing/2014/main" id="{00000000-0008-0000-0000-0000A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5" name="Text Box 63">
          <a:extLst>
            <a:ext uri="{FF2B5EF4-FFF2-40B4-BE49-F238E27FC236}">
              <a16:creationId xmlns="" xmlns:a16="http://schemas.microsoft.com/office/drawing/2014/main" id="{00000000-0008-0000-0000-0000A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6" name="Text Box 64">
          <a:extLst>
            <a:ext uri="{FF2B5EF4-FFF2-40B4-BE49-F238E27FC236}">
              <a16:creationId xmlns="" xmlns:a16="http://schemas.microsoft.com/office/drawing/2014/main" id="{00000000-0008-0000-0000-0000B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7" name="Text Box 65">
          <a:extLst>
            <a:ext uri="{FF2B5EF4-FFF2-40B4-BE49-F238E27FC236}">
              <a16:creationId xmlns="" xmlns:a16="http://schemas.microsoft.com/office/drawing/2014/main" id="{00000000-0008-0000-0000-0000B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8" name="Text Box 66">
          <a:extLst>
            <a:ext uri="{FF2B5EF4-FFF2-40B4-BE49-F238E27FC236}">
              <a16:creationId xmlns="" xmlns:a16="http://schemas.microsoft.com/office/drawing/2014/main" id="{00000000-0008-0000-0000-0000B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9" name="Text Box 67">
          <a:extLst>
            <a:ext uri="{FF2B5EF4-FFF2-40B4-BE49-F238E27FC236}">
              <a16:creationId xmlns="" xmlns:a16="http://schemas.microsoft.com/office/drawing/2014/main" id="{00000000-0008-0000-0000-0000B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0" name="Text Box 68">
          <a:extLst>
            <a:ext uri="{FF2B5EF4-FFF2-40B4-BE49-F238E27FC236}">
              <a16:creationId xmlns="" xmlns:a16="http://schemas.microsoft.com/office/drawing/2014/main" id="{00000000-0008-0000-0000-0000B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1" name="Text Box 69">
          <a:extLst>
            <a:ext uri="{FF2B5EF4-FFF2-40B4-BE49-F238E27FC236}">
              <a16:creationId xmlns="" xmlns:a16="http://schemas.microsoft.com/office/drawing/2014/main" id="{00000000-0008-0000-0000-0000B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2" name="Text Box 70">
          <a:extLst>
            <a:ext uri="{FF2B5EF4-FFF2-40B4-BE49-F238E27FC236}">
              <a16:creationId xmlns="" xmlns:a16="http://schemas.microsoft.com/office/drawing/2014/main" id="{00000000-0008-0000-0000-0000B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3" name="Text Box 71">
          <a:extLst>
            <a:ext uri="{FF2B5EF4-FFF2-40B4-BE49-F238E27FC236}">
              <a16:creationId xmlns="" xmlns:a16="http://schemas.microsoft.com/office/drawing/2014/main" id="{00000000-0008-0000-0000-0000B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4" name="Text Box 72">
          <a:extLst>
            <a:ext uri="{FF2B5EF4-FFF2-40B4-BE49-F238E27FC236}">
              <a16:creationId xmlns="" xmlns:a16="http://schemas.microsoft.com/office/drawing/2014/main" id="{00000000-0008-0000-0000-0000B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5" name="Text Box 73">
          <a:extLst>
            <a:ext uri="{FF2B5EF4-FFF2-40B4-BE49-F238E27FC236}">
              <a16:creationId xmlns="" xmlns:a16="http://schemas.microsoft.com/office/drawing/2014/main" id="{00000000-0008-0000-0000-0000B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6" name="Text Box 74">
          <a:extLst>
            <a:ext uri="{FF2B5EF4-FFF2-40B4-BE49-F238E27FC236}">
              <a16:creationId xmlns="" xmlns:a16="http://schemas.microsoft.com/office/drawing/2014/main" id="{00000000-0008-0000-0000-0000B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7" name="Text Box 75">
          <a:extLst>
            <a:ext uri="{FF2B5EF4-FFF2-40B4-BE49-F238E27FC236}">
              <a16:creationId xmlns="" xmlns:a16="http://schemas.microsoft.com/office/drawing/2014/main" id="{00000000-0008-0000-0000-0000B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8" name="Text Box 76">
          <a:extLst>
            <a:ext uri="{FF2B5EF4-FFF2-40B4-BE49-F238E27FC236}">
              <a16:creationId xmlns="" xmlns:a16="http://schemas.microsoft.com/office/drawing/2014/main" id="{00000000-0008-0000-0000-0000B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9" name="Text Box 77">
          <a:extLst>
            <a:ext uri="{FF2B5EF4-FFF2-40B4-BE49-F238E27FC236}">
              <a16:creationId xmlns="" xmlns:a16="http://schemas.microsoft.com/office/drawing/2014/main" id="{00000000-0008-0000-0000-0000B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0" name="Text Box 78">
          <a:extLst>
            <a:ext uri="{FF2B5EF4-FFF2-40B4-BE49-F238E27FC236}">
              <a16:creationId xmlns="" xmlns:a16="http://schemas.microsoft.com/office/drawing/2014/main" id="{00000000-0008-0000-0000-0000B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1" name="Text Box 79">
          <a:extLst>
            <a:ext uri="{FF2B5EF4-FFF2-40B4-BE49-F238E27FC236}">
              <a16:creationId xmlns="" xmlns:a16="http://schemas.microsoft.com/office/drawing/2014/main" id="{00000000-0008-0000-0000-0000B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2" name="Text Box 80">
          <a:extLst>
            <a:ext uri="{FF2B5EF4-FFF2-40B4-BE49-F238E27FC236}">
              <a16:creationId xmlns="" xmlns:a16="http://schemas.microsoft.com/office/drawing/2014/main" id="{00000000-0008-0000-0000-0000C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3" name="Text Box 81">
          <a:extLst>
            <a:ext uri="{FF2B5EF4-FFF2-40B4-BE49-F238E27FC236}">
              <a16:creationId xmlns="" xmlns:a16="http://schemas.microsoft.com/office/drawing/2014/main" id="{00000000-0008-0000-0000-0000C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474" name="Text Box 82">
          <a:extLst>
            <a:ext uri="{FF2B5EF4-FFF2-40B4-BE49-F238E27FC236}">
              <a16:creationId xmlns="" xmlns:a16="http://schemas.microsoft.com/office/drawing/2014/main" id="{00000000-0008-0000-0000-0000C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5" name="Text Box 3079">
          <a:extLst>
            <a:ext uri="{FF2B5EF4-FFF2-40B4-BE49-F238E27FC236}">
              <a16:creationId xmlns="" xmlns:a16="http://schemas.microsoft.com/office/drawing/2014/main" id="{00000000-0008-0000-0000-0000C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6" name="Text Box 3080">
          <a:extLst>
            <a:ext uri="{FF2B5EF4-FFF2-40B4-BE49-F238E27FC236}">
              <a16:creationId xmlns="" xmlns:a16="http://schemas.microsoft.com/office/drawing/2014/main" id="{00000000-0008-0000-0000-0000C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7" name="Text Box 3081">
          <a:extLst>
            <a:ext uri="{FF2B5EF4-FFF2-40B4-BE49-F238E27FC236}">
              <a16:creationId xmlns="" xmlns:a16="http://schemas.microsoft.com/office/drawing/2014/main" id="{00000000-0008-0000-0000-0000C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8" name="Text Box 3082">
          <a:extLst>
            <a:ext uri="{FF2B5EF4-FFF2-40B4-BE49-F238E27FC236}">
              <a16:creationId xmlns="" xmlns:a16="http://schemas.microsoft.com/office/drawing/2014/main" id="{00000000-0008-0000-0000-0000C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9" name="Text Box 3083">
          <a:extLst>
            <a:ext uri="{FF2B5EF4-FFF2-40B4-BE49-F238E27FC236}">
              <a16:creationId xmlns="" xmlns:a16="http://schemas.microsoft.com/office/drawing/2014/main" id="{00000000-0008-0000-0000-0000C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0" name="Text Box 3084">
          <a:extLst>
            <a:ext uri="{FF2B5EF4-FFF2-40B4-BE49-F238E27FC236}">
              <a16:creationId xmlns="" xmlns:a16="http://schemas.microsoft.com/office/drawing/2014/main" id="{00000000-0008-0000-0000-0000C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1" name="Text Box 3085">
          <a:extLst>
            <a:ext uri="{FF2B5EF4-FFF2-40B4-BE49-F238E27FC236}">
              <a16:creationId xmlns="" xmlns:a16="http://schemas.microsoft.com/office/drawing/2014/main" id="{00000000-0008-0000-0000-0000C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2" name="Text Box 3086">
          <a:extLst>
            <a:ext uri="{FF2B5EF4-FFF2-40B4-BE49-F238E27FC236}">
              <a16:creationId xmlns="" xmlns:a16="http://schemas.microsoft.com/office/drawing/2014/main" id="{00000000-0008-0000-0000-0000C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3" name="Text Box 3087">
          <a:extLst>
            <a:ext uri="{FF2B5EF4-FFF2-40B4-BE49-F238E27FC236}">
              <a16:creationId xmlns="" xmlns:a16="http://schemas.microsoft.com/office/drawing/2014/main" id="{00000000-0008-0000-0000-0000C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4" name="Text Box 3088">
          <a:extLst>
            <a:ext uri="{FF2B5EF4-FFF2-40B4-BE49-F238E27FC236}">
              <a16:creationId xmlns="" xmlns:a16="http://schemas.microsoft.com/office/drawing/2014/main" id="{00000000-0008-0000-0000-0000C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5" name="Text Box 3089">
          <a:extLst>
            <a:ext uri="{FF2B5EF4-FFF2-40B4-BE49-F238E27FC236}">
              <a16:creationId xmlns="" xmlns:a16="http://schemas.microsoft.com/office/drawing/2014/main" id="{00000000-0008-0000-0000-0000C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6" name="Text Box 3090">
          <a:extLst>
            <a:ext uri="{FF2B5EF4-FFF2-40B4-BE49-F238E27FC236}">
              <a16:creationId xmlns="" xmlns:a16="http://schemas.microsoft.com/office/drawing/2014/main" id="{00000000-0008-0000-0000-0000C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7" name="Text Box 3091">
          <a:extLst>
            <a:ext uri="{FF2B5EF4-FFF2-40B4-BE49-F238E27FC236}">
              <a16:creationId xmlns="" xmlns:a16="http://schemas.microsoft.com/office/drawing/2014/main" id="{00000000-0008-0000-0000-0000C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8" name="Text Box 3092">
          <a:extLst>
            <a:ext uri="{FF2B5EF4-FFF2-40B4-BE49-F238E27FC236}">
              <a16:creationId xmlns="" xmlns:a16="http://schemas.microsoft.com/office/drawing/2014/main" id="{00000000-0008-0000-0000-0000D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9" name="Text Box 3093">
          <a:extLst>
            <a:ext uri="{FF2B5EF4-FFF2-40B4-BE49-F238E27FC236}">
              <a16:creationId xmlns="" xmlns:a16="http://schemas.microsoft.com/office/drawing/2014/main" id="{00000000-0008-0000-0000-0000D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0" name="Text Box 3094">
          <a:extLst>
            <a:ext uri="{FF2B5EF4-FFF2-40B4-BE49-F238E27FC236}">
              <a16:creationId xmlns="" xmlns:a16="http://schemas.microsoft.com/office/drawing/2014/main" id="{00000000-0008-0000-0000-0000D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1" name="Text Box 3095">
          <a:extLst>
            <a:ext uri="{FF2B5EF4-FFF2-40B4-BE49-F238E27FC236}">
              <a16:creationId xmlns="" xmlns:a16="http://schemas.microsoft.com/office/drawing/2014/main" id="{00000000-0008-0000-0000-0000D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2" name="Text Box 3096">
          <a:extLst>
            <a:ext uri="{FF2B5EF4-FFF2-40B4-BE49-F238E27FC236}">
              <a16:creationId xmlns="" xmlns:a16="http://schemas.microsoft.com/office/drawing/2014/main" id="{00000000-0008-0000-0000-0000D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3" name="Text Box 3097">
          <a:extLst>
            <a:ext uri="{FF2B5EF4-FFF2-40B4-BE49-F238E27FC236}">
              <a16:creationId xmlns="" xmlns:a16="http://schemas.microsoft.com/office/drawing/2014/main" id="{00000000-0008-0000-0000-0000D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4" name="Text Box 3098">
          <a:extLst>
            <a:ext uri="{FF2B5EF4-FFF2-40B4-BE49-F238E27FC236}">
              <a16:creationId xmlns="" xmlns:a16="http://schemas.microsoft.com/office/drawing/2014/main" id="{00000000-0008-0000-0000-0000D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5" name="Text Box 3099">
          <a:extLst>
            <a:ext uri="{FF2B5EF4-FFF2-40B4-BE49-F238E27FC236}">
              <a16:creationId xmlns="" xmlns:a16="http://schemas.microsoft.com/office/drawing/2014/main" id="{00000000-0008-0000-0000-0000D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6" name="Text Box 3100">
          <a:extLst>
            <a:ext uri="{FF2B5EF4-FFF2-40B4-BE49-F238E27FC236}">
              <a16:creationId xmlns="" xmlns:a16="http://schemas.microsoft.com/office/drawing/2014/main" id="{00000000-0008-0000-0000-0000D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7" name="Text Box 3101">
          <a:extLst>
            <a:ext uri="{FF2B5EF4-FFF2-40B4-BE49-F238E27FC236}">
              <a16:creationId xmlns="" xmlns:a16="http://schemas.microsoft.com/office/drawing/2014/main" id="{00000000-0008-0000-0000-0000D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98" name="Text Box 3102">
          <a:extLst>
            <a:ext uri="{FF2B5EF4-FFF2-40B4-BE49-F238E27FC236}">
              <a16:creationId xmlns="" xmlns:a16="http://schemas.microsoft.com/office/drawing/2014/main" id="{00000000-0008-0000-0000-0000D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99" name="Text Box 59">
          <a:extLst>
            <a:ext uri="{FF2B5EF4-FFF2-40B4-BE49-F238E27FC236}">
              <a16:creationId xmlns="" xmlns:a16="http://schemas.microsoft.com/office/drawing/2014/main" id="{00000000-0008-0000-0000-0000D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0" name="Text Box 60">
          <a:extLst>
            <a:ext uri="{FF2B5EF4-FFF2-40B4-BE49-F238E27FC236}">
              <a16:creationId xmlns="" xmlns:a16="http://schemas.microsoft.com/office/drawing/2014/main" id="{00000000-0008-0000-0000-0000D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1" name="Text Box 61">
          <a:extLst>
            <a:ext uri="{FF2B5EF4-FFF2-40B4-BE49-F238E27FC236}">
              <a16:creationId xmlns="" xmlns:a16="http://schemas.microsoft.com/office/drawing/2014/main" id="{00000000-0008-0000-0000-0000D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2" name="Text Box 62">
          <a:extLst>
            <a:ext uri="{FF2B5EF4-FFF2-40B4-BE49-F238E27FC236}">
              <a16:creationId xmlns="" xmlns:a16="http://schemas.microsoft.com/office/drawing/2014/main" id="{00000000-0008-0000-0000-0000D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3" name="Text Box 63">
          <a:extLst>
            <a:ext uri="{FF2B5EF4-FFF2-40B4-BE49-F238E27FC236}">
              <a16:creationId xmlns="" xmlns:a16="http://schemas.microsoft.com/office/drawing/2014/main" id="{00000000-0008-0000-0000-0000D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4" name="Text Box 64">
          <a:extLst>
            <a:ext uri="{FF2B5EF4-FFF2-40B4-BE49-F238E27FC236}">
              <a16:creationId xmlns="" xmlns:a16="http://schemas.microsoft.com/office/drawing/2014/main" id="{00000000-0008-0000-0000-0000E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5" name="Text Box 65">
          <a:extLst>
            <a:ext uri="{FF2B5EF4-FFF2-40B4-BE49-F238E27FC236}">
              <a16:creationId xmlns="" xmlns:a16="http://schemas.microsoft.com/office/drawing/2014/main" id="{00000000-0008-0000-0000-0000E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6" name="Text Box 66">
          <a:extLst>
            <a:ext uri="{FF2B5EF4-FFF2-40B4-BE49-F238E27FC236}">
              <a16:creationId xmlns="" xmlns:a16="http://schemas.microsoft.com/office/drawing/2014/main" id="{00000000-0008-0000-0000-0000E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7" name="Text Box 67">
          <a:extLst>
            <a:ext uri="{FF2B5EF4-FFF2-40B4-BE49-F238E27FC236}">
              <a16:creationId xmlns="" xmlns:a16="http://schemas.microsoft.com/office/drawing/2014/main" id="{00000000-0008-0000-0000-0000E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8" name="Text Box 68">
          <a:extLst>
            <a:ext uri="{FF2B5EF4-FFF2-40B4-BE49-F238E27FC236}">
              <a16:creationId xmlns="" xmlns:a16="http://schemas.microsoft.com/office/drawing/2014/main" id="{00000000-0008-0000-0000-0000E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9" name="Text Box 69">
          <a:extLst>
            <a:ext uri="{FF2B5EF4-FFF2-40B4-BE49-F238E27FC236}">
              <a16:creationId xmlns="" xmlns:a16="http://schemas.microsoft.com/office/drawing/2014/main" id="{00000000-0008-0000-0000-0000E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0" name="Text Box 70">
          <a:extLst>
            <a:ext uri="{FF2B5EF4-FFF2-40B4-BE49-F238E27FC236}">
              <a16:creationId xmlns="" xmlns:a16="http://schemas.microsoft.com/office/drawing/2014/main" id="{00000000-0008-0000-0000-0000E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1" name="Text Box 71">
          <a:extLst>
            <a:ext uri="{FF2B5EF4-FFF2-40B4-BE49-F238E27FC236}">
              <a16:creationId xmlns="" xmlns:a16="http://schemas.microsoft.com/office/drawing/2014/main" id="{00000000-0008-0000-0000-0000E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2" name="Text Box 72">
          <a:extLst>
            <a:ext uri="{FF2B5EF4-FFF2-40B4-BE49-F238E27FC236}">
              <a16:creationId xmlns="" xmlns:a16="http://schemas.microsoft.com/office/drawing/2014/main" id="{00000000-0008-0000-0000-0000E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3" name="Text Box 73">
          <a:extLst>
            <a:ext uri="{FF2B5EF4-FFF2-40B4-BE49-F238E27FC236}">
              <a16:creationId xmlns="" xmlns:a16="http://schemas.microsoft.com/office/drawing/2014/main" id="{00000000-0008-0000-0000-0000E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4" name="Text Box 74">
          <a:extLst>
            <a:ext uri="{FF2B5EF4-FFF2-40B4-BE49-F238E27FC236}">
              <a16:creationId xmlns="" xmlns:a16="http://schemas.microsoft.com/office/drawing/2014/main" id="{00000000-0008-0000-0000-0000E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5" name="Text Box 75">
          <a:extLst>
            <a:ext uri="{FF2B5EF4-FFF2-40B4-BE49-F238E27FC236}">
              <a16:creationId xmlns="" xmlns:a16="http://schemas.microsoft.com/office/drawing/2014/main" id="{00000000-0008-0000-0000-0000E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6" name="Text Box 76">
          <a:extLst>
            <a:ext uri="{FF2B5EF4-FFF2-40B4-BE49-F238E27FC236}">
              <a16:creationId xmlns="" xmlns:a16="http://schemas.microsoft.com/office/drawing/2014/main" id="{00000000-0008-0000-0000-0000E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7" name="Text Box 77">
          <a:extLst>
            <a:ext uri="{FF2B5EF4-FFF2-40B4-BE49-F238E27FC236}">
              <a16:creationId xmlns="" xmlns:a16="http://schemas.microsoft.com/office/drawing/2014/main" id="{00000000-0008-0000-0000-0000E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8" name="Text Box 78">
          <a:extLst>
            <a:ext uri="{FF2B5EF4-FFF2-40B4-BE49-F238E27FC236}">
              <a16:creationId xmlns="" xmlns:a16="http://schemas.microsoft.com/office/drawing/2014/main" id="{00000000-0008-0000-0000-0000E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9" name="Text Box 79">
          <a:extLst>
            <a:ext uri="{FF2B5EF4-FFF2-40B4-BE49-F238E27FC236}">
              <a16:creationId xmlns="" xmlns:a16="http://schemas.microsoft.com/office/drawing/2014/main" id="{00000000-0008-0000-0000-0000E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20" name="Text Box 80">
          <a:extLst>
            <a:ext uri="{FF2B5EF4-FFF2-40B4-BE49-F238E27FC236}">
              <a16:creationId xmlns="" xmlns:a16="http://schemas.microsoft.com/office/drawing/2014/main" id="{00000000-0008-0000-0000-0000F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21" name="Text Box 81">
          <a:extLst>
            <a:ext uri="{FF2B5EF4-FFF2-40B4-BE49-F238E27FC236}">
              <a16:creationId xmlns="" xmlns:a16="http://schemas.microsoft.com/office/drawing/2014/main" id="{00000000-0008-0000-0000-0000F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2" name="Text Box 3079">
          <a:extLst>
            <a:ext uri="{FF2B5EF4-FFF2-40B4-BE49-F238E27FC236}">
              <a16:creationId xmlns="" xmlns:a16="http://schemas.microsoft.com/office/drawing/2014/main" id="{00000000-0008-0000-0000-0000F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3" name="Text Box 3080">
          <a:extLst>
            <a:ext uri="{FF2B5EF4-FFF2-40B4-BE49-F238E27FC236}">
              <a16:creationId xmlns="" xmlns:a16="http://schemas.microsoft.com/office/drawing/2014/main" id="{00000000-0008-0000-0000-0000F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4" name="Text Box 3081">
          <a:extLst>
            <a:ext uri="{FF2B5EF4-FFF2-40B4-BE49-F238E27FC236}">
              <a16:creationId xmlns="" xmlns:a16="http://schemas.microsoft.com/office/drawing/2014/main" id="{00000000-0008-0000-0000-0000F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5" name="Text Box 3082">
          <a:extLst>
            <a:ext uri="{FF2B5EF4-FFF2-40B4-BE49-F238E27FC236}">
              <a16:creationId xmlns="" xmlns:a16="http://schemas.microsoft.com/office/drawing/2014/main" id="{00000000-0008-0000-0000-0000F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6" name="Text Box 3083">
          <a:extLst>
            <a:ext uri="{FF2B5EF4-FFF2-40B4-BE49-F238E27FC236}">
              <a16:creationId xmlns="" xmlns:a16="http://schemas.microsoft.com/office/drawing/2014/main" id="{00000000-0008-0000-0000-0000F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7" name="Text Box 3084">
          <a:extLst>
            <a:ext uri="{FF2B5EF4-FFF2-40B4-BE49-F238E27FC236}">
              <a16:creationId xmlns="" xmlns:a16="http://schemas.microsoft.com/office/drawing/2014/main" id="{00000000-0008-0000-0000-0000F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8" name="Text Box 3085">
          <a:extLst>
            <a:ext uri="{FF2B5EF4-FFF2-40B4-BE49-F238E27FC236}">
              <a16:creationId xmlns="" xmlns:a16="http://schemas.microsoft.com/office/drawing/2014/main" id="{00000000-0008-0000-0000-0000F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9" name="Text Box 3086">
          <a:extLst>
            <a:ext uri="{FF2B5EF4-FFF2-40B4-BE49-F238E27FC236}">
              <a16:creationId xmlns="" xmlns:a16="http://schemas.microsoft.com/office/drawing/2014/main" id="{00000000-0008-0000-0000-0000F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0" name="Text Box 3087">
          <a:extLst>
            <a:ext uri="{FF2B5EF4-FFF2-40B4-BE49-F238E27FC236}">
              <a16:creationId xmlns="" xmlns:a16="http://schemas.microsoft.com/office/drawing/2014/main" id="{00000000-0008-0000-0000-0000F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1" name="Text Box 3088">
          <a:extLst>
            <a:ext uri="{FF2B5EF4-FFF2-40B4-BE49-F238E27FC236}">
              <a16:creationId xmlns="" xmlns:a16="http://schemas.microsoft.com/office/drawing/2014/main" id="{00000000-0008-0000-0000-0000F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2" name="Text Box 3089">
          <a:extLst>
            <a:ext uri="{FF2B5EF4-FFF2-40B4-BE49-F238E27FC236}">
              <a16:creationId xmlns="" xmlns:a16="http://schemas.microsoft.com/office/drawing/2014/main" id="{00000000-0008-0000-0000-0000F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3" name="Text Box 3090">
          <a:extLst>
            <a:ext uri="{FF2B5EF4-FFF2-40B4-BE49-F238E27FC236}">
              <a16:creationId xmlns="" xmlns:a16="http://schemas.microsoft.com/office/drawing/2014/main" id="{00000000-0008-0000-0000-0000F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4" name="Text Box 3091">
          <a:extLst>
            <a:ext uri="{FF2B5EF4-FFF2-40B4-BE49-F238E27FC236}">
              <a16:creationId xmlns="" xmlns:a16="http://schemas.microsoft.com/office/drawing/2014/main" id="{00000000-0008-0000-0000-0000F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5" name="Text Box 3092">
          <a:extLst>
            <a:ext uri="{FF2B5EF4-FFF2-40B4-BE49-F238E27FC236}">
              <a16:creationId xmlns="" xmlns:a16="http://schemas.microsoft.com/office/drawing/2014/main" id="{00000000-0008-0000-0000-0000F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6" name="Text Box 3093">
          <a:extLst>
            <a:ext uri="{FF2B5EF4-FFF2-40B4-BE49-F238E27FC236}">
              <a16:creationId xmlns="" xmlns:a16="http://schemas.microsoft.com/office/drawing/2014/main" id="{00000000-0008-0000-0000-00000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7" name="Text Box 3094">
          <a:extLst>
            <a:ext uri="{FF2B5EF4-FFF2-40B4-BE49-F238E27FC236}">
              <a16:creationId xmlns="" xmlns:a16="http://schemas.microsoft.com/office/drawing/2014/main" id="{00000000-0008-0000-0000-00000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8" name="Text Box 3095">
          <a:extLst>
            <a:ext uri="{FF2B5EF4-FFF2-40B4-BE49-F238E27FC236}">
              <a16:creationId xmlns="" xmlns:a16="http://schemas.microsoft.com/office/drawing/2014/main" id="{00000000-0008-0000-0000-00000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9" name="Text Box 3096">
          <a:extLst>
            <a:ext uri="{FF2B5EF4-FFF2-40B4-BE49-F238E27FC236}">
              <a16:creationId xmlns="" xmlns:a16="http://schemas.microsoft.com/office/drawing/2014/main" id="{00000000-0008-0000-0000-00000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0" name="Text Box 3097">
          <a:extLst>
            <a:ext uri="{FF2B5EF4-FFF2-40B4-BE49-F238E27FC236}">
              <a16:creationId xmlns="" xmlns:a16="http://schemas.microsoft.com/office/drawing/2014/main" id="{00000000-0008-0000-0000-00000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1" name="Text Box 3098">
          <a:extLst>
            <a:ext uri="{FF2B5EF4-FFF2-40B4-BE49-F238E27FC236}">
              <a16:creationId xmlns="" xmlns:a16="http://schemas.microsoft.com/office/drawing/2014/main" id="{00000000-0008-0000-0000-00000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2" name="Text Box 3099">
          <a:extLst>
            <a:ext uri="{FF2B5EF4-FFF2-40B4-BE49-F238E27FC236}">
              <a16:creationId xmlns="" xmlns:a16="http://schemas.microsoft.com/office/drawing/2014/main" id="{00000000-0008-0000-0000-00000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3" name="Text Box 3100">
          <a:extLst>
            <a:ext uri="{FF2B5EF4-FFF2-40B4-BE49-F238E27FC236}">
              <a16:creationId xmlns="" xmlns:a16="http://schemas.microsoft.com/office/drawing/2014/main" id="{00000000-0008-0000-0000-00000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4" name="Text Box 3101">
          <a:extLst>
            <a:ext uri="{FF2B5EF4-FFF2-40B4-BE49-F238E27FC236}">
              <a16:creationId xmlns="" xmlns:a16="http://schemas.microsoft.com/office/drawing/2014/main" id="{00000000-0008-0000-0000-00000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545" name="Text Box 3102">
          <a:extLst>
            <a:ext uri="{FF2B5EF4-FFF2-40B4-BE49-F238E27FC236}">
              <a16:creationId xmlns="" xmlns:a16="http://schemas.microsoft.com/office/drawing/2014/main" id="{00000000-0008-0000-0000-00000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6" name="Text Box 59">
          <a:extLst>
            <a:ext uri="{FF2B5EF4-FFF2-40B4-BE49-F238E27FC236}">
              <a16:creationId xmlns="" xmlns:a16="http://schemas.microsoft.com/office/drawing/2014/main" id="{00000000-0008-0000-0000-00000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7" name="Text Box 60">
          <a:extLst>
            <a:ext uri="{FF2B5EF4-FFF2-40B4-BE49-F238E27FC236}">
              <a16:creationId xmlns="" xmlns:a16="http://schemas.microsoft.com/office/drawing/2014/main" id="{00000000-0008-0000-0000-00000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8" name="Text Box 61">
          <a:extLst>
            <a:ext uri="{FF2B5EF4-FFF2-40B4-BE49-F238E27FC236}">
              <a16:creationId xmlns="" xmlns:a16="http://schemas.microsoft.com/office/drawing/2014/main" id="{00000000-0008-0000-0000-00000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9" name="Text Box 62">
          <a:extLst>
            <a:ext uri="{FF2B5EF4-FFF2-40B4-BE49-F238E27FC236}">
              <a16:creationId xmlns="" xmlns:a16="http://schemas.microsoft.com/office/drawing/2014/main" id="{00000000-0008-0000-0000-00000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0" name="Text Box 63">
          <a:extLst>
            <a:ext uri="{FF2B5EF4-FFF2-40B4-BE49-F238E27FC236}">
              <a16:creationId xmlns="" xmlns:a16="http://schemas.microsoft.com/office/drawing/2014/main" id="{00000000-0008-0000-0000-00000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1" name="Text Box 64">
          <a:extLst>
            <a:ext uri="{FF2B5EF4-FFF2-40B4-BE49-F238E27FC236}">
              <a16:creationId xmlns="" xmlns:a16="http://schemas.microsoft.com/office/drawing/2014/main" id="{00000000-0008-0000-0000-00000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2" name="Text Box 65">
          <a:extLst>
            <a:ext uri="{FF2B5EF4-FFF2-40B4-BE49-F238E27FC236}">
              <a16:creationId xmlns="" xmlns:a16="http://schemas.microsoft.com/office/drawing/2014/main" id="{00000000-0008-0000-0000-00001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3" name="Text Box 66">
          <a:extLst>
            <a:ext uri="{FF2B5EF4-FFF2-40B4-BE49-F238E27FC236}">
              <a16:creationId xmlns="" xmlns:a16="http://schemas.microsoft.com/office/drawing/2014/main" id="{00000000-0008-0000-0000-00001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4" name="Text Box 67">
          <a:extLst>
            <a:ext uri="{FF2B5EF4-FFF2-40B4-BE49-F238E27FC236}">
              <a16:creationId xmlns="" xmlns:a16="http://schemas.microsoft.com/office/drawing/2014/main" id="{00000000-0008-0000-0000-00001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5" name="Text Box 68">
          <a:extLst>
            <a:ext uri="{FF2B5EF4-FFF2-40B4-BE49-F238E27FC236}">
              <a16:creationId xmlns="" xmlns:a16="http://schemas.microsoft.com/office/drawing/2014/main" id="{00000000-0008-0000-0000-00001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6" name="Text Box 69">
          <a:extLst>
            <a:ext uri="{FF2B5EF4-FFF2-40B4-BE49-F238E27FC236}">
              <a16:creationId xmlns="" xmlns:a16="http://schemas.microsoft.com/office/drawing/2014/main" id="{00000000-0008-0000-0000-00001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7" name="Text Box 70">
          <a:extLst>
            <a:ext uri="{FF2B5EF4-FFF2-40B4-BE49-F238E27FC236}">
              <a16:creationId xmlns="" xmlns:a16="http://schemas.microsoft.com/office/drawing/2014/main" id="{00000000-0008-0000-0000-00001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8" name="Text Box 71">
          <a:extLst>
            <a:ext uri="{FF2B5EF4-FFF2-40B4-BE49-F238E27FC236}">
              <a16:creationId xmlns="" xmlns:a16="http://schemas.microsoft.com/office/drawing/2014/main" id="{00000000-0008-0000-0000-00001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9" name="Text Box 72">
          <a:extLst>
            <a:ext uri="{FF2B5EF4-FFF2-40B4-BE49-F238E27FC236}">
              <a16:creationId xmlns="" xmlns:a16="http://schemas.microsoft.com/office/drawing/2014/main" id="{00000000-0008-0000-0000-00001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0" name="Text Box 73">
          <a:extLst>
            <a:ext uri="{FF2B5EF4-FFF2-40B4-BE49-F238E27FC236}">
              <a16:creationId xmlns="" xmlns:a16="http://schemas.microsoft.com/office/drawing/2014/main" id="{00000000-0008-0000-0000-00001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1" name="Text Box 74">
          <a:extLst>
            <a:ext uri="{FF2B5EF4-FFF2-40B4-BE49-F238E27FC236}">
              <a16:creationId xmlns="" xmlns:a16="http://schemas.microsoft.com/office/drawing/2014/main" id="{00000000-0008-0000-0000-00001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2" name="Text Box 75">
          <a:extLst>
            <a:ext uri="{FF2B5EF4-FFF2-40B4-BE49-F238E27FC236}">
              <a16:creationId xmlns="" xmlns:a16="http://schemas.microsoft.com/office/drawing/2014/main" id="{00000000-0008-0000-0000-00001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3" name="Text Box 76">
          <a:extLst>
            <a:ext uri="{FF2B5EF4-FFF2-40B4-BE49-F238E27FC236}">
              <a16:creationId xmlns="" xmlns:a16="http://schemas.microsoft.com/office/drawing/2014/main" id="{00000000-0008-0000-0000-00001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4" name="Text Box 77">
          <a:extLst>
            <a:ext uri="{FF2B5EF4-FFF2-40B4-BE49-F238E27FC236}">
              <a16:creationId xmlns="" xmlns:a16="http://schemas.microsoft.com/office/drawing/2014/main" id="{00000000-0008-0000-0000-00001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5" name="Text Box 78">
          <a:extLst>
            <a:ext uri="{FF2B5EF4-FFF2-40B4-BE49-F238E27FC236}">
              <a16:creationId xmlns="" xmlns:a16="http://schemas.microsoft.com/office/drawing/2014/main" id="{00000000-0008-0000-0000-00001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6" name="Text Box 79">
          <a:extLst>
            <a:ext uri="{FF2B5EF4-FFF2-40B4-BE49-F238E27FC236}">
              <a16:creationId xmlns="" xmlns:a16="http://schemas.microsoft.com/office/drawing/2014/main" id="{00000000-0008-0000-0000-00001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7" name="Text Box 80">
          <a:extLst>
            <a:ext uri="{FF2B5EF4-FFF2-40B4-BE49-F238E27FC236}">
              <a16:creationId xmlns="" xmlns:a16="http://schemas.microsoft.com/office/drawing/2014/main" id="{00000000-0008-0000-0000-00001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8" name="Text Box 81">
          <a:extLst>
            <a:ext uri="{FF2B5EF4-FFF2-40B4-BE49-F238E27FC236}">
              <a16:creationId xmlns="" xmlns:a16="http://schemas.microsoft.com/office/drawing/2014/main" id="{00000000-0008-0000-0000-00002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569" name="Text Box 82">
          <a:extLst>
            <a:ext uri="{FF2B5EF4-FFF2-40B4-BE49-F238E27FC236}">
              <a16:creationId xmlns="" xmlns:a16="http://schemas.microsoft.com/office/drawing/2014/main" id="{00000000-0008-0000-0000-00002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0" name="Text Box 3079">
          <a:extLst>
            <a:ext uri="{FF2B5EF4-FFF2-40B4-BE49-F238E27FC236}">
              <a16:creationId xmlns="" xmlns:a16="http://schemas.microsoft.com/office/drawing/2014/main" id="{00000000-0008-0000-0000-00002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1" name="Text Box 3080">
          <a:extLst>
            <a:ext uri="{FF2B5EF4-FFF2-40B4-BE49-F238E27FC236}">
              <a16:creationId xmlns="" xmlns:a16="http://schemas.microsoft.com/office/drawing/2014/main" id="{00000000-0008-0000-0000-00002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2" name="Text Box 3081">
          <a:extLst>
            <a:ext uri="{FF2B5EF4-FFF2-40B4-BE49-F238E27FC236}">
              <a16:creationId xmlns="" xmlns:a16="http://schemas.microsoft.com/office/drawing/2014/main" id="{00000000-0008-0000-0000-00002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3" name="Text Box 3082">
          <a:extLst>
            <a:ext uri="{FF2B5EF4-FFF2-40B4-BE49-F238E27FC236}">
              <a16:creationId xmlns="" xmlns:a16="http://schemas.microsoft.com/office/drawing/2014/main" id="{00000000-0008-0000-0000-00002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4" name="Text Box 3083">
          <a:extLst>
            <a:ext uri="{FF2B5EF4-FFF2-40B4-BE49-F238E27FC236}">
              <a16:creationId xmlns="" xmlns:a16="http://schemas.microsoft.com/office/drawing/2014/main" id="{00000000-0008-0000-0000-00002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5" name="Text Box 3084">
          <a:extLst>
            <a:ext uri="{FF2B5EF4-FFF2-40B4-BE49-F238E27FC236}">
              <a16:creationId xmlns="" xmlns:a16="http://schemas.microsoft.com/office/drawing/2014/main" id="{00000000-0008-0000-0000-00002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6" name="Text Box 3085">
          <a:extLst>
            <a:ext uri="{FF2B5EF4-FFF2-40B4-BE49-F238E27FC236}">
              <a16:creationId xmlns="" xmlns:a16="http://schemas.microsoft.com/office/drawing/2014/main" id="{00000000-0008-0000-0000-00002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7" name="Text Box 3086">
          <a:extLst>
            <a:ext uri="{FF2B5EF4-FFF2-40B4-BE49-F238E27FC236}">
              <a16:creationId xmlns="" xmlns:a16="http://schemas.microsoft.com/office/drawing/2014/main" id="{00000000-0008-0000-0000-00002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8" name="Text Box 3087">
          <a:extLst>
            <a:ext uri="{FF2B5EF4-FFF2-40B4-BE49-F238E27FC236}">
              <a16:creationId xmlns="" xmlns:a16="http://schemas.microsoft.com/office/drawing/2014/main" id="{00000000-0008-0000-0000-00002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9" name="Text Box 3088">
          <a:extLst>
            <a:ext uri="{FF2B5EF4-FFF2-40B4-BE49-F238E27FC236}">
              <a16:creationId xmlns="" xmlns:a16="http://schemas.microsoft.com/office/drawing/2014/main" id="{00000000-0008-0000-0000-00002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0" name="Text Box 3089">
          <a:extLst>
            <a:ext uri="{FF2B5EF4-FFF2-40B4-BE49-F238E27FC236}">
              <a16:creationId xmlns="" xmlns:a16="http://schemas.microsoft.com/office/drawing/2014/main" id="{00000000-0008-0000-0000-00002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1" name="Text Box 3090">
          <a:extLst>
            <a:ext uri="{FF2B5EF4-FFF2-40B4-BE49-F238E27FC236}">
              <a16:creationId xmlns="" xmlns:a16="http://schemas.microsoft.com/office/drawing/2014/main" id="{00000000-0008-0000-0000-00002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2" name="Text Box 3091">
          <a:extLst>
            <a:ext uri="{FF2B5EF4-FFF2-40B4-BE49-F238E27FC236}">
              <a16:creationId xmlns="" xmlns:a16="http://schemas.microsoft.com/office/drawing/2014/main" id="{00000000-0008-0000-0000-00002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3" name="Text Box 3092">
          <a:extLst>
            <a:ext uri="{FF2B5EF4-FFF2-40B4-BE49-F238E27FC236}">
              <a16:creationId xmlns="" xmlns:a16="http://schemas.microsoft.com/office/drawing/2014/main" id="{00000000-0008-0000-0000-00002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4" name="Text Box 3093">
          <a:extLst>
            <a:ext uri="{FF2B5EF4-FFF2-40B4-BE49-F238E27FC236}">
              <a16:creationId xmlns="" xmlns:a16="http://schemas.microsoft.com/office/drawing/2014/main" id="{00000000-0008-0000-0000-00003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5" name="Text Box 3094">
          <a:extLst>
            <a:ext uri="{FF2B5EF4-FFF2-40B4-BE49-F238E27FC236}">
              <a16:creationId xmlns="" xmlns:a16="http://schemas.microsoft.com/office/drawing/2014/main" id="{00000000-0008-0000-0000-00003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6" name="Text Box 3095">
          <a:extLst>
            <a:ext uri="{FF2B5EF4-FFF2-40B4-BE49-F238E27FC236}">
              <a16:creationId xmlns="" xmlns:a16="http://schemas.microsoft.com/office/drawing/2014/main" id="{00000000-0008-0000-0000-00003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7" name="Text Box 3096">
          <a:extLst>
            <a:ext uri="{FF2B5EF4-FFF2-40B4-BE49-F238E27FC236}">
              <a16:creationId xmlns="" xmlns:a16="http://schemas.microsoft.com/office/drawing/2014/main" id="{00000000-0008-0000-0000-00003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8" name="Text Box 3097">
          <a:extLst>
            <a:ext uri="{FF2B5EF4-FFF2-40B4-BE49-F238E27FC236}">
              <a16:creationId xmlns="" xmlns:a16="http://schemas.microsoft.com/office/drawing/2014/main" id="{00000000-0008-0000-0000-00003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9" name="Text Box 3098">
          <a:extLst>
            <a:ext uri="{FF2B5EF4-FFF2-40B4-BE49-F238E27FC236}">
              <a16:creationId xmlns="" xmlns:a16="http://schemas.microsoft.com/office/drawing/2014/main" id="{00000000-0008-0000-0000-00003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0" name="Text Box 3099">
          <a:extLst>
            <a:ext uri="{FF2B5EF4-FFF2-40B4-BE49-F238E27FC236}">
              <a16:creationId xmlns="" xmlns:a16="http://schemas.microsoft.com/office/drawing/2014/main" id="{00000000-0008-0000-0000-00003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1" name="Text Box 3100">
          <a:extLst>
            <a:ext uri="{FF2B5EF4-FFF2-40B4-BE49-F238E27FC236}">
              <a16:creationId xmlns="" xmlns:a16="http://schemas.microsoft.com/office/drawing/2014/main" id="{00000000-0008-0000-0000-00003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2" name="Text Box 3101">
          <a:extLst>
            <a:ext uri="{FF2B5EF4-FFF2-40B4-BE49-F238E27FC236}">
              <a16:creationId xmlns="" xmlns:a16="http://schemas.microsoft.com/office/drawing/2014/main" id="{00000000-0008-0000-0000-00003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593" name="Text Box 3102">
          <a:extLst>
            <a:ext uri="{FF2B5EF4-FFF2-40B4-BE49-F238E27FC236}">
              <a16:creationId xmlns="" xmlns:a16="http://schemas.microsoft.com/office/drawing/2014/main" id="{00000000-0008-0000-0000-00003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4" name="Text Box 59">
          <a:extLst>
            <a:ext uri="{FF2B5EF4-FFF2-40B4-BE49-F238E27FC236}">
              <a16:creationId xmlns="" xmlns:a16="http://schemas.microsoft.com/office/drawing/2014/main" id="{00000000-0008-0000-0000-00003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5" name="Text Box 60">
          <a:extLst>
            <a:ext uri="{FF2B5EF4-FFF2-40B4-BE49-F238E27FC236}">
              <a16:creationId xmlns="" xmlns:a16="http://schemas.microsoft.com/office/drawing/2014/main" id="{00000000-0008-0000-0000-00003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6" name="Text Box 61">
          <a:extLst>
            <a:ext uri="{FF2B5EF4-FFF2-40B4-BE49-F238E27FC236}">
              <a16:creationId xmlns="" xmlns:a16="http://schemas.microsoft.com/office/drawing/2014/main" id="{00000000-0008-0000-0000-00003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7" name="Text Box 62">
          <a:extLst>
            <a:ext uri="{FF2B5EF4-FFF2-40B4-BE49-F238E27FC236}">
              <a16:creationId xmlns="" xmlns:a16="http://schemas.microsoft.com/office/drawing/2014/main" id="{00000000-0008-0000-0000-00003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8" name="Text Box 63">
          <a:extLst>
            <a:ext uri="{FF2B5EF4-FFF2-40B4-BE49-F238E27FC236}">
              <a16:creationId xmlns="" xmlns:a16="http://schemas.microsoft.com/office/drawing/2014/main" id="{00000000-0008-0000-0000-00003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9" name="Text Box 64">
          <a:extLst>
            <a:ext uri="{FF2B5EF4-FFF2-40B4-BE49-F238E27FC236}">
              <a16:creationId xmlns="" xmlns:a16="http://schemas.microsoft.com/office/drawing/2014/main" id="{00000000-0008-0000-0000-00003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0" name="Text Box 65">
          <a:extLst>
            <a:ext uri="{FF2B5EF4-FFF2-40B4-BE49-F238E27FC236}">
              <a16:creationId xmlns="" xmlns:a16="http://schemas.microsoft.com/office/drawing/2014/main" id="{00000000-0008-0000-0000-00004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1" name="Text Box 66">
          <a:extLst>
            <a:ext uri="{FF2B5EF4-FFF2-40B4-BE49-F238E27FC236}">
              <a16:creationId xmlns="" xmlns:a16="http://schemas.microsoft.com/office/drawing/2014/main" id="{00000000-0008-0000-0000-00004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2" name="Text Box 67">
          <a:extLst>
            <a:ext uri="{FF2B5EF4-FFF2-40B4-BE49-F238E27FC236}">
              <a16:creationId xmlns="" xmlns:a16="http://schemas.microsoft.com/office/drawing/2014/main" id="{00000000-0008-0000-0000-00004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3" name="Text Box 68">
          <a:extLst>
            <a:ext uri="{FF2B5EF4-FFF2-40B4-BE49-F238E27FC236}">
              <a16:creationId xmlns="" xmlns:a16="http://schemas.microsoft.com/office/drawing/2014/main" id="{00000000-0008-0000-0000-00004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4" name="Text Box 69">
          <a:extLst>
            <a:ext uri="{FF2B5EF4-FFF2-40B4-BE49-F238E27FC236}">
              <a16:creationId xmlns="" xmlns:a16="http://schemas.microsoft.com/office/drawing/2014/main" id="{00000000-0008-0000-0000-00004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5" name="Text Box 70">
          <a:extLst>
            <a:ext uri="{FF2B5EF4-FFF2-40B4-BE49-F238E27FC236}">
              <a16:creationId xmlns="" xmlns:a16="http://schemas.microsoft.com/office/drawing/2014/main" id="{00000000-0008-0000-0000-00004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6" name="Text Box 71">
          <a:extLst>
            <a:ext uri="{FF2B5EF4-FFF2-40B4-BE49-F238E27FC236}">
              <a16:creationId xmlns="" xmlns:a16="http://schemas.microsoft.com/office/drawing/2014/main" id="{00000000-0008-0000-0000-00004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7" name="Text Box 72">
          <a:extLst>
            <a:ext uri="{FF2B5EF4-FFF2-40B4-BE49-F238E27FC236}">
              <a16:creationId xmlns="" xmlns:a16="http://schemas.microsoft.com/office/drawing/2014/main" id="{00000000-0008-0000-0000-00004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8" name="Text Box 73">
          <a:extLst>
            <a:ext uri="{FF2B5EF4-FFF2-40B4-BE49-F238E27FC236}">
              <a16:creationId xmlns="" xmlns:a16="http://schemas.microsoft.com/office/drawing/2014/main" id="{00000000-0008-0000-0000-00004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9" name="Text Box 74">
          <a:extLst>
            <a:ext uri="{FF2B5EF4-FFF2-40B4-BE49-F238E27FC236}">
              <a16:creationId xmlns="" xmlns:a16="http://schemas.microsoft.com/office/drawing/2014/main" id="{00000000-0008-0000-0000-00004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0" name="Text Box 75">
          <a:extLst>
            <a:ext uri="{FF2B5EF4-FFF2-40B4-BE49-F238E27FC236}">
              <a16:creationId xmlns="" xmlns:a16="http://schemas.microsoft.com/office/drawing/2014/main" id="{00000000-0008-0000-0000-00004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1" name="Text Box 76">
          <a:extLst>
            <a:ext uri="{FF2B5EF4-FFF2-40B4-BE49-F238E27FC236}">
              <a16:creationId xmlns="" xmlns:a16="http://schemas.microsoft.com/office/drawing/2014/main" id="{00000000-0008-0000-0000-00004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2" name="Text Box 77">
          <a:extLst>
            <a:ext uri="{FF2B5EF4-FFF2-40B4-BE49-F238E27FC236}">
              <a16:creationId xmlns="" xmlns:a16="http://schemas.microsoft.com/office/drawing/2014/main" id="{00000000-0008-0000-0000-00004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3" name="Text Box 78">
          <a:extLst>
            <a:ext uri="{FF2B5EF4-FFF2-40B4-BE49-F238E27FC236}">
              <a16:creationId xmlns="" xmlns:a16="http://schemas.microsoft.com/office/drawing/2014/main" id="{00000000-0008-0000-0000-00004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4" name="Text Box 79">
          <a:extLst>
            <a:ext uri="{FF2B5EF4-FFF2-40B4-BE49-F238E27FC236}">
              <a16:creationId xmlns="" xmlns:a16="http://schemas.microsoft.com/office/drawing/2014/main" id="{00000000-0008-0000-0000-00004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5" name="Text Box 80">
          <a:extLst>
            <a:ext uri="{FF2B5EF4-FFF2-40B4-BE49-F238E27FC236}">
              <a16:creationId xmlns="" xmlns:a16="http://schemas.microsoft.com/office/drawing/2014/main" id="{00000000-0008-0000-0000-00004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6" name="Text Box 81">
          <a:extLst>
            <a:ext uri="{FF2B5EF4-FFF2-40B4-BE49-F238E27FC236}">
              <a16:creationId xmlns="" xmlns:a16="http://schemas.microsoft.com/office/drawing/2014/main" id="{00000000-0008-0000-0000-00005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7" name="Text Box 3079">
          <a:extLst>
            <a:ext uri="{FF2B5EF4-FFF2-40B4-BE49-F238E27FC236}">
              <a16:creationId xmlns="" xmlns:a16="http://schemas.microsoft.com/office/drawing/2014/main" id="{00000000-0008-0000-0000-00005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8" name="Text Box 3080">
          <a:extLst>
            <a:ext uri="{FF2B5EF4-FFF2-40B4-BE49-F238E27FC236}">
              <a16:creationId xmlns="" xmlns:a16="http://schemas.microsoft.com/office/drawing/2014/main" id="{00000000-0008-0000-0000-00005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9" name="Text Box 3081">
          <a:extLst>
            <a:ext uri="{FF2B5EF4-FFF2-40B4-BE49-F238E27FC236}">
              <a16:creationId xmlns="" xmlns:a16="http://schemas.microsoft.com/office/drawing/2014/main" id="{00000000-0008-0000-0000-00005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0" name="Text Box 3082">
          <a:extLst>
            <a:ext uri="{FF2B5EF4-FFF2-40B4-BE49-F238E27FC236}">
              <a16:creationId xmlns="" xmlns:a16="http://schemas.microsoft.com/office/drawing/2014/main" id="{00000000-0008-0000-0000-00005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1" name="Text Box 3083">
          <a:extLst>
            <a:ext uri="{FF2B5EF4-FFF2-40B4-BE49-F238E27FC236}">
              <a16:creationId xmlns="" xmlns:a16="http://schemas.microsoft.com/office/drawing/2014/main" id="{00000000-0008-0000-0000-00005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2" name="Text Box 3084">
          <a:extLst>
            <a:ext uri="{FF2B5EF4-FFF2-40B4-BE49-F238E27FC236}">
              <a16:creationId xmlns="" xmlns:a16="http://schemas.microsoft.com/office/drawing/2014/main" id="{00000000-0008-0000-0000-00005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3" name="Text Box 3085">
          <a:extLst>
            <a:ext uri="{FF2B5EF4-FFF2-40B4-BE49-F238E27FC236}">
              <a16:creationId xmlns="" xmlns:a16="http://schemas.microsoft.com/office/drawing/2014/main" id="{00000000-0008-0000-0000-00005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4" name="Text Box 3086">
          <a:extLst>
            <a:ext uri="{FF2B5EF4-FFF2-40B4-BE49-F238E27FC236}">
              <a16:creationId xmlns="" xmlns:a16="http://schemas.microsoft.com/office/drawing/2014/main" id="{00000000-0008-0000-0000-00005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5" name="Text Box 3087">
          <a:extLst>
            <a:ext uri="{FF2B5EF4-FFF2-40B4-BE49-F238E27FC236}">
              <a16:creationId xmlns="" xmlns:a16="http://schemas.microsoft.com/office/drawing/2014/main" id="{00000000-0008-0000-0000-00005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6" name="Text Box 3088">
          <a:extLst>
            <a:ext uri="{FF2B5EF4-FFF2-40B4-BE49-F238E27FC236}">
              <a16:creationId xmlns="" xmlns:a16="http://schemas.microsoft.com/office/drawing/2014/main" id="{00000000-0008-0000-0000-00005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7" name="Text Box 3089">
          <a:extLst>
            <a:ext uri="{FF2B5EF4-FFF2-40B4-BE49-F238E27FC236}">
              <a16:creationId xmlns="" xmlns:a16="http://schemas.microsoft.com/office/drawing/2014/main" id="{00000000-0008-0000-0000-00005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8" name="Text Box 3090">
          <a:extLst>
            <a:ext uri="{FF2B5EF4-FFF2-40B4-BE49-F238E27FC236}">
              <a16:creationId xmlns="" xmlns:a16="http://schemas.microsoft.com/office/drawing/2014/main" id="{00000000-0008-0000-0000-00005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9" name="Text Box 3091">
          <a:extLst>
            <a:ext uri="{FF2B5EF4-FFF2-40B4-BE49-F238E27FC236}">
              <a16:creationId xmlns="" xmlns:a16="http://schemas.microsoft.com/office/drawing/2014/main" id="{00000000-0008-0000-0000-00005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0" name="Text Box 3092">
          <a:extLst>
            <a:ext uri="{FF2B5EF4-FFF2-40B4-BE49-F238E27FC236}">
              <a16:creationId xmlns="" xmlns:a16="http://schemas.microsoft.com/office/drawing/2014/main" id="{00000000-0008-0000-0000-00005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1" name="Text Box 3093">
          <a:extLst>
            <a:ext uri="{FF2B5EF4-FFF2-40B4-BE49-F238E27FC236}">
              <a16:creationId xmlns="" xmlns:a16="http://schemas.microsoft.com/office/drawing/2014/main" id="{00000000-0008-0000-0000-00005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2" name="Text Box 3094">
          <a:extLst>
            <a:ext uri="{FF2B5EF4-FFF2-40B4-BE49-F238E27FC236}">
              <a16:creationId xmlns="" xmlns:a16="http://schemas.microsoft.com/office/drawing/2014/main" id="{00000000-0008-0000-0000-00006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3" name="Text Box 3095">
          <a:extLst>
            <a:ext uri="{FF2B5EF4-FFF2-40B4-BE49-F238E27FC236}">
              <a16:creationId xmlns="" xmlns:a16="http://schemas.microsoft.com/office/drawing/2014/main" id="{00000000-0008-0000-0000-00006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4" name="Text Box 3096">
          <a:extLst>
            <a:ext uri="{FF2B5EF4-FFF2-40B4-BE49-F238E27FC236}">
              <a16:creationId xmlns="" xmlns:a16="http://schemas.microsoft.com/office/drawing/2014/main" id="{00000000-0008-0000-0000-00006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5" name="Text Box 3097">
          <a:extLst>
            <a:ext uri="{FF2B5EF4-FFF2-40B4-BE49-F238E27FC236}">
              <a16:creationId xmlns="" xmlns:a16="http://schemas.microsoft.com/office/drawing/2014/main" id="{00000000-0008-0000-0000-00006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6" name="Text Box 3098">
          <a:extLst>
            <a:ext uri="{FF2B5EF4-FFF2-40B4-BE49-F238E27FC236}">
              <a16:creationId xmlns="" xmlns:a16="http://schemas.microsoft.com/office/drawing/2014/main" id="{00000000-0008-0000-0000-00006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7" name="Text Box 3099">
          <a:extLst>
            <a:ext uri="{FF2B5EF4-FFF2-40B4-BE49-F238E27FC236}">
              <a16:creationId xmlns="" xmlns:a16="http://schemas.microsoft.com/office/drawing/2014/main" id="{00000000-0008-0000-0000-00006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8" name="Text Box 3100">
          <a:extLst>
            <a:ext uri="{FF2B5EF4-FFF2-40B4-BE49-F238E27FC236}">
              <a16:creationId xmlns="" xmlns:a16="http://schemas.microsoft.com/office/drawing/2014/main" id="{00000000-0008-0000-0000-00006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9" name="Text Box 3101">
          <a:extLst>
            <a:ext uri="{FF2B5EF4-FFF2-40B4-BE49-F238E27FC236}">
              <a16:creationId xmlns="" xmlns:a16="http://schemas.microsoft.com/office/drawing/2014/main" id="{00000000-0008-0000-0000-00006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40" name="Text Box 3102">
          <a:extLst>
            <a:ext uri="{FF2B5EF4-FFF2-40B4-BE49-F238E27FC236}">
              <a16:creationId xmlns="" xmlns:a16="http://schemas.microsoft.com/office/drawing/2014/main" id="{00000000-0008-0000-0000-00006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1" name="Text Box 59">
          <a:extLst>
            <a:ext uri="{FF2B5EF4-FFF2-40B4-BE49-F238E27FC236}">
              <a16:creationId xmlns="" xmlns:a16="http://schemas.microsoft.com/office/drawing/2014/main" id="{00000000-0008-0000-0000-00006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2" name="Text Box 60">
          <a:extLst>
            <a:ext uri="{FF2B5EF4-FFF2-40B4-BE49-F238E27FC236}">
              <a16:creationId xmlns="" xmlns:a16="http://schemas.microsoft.com/office/drawing/2014/main" id="{00000000-0008-0000-0000-00006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3" name="Text Box 61">
          <a:extLst>
            <a:ext uri="{FF2B5EF4-FFF2-40B4-BE49-F238E27FC236}">
              <a16:creationId xmlns="" xmlns:a16="http://schemas.microsoft.com/office/drawing/2014/main" id="{00000000-0008-0000-0000-00006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4" name="Text Box 62">
          <a:extLst>
            <a:ext uri="{FF2B5EF4-FFF2-40B4-BE49-F238E27FC236}">
              <a16:creationId xmlns="" xmlns:a16="http://schemas.microsoft.com/office/drawing/2014/main" id="{00000000-0008-0000-0000-00006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5" name="Text Box 63">
          <a:extLst>
            <a:ext uri="{FF2B5EF4-FFF2-40B4-BE49-F238E27FC236}">
              <a16:creationId xmlns="" xmlns:a16="http://schemas.microsoft.com/office/drawing/2014/main" id="{00000000-0008-0000-0000-00006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6" name="Text Box 64">
          <a:extLst>
            <a:ext uri="{FF2B5EF4-FFF2-40B4-BE49-F238E27FC236}">
              <a16:creationId xmlns="" xmlns:a16="http://schemas.microsoft.com/office/drawing/2014/main" id="{00000000-0008-0000-0000-00006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7" name="Text Box 65">
          <a:extLst>
            <a:ext uri="{FF2B5EF4-FFF2-40B4-BE49-F238E27FC236}">
              <a16:creationId xmlns="" xmlns:a16="http://schemas.microsoft.com/office/drawing/2014/main" id="{00000000-0008-0000-0000-00006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8" name="Text Box 66">
          <a:extLst>
            <a:ext uri="{FF2B5EF4-FFF2-40B4-BE49-F238E27FC236}">
              <a16:creationId xmlns="" xmlns:a16="http://schemas.microsoft.com/office/drawing/2014/main" id="{00000000-0008-0000-0000-00007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9" name="Text Box 67">
          <a:extLst>
            <a:ext uri="{FF2B5EF4-FFF2-40B4-BE49-F238E27FC236}">
              <a16:creationId xmlns="" xmlns:a16="http://schemas.microsoft.com/office/drawing/2014/main" id="{00000000-0008-0000-0000-00007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0" name="Text Box 68">
          <a:extLst>
            <a:ext uri="{FF2B5EF4-FFF2-40B4-BE49-F238E27FC236}">
              <a16:creationId xmlns="" xmlns:a16="http://schemas.microsoft.com/office/drawing/2014/main" id="{00000000-0008-0000-0000-00007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1" name="Text Box 69">
          <a:extLst>
            <a:ext uri="{FF2B5EF4-FFF2-40B4-BE49-F238E27FC236}">
              <a16:creationId xmlns="" xmlns:a16="http://schemas.microsoft.com/office/drawing/2014/main" id="{00000000-0008-0000-0000-00007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2" name="Text Box 70">
          <a:extLst>
            <a:ext uri="{FF2B5EF4-FFF2-40B4-BE49-F238E27FC236}">
              <a16:creationId xmlns="" xmlns:a16="http://schemas.microsoft.com/office/drawing/2014/main" id="{00000000-0008-0000-0000-00007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3" name="Text Box 71">
          <a:extLst>
            <a:ext uri="{FF2B5EF4-FFF2-40B4-BE49-F238E27FC236}">
              <a16:creationId xmlns="" xmlns:a16="http://schemas.microsoft.com/office/drawing/2014/main" id="{00000000-0008-0000-0000-00007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4" name="Text Box 72">
          <a:extLst>
            <a:ext uri="{FF2B5EF4-FFF2-40B4-BE49-F238E27FC236}">
              <a16:creationId xmlns="" xmlns:a16="http://schemas.microsoft.com/office/drawing/2014/main" id="{00000000-0008-0000-0000-00007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5" name="Text Box 73">
          <a:extLst>
            <a:ext uri="{FF2B5EF4-FFF2-40B4-BE49-F238E27FC236}">
              <a16:creationId xmlns="" xmlns:a16="http://schemas.microsoft.com/office/drawing/2014/main" id="{00000000-0008-0000-0000-00007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6" name="Text Box 74">
          <a:extLst>
            <a:ext uri="{FF2B5EF4-FFF2-40B4-BE49-F238E27FC236}">
              <a16:creationId xmlns="" xmlns:a16="http://schemas.microsoft.com/office/drawing/2014/main" id="{00000000-0008-0000-0000-00007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7" name="Text Box 75">
          <a:extLst>
            <a:ext uri="{FF2B5EF4-FFF2-40B4-BE49-F238E27FC236}">
              <a16:creationId xmlns="" xmlns:a16="http://schemas.microsoft.com/office/drawing/2014/main" id="{00000000-0008-0000-0000-00007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8" name="Text Box 76">
          <a:extLst>
            <a:ext uri="{FF2B5EF4-FFF2-40B4-BE49-F238E27FC236}">
              <a16:creationId xmlns="" xmlns:a16="http://schemas.microsoft.com/office/drawing/2014/main" id="{00000000-0008-0000-0000-00007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9" name="Text Box 77">
          <a:extLst>
            <a:ext uri="{FF2B5EF4-FFF2-40B4-BE49-F238E27FC236}">
              <a16:creationId xmlns="" xmlns:a16="http://schemas.microsoft.com/office/drawing/2014/main" id="{00000000-0008-0000-0000-00007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0" name="Text Box 78">
          <a:extLst>
            <a:ext uri="{FF2B5EF4-FFF2-40B4-BE49-F238E27FC236}">
              <a16:creationId xmlns="" xmlns:a16="http://schemas.microsoft.com/office/drawing/2014/main" id="{00000000-0008-0000-0000-00007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1" name="Text Box 79">
          <a:extLst>
            <a:ext uri="{FF2B5EF4-FFF2-40B4-BE49-F238E27FC236}">
              <a16:creationId xmlns="" xmlns:a16="http://schemas.microsoft.com/office/drawing/2014/main" id="{00000000-0008-0000-0000-00007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2" name="Text Box 80">
          <a:extLst>
            <a:ext uri="{FF2B5EF4-FFF2-40B4-BE49-F238E27FC236}">
              <a16:creationId xmlns="" xmlns:a16="http://schemas.microsoft.com/office/drawing/2014/main" id="{00000000-0008-0000-0000-00007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3" name="Text Box 81">
          <a:extLst>
            <a:ext uri="{FF2B5EF4-FFF2-40B4-BE49-F238E27FC236}">
              <a16:creationId xmlns="" xmlns:a16="http://schemas.microsoft.com/office/drawing/2014/main" id="{00000000-0008-0000-0000-00007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664" name="Text Box 82">
          <a:extLst>
            <a:ext uri="{FF2B5EF4-FFF2-40B4-BE49-F238E27FC236}">
              <a16:creationId xmlns="" xmlns:a16="http://schemas.microsoft.com/office/drawing/2014/main" id="{00000000-0008-0000-0000-00008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5" name="Text Box 3079">
          <a:extLst>
            <a:ext uri="{FF2B5EF4-FFF2-40B4-BE49-F238E27FC236}">
              <a16:creationId xmlns="" xmlns:a16="http://schemas.microsoft.com/office/drawing/2014/main" id="{00000000-0008-0000-0000-00008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6" name="Text Box 3080">
          <a:extLst>
            <a:ext uri="{FF2B5EF4-FFF2-40B4-BE49-F238E27FC236}">
              <a16:creationId xmlns="" xmlns:a16="http://schemas.microsoft.com/office/drawing/2014/main" id="{00000000-0008-0000-0000-00008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7" name="Text Box 3081">
          <a:extLst>
            <a:ext uri="{FF2B5EF4-FFF2-40B4-BE49-F238E27FC236}">
              <a16:creationId xmlns="" xmlns:a16="http://schemas.microsoft.com/office/drawing/2014/main" id="{00000000-0008-0000-0000-00008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8" name="Text Box 3082">
          <a:extLst>
            <a:ext uri="{FF2B5EF4-FFF2-40B4-BE49-F238E27FC236}">
              <a16:creationId xmlns="" xmlns:a16="http://schemas.microsoft.com/office/drawing/2014/main" id="{00000000-0008-0000-0000-00008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9" name="Text Box 3083">
          <a:extLst>
            <a:ext uri="{FF2B5EF4-FFF2-40B4-BE49-F238E27FC236}">
              <a16:creationId xmlns="" xmlns:a16="http://schemas.microsoft.com/office/drawing/2014/main" id="{00000000-0008-0000-0000-00008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0" name="Text Box 3084">
          <a:extLst>
            <a:ext uri="{FF2B5EF4-FFF2-40B4-BE49-F238E27FC236}">
              <a16:creationId xmlns="" xmlns:a16="http://schemas.microsoft.com/office/drawing/2014/main" id="{00000000-0008-0000-0000-00008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1" name="Text Box 3085">
          <a:extLst>
            <a:ext uri="{FF2B5EF4-FFF2-40B4-BE49-F238E27FC236}">
              <a16:creationId xmlns="" xmlns:a16="http://schemas.microsoft.com/office/drawing/2014/main" id="{00000000-0008-0000-0000-00008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2" name="Text Box 3086">
          <a:extLst>
            <a:ext uri="{FF2B5EF4-FFF2-40B4-BE49-F238E27FC236}">
              <a16:creationId xmlns="" xmlns:a16="http://schemas.microsoft.com/office/drawing/2014/main" id="{00000000-0008-0000-0000-00008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3" name="Text Box 3087">
          <a:extLst>
            <a:ext uri="{FF2B5EF4-FFF2-40B4-BE49-F238E27FC236}">
              <a16:creationId xmlns="" xmlns:a16="http://schemas.microsoft.com/office/drawing/2014/main" id="{00000000-0008-0000-0000-00008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4" name="Text Box 3088">
          <a:extLst>
            <a:ext uri="{FF2B5EF4-FFF2-40B4-BE49-F238E27FC236}">
              <a16:creationId xmlns="" xmlns:a16="http://schemas.microsoft.com/office/drawing/2014/main" id="{00000000-0008-0000-0000-00008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5" name="Text Box 3089">
          <a:extLst>
            <a:ext uri="{FF2B5EF4-FFF2-40B4-BE49-F238E27FC236}">
              <a16:creationId xmlns="" xmlns:a16="http://schemas.microsoft.com/office/drawing/2014/main" id="{00000000-0008-0000-0000-00008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6" name="Text Box 3090">
          <a:extLst>
            <a:ext uri="{FF2B5EF4-FFF2-40B4-BE49-F238E27FC236}">
              <a16:creationId xmlns="" xmlns:a16="http://schemas.microsoft.com/office/drawing/2014/main" id="{00000000-0008-0000-0000-00008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7" name="Text Box 3091">
          <a:extLst>
            <a:ext uri="{FF2B5EF4-FFF2-40B4-BE49-F238E27FC236}">
              <a16:creationId xmlns="" xmlns:a16="http://schemas.microsoft.com/office/drawing/2014/main" id="{00000000-0008-0000-0000-00008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8" name="Text Box 3092">
          <a:extLst>
            <a:ext uri="{FF2B5EF4-FFF2-40B4-BE49-F238E27FC236}">
              <a16:creationId xmlns="" xmlns:a16="http://schemas.microsoft.com/office/drawing/2014/main" id="{00000000-0008-0000-0000-00008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9" name="Text Box 3093">
          <a:extLst>
            <a:ext uri="{FF2B5EF4-FFF2-40B4-BE49-F238E27FC236}">
              <a16:creationId xmlns="" xmlns:a16="http://schemas.microsoft.com/office/drawing/2014/main" id="{00000000-0008-0000-0000-00008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0" name="Text Box 3094">
          <a:extLst>
            <a:ext uri="{FF2B5EF4-FFF2-40B4-BE49-F238E27FC236}">
              <a16:creationId xmlns="" xmlns:a16="http://schemas.microsoft.com/office/drawing/2014/main" id="{00000000-0008-0000-0000-00009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1" name="Text Box 3095">
          <a:extLst>
            <a:ext uri="{FF2B5EF4-FFF2-40B4-BE49-F238E27FC236}">
              <a16:creationId xmlns="" xmlns:a16="http://schemas.microsoft.com/office/drawing/2014/main" id="{00000000-0008-0000-0000-00009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2" name="Text Box 3096">
          <a:extLst>
            <a:ext uri="{FF2B5EF4-FFF2-40B4-BE49-F238E27FC236}">
              <a16:creationId xmlns="" xmlns:a16="http://schemas.microsoft.com/office/drawing/2014/main" id="{00000000-0008-0000-0000-00009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3" name="Text Box 3097">
          <a:extLst>
            <a:ext uri="{FF2B5EF4-FFF2-40B4-BE49-F238E27FC236}">
              <a16:creationId xmlns="" xmlns:a16="http://schemas.microsoft.com/office/drawing/2014/main" id="{00000000-0008-0000-0000-00009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4" name="Text Box 3098">
          <a:extLst>
            <a:ext uri="{FF2B5EF4-FFF2-40B4-BE49-F238E27FC236}">
              <a16:creationId xmlns="" xmlns:a16="http://schemas.microsoft.com/office/drawing/2014/main" id="{00000000-0008-0000-0000-00009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5" name="Text Box 3099">
          <a:extLst>
            <a:ext uri="{FF2B5EF4-FFF2-40B4-BE49-F238E27FC236}">
              <a16:creationId xmlns="" xmlns:a16="http://schemas.microsoft.com/office/drawing/2014/main" id="{00000000-0008-0000-0000-00009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6" name="Text Box 3100">
          <a:extLst>
            <a:ext uri="{FF2B5EF4-FFF2-40B4-BE49-F238E27FC236}">
              <a16:creationId xmlns="" xmlns:a16="http://schemas.microsoft.com/office/drawing/2014/main" id="{00000000-0008-0000-0000-00009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7" name="Text Box 3101">
          <a:extLst>
            <a:ext uri="{FF2B5EF4-FFF2-40B4-BE49-F238E27FC236}">
              <a16:creationId xmlns="" xmlns:a16="http://schemas.microsoft.com/office/drawing/2014/main" id="{00000000-0008-0000-0000-00009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88" name="Text Box 3102">
          <a:extLst>
            <a:ext uri="{FF2B5EF4-FFF2-40B4-BE49-F238E27FC236}">
              <a16:creationId xmlns="" xmlns:a16="http://schemas.microsoft.com/office/drawing/2014/main" id="{00000000-0008-0000-0000-00009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89" name="Text Box 59">
          <a:extLst>
            <a:ext uri="{FF2B5EF4-FFF2-40B4-BE49-F238E27FC236}">
              <a16:creationId xmlns="" xmlns:a16="http://schemas.microsoft.com/office/drawing/2014/main" id="{00000000-0008-0000-0000-00009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0" name="Text Box 60">
          <a:extLst>
            <a:ext uri="{FF2B5EF4-FFF2-40B4-BE49-F238E27FC236}">
              <a16:creationId xmlns="" xmlns:a16="http://schemas.microsoft.com/office/drawing/2014/main" id="{00000000-0008-0000-0000-00009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1" name="Text Box 61">
          <a:extLst>
            <a:ext uri="{FF2B5EF4-FFF2-40B4-BE49-F238E27FC236}">
              <a16:creationId xmlns="" xmlns:a16="http://schemas.microsoft.com/office/drawing/2014/main" id="{00000000-0008-0000-0000-00009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2" name="Text Box 62">
          <a:extLst>
            <a:ext uri="{FF2B5EF4-FFF2-40B4-BE49-F238E27FC236}">
              <a16:creationId xmlns="" xmlns:a16="http://schemas.microsoft.com/office/drawing/2014/main" id="{00000000-0008-0000-0000-00009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3" name="Text Box 63">
          <a:extLst>
            <a:ext uri="{FF2B5EF4-FFF2-40B4-BE49-F238E27FC236}">
              <a16:creationId xmlns="" xmlns:a16="http://schemas.microsoft.com/office/drawing/2014/main" id="{00000000-0008-0000-0000-00009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4" name="Text Box 64">
          <a:extLst>
            <a:ext uri="{FF2B5EF4-FFF2-40B4-BE49-F238E27FC236}">
              <a16:creationId xmlns="" xmlns:a16="http://schemas.microsoft.com/office/drawing/2014/main" id="{00000000-0008-0000-0000-00009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5" name="Text Box 65">
          <a:extLst>
            <a:ext uri="{FF2B5EF4-FFF2-40B4-BE49-F238E27FC236}">
              <a16:creationId xmlns="" xmlns:a16="http://schemas.microsoft.com/office/drawing/2014/main" id="{00000000-0008-0000-0000-00009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6" name="Text Box 66">
          <a:extLst>
            <a:ext uri="{FF2B5EF4-FFF2-40B4-BE49-F238E27FC236}">
              <a16:creationId xmlns="" xmlns:a16="http://schemas.microsoft.com/office/drawing/2014/main" id="{00000000-0008-0000-0000-0000A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7" name="Text Box 67">
          <a:extLst>
            <a:ext uri="{FF2B5EF4-FFF2-40B4-BE49-F238E27FC236}">
              <a16:creationId xmlns="" xmlns:a16="http://schemas.microsoft.com/office/drawing/2014/main" id="{00000000-0008-0000-0000-0000A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8" name="Text Box 68">
          <a:extLst>
            <a:ext uri="{FF2B5EF4-FFF2-40B4-BE49-F238E27FC236}">
              <a16:creationId xmlns="" xmlns:a16="http://schemas.microsoft.com/office/drawing/2014/main" id="{00000000-0008-0000-0000-0000A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9" name="Text Box 69">
          <a:extLst>
            <a:ext uri="{FF2B5EF4-FFF2-40B4-BE49-F238E27FC236}">
              <a16:creationId xmlns="" xmlns:a16="http://schemas.microsoft.com/office/drawing/2014/main" id="{00000000-0008-0000-0000-0000A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0" name="Text Box 70">
          <a:extLst>
            <a:ext uri="{FF2B5EF4-FFF2-40B4-BE49-F238E27FC236}">
              <a16:creationId xmlns="" xmlns:a16="http://schemas.microsoft.com/office/drawing/2014/main" id="{00000000-0008-0000-0000-0000A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1" name="Text Box 71">
          <a:extLst>
            <a:ext uri="{FF2B5EF4-FFF2-40B4-BE49-F238E27FC236}">
              <a16:creationId xmlns="" xmlns:a16="http://schemas.microsoft.com/office/drawing/2014/main" id="{00000000-0008-0000-0000-0000A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2" name="Text Box 72">
          <a:extLst>
            <a:ext uri="{FF2B5EF4-FFF2-40B4-BE49-F238E27FC236}">
              <a16:creationId xmlns="" xmlns:a16="http://schemas.microsoft.com/office/drawing/2014/main" id="{00000000-0008-0000-0000-0000A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3" name="Text Box 73">
          <a:extLst>
            <a:ext uri="{FF2B5EF4-FFF2-40B4-BE49-F238E27FC236}">
              <a16:creationId xmlns="" xmlns:a16="http://schemas.microsoft.com/office/drawing/2014/main" id="{00000000-0008-0000-0000-0000A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4" name="Text Box 74">
          <a:extLst>
            <a:ext uri="{FF2B5EF4-FFF2-40B4-BE49-F238E27FC236}">
              <a16:creationId xmlns="" xmlns:a16="http://schemas.microsoft.com/office/drawing/2014/main" id="{00000000-0008-0000-0000-0000A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5" name="Text Box 75">
          <a:extLst>
            <a:ext uri="{FF2B5EF4-FFF2-40B4-BE49-F238E27FC236}">
              <a16:creationId xmlns="" xmlns:a16="http://schemas.microsoft.com/office/drawing/2014/main" id="{00000000-0008-0000-0000-0000A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6" name="Text Box 76">
          <a:extLst>
            <a:ext uri="{FF2B5EF4-FFF2-40B4-BE49-F238E27FC236}">
              <a16:creationId xmlns="" xmlns:a16="http://schemas.microsoft.com/office/drawing/2014/main" id="{00000000-0008-0000-0000-0000A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7" name="Text Box 77">
          <a:extLst>
            <a:ext uri="{FF2B5EF4-FFF2-40B4-BE49-F238E27FC236}">
              <a16:creationId xmlns="" xmlns:a16="http://schemas.microsoft.com/office/drawing/2014/main" id="{00000000-0008-0000-0000-0000A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8" name="Text Box 78">
          <a:extLst>
            <a:ext uri="{FF2B5EF4-FFF2-40B4-BE49-F238E27FC236}">
              <a16:creationId xmlns="" xmlns:a16="http://schemas.microsoft.com/office/drawing/2014/main" id="{00000000-0008-0000-0000-0000A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9" name="Text Box 79">
          <a:extLst>
            <a:ext uri="{FF2B5EF4-FFF2-40B4-BE49-F238E27FC236}">
              <a16:creationId xmlns="" xmlns:a16="http://schemas.microsoft.com/office/drawing/2014/main" id="{00000000-0008-0000-0000-0000A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0" name="Text Box 80">
          <a:extLst>
            <a:ext uri="{FF2B5EF4-FFF2-40B4-BE49-F238E27FC236}">
              <a16:creationId xmlns="" xmlns:a16="http://schemas.microsoft.com/office/drawing/2014/main" id="{00000000-0008-0000-0000-0000A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1" name="Text Box 81">
          <a:extLst>
            <a:ext uri="{FF2B5EF4-FFF2-40B4-BE49-F238E27FC236}">
              <a16:creationId xmlns="" xmlns:a16="http://schemas.microsoft.com/office/drawing/2014/main" id="{00000000-0008-0000-0000-0000A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2" name="Text Box 3079">
          <a:extLst>
            <a:ext uri="{FF2B5EF4-FFF2-40B4-BE49-F238E27FC236}">
              <a16:creationId xmlns="" xmlns:a16="http://schemas.microsoft.com/office/drawing/2014/main" id="{00000000-0008-0000-0000-0000B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3" name="Text Box 3080">
          <a:extLst>
            <a:ext uri="{FF2B5EF4-FFF2-40B4-BE49-F238E27FC236}">
              <a16:creationId xmlns="" xmlns:a16="http://schemas.microsoft.com/office/drawing/2014/main" id="{00000000-0008-0000-0000-0000B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4" name="Text Box 3081">
          <a:extLst>
            <a:ext uri="{FF2B5EF4-FFF2-40B4-BE49-F238E27FC236}">
              <a16:creationId xmlns="" xmlns:a16="http://schemas.microsoft.com/office/drawing/2014/main" id="{00000000-0008-0000-0000-0000B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5" name="Text Box 3082">
          <a:extLst>
            <a:ext uri="{FF2B5EF4-FFF2-40B4-BE49-F238E27FC236}">
              <a16:creationId xmlns="" xmlns:a16="http://schemas.microsoft.com/office/drawing/2014/main" id="{00000000-0008-0000-0000-0000B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6" name="Text Box 3083">
          <a:extLst>
            <a:ext uri="{FF2B5EF4-FFF2-40B4-BE49-F238E27FC236}">
              <a16:creationId xmlns="" xmlns:a16="http://schemas.microsoft.com/office/drawing/2014/main" id="{00000000-0008-0000-0000-0000B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7" name="Text Box 3084">
          <a:extLst>
            <a:ext uri="{FF2B5EF4-FFF2-40B4-BE49-F238E27FC236}">
              <a16:creationId xmlns="" xmlns:a16="http://schemas.microsoft.com/office/drawing/2014/main" id="{00000000-0008-0000-0000-0000B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8" name="Text Box 3085">
          <a:extLst>
            <a:ext uri="{FF2B5EF4-FFF2-40B4-BE49-F238E27FC236}">
              <a16:creationId xmlns="" xmlns:a16="http://schemas.microsoft.com/office/drawing/2014/main" id="{00000000-0008-0000-0000-0000B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9" name="Text Box 3086">
          <a:extLst>
            <a:ext uri="{FF2B5EF4-FFF2-40B4-BE49-F238E27FC236}">
              <a16:creationId xmlns="" xmlns:a16="http://schemas.microsoft.com/office/drawing/2014/main" id="{00000000-0008-0000-0000-0000B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0" name="Text Box 3087">
          <a:extLst>
            <a:ext uri="{FF2B5EF4-FFF2-40B4-BE49-F238E27FC236}">
              <a16:creationId xmlns="" xmlns:a16="http://schemas.microsoft.com/office/drawing/2014/main" id="{00000000-0008-0000-0000-0000B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1" name="Text Box 3088">
          <a:extLst>
            <a:ext uri="{FF2B5EF4-FFF2-40B4-BE49-F238E27FC236}">
              <a16:creationId xmlns="" xmlns:a16="http://schemas.microsoft.com/office/drawing/2014/main" id="{00000000-0008-0000-0000-0000B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2" name="Text Box 3089">
          <a:extLst>
            <a:ext uri="{FF2B5EF4-FFF2-40B4-BE49-F238E27FC236}">
              <a16:creationId xmlns="" xmlns:a16="http://schemas.microsoft.com/office/drawing/2014/main" id="{00000000-0008-0000-0000-0000B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3" name="Text Box 3090">
          <a:extLst>
            <a:ext uri="{FF2B5EF4-FFF2-40B4-BE49-F238E27FC236}">
              <a16:creationId xmlns="" xmlns:a16="http://schemas.microsoft.com/office/drawing/2014/main" id="{00000000-0008-0000-0000-0000B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4" name="Text Box 3091">
          <a:extLst>
            <a:ext uri="{FF2B5EF4-FFF2-40B4-BE49-F238E27FC236}">
              <a16:creationId xmlns="" xmlns:a16="http://schemas.microsoft.com/office/drawing/2014/main" id="{00000000-0008-0000-0000-0000B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5" name="Text Box 3092">
          <a:extLst>
            <a:ext uri="{FF2B5EF4-FFF2-40B4-BE49-F238E27FC236}">
              <a16:creationId xmlns="" xmlns:a16="http://schemas.microsoft.com/office/drawing/2014/main" id="{00000000-0008-0000-0000-0000B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6" name="Text Box 3093">
          <a:extLst>
            <a:ext uri="{FF2B5EF4-FFF2-40B4-BE49-F238E27FC236}">
              <a16:creationId xmlns="" xmlns:a16="http://schemas.microsoft.com/office/drawing/2014/main" id="{00000000-0008-0000-0000-0000B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7" name="Text Box 3094">
          <a:extLst>
            <a:ext uri="{FF2B5EF4-FFF2-40B4-BE49-F238E27FC236}">
              <a16:creationId xmlns="" xmlns:a16="http://schemas.microsoft.com/office/drawing/2014/main" id="{00000000-0008-0000-0000-0000B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8" name="Text Box 3095">
          <a:extLst>
            <a:ext uri="{FF2B5EF4-FFF2-40B4-BE49-F238E27FC236}">
              <a16:creationId xmlns="" xmlns:a16="http://schemas.microsoft.com/office/drawing/2014/main" id="{00000000-0008-0000-0000-0000C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9" name="Text Box 3096">
          <a:extLst>
            <a:ext uri="{FF2B5EF4-FFF2-40B4-BE49-F238E27FC236}">
              <a16:creationId xmlns="" xmlns:a16="http://schemas.microsoft.com/office/drawing/2014/main" id="{00000000-0008-0000-0000-0000C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0" name="Text Box 3097">
          <a:extLst>
            <a:ext uri="{FF2B5EF4-FFF2-40B4-BE49-F238E27FC236}">
              <a16:creationId xmlns="" xmlns:a16="http://schemas.microsoft.com/office/drawing/2014/main" id="{00000000-0008-0000-0000-0000C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1" name="Text Box 3098">
          <a:extLst>
            <a:ext uri="{FF2B5EF4-FFF2-40B4-BE49-F238E27FC236}">
              <a16:creationId xmlns="" xmlns:a16="http://schemas.microsoft.com/office/drawing/2014/main" id="{00000000-0008-0000-0000-0000C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2" name="Text Box 3099">
          <a:extLst>
            <a:ext uri="{FF2B5EF4-FFF2-40B4-BE49-F238E27FC236}">
              <a16:creationId xmlns="" xmlns:a16="http://schemas.microsoft.com/office/drawing/2014/main" id="{00000000-0008-0000-0000-0000C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3" name="Text Box 3100">
          <a:extLst>
            <a:ext uri="{FF2B5EF4-FFF2-40B4-BE49-F238E27FC236}">
              <a16:creationId xmlns="" xmlns:a16="http://schemas.microsoft.com/office/drawing/2014/main" id="{00000000-0008-0000-0000-0000C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4" name="Text Box 3101">
          <a:extLst>
            <a:ext uri="{FF2B5EF4-FFF2-40B4-BE49-F238E27FC236}">
              <a16:creationId xmlns="" xmlns:a16="http://schemas.microsoft.com/office/drawing/2014/main" id="{00000000-0008-0000-0000-0000C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735" name="Text Box 3102">
          <a:extLst>
            <a:ext uri="{FF2B5EF4-FFF2-40B4-BE49-F238E27FC236}">
              <a16:creationId xmlns="" xmlns:a16="http://schemas.microsoft.com/office/drawing/2014/main" id="{00000000-0008-0000-0000-0000C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6" name="Text Box 59">
          <a:extLst>
            <a:ext uri="{FF2B5EF4-FFF2-40B4-BE49-F238E27FC236}">
              <a16:creationId xmlns="" xmlns:a16="http://schemas.microsoft.com/office/drawing/2014/main" id="{00000000-0008-0000-0000-0000C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7" name="Text Box 60">
          <a:extLst>
            <a:ext uri="{FF2B5EF4-FFF2-40B4-BE49-F238E27FC236}">
              <a16:creationId xmlns="" xmlns:a16="http://schemas.microsoft.com/office/drawing/2014/main" id="{00000000-0008-0000-0000-0000C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8" name="Text Box 61">
          <a:extLst>
            <a:ext uri="{FF2B5EF4-FFF2-40B4-BE49-F238E27FC236}">
              <a16:creationId xmlns="" xmlns:a16="http://schemas.microsoft.com/office/drawing/2014/main" id="{00000000-0008-0000-0000-0000C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9" name="Text Box 62">
          <a:extLst>
            <a:ext uri="{FF2B5EF4-FFF2-40B4-BE49-F238E27FC236}">
              <a16:creationId xmlns="" xmlns:a16="http://schemas.microsoft.com/office/drawing/2014/main" id="{00000000-0008-0000-0000-0000C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0" name="Text Box 63">
          <a:extLst>
            <a:ext uri="{FF2B5EF4-FFF2-40B4-BE49-F238E27FC236}">
              <a16:creationId xmlns="" xmlns:a16="http://schemas.microsoft.com/office/drawing/2014/main" id="{00000000-0008-0000-0000-0000C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1" name="Text Box 64">
          <a:extLst>
            <a:ext uri="{FF2B5EF4-FFF2-40B4-BE49-F238E27FC236}">
              <a16:creationId xmlns="" xmlns:a16="http://schemas.microsoft.com/office/drawing/2014/main" id="{00000000-0008-0000-0000-0000C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2" name="Text Box 65">
          <a:extLst>
            <a:ext uri="{FF2B5EF4-FFF2-40B4-BE49-F238E27FC236}">
              <a16:creationId xmlns="" xmlns:a16="http://schemas.microsoft.com/office/drawing/2014/main" id="{00000000-0008-0000-0000-0000C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3" name="Text Box 66">
          <a:extLst>
            <a:ext uri="{FF2B5EF4-FFF2-40B4-BE49-F238E27FC236}">
              <a16:creationId xmlns="" xmlns:a16="http://schemas.microsoft.com/office/drawing/2014/main" id="{00000000-0008-0000-0000-0000C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4" name="Text Box 67">
          <a:extLst>
            <a:ext uri="{FF2B5EF4-FFF2-40B4-BE49-F238E27FC236}">
              <a16:creationId xmlns="" xmlns:a16="http://schemas.microsoft.com/office/drawing/2014/main" id="{00000000-0008-0000-0000-0000D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5" name="Text Box 68">
          <a:extLst>
            <a:ext uri="{FF2B5EF4-FFF2-40B4-BE49-F238E27FC236}">
              <a16:creationId xmlns="" xmlns:a16="http://schemas.microsoft.com/office/drawing/2014/main" id="{00000000-0008-0000-0000-0000D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6" name="Text Box 69">
          <a:extLst>
            <a:ext uri="{FF2B5EF4-FFF2-40B4-BE49-F238E27FC236}">
              <a16:creationId xmlns="" xmlns:a16="http://schemas.microsoft.com/office/drawing/2014/main" id="{00000000-0008-0000-0000-0000D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7" name="Text Box 70">
          <a:extLst>
            <a:ext uri="{FF2B5EF4-FFF2-40B4-BE49-F238E27FC236}">
              <a16:creationId xmlns="" xmlns:a16="http://schemas.microsoft.com/office/drawing/2014/main" id="{00000000-0008-0000-0000-0000D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8" name="Text Box 71">
          <a:extLst>
            <a:ext uri="{FF2B5EF4-FFF2-40B4-BE49-F238E27FC236}">
              <a16:creationId xmlns="" xmlns:a16="http://schemas.microsoft.com/office/drawing/2014/main" id="{00000000-0008-0000-0000-0000D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9" name="Text Box 72">
          <a:extLst>
            <a:ext uri="{FF2B5EF4-FFF2-40B4-BE49-F238E27FC236}">
              <a16:creationId xmlns="" xmlns:a16="http://schemas.microsoft.com/office/drawing/2014/main" id="{00000000-0008-0000-0000-0000D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0" name="Text Box 73">
          <a:extLst>
            <a:ext uri="{FF2B5EF4-FFF2-40B4-BE49-F238E27FC236}">
              <a16:creationId xmlns="" xmlns:a16="http://schemas.microsoft.com/office/drawing/2014/main" id="{00000000-0008-0000-0000-0000D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1" name="Text Box 74">
          <a:extLst>
            <a:ext uri="{FF2B5EF4-FFF2-40B4-BE49-F238E27FC236}">
              <a16:creationId xmlns="" xmlns:a16="http://schemas.microsoft.com/office/drawing/2014/main" id="{00000000-0008-0000-0000-0000D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2" name="Text Box 75">
          <a:extLst>
            <a:ext uri="{FF2B5EF4-FFF2-40B4-BE49-F238E27FC236}">
              <a16:creationId xmlns="" xmlns:a16="http://schemas.microsoft.com/office/drawing/2014/main" id="{00000000-0008-0000-0000-0000D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3" name="Text Box 76">
          <a:extLst>
            <a:ext uri="{FF2B5EF4-FFF2-40B4-BE49-F238E27FC236}">
              <a16:creationId xmlns="" xmlns:a16="http://schemas.microsoft.com/office/drawing/2014/main" id="{00000000-0008-0000-0000-0000D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4" name="Text Box 77">
          <a:extLst>
            <a:ext uri="{FF2B5EF4-FFF2-40B4-BE49-F238E27FC236}">
              <a16:creationId xmlns="" xmlns:a16="http://schemas.microsoft.com/office/drawing/2014/main" id="{00000000-0008-0000-0000-0000D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5" name="Text Box 78">
          <a:extLst>
            <a:ext uri="{FF2B5EF4-FFF2-40B4-BE49-F238E27FC236}">
              <a16:creationId xmlns="" xmlns:a16="http://schemas.microsoft.com/office/drawing/2014/main" id="{00000000-0008-0000-0000-0000D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6" name="Text Box 79">
          <a:extLst>
            <a:ext uri="{FF2B5EF4-FFF2-40B4-BE49-F238E27FC236}">
              <a16:creationId xmlns="" xmlns:a16="http://schemas.microsoft.com/office/drawing/2014/main" id="{00000000-0008-0000-0000-0000D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7" name="Text Box 80">
          <a:extLst>
            <a:ext uri="{FF2B5EF4-FFF2-40B4-BE49-F238E27FC236}">
              <a16:creationId xmlns="" xmlns:a16="http://schemas.microsoft.com/office/drawing/2014/main" id="{00000000-0008-0000-0000-0000D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8" name="Text Box 81">
          <a:extLst>
            <a:ext uri="{FF2B5EF4-FFF2-40B4-BE49-F238E27FC236}">
              <a16:creationId xmlns="" xmlns:a16="http://schemas.microsoft.com/office/drawing/2014/main" id="{00000000-0008-0000-0000-0000D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759" name="Text Box 82">
          <a:extLst>
            <a:ext uri="{FF2B5EF4-FFF2-40B4-BE49-F238E27FC236}">
              <a16:creationId xmlns="" xmlns:a16="http://schemas.microsoft.com/office/drawing/2014/main" id="{00000000-0008-0000-0000-0000D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0" name="Text Box 3079">
          <a:extLst>
            <a:ext uri="{FF2B5EF4-FFF2-40B4-BE49-F238E27FC236}">
              <a16:creationId xmlns="" xmlns:a16="http://schemas.microsoft.com/office/drawing/2014/main" id="{00000000-0008-0000-0000-0000E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1" name="Text Box 3080">
          <a:extLst>
            <a:ext uri="{FF2B5EF4-FFF2-40B4-BE49-F238E27FC236}">
              <a16:creationId xmlns="" xmlns:a16="http://schemas.microsoft.com/office/drawing/2014/main" id="{00000000-0008-0000-0000-0000E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2" name="Text Box 3081">
          <a:extLst>
            <a:ext uri="{FF2B5EF4-FFF2-40B4-BE49-F238E27FC236}">
              <a16:creationId xmlns="" xmlns:a16="http://schemas.microsoft.com/office/drawing/2014/main" id="{00000000-0008-0000-0000-0000E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3" name="Text Box 3082">
          <a:extLst>
            <a:ext uri="{FF2B5EF4-FFF2-40B4-BE49-F238E27FC236}">
              <a16:creationId xmlns="" xmlns:a16="http://schemas.microsoft.com/office/drawing/2014/main" id="{00000000-0008-0000-0000-0000E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4" name="Text Box 3083">
          <a:extLst>
            <a:ext uri="{FF2B5EF4-FFF2-40B4-BE49-F238E27FC236}">
              <a16:creationId xmlns="" xmlns:a16="http://schemas.microsoft.com/office/drawing/2014/main" id="{00000000-0008-0000-0000-0000E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5" name="Text Box 3084">
          <a:extLst>
            <a:ext uri="{FF2B5EF4-FFF2-40B4-BE49-F238E27FC236}">
              <a16:creationId xmlns="" xmlns:a16="http://schemas.microsoft.com/office/drawing/2014/main" id="{00000000-0008-0000-0000-0000E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6" name="Text Box 3085">
          <a:extLst>
            <a:ext uri="{FF2B5EF4-FFF2-40B4-BE49-F238E27FC236}">
              <a16:creationId xmlns="" xmlns:a16="http://schemas.microsoft.com/office/drawing/2014/main" id="{00000000-0008-0000-0000-0000E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7" name="Text Box 3086">
          <a:extLst>
            <a:ext uri="{FF2B5EF4-FFF2-40B4-BE49-F238E27FC236}">
              <a16:creationId xmlns="" xmlns:a16="http://schemas.microsoft.com/office/drawing/2014/main" id="{00000000-0008-0000-0000-0000E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8" name="Text Box 3087">
          <a:extLst>
            <a:ext uri="{FF2B5EF4-FFF2-40B4-BE49-F238E27FC236}">
              <a16:creationId xmlns="" xmlns:a16="http://schemas.microsoft.com/office/drawing/2014/main" id="{00000000-0008-0000-0000-0000E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9" name="Text Box 3088">
          <a:extLst>
            <a:ext uri="{FF2B5EF4-FFF2-40B4-BE49-F238E27FC236}">
              <a16:creationId xmlns="" xmlns:a16="http://schemas.microsoft.com/office/drawing/2014/main" id="{00000000-0008-0000-0000-0000E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0" name="Text Box 3089">
          <a:extLst>
            <a:ext uri="{FF2B5EF4-FFF2-40B4-BE49-F238E27FC236}">
              <a16:creationId xmlns="" xmlns:a16="http://schemas.microsoft.com/office/drawing/2014/main" id="{00000000-0008-0000-0000-0000E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1" name="Text Box 3090">
          <a:extLst>
            <a:ext uri="{FF2B5EF4-FFF2-40B4-BE49-F238E27FC236}">
              <a16:creationId xmlns="" xmlns:a16="http://schemas.microsoft.com/office/drawing/2014/main" id="{00000000-0008-0000-0000-0000E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2" name="Text Box 3091">
          <a:extLst>
            <a:ext uri="{FF2B5EF4-FFF2-40B4-BE49-F238E27FC236}">
              <a16:creationId xmlns="" xmlns:a16="http://schemas.microsoft.com/office/drawing/2014/main" id="{00000000-0008-0000-0000-0000E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3" name="Text Box 3092">
          <a:extLst>
            <a:ext uri="{FF2B5EF4-FFF2-40B4-BE49-F238E27FC236}">
              <a16:creationId xmlns="" xmlns:a16="http://schemas.microsoft.com/office/drawing/2014/main" id="{00000000-0008-0000-0000-0000E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4" name="Text Box 3093">
          <a:extLst>
            <a:ext uri="{FF2B5EF4-FFF2-40B4-BE49-F238E27FC236}">
              <a16:creationId xmlns="" xmlns:a16="http://schemas.microsoft.com/office/drawing/2014/main" id="{00000000-0008-0000-0000-0000E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5" name="Text Box 3094">
          <a:extLst>
            <a:ext uri="{FF2B5EF4-FFF2-40B4-BE49-F238E27FC236}">
              <a16:creationId xmlns="" xmlns:a16="http://schemas.microsoft.com/office/drawing/2014/main" id="{00000000-0008-0000-0000-0000E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6" name="Text Box 3095">
          <a:extLst>
            <a:ext uri="{FF2B5EF4-FFF2-40B4-BE49-F238E27FC236}">
              <a16:creationId xmlns="" xmlns:a16="http://schemas.microsoft.com/office/drawing/2014/main" id="{00000000-0008-0000-0000-0000F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7" name="Text Box 3096">
          <a:extLst>
            <a:ext uri="{FF2B5EF4-FFF2-40B4-BE49-F238E27FC236}">
              <a16:creationId xmlns="" xmlns:a16="http://schemas.microsoft.com/office/drawing/2014/main" id="{00000000-0008-0000-0000-0000F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8" name="Text Box 3097">
          <a:extLst>
            <a:ext uri="{FF2B5EF4-FFF2-40B4-BE49-F238E27FC236}">
              <a16:creationId xmlns="" xmlns:a16="http://schemas.microsoft.com/office/drawing/2014/main" id="{00000000-0008-0000-0000-0000F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9" name="Text Box 3098">
          <a:extLst>
            <a:ext uri="{FF2B5EF4-FFF2-40B4-BE49-F238E27FC236}">
              <a16:creationId xmlns="" xmlns:a16="http://schemas.microsoft.com/office/drawing/2014/main" id="{00000000-0008-0000-0000-0000F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0" name="Text Box 3099">
          <a:extLst>
            <a:ext uri="{FF2B5EF4-FFF2-40B4-BE49-F238E27FC236}">
              <a16:creationId xmlns="" xmlns:a16="http://schemas.microsoft.com/office/drawing/2014/main" id="{00000000-0008-0000-0000-0000F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1" name="Text Box 3100">
          <a:extLst>
            <a:ext uri="{FF2B5EF4-FFF2-40B4-BE49-F238E27FC236}">
              <a16:creationId xmlns="" xmlns:a16="http://schemas.microsoft.com/office/drawing/2014/main" id="{00000000-0008-0000-0000-0000F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2" name="Text Box 3101">
          <a:extLst>
            <a:ext uri="{FF2B5EF4-FFF2-40B4-BE49-F238E27FC236}">
              <a16:creationId xmlns="" xmlns:a16="http://schemas.microsoft.com/office/drawing/2014/main" id="{00000000-0008-0000-0000-0000F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783" name="Text Box 3102">
          <a:extLst>
            <a:ext uri="{FF2B5EF4-FFF2-40B4-BE49-F238E27FC236}">
              <a16:creationId xmlns="" xmlns:a16="http://schemas.microsoft.com/office/drawing/2014/main" id="{00000000-0008-0000-0000-0000F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4" name="Text Box 59">
          <a:extLst>
            <a:ext uri="{FF2B5EF4-FFF2-40B4-BE49-F238E27FC236}">
              <a16:creationId xmlns="" xmlns:a16="http://schemas.microsoft.com/office/drawing/2014/main" id="{00000000-0008-0000-0000-0000F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5" name="Text Box 60">
          <a:extLst>
            <a:ext uri="{FF2B5EF4-FFF2-40B4-BE49-F238E27FC236}">
              <a16:creationId xmlns="" xmlns:a16="http://schemas.microsoft.com/office/drawing/2014/main" id="{00000000-0008-0000-0000-0000F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6" name="Text Box 61">
          <a:extLst>
            <a:ext uri="{FF2B5EF4-FFF2-40B4-BE49-F238E27FC236}">
              <a16:creationId xmlns="" xmlns:a16="http://schemas.microsoft.com/office/drawing/2014/main" id="{00000000-0008-0000-0000-0000F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7" name="Text Box 62">
          <a:extLst>
            <a:ext uri="{FF2B5EF4-FFF2-40B4-BE49-F238E27FC236}">
              <a16:creationId xmlns="" xmlns:a16="http://schemas.microsoft.com/office/drawing/2014/main" id="{00000000-0008-0000-0000-0000F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8" name="Text Box 63">
          <a:extLst>
            <a:ext uri="{FF2B5EF4-FFF2-40B4-BE49-F238E27FC236}">
              <a16:creationId xmlns="" xmlns:a16="http://schemas.microsoft.com/office/drawing/2014/main" id="{00000000-0008-0000-0000-0000F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9" name="Text Box 64">
          <a:extLst>
            <a:ext uri="{FF2B5EF4-FFF2-40B4-BE49-F238E27FC236}">
              <a16:creationId xmlns="" xmlns:a16="http://schemas.microsoft.com/office/drawing/2014/main" id="{00000000-0008-0000-0000-0000F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0" name="Text Box 65">
          <a:extLst>
            <a:ext uri="{FF2B5EF4-FFF2-40B4-BE49-F238E27FC236}">
              <a16:creationId xmlns="" xmlns:a16="http://schemas.microsoft.com/office/drawing/2014/main" id="{00000000-0008-0000-0000-0000F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1" name="Text Box 66">
          <a:extLst>
            <a:ext uri="{FF2B5EF4-FFF2-40B4-BE49-F238E27FC236}">
              <a16:creationId xmlns="" xmlns:a16="http://schemas.microsoft.com/office/drawing/2014/main" id="{00000000-0008-0000-0000-0000F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2" name="Text Box 67">
          <a:extLst>
            <a:ext uri="{FF2B5EF4-FFF2-40B4-BE49-F238E27FC236}">
              <a16:creationId xmlns="" xmlns:a16="http://schemas.microsoft.com/office/drawing/2014/main" id="{00000000-0008-0000-0000-00000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3" name="Text Box 68">
          <a:extLst>
            <a:ext uri="{FF2B5EF4-FFF2-40B4-BE49-F238E27FC236}">
              <a16:creationId xmlns="" xmlns:a16="http://schemas.microsoft.com/office/drawing/2014/main" id="{00000000-0008-0000-0000-00000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4" name="Text Box 69">
          <a:extLst>
            <a:ext uri="{FF2B5EF4-FFF2-40B4-BE49-F238E27FC236}">
              <a16:creationId xmlns="" xmlns:a16="http://schemas.microsoft.com/office/drawing/2014/main" id="{00000000-0008-0000-0000-00000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5" name="Text Box 70">
          <a:extLst>
            <a:ext uri="{FF2B5EF4-FFF2-40B4-BE49-F238E27FC236}">
              <a16:creationId xmlns="" xmlns:a16="http://schemas.microsoft.com/office/drawing/2014/main" id="{00000000-0008-0000-0000-00000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6" name="Text Box 71">
          <a:extLst>
            <a:ext uri="{FF2B5EF4-FFF2-40B4-BE49-F238E27FC236}">
              <a16:creationId xmlns="" xmlns:a16="http://schemas.microsoft.com/office/drawing/2014/main" id="{00000000-0008-0000-0000-00000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7" name="Text Box 72">
          <a:extLst>
            <a:ext uri="{FF2B5EF4-FFF2-40B4-BE49-F238E27FC236}">
              <a16:creationId xmlns="" xmlns:a16="http://schemas.microsoft.com/office/drawing/2014/main" id="{00000000-0008-0000-0000-00000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8" name="Text Box 73">
          <a:extLst>
            <a:ext uri="{FF2B5EF4-FFF2-40B4-BE49-F238E27FC236}">
              <a16:creationId xmlns="" xmlns:a16="http://schemas.microsoft.com/office/drawing/2014/main" id="{00000000-0008-0000-0000-00000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9" name="Text Box 74">
          <a:extLst>
            <a:ext uri="{FF2B5EF4-FFF2-40B4-BE49-F238E27FC236}">
              <a16:creationId xmlns="" xmlns:a16="http://schemas.microsoft.com/office/drawing/2014/main" id="{00000000-0008-0000-0000-00000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0" name="Text Box 75">
          <a:extLst>
            <a:ext uri="{FF2B5EF4-FFF2-40B4-BE49-F238E27FC236}">
              <a16:creationId xmlns="" xmlns:a16="http://schemas.microsoft.com/office/drawing/2014/main" id="{00000000-0008-0000-0000-00000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1" name="Text Box 76">
          <a:extLst>
            <a:ext uri="{FF2B5EF4-FFF2-40B4-BE49-F238E27FC236}">
              <a16:creationId xmlns="" xmlns:a16="http://schemas.microsoft.com/office/drawing/2014/main" id="{00000000-0008-0000-0000-00000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2" name="Text Box 77">
          <a:extLst>
            <a:ext uri="{FF2B5EF4-FFF2-40B4-BE49-F238E27FC236}">
              <a16:creationId xmlns="" xmlns:a16="http://schemas.microsoft.com/office/drawing/2014/main" id="{00000000-0008-0000-0000-00000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3" name="Text Box 78">
          <a:extLst>
            <a:ext uri="{FF2B5EF4-FFF2-40B4-BE49-F238E27FC236}">
              <a16:creationId xmlns="" xmlns:a16="http://schemas.microsoft.com/office/drawing/2014/main" id="{00000000-0008-0000-0000-00000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4" name="Text Box 79">
          <a:extLst>
            <a:ext uri="{FF2B5EF4-FFF2-40B4-BE49-F238E27FC236}">
              <a16:creationId xmlns="" xmlns:a16="http://schemas.microsoft.com/office/drawing/2014/main" id="{00000000-0008-0000-0000-00000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5" name="Text Box 80">
          <a:extLst>
            <a:ext uri="{FF2B5EF4-FFF2-40B4-BE49-F238E27FC236}">
              <a16:creationId xmlns="" xmlns:a16="http://schemas.microsoft.com/office/drawing/2014/main" id="{00000000-0008-0000-0000-00000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6" name="Text Box 81">
          <a:extLst>
            <a:ext uri="{FF2B5EF4-FFF2-40B4-BE49-F238E27FC236}">
              <a16:creationId xmlns="" xmlns:a16="http://schemas.microsoft.com/office/drawing/2014/main" id="{00000000-0008-0000-0000-00000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7" name="Text Box 3079">
          <a:extLst>
            <a:ext uri="{FF2B5EF4-FFF2-40B4-BE49-F238E27FC236}">
              <a16:creationId xmlns="" xmlns:a16="http://schemas.microsoft.com/office/drawing/2014/main" id="{00000000-0008-0000-0000-00000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8" name="Text Box 3080">
          <a:extLst>
            <a:ext uri="{FF2B5EF4-FFF2-40B4-BE49-F238E27FC236}">
              <a16:creationId xmlns="" xmlns:a16="http://schemas.microsoft.com/office/drawing/2014/main" id="{00000000-0008-0000-0000-00001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9" name="Text Box 3081">
          <a:extLst>
            <a:ext uri="{FF2B5EF4-FFF2-40B4-BE49-F238E27FC236}">
              <a16:creationId xmlns="" xmlns:a16="http://schemas.microsoft.com/office/drawing/2014/main" id="{00000000-0008-0000-0000-00001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0" name="Text Box 3082">
          <a:extLst>
            <a:ext uri="{FF2B5EF4-FFF2-40B4-BE49-F238E27FC236}">
              <a16:creationId xmlns="" xmlns:a16="http://schemas.microsoft.com/office/drawing/2014/main" id="{00000000-0008-0000-0000-00001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1" name="Text Box 3083">
          <a:extLst>
            <a:ext uri="{FF2B5EF4-FFF2-40B4-BE49-F238E27FC236}">
              <a16:creationId xmlns="" xmlns:a16="http://schemas.microsoft.com/office/drawing/2014/main" id="{00000000-0008-0000-0000-00001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2" name="Text Box 3084">
          <a:extLst>
            <a:ext uri="{FF2B5EF4-FFF2-40B4-BE49-F238E27FC236}">
              <a16:creationId xmlns="" xmlns:a16="http://schemas.microsoft.com/office/drawing/2014/main" id="{00000000-0008-0000-0000-00001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3" name="Text Box 3085">
          <a:extLst>
            <a:ext uri="{FF2B5EF4-FFF2-40B4-BE49-F238E27FC236}">
              <a16:creationId xmlns="" xmlns:a16="http://schemas.microsoft.com/office/drawing/2014/main" id="{00000000-0008-0000-0000-00001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4" name="Text Box 3086">
          <a:extLst>
            <a:ext uri="{FF2B5EF4-FFF2-40B4-BE49-F238E27FC236}">
              <a16:creationId xmlns="" xmlns:a16="http://schemas.microsoft.com/office/drawing/2014/main" id="{00000000-0008-0000-0000-00001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5" name="Text Box 3087">
          <a:extLst>
            <a:ext uri="{FF2B5EF4-FFF2-40B4-BE49-F238E27FC236}">
              <a16:creationId xmlns="" xmlns:a16="http://schemas.microsoft.com/office/drawing/2014/main" id="{00000000-0008-0000-0000-00001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6" name="Text Box 3088">
          <a:extLst>
            <a:ext uri="{FF2B5EF4-FFF2-40B4-BE49-F238E27FC236}">
              <a16:creationId xmlns="" xmlns:a16="http://schemas.microsoft.com/office/drawing/2014/main" id="{00000000-0008-0000-0000-00001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7" name="Text Box 3089">
          <a:extLst>
            <a:ext uri="{FF2B5EF4-FFF2-40B4-BE49-F238E27FC236}">
              <a16:creationId xmlns="" xmlns:a16="http://schemas.microsoft.com/office/drawing/2014/main" id="{00000000-0008-0000-0000-00001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8" name="Text Box 3090">
          <a:extLst>
            <a:ext uri="{FF2B5EF4-FFF2-40B4-BE49-F238E27FC236}">
              <a16:creationId xmlns="" xmlns:a16="http://schemas.microsoft.com/office/drawing/2014/main" id="{00000000-0008-0000-0000-00001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9" name="Text Box 3091">
          <a:extLst>
            <a:ext uri="{FF2B5EF4-FFF2-40B4-BE49-F238E27FC236}">
              <a16:creationId xmlns="" xmlns:a16="http://schemas.microsoft.com/office/drawing/2014/main" id="{00000000-0008-0000-0000-00001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0" name="Text Box 3092">
          <a:extLst>
            <a:ext uri="{FF2B5EF4-FFF2-40B4-BE49-F238E27FC236}">
              <a16:creationId xmlns="" xmlns:a16="http://schemas.microsoft.com/office/drawing/2014/main" id="{00000000-0008-0000-0000-00001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1" name="Text Box 3093">
          <a:extLst>
            <a:ext uri="{FF2B5EF4-FFF2-40B4-BE49-F238E27FC236}">
              <a16:creationId xmlns="" xmlns:a16="http://schemas.microsoft.com/office/drawing/2014/main" id="{00000000-0008-0000-0000-00001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2" name="Text Box 3094">
          <a:extLst>
            <a:ext uri="{FF2B5EF4-FFF2-40B4-BE49-F238E27FC236}">
              <a16:creationId xmlns="" xmlns:a16="http://schemas.microsoft.com/office/drawing/2014/main" id="{00000000-0008-0000-0000-00001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3" name="Text Box 3095">
          <a:extLst>
            <a:ext uri="{FF2B5EF4-FFF2-40B4-BE49-F238E27FC236}">
              <a16:creationId xmlns="" xmlns:a16="http://schemas.microsoft.com/office/drawing/2014/main" id="{00000000-0008-0000-0000-00001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4" name="Text Box 3096">
          <a:extLst>
            <a:ext uri="{FF2B5EF4-FFF2-40B4-BE49-F238E27FC236}">
              <a16:creationId xmlns="" xmlns:a16="http://schemas.microsoft.com/office/drawing/2014/main" id="{00000000-0008-0000-0000-00002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5" name="Text Box 3097">
          <a:extLst>
            <a:ext uri="{FF2B5EF4-FFF2-40B4-BE49-F238E27FC236}">
              <a16:creationId xmlns="" xmlns:a16="http://schemas.microsoft.com/office/drawing/2014/main" id="{00000000-0008-0000-0000-00002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6" name="Text Box 3098">
          <a:extLst>
            <a:ext uri="{FF2B5EF4-FFF2-40B4-BE49-F238E27FC236}">
              <a16:creationId xmlns="" xmlns:a16="http://schemas.microsoft.com/office/drawing/2014/main" id="{00000000-0008-0000-0000-00002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7" name="Text Box 3099">
          <a:extLst>
            <a:ext uri="{FF2B5EF4-FFF2-40B4-BE49-F238E27FC236}">
              <a16:creationId xmlns="" xmlns:a16="http://schemas.microsoft.com/office/drawing/2014/main" id="{00000000-0008-0000-0000-00002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8" name="Text Box 3100">
          <a:extLst>
            <a:ext uri="{FF2B5EF4-FFF2-40B4-BE49-F238E27FC236}">
              <a16:creationId xmlns="" xmlns:a16="http://schemas.microsoft.com/office/drawing/2014/main" id="{00000000-0008-0000-0000-00002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9" name="Text Box 3101">
          <a:extLst>
            <a:ext uri="{FF2B5EF4-FFF2-40B4-BE49-F238E27FC236}">
              <a16:creationId xmlns="" xmlns:a16="http://schemas.microsoft.com/office/drawing/2014/main" id="{00000000-0008-0000-0000-00002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830" name="Text Box 3102">
          <a:extLst>
            <a:ext uri="{FF2B5EF4-FFF2-40B4-BE49-F238E27FC236}">
              <a16:creationId xmlns="" xmlns:a16="http://schemas.microsoft.com/office/drawing/2014/main" id="{00000000-0008-0000-0000-00002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1" name="Text Box 59">
          <a:extLst>
            <a:ext uri="{FF2B5EF4-FFF2-40B4-BE49-F238E27FC236}">
              <a16:creationId xmlns="" xmlns:a16="http://schemas.microsoft.com/office/drawing/2014/main" id="{00000000-0008-0000-0000-00002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2" name="Text Box 60">
          <a:extLst>
            <a:ext uri="{FF2B5EF4-FFF2-40B4-BE49-F238E27FC236}">
              <a16:creationId xmlns="" xmlns:a16="http://schemas.microsoft.com/office/drawing/2014/main" id="{00000000-0008-0000-0000-00002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3" name="Text Box 61">
          <a:extLst>
            <a:ext uri="{FF2B5EF4-FFF2-40B4-BE49-F238E27FC236}">
              <a16:creationId xmlns="" xmlns:a16="http://schemas.microsoft.com/office/drawing/2014/main" id="{00000000-0008-0000-0000-00002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4" name="Text Box 62">
          <a:extLst>
            <a:ext uri="{FF2B5EF4-FFF2-40B4-BE49-F238E27FC236}">
              <a16:creationId xmlns="" xmlns:a16="http://schemas.microsoft.com/office/drawing/2014/main" id="{00000000-0008-0000-0000-00002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5" name="Text Box 63">
          <a:extLst>
            <a:ext uri="{FF2B5EF4-FFF2-40B4-BE49-F238E27FC236}">
              <a16:creationId xmlns="" xmlns:a16="http://schemas.microsoft.com/office/drawing/2014/main" id="{00000000-0008-0000-0000-00002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6" name="Text Box 64">
          <a:extLst>
            <a:ext uri="{FF2B5EF4-FFF2-40B4-BE49-F238E27FC236}">
              <a16:creationId xmlns="" xmlns:a16="http://schemas.microsoft.com/office/drawing/2014/main" id="{00000000-0008-0000-0000-00002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7" name="Text Box 65">
          <a:extLst>
            <a:ext uri="{FF2B5EF4-FFF2-40B4-BE49-F238E27FC236}">
              <a16:creationId xmlns="" xmlns:a16="http://schemas.microsoft.com/office/drawing/2014/main" id="{00000000-0008-0000-0000-00002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8" name="Text Box 66">
          <a:extLst>
            <a:ext uri="{FF2B5EF4-FFF2-40B4-BE49-F238E27FC236}">
              <a16:creationId xmlns="" xmlns:a16="http://schemas.microsoft.com/office/drawing/2014/main" id="{00000000-0008-0000-0000-00002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9" name="Text Box 67">
          <a:extLst>
            <a:ext uri="{FF2B5EF4-FFF2-40B4-BE49-F238E27FC236}">
              <a16:creationId xmlns="" xmlns:a16="http://schemas.microsoft.com/office/drawing/2014/main" id="{00000000-0008-0000-0000-00002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0" name="Text Box 68">
          <a:extLst>
            <a:ext uri="{FF2B5EF4-FFF2-40B4-BE49-F238E27FC236}">
              <a16:creationId xmlns="" xmlns:a16="http://schemas.microsoft.com/office/drawing/2014/main" id="{00000000-0008-0000-0000-00003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1" name="Text Box 69">
          <a:extLst>
            <a:ext uri="{FF2B5EF4-FFF2-40B4-BE49-F238E27FC236}">
              <a16:creationId xmlns="" xmlns:a16="http://schemas.microsoft.com/office/drawing/2014/main" id="{00000000-0008-0000-0000-00003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2" name="Text Box 70">
          <a:extLst>
            <a:ext uri="{FF2B5EF4-FFF2-40B4-BE49-F238E27FC236}">
              <a16:creationId xmlns="" xmlns:a16="http://schemas.microsoft.com/office/drawing/2014/main" id="{00000000-0008-0000-0000-00003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3" name="Text Box 71">
          <a:extLst>
            <a:ext uri="{FF2B5EF4-FFF2-40B4-BE49-F238E27FC236}">
              <a16:creationId xmlns="" xmlns:a16="http://schemas.microsoft.com/office/drawing/2014/main" id="{00000000-0008-0000-0000-00003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4" name="Text Box 72">
          <a:extLst>
            <a:ext uri="{FF2B5EF4-FFF2-40B4-BE49-F238E27FC236}">
              <a16:creationId xmlns="" xmlns:a16="http://schemas.microsoft.com/office/drawing/2014/main" id="{00000000-0008-0000-0000-00003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5" name="Text Box 73">
          <a:extLst>
            <a:ext uri="{FF2B5EF4-FFF2-40B4-BE49-F238E27FC236}">
              <a16:creationId xmlns="" xmlns:a16="http://schemas.microsoft.com/office/drawing/2014/main" id="{00000000-0008-0000-0000-00003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6" name="Text Box 74">
          <a:extLst>
            <a:ext uri="{FF2B5EF4-FFF2-40B4-BE49-F238E27FC236}">
              <a16:creationId xmlns="" xmlns:a16="http://schemas.microsoft.com/office/drawing/2014/main" id="{00000000-0008-0000-0000-00003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7" name="Text Box 75">
          <a:extLst>
            <a:ext uri="{FF2B5EF4-FFF2-40B4-BE49-F238E27FC236}">
              <a16:creationId xmlns="" xmlns:a16="http://schemas.microsoft.com/office/drawing/2014/main" id="{00000000-0008-0000-0000-00003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8" name="Text Box 76">
          <a:extLst>
            <a:ext uri="{FF2B5EF4-FFF2-40B4-BE49-F238E27FC236}">
              <a16:creationId xmlns="" xmlns:a16="http://schemas.microsoft.com/office/drawing/2014/main" id="{00000000-0008-0000-0000-00003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9" name="Text Box 77">
          <a:extLst>
            <a:ext uri="{FF2B5EF4-FFF2-40B4-BE49-F238E27FC236}">
              <a16:creationId xmlns="" xmlns:a16="http://schemas.microsoft.com/office/drawing/2014/main" id="{00000000-0008-0000-0000-00003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0" name="Text Box 78">
          <a:extLst>
            <a:ext uri="{FF2B5EF4-FFF2-40B4-BE49-F238E27FC236}">
              <a16:creationId xmlns="" xmlns:a16="http://schemas.microsoft.com/office/drawing/2014/main" id="{00000000-0008-0000-0000-00003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1" name="Text Box 79">
          <a:extLst>
            <a:ext uri="{FF2B5EF4-FFF2-40B4-BE49-F238E27FC236}">
              <a16:creationId xmlns="" xmlns:a16="http://schemas.microsoft.com/office/drawing/2014/main" id="{00000000-0008-0000-0000-00003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2" name="Text Box 80">
          <a:extLst>
            <a:ext uri="{FF2B5EF4-FFF2-40B4-BE49-F238E27FC236}">
              <a16:creationId xmlns="" xmlns:a16="http://schemas.microsoft.com/office/drawing/2014/main" id="{00000000-0008-0000-0000-00003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3" name="Text Box 81">
          <a:extLst>
            <a:ext uri="{FF2B5EF4-FFF2-40B4-BE49-F238E27FC236}">
              <a16:creationId xmlns="" xmlns:a16="http://schemas.microsoft.com/office/drawing/2014/main" id="{00000000-0008-0000-0000-00003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854" name="Text Box 82">
          <a:extLst>
            <a:ext uri="{FF2B5EF4-FFF2-40B4-BE49-F238E27FC236}">
              <a16:creationId xmlns="" xmlns:a16="http://schemas.microsoft.com/office/drawing/2014/main" id="{00000000-0008-0000-0000-00003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5" name="Text Box 3079">
          <a:extLst>
            <a:ext uri="{FF2B5EF4-FFF2-40B4-BE49-F238E27FC236}">
              <a16:creationId xmlns="" xmlns:a16="http://schemas.microsoft.com/office/drawing/2014/main" id="{00000000-0008-0000-0000-00003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6" name="Text Box 3080">
          <a:extLst>
            <a:ext uri="{FF2B5EF4-FFF2-40B4-BE49-F238E27FC236}">
              <a16:creationId xmlns="" xmlns:a16="http://schemas.microsoft.com/office/drawing/2014/main" id="{00000000-0008-0000-0000-00004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7" name="Text Box 3081">
          <a:extLst>
            <a:ext uri="{FF2B5EF4-FFF2-40B4-BE49-F238E27FC236}">
              <a16:creationId xmlns="" xmlns:a16="http://schemas.microsoft.com/office/drawing/2014/main" id="{00000000-0008-0000-0000-00004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8" name="Text Box 3082">
          <a:extLst>
            <a:ext uri="{FF2B5EF4-FFF2-40B4-BE49-F238E27FC236}">
              <a16:creationId xmlns="" xmlns:a16="http://schemas.microsoft.com/office/drawing/2014/main" id="{00000000-0008-0000-0000-00004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9" name="Text Box 3083">
          <a:extLst>
            <a:ext uri="{FF2B5EF4-FFF2-40B4-BE49-F238E27FC236}">
              <a16:creationId xmlns="" xmlns:a16="http://schemas.microsoft.com/office/drawing/2014/main" id="{00000000-0008-0000-0000-00004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0" name="Text Box 3084">
          <a:extLst>
            <a:ext uri="{FF2B5EF4-FFF2-40B4-BE49-F238E27FC236}">
              <a16:creationId xmlns="" xmlns:a16="http://schemas.microsoft.com/office/drawing/2014/main" id="{00000000-0008-0000-0000-00004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1" name="Text Box 3085">
          <a:extLst>
            <a:ext uri="{FF2B5EF4-FFF2-40B4-BE49-F238E27FC236}">
              <a16:creationId xmlns="" xmlns:a16="http://schemas.microsoft.com/office/drawing/2014/main" id="{00000000-0008-0000-0000-00004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2" name="Text Box 3086">
          <a:extLst>
            <a:ext uri="{FF2B5EF4-FFF2-40B4-BE49-F238E27FC236}">
              <a16:creationId xmlns="" xmlns:a16="http://schemas.microsoft.com/office/drawing/2014/main" id="{00000000-0008-0000-0000-00004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3" name="Text Box 3087">
          <a:extLst>
            <a:ext uri="{FF2B5EF4-FFF2-40B4-BE49-F238E27FC236}">
              <a16:creationId xmlns="" xmlns:a16="http://schemas.microsoft.com/office/drawing/2014/main" id="{00000000-0008-0000-0000-00004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4" name="Text Box 3088">
          <a:extLst>
            <a:ext uri="{FF2B5EF4-FFF2-40B4-BE49-F238E27FC236}">
              <a16:creationId xmlns="" xmlns:a16="http://schemas.microsoft.com/office/drawing/2014/main" id="{00000000-0008-0000-0000-00004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5" name="Text Box 3089">
          <a:extLst>
            <a:ext uri="{FF2B5EF4-FFF2-40B4-BE49-F238E27FC236}">
              <a16:creationId xmlns="" xmlns:a16="http://schemas.microsoft.com/office/drawing/2014/main" id="{00000000-0008-0000-0000-00004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6" name="Text Box 3090">
          <a:extLst>
            <a:ext uri="{FF2B5EF4-FFF2-40B4-BE49-F238E27FC236}">
              <a16:creationId xmlns="" xmlns:a16="http://schemas.microsoft.com/office/drawing/2014/main" id="{00000000-0008-0000-0000-00004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7" name="Text Box 3091">
          <a:extLst>
            <a:ext uri="{FF2B5EF4-FFF2-40B4-BE49-F238E27FC236}">
              <a16:creationId xmlns="" xmlns:a16="http://schemas.microsoft.com/office/drawing/2014/main" id="{00000000-0008-0000-0000-00004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8" name="Text Box 3092">
          <a:extLst>
            <a:ext uri="{FF2B5EF4-FFF2-40B4-BE49-F238E27FC236}">
              <a16:creationId xmlns="" xmlns:a16="http://schemas.microsoft.com/office/drawing/2014/main" id="{00000000-0008-0000-0000-00004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9" name="Text Box 3093">
          <a:extLst>
            <a:ext uri="{FF2B5EF4-FFF2-40B4-BE49-F238E27FC236}">
              <a16:creationId xmlns="" xmlns:a16="http://schemas.microsoft.com/office/drawing/2014/main" id="{00000000-0008-0000-0000-00004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0" name="Text Box 3094">
          <a:extLst>
            <a:ext uri="{FF2B5EF4-FFF2-40B4-BE49-F238E27FC236}">
              <a16:creationId xmlns="" xmlns:a16="http://schemas.microsoft.com/office/drawing/2014/main" id="{00000000-0008-0000-0000-00004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1" name="Text Box 3095">
          <a:extLst>
            <a:ext uri="{FF2B5EF4-FFF2-40B4-BE49-F238E27FC236}">
              <a16:creationId xmlns="" xmlns:a16="http://schemas.microsoft.com/office/drawing/2014/main" id="{00000000-0008-0000-0000-00004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2" name="Text Box 3096">
          <a:extLst>
            <a:ext uri="{FF2B5EF4-FFF2-40B4-BE49-F238E27FC236}">
              <a16:creationId xmlns="" xmlns:a16="http://schemas.microsoft.com/office/drawing/2014/main" id="{00000000-0008-0000-0000-00005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3" name="Text Box 3097">
          <a:extLst>
            <a:ext uri="{FF2B5EF4-FFF2-40B4-BE49-F238E27FC236}">
              <a16:creationId xmlns="" xmlns:a16="http://schemas.microsoft.com/office/drawing/2014/main" id="{00000000-0008-0000-0000-00005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4" name="Text Box 3098">
          <a:extLst>
            <a:ext uri="{FF2B5EF4-FFF2-40B4-BE49-F238E27FC236}">
              <a16:creationId xmlns="" xmlns:a16="http://schemas.microsoft.com/office/drawing/2014/main" id="{00000000-0008-0000-0000-00005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5" name="Text Box 3099">
          <a:extLst>
            <a:ext uri="{FF2B5EF4-FFF2-40B4-BE49-F238E27FC236}">
              <a16:creationId xmlns="" xmlns:a16="http://schemas.microsoft.com/office/drawing/2014/main" id="{00000000-0008-0000-0000-00005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6" name="Text Box 3100">
          <a:extLst>
            <a:ext uri="{FF2B5EF4-FFF2-40B4-BE49-F238E27FC236}">
              <a16:creationId xmlns="" xmlns:a16="http://schemas.microsoft.com/office/drawing/2014/main" id="{00000000-0008-0000-0000-00005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7" name="Text Box 3101">
          <a:extLst>
            <a:ext uri="{FF2B5EF4-FFF2-40B4-BE49-F238E27FC236}">
              <a16:creationId xmlns="" xmlns:a16="http://schemas.microsoft.com/office/drawing/2014/main" id="{00000000-0008-0000-0000-00005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878" name="Text Box 3102">
          <a:extLst>
            <a:ext uri="{FF2B5EF4-FFF2-40B4-BE49-F238E27FC236}">
              <a16:creationId xmlns="" xmlns:a16="http://schemas.microsoft.com/office/drawing/2014/main" id="{00000000-0008-0000-0000-00005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79" name="Text Box 59">
          <a:extLst>
            <a:ext uri="{FF2B5EF4-FFF2-40B4-BE49-F238E27FC236}">
              <a16:creationId xmlns="" xmlns:a16="http://schemas.microsoft.com/office/drawing/2014/main" id="{00000000-0008-0000-0000-00005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0" name="Text Box 60">
          <a:extLst>
            <a:ext uri="{FF2B5EF4-FFF2-40B4-BE49-F238E27FC236}">
              <a16:creationId xmlns="" xmlns:a16="http://schemas.microsoft.com/office/drawing/2014/main" id="{00000000-0008-0000-0000-00005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1" name="Text Box 61">
          <a:extLst>
            <a:ext uri="{FF2B5EF4-FFF2-40B4-BE49-F238E27FC236}">
              <a16:creationId xmlns="" xmlns:a16="http://schemas.microsoft.com/office/drawing/2014/main" id="{00000000-0008-0000-0000-00005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2" name="Text Box 62">
          <a:extLst>
            <a:ext uri="{FF2B5EF4-FFF2-40B4-BE49-F238E27FC236}">
              <a16:creationId xmlns="" xmlns:a16="http://schemas.microsoft.com/office/drawing/2014/main" id="{00000000-0008-0000-0000-00005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3" name="Text Box 63">
          <a:extLst>
            <a:ext uri="{FF2B5EF4-FFF2-40B4-BE49-F238E27FC236}">
              <a16:creationId xmlns=""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4" name="Text Box 64">
          <a:extLst>
            <a:ext uri="{FF2B5EF4-FFF2-40B4-BE49-F238E27FC236}">
              <a16:creationId xmlns=""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5" name="Text Box 65">
          <a:extLst>
            <a:ext uri="{FF2B5EF4-FFF2-40B4-BE49-F238E27FC236}">
              <a16:creationId xmlns=""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6" name="Text Box 66">
          <a:extLst>
            <a:ext uri="{FF2B5EF4-FFF2-40B4-BE49-F238E27FC236}">
              <a16:creationId xmlns=""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7" name="Text Box 67">
          <a:extLst>
            <a:ext uri="{FF2B5EF4-FFF2-40B4-BE49-F238E27FC236}">
              <a16:creationId xmlns=""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8" name="Text Box 68">
          <a:extLst>
            <a:ext uri="{FF2B5EF4-FFF2-40B4-BE49-F238E27FC236}">
              <a16:creationId xmlns=""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9" name="Text Box 69">
          <a:extLst>
            <a:ext uri="{FF2B5EF4-FFF2-40B4-BE49-F238E27FC236}">
              <a16:creationId xmlns=""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0" name="Text Box 70">
          <a:extLst>
            <a:ext uri="{FF2B5EF4-FFF2-40B4-BE49-F238E27FC236}">
              <a16:creationId xmlns=""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1" name="Text Box 71">
          <a:extLst>
            <a:ext uri="{FF2B5EF4-FFF2-40B4-BE49-F238E27FC236}">
              <a16:creationId xmlns=""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2" name="Text Box 72">
          <a:extLst>
            <a:ext uri="{FF2B5EF4-FFF2-40B4-BE49-F238E27FC236}">
              <a16:creationId xmlns=""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3" name="Text Box 73">
          <a:extLst>
            <a:ext uri="{FF2B5EF4-FFF2-40B4-BE49-F238E27FC236}">
              <a16:creationId xmlns=""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4" name="Text Box 74">
          <a:extLst>
            <a:ext uri="{FF2B5EF4-FFF2-40B4-BE49-F238E27FC236}">
              <a16:creationId xmlns=""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5" name="Text Box 75">
          <a:extLst>
            <a:ext uri="{FF2B5EF4-FFF2-40B4-BE49-F238E27FC236}">
              <a16:creationId xmlns=""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6" name="Text Box 76">
          <a:extLst>
            <a:ext uri="{FF2B5EF4-FFF2-40B4-BE49-F238E27FC236}">
              <a16:creationId xmlns=""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7" name="Text Box 77">
          <a:extLst>
            <a:ext uri="{FF2B5EF4-FFF2-40B4-BE49-F238E27FC236}">
              <a16:creationId xmlns=""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8" name="Text Box 78">
          <a:extLst>
            <a:ext uri="{FF2B5EF4-FFF2-40B4-BE49-F238E27FC236}">
              <a16:creationId xmlns=""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9" name="Text Box 79">
          <a:extLst>
            <a:ext uri="{FF2B5EF4-FFF2-40B4-BE49-F238E27FC236}">
              <a16:creationId xmlns=""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0" name="Text Box 80">
          <a:extLst>
            <a:ext uri="{FF2B5EF4-FFF2-40B4-BE49-F238E27FC236}">
              <a16:creationId xmlns=""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1" name="Text Box 81">
          <a:extLst>
            <a:ext uri="{FF2B5EF4-FFF2-40B4-BE49-F238E27FC236}">
              <a16:creationId xmlns=""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2" name="Text Box 3079">
          <a:extLst>
            <a:ext uri="{FF2B5EF4-FFF2-40B4-BE49-F238E27FC236}">
              <a16:creationId xmlns=""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3" name="Text Box 3080">
          <a:extLst>
            <a:ext uri="{FF2B5EF4-FFF2-40B4-BE49-F238E27FC236}">
              <a16:creationId xmlns=""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4" name="Text Box 3081">
          <a:extLst>
            <a:ext uri="{FF2B5EF4-FFF2-40B4-BE49-F238E27FC236}">
              <a16:creationId xmlns=""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5" name="Text Box 3082">
          <a:extLst>
            <a:ext uri="{FF2B5EF4-FFF2-40B4-BE49-F238E27FC236}">
              <a16:creationId xmlns=""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6" name="Text Box 3083">
          <a:extLst>
            <a:ext uri="{FF2B5EF4-FFF2-40B4-BE49-F238E27FC236}">
              <a16:creationId xmlns=""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7" name="Text Box 3084">
          <a:extLst>
            <a:ext uri="{FF2B5EF4-FFF2-40B4-BE49-F238E27FC236}">
              <a16:creationId xmlns=""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8" name="Text Box 3085">
          <a:extLst>
            <a:ext uri="{FF2B5EF4-FFF2-40B4-BE49-F238E27FC236}">
              <a16:creationId xmlns=""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9" name="Text Box 3086">
          <a:extLst>
            <a:ext uri="{FF2B5EF4-FFF2-40B4-BE49-F238E27FC236}">
              <a16:creationId xmlns=""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0" name="Text Box 3087">
          <a:extLst>
            <a:ext uri="{FF2B5EF4-FFF2-40B4-BE49-F238E27FC236}">
              <a16:creationId xmlns=""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1" name="Text Box 3088">
          <a:extLst>
            <a:ext uri="{FF2B5EF4-FFF2-40B4-BE49-F238E27FC236}">
              <a16:creationId xmlns=""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2" name="Text Box 3089">
          <a:extLst>
            <a:ext uri="{FF2B5EF4-FFF2-40B4-BE49-F238E27FC236}">
              <a16:creationId xmlns=""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3" name="Text Box 3090">
          <a:extLst>
            <a:ext uri="{FF2B5EF4-FFF2-40B4-BE49-F238E27FC236}">
              <a16:creationId xmlns=""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4" name="Text Box 3091">
          <a:extLst>
            <a:ext uri="{FF2B5EF4-FFF2-40B4-BE49-F238E27FC236}">
              <a16:creationId xmlns=""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5" name="Text Box 3092">
          <a:extLst>
            <a:ext uri="{FF2B5EF4-FFF2-40B4-BE49-F238E27FC236}">
              <a16:creationId xmlns=""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6" name="Text Box 3093">
          <a:extLst>
            <a:ext uri="{FF2B5EF4-FFF2-40B4-BE49-F238E27FC236}">
              <a16:creationId xmlns=""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7" name="Text Box 3094">
          <a:extLst>
            <a:ext uri="{FF2B5EF4-FFF2-40B4-BE49-F238E27FC236}">
              <a16:creationId xmlns=""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8" name="Text Box 3095">
          <a:extLst>
            <a:ext uri="{FF2B5EF4-FFF2-40B4-BE49-F238E27FC236}">
              <a16:creationId xmlns=""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9" name="Text Box 3096">
          <a:extLst>
            <a:ext uri="{FF2B5EF4-FFF2-40B4-BE49-F238E27FC236}">
              <a16:creationId xmlns=""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0" name="Text Box 3097">
          <a:extLst>
            <a:ext uri="{FF2B5EF4-FFF2-40B4-BE49-F238E27FC236}">
              <a16:creationId xmlns=""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1" name="Text Box 3098">
          <a:extLst>
            <a:ext uri="{FF2B5EF4-FFF2-40B4-BE49-F238E27FC236}">
              <a16:creationId xmlns=""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2" name="Text Box 3099">
          <a:extLst>
            <a:ext uri="{FF2B5EF4-FFF2-40B4-BE49-F238E27FC236}">
              <a16:creationId xmlns=""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3" name="Text Box 3100">
          <a:extLst>
            <a:ext uri="{FF2B5EF4-FFF2-40B4-BE49-F238E27FC236}">
              <a16:creationId xmlns=""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4" name="Text Box 3101">
          <a:extLst>
            <a:ext uri="{FF2B5EF4-FFF2-40B4-BE49-F238E27FC236}">
              <a16:creationId xmlns=""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925" name="Text Box 3102">
          <a:extLst>
            <a:ext uri="{FF2B5EF4-FFF2-40B4-BE49-F238E27FC236}">
              <a16:creationId xmlns=""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6" name="Text Box 59">
          <a:extLst>
            <a:ext uri="{FF2B5EF4-FFF2-40B4-BE49-F238E27FC236}">
              <a16:creationId xmlns=""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7" name="Text Box 60">
          <a:extLst>
            <a:ext uri="{FF2B5EF4-FFF2-40B4-BE49-F238E27FC236}">
              <a16:creationId xmlns=""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8" name="Text Box 61">
          <a:extLst>
            <a:ext uri="{FF2B5EF4-FFF2-40B4-BE49-F238E27FC236}">
              <a16:creationId xmlns="" xmlns:a16="http://schemas.microsoft.com/office/drawing/2014/main" id="{00000000-0008-0000-0000-00008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9" name="Text Box 62">
          <a:extLst>
            <a:ext uri="{FF2B5EF4-FFF2-40B4-BE49-F238E27FC236}">
              <a16:creationId xmlns="" xmlns:a16="http://schemas.microsoft.com/office/drawing/2014/main" id="{00000000-0008-0000-0000-00008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0" name="Text Box 63">
          <a:extLst>
            <a:ext uri="{FF2B5EF4-FFF2-40B4-BE49-F238E27FC236}">
              <a16:creationId xmlns="" xmlns:a16="http://schemas.microsoft.com/office/drawing/2014/main" id="{00000000-0008-0000-0000-00008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1" name="Text Box 64">
          <a:extLst>
            <a:ext uri="{FF2B5EF4-FFF2-40B4-BE49-F238E27FC236}">
              <a16:creationId xmlns="" xmlns:a16="http://schemas.microsoft.com/office/drawing/2014/main" id="{00000000-0008-0000-0000-00008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2" name="Text Box 65">
          <a:extLst>
            <a:ext uri="{FF2B5EF4-FFF2-40B4-BE49-F238E27FC236}">
              <a16:creationId xmlns="" xmlns:a16="http://schemas.microsoft.com/office/drawing/2014/main" id="{00000000-0008-0000-0000-00008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3" name="Text Box 66">
          <a:extLst>
            <a:ext uri="{FF2B5EF4-FFF2-40B4-BE49-F238E27FC236}">
              <a16:creationId xmlns="" xmlns:a16="http://schemas.microsoft.com/office/drawing/2014/main" id="{00000000-0008-0000-0000-00008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4" name="Text Box 67">
          <a:extLst>
            <a:ext uri="{FF2B5EF4-FFF2-40B4-BE49-F238E27FC236}">
              <a16:creationId xmlns="" xmlns:a16="http://schemas.microsoft.com/office/drawing/2014/main" id="{00000000-0008-0000-0000-00008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5" name="Text Box 68">
          <a:extLst>
            <a:ext uri="{FF2B5EF4-FFF2-40B4-BE49-F238E27FC236}">
              <a16:creationId xmlns="" xmlns:a16="http://schemas.microsoft.com/office/drawing/2014/main" id="{00000000-0008-0000-0000-00008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6" name="Text Box 69">
          <a:extLst>
            <a:ext uri="{FF2B5EF4-FFF2-40B4-BE49-F238E27FC236}">
              <a16:creationId xmlns="" xmlns:a16="http://schemas.microsoft.com/office/drawing/2014/main" id="{00000000-0008-0000-0000-00009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7" name="Text Box 70">
          <a:extLst>
            <a:ext uri="{FF2B5EF4-FFF2-40B4-BE49-F238E27FC236}">
              <a16:creationId xmlns="" xmlns:a16="http://schemas.microsoft.com/office/drawing/2014/main" id="{00000000-0008-0000-0000-00009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8" name="Text Box 71">
          <a:extLst>
            <a:ext uri="{FF2B5EF4-FFF2-40B4-BE49-F238E27FC236}">
              <a16:creationId xmlns="" xmlns:a16="http://schemas.microsoft.com/office/drawing/2014/main" id="{00000000-0008-0000-0000-00009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9" name="Text Box 72">
          <a:extLst>
            <a:ext uri="{FF2B5EF4-FFF2-40B4-BE49-F238E27FC236}">
              <a16:creationId xmlns="" xmlns:a16="http://schemas.microsoft.com/office/drawing/2014/main" id="{00000000-0008-0000-0000-00009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0" name="Text Box 73">
          <a:extLst>
            <a:ext uri="{FF2B5EF4-FFF2-40B4-BE49-F238E27FC236}">
              <a16:creationId xmlns="" xmlns:a16="http://schemas.microsoft.com/office/drawing/2014/main" id="{00000000-0008-0000-0000-00009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1" name="Text Box 74">
          <a:extLst>
            <a:ext uri="{FF2B5EF4-FFF2-40B4-BE49-F238E27FC236}">
              <a16:creationId xmlns="" xmlns:a16="http://schemas.microsoft.com/office/drawing/2014/main" id="{00000000-0008-0000-0000-00009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2" name="Text Box 75">
          <a:extLst>
            <a:ext uri="{FF2B5EF4-FFF2-40B4-BE49-F238E27FC236}">
              <a16:creationId xmlns="" xmlns:a16="http://schemas.microsoft.com/office/drawing/2014/main" id="{00000000-0008-0000-0000-00009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3" name="Text Box 76">
          <a:extLst>
            <a:ext uri="{FF2B5EF4-FFF2-40B4-BE49-F238E27FC236}">
              <a16:creationId xmlns="" xmlns:a16="http://schemas.microsoft.com/office/drawing/2014/main" id="{00000000-0008-0000-0000-00009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4" name="Text Box 77">
          <a:extLst>
            <a:ext uri="{FF2B5EF4-FFF2-40B4-BE49-F238E27FC236}">
              <a16:creationId xmlns="" xmlns:a16="http://schemas.microsoft.com/office/drawing/2014/main" id="{00000000-0008-0000-0000-00009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5" name="Text Box 78">
          <a:extLst>
            <a:ext uri="{FF2B5EF4-FFF2-40B4-BE49-F238E27FC236}">
              <a16:creationId xmlns="" xmlns:a16="http://schemas.microsoft.com/office/drawing/2014/main" id="{00000000-0008-0000-0000-00009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6" name="Text Box 79">
          <a:extLst>
            <a:ext uri="{FF2B5EF4-FFF2-40B4-BE49-F238E27FC236}">
              <a16:creationId xmlns="" xmlns:a16="http://schemas.microsoft.com/office/drawing/2014/main" id="{00000000-0008-0000-0000-00009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7" name="Text Box 80">
          <a:extLst>
            <a:ext uri="{FF2B5EF4-FFF2-40B4-BE49-F238E27FC236}">
              <a16:creationId xmlns="" xmlns:a16="http://schemas.microsoft.com/office/drawing/2014/main" id="{00000000-0008-0000-0000-00009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8" name="Text Box 81">
          <a:extLst>
            <a:ext uri="{FF2B5EF4-FFF2-40B4-BE49-F238E27FC236}">
              <a16:creationId xmlns="" xmlns:a16="http://schemas.microsoft.com/office/drawing/2014/main" id="{00000000-0008-0000-0000-00009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949" name="Text Box 82">
          <a:extLst>
            <a:ext uri="{FF2B5EF4-FFF2-40B4-BE49-F238E27FC236}">
              <a16:creationId xmlns="" xmlns:a16="http://schemas.microsoft.com/office/drawing/2014/main" id="{00000000-0008-0000-0000-00009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0" name="Text Box 3079">
          <a:extLst>
            <a:ext uri="{FF2B5EF4-FFF2-40B4-BE49-F238E27FC236}">
              <a16:creationId xmlns="" xmlns:a16="http://schemas.microsoft.com/office/drawing/2014/main" id="{00000000-0008-0000-0000-00009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1" name="Text Box 3080">
          <a:extLst>
            <a:ext uri="{FF2B5EF4-FFF2-40B4-BE49-F238E27FC236}">
              <a16:creationId xmlns="" xmlns:a16="http://schemas.microsoft.com/office/drawing/2014/main" id="{00000000-0008-0000-0000-00009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2" name="Text Box 3081">
          <a:extLst>
            <a:ext uri="{FF2B5EF4-FFF2-40B4-BE49-F238E27FC236}">
              <a16:creationId xmlns="" xmlns:a16="http://schemas.microsoft.com/office/drawing/2014/main" id="{00000000-0008-0000-0000-0000A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3" name="Text Box 3082">
          <a:extLst>
            <a:ext uri="{FF2B5EF4-FFF2-40B4-BE49-F238E27FC236}">
              <a16:creationId xmlns="" xmlns:a16="http://schemas.microsoft.com/office/drawing/2014/main" id="{00000000-0008-0000-0000-0000A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4" name="Text Box 3083">
          <a:extLst>
            <a:ext uri="{FF2B5EF4-FFF2-40B4-BE49-F238E27FC236}">
              <a16:creationId xmlns="" xmlns:a16="http://schemas.microsoft.com/office/drawing/2014/main" id="{00000000-0008-0000-0000-0000A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5" name="Text Box 3084">
          <a:extLst>
            <a:ext uri="{FF2B5EF4-FFF2-40B4-BE49-F238E27FC236}">
              <a16:creationId xmlns="" xmlns:a16="http://schemas.microsoft.com/office/drawing/2014/main" id="{00000000-0008-0000-0000-0000A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6" name="Text Box 3085">
          <a:extLst>
            <a:ext uri="{FF2B5EF4-FFF2-40B4-BE49-F238E27FC236}">
              <a16:creationId xmlns="" xmlns:a16="http://schemas.microsoft.com/office/drawing/2014/main" id="{00000000-0008-0000-0000-0000A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7" name="Text Box 3086">
          <a:extLst>
            <a:ext uri="{FF2B5EF4-FFF2-40B4-BE49-F238E27FC236}">
              <a16:creationId xmlns="" xmlns:a16="http://schemas.microsoft.com/office/drawing/2014/main" id="{00000000-0008-0000-0000-0000A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8" name="Text Box 3087">
          <a:extLst>
            <a:ext uri="{FF2B5EF4-FFF2-40B4-BE49-F238E27FC236}">
              <a16:creationId xmlns="" xmlns:a16="http://schemas.microsoft.com/office/drawing/2014/main" id="{00000000-0008-0000-0000-0000A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9" name="Text Box 3088">
          <a:extLst>
            <a:ext uri="{FF2B5EF4-FFF2-40B4-BE49-F238E27FC236}">
              <a16:creationId xmlns="" xmlns:a16="http://schemas.microsoft.com/office/drawing/2014/main" id="{00000000-0008-0000-0000-0000A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0" name="Text Box 3089">
          <a:extLst>
            <a:ext uri="{FF2B5EF4-FFF2-40B4-BE49-F238E27FC236}">
              <a16:creationId xmlns="" xmlns:a16="http://schemas.microsoft.com/office/drawing/2014/main" id="{00000000-0008-0000-0000-0000A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1" name="Text Box 3090">
          <a:extLst>
            <a:ext uri="{FF2B5EF4-FFF2-40B4-BE49-F238E27FC236}">
              <a16:creationId xmlns="" xmlns:a16="http://schemas.microsoft.com/office/drawing/2014/main" id="{00000000-0008-0000-0000-0000A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2" name="Text Box 3091">
          <a:extLst>
            <a:ext uri="{FF2B5EF4-FFF2-40B4-BE49-F238E27FC236}">
              <a16:creationId xmlns="" xmlns:a16="http://schemas.microsoft.com/office/drawing/2014/main" id="{00000000-0008-0000-0000-0000A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3" name="Text Box 3092">
          <a:extLst>
            <a:ext uri="{FF2B5EF4-FFF2-40B4-BE49-F238E27FC236}">
              <a16:creationId xmlns="" xmlns:a16="http://schemas.microsoft.com/office/drawing/2014/main" id="{00000000-0008-0000-0000-0000A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4" name="Text Box 3093">
          <a:extLst>
            <a:ext uri="{FF2B5EF4-FFF2-40B4-BE49-F238E27FC236}">
              <a16:creationId xmlns="" xmlns:a16="http://schemas.microsoft.com/office/drawing/2014/main" id="{00000000-0008-0000-0000-0000A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5" name="Text Box 3094">
          <a:extLst>
            <a:ext uri="{FF2B5EF4-FFF2-40B4-BE49-F238E27FC236}">
              <a16:creationId xmlns="" xmlns:a16="http://schemas.microsoft.com/office/drawing/2014/main" id="{00000000-0008-0000-0000-0000A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6" name="Text Box 3095">
          <a:extLst>
            <a:ext uri="{FF2B5EF4-FFF2-40B4-BE49-F238E27FC236}">
              <a16:creationId xmlns="" xmlns:a16="http://schemas.microsoft.com/office/drawing/2014/main" id="{00000000-0008-0000-0000-0000A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7" name="Text Box 3096">
          <a:extLst>
            <a:ext uri="{FF2B5EF4-FFF2-40B4-BE49-F238E27FC236}">
              <a16:creationId xmlns="" xmlns:a16="http://schemas.microsoft.com/office/drawing/2014/main" id="{00000000-0008-0000-0000-0000A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8" name="Text Box 3097">
          <a:extLst>
            <a:ext uri="{FF2B5EF4-FFF2-40B4-BE49-F238E27FC236}">
              <a16:creationId xmlns="" xmlns:a16="http://schemas.microsoft.com/office/drawing/2014/main" id="{00000000-0008-0000-0000-0000B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9" name="Text Box 3098">
          <a:extLst>
            <a:ext uri="{FF2B5EF4-FFF2-40B4-BE49-F238E27FC236}">
              <a16:creationId xmlns="" xmlns:a16="http://schemas.microsoft.com/office/drawing/2014/main" id="{00000000-0008-0000-0000-0000B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0" name="Text Box 3099">
          <a:extLst>
            <a:ext uri="{FF2B5EF4-FFF2-40B4-BE49-F238E27FC236}">
              <a16:creationId xmlns="" xmlns:a16="http://schemas.microsoft.com/office/drawing/2014/main" id="{00000000-0008-0000-0000-0000B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1" name="Text Box 3100">
          <a:extLst>
            <a:ext uri="{FF2B5EF4-FFF2-40B4-BE49-F238E27FC236}">
              <a16:creationId xmlns="" xmlns:a16="http://schemas.microsoft.com/office/drawing/2014/main" id="{00000000-0008-0000-0000-0000B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2" name="Text Box 3101">
          <a:extLst>
            <a:ext uri="{FF2B5EF4-FFF2-40B4-BE49-F238E27FC236}">
              <a16:creationId xmlns="" xmlns:a16="http://schemas.microsoft.com/office/drawing/2014/main" id="{00000000-0008-0000-0000-0000B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973" name="Text Box 3102">
          <a:extLst>
            <a:ext uri="{FF2B5EF4-FFF2-40B4-BE49-F238E27FC236}">
              <a16:creationId xmlns="" xmlns:a16="http://schemas.microsoft.com/office/drawing/2014/main" id="{00000000-0008-0000-0000-0000B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4" name="Text Box 59">
          <a:extLst>
            <a:ext uri="{FF2B5EF4-FFF2-40B4-BE49-F238E27FC236}">
              <a16:creationId xmlns="" xmlns:a16="http://schemas.microsoft.com/office/drawing/2014/main" id="{00000000-0008-0000-0000-0000B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5" name="Text Box 60">
          <a:extLst>
            <a:ext uri="{FF2B5EF4-FFF2-40B4-BE49-F238E27FC236}">
              <a16:creationId xmlns="" xmlns:a16="http://schemas.microsoft.com/office/drawing/2014/main" id="{00000000-0008-0000-0000-0000B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6" name="Text Box 61">
          <a:extLst>
            <a:ext uri="{FF2B5EF4-FFF2-40B4-BE49-F238E27FC236}">
              <a16:creationId xmlns="" xmlns:a16="http://schemas.microsoft.com/office/drawing/2014/main" id="{00000000-0008-0000-0000-0000B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7" name="Text Box 62">
          <a:extLst>
            <a:ext uri="{FF2B5EF4-FFF2-40B4-BE49-F238E27FC236}">
              <a16:creationId xmlns="" xmlns:a16="http://schemas.microsoft.com/office/drawing/2014/main" id="{00000000-0008-0000-0000-0000B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8" name="Text Box 63">
          <a:extLst>
            <a:ext uri="{FF2B5EF4-FFF2-40B4-BE49-F238E27FC236}">
              <a16:creationId xmlns="" xmlns:a16="http://schemas.microsoft.com/office/drawing/2014/main" id="{00000000-0008-0000-0000-0000B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9" name="Text Box 64">
          <a:extLst>
            <a:ext uri="{FF2B5EF4-FFF2-40B4-BE49-F238E27FC236}">
              <a16:creationId xmlns="" xmlns:a16="http://schemas.microsoft.com/office/drawing/2014/main" id="{00000000-0008-0000-0000-0000B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0" name="Text Box 65">
          <a:extLst>
            <a:ext uri="{FF2B5EF4-FFF2-40B4-BE49-F238E27FC236}">
              <a16:creationId xmlns="" xmlns:a16="http://schemas.microsoft.com/office/drawing/2014/main" id="{00000000-0008-0000-0000-0000B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1" name="Text Box 66">
          <a:extLst>
            <a:ext uri="{FF2B5EF4-FFF2-40B4-BE49-F238E27FC236}">
              <a16:creationId xmlns="" xmlns:a16="http://schemas.microsoft.com/office/drawing/2014/main" id="{00000000-0008-0000-0000-0000B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2" name="Text Box 67">
          <a:extLst>
            <a:ext uri="{FF2B5EF4-FFF2-40B4-BE49-F238E27FC236}">
              <a16:creationId xmlns="" xmlns:a16="http://schemas.microsoft.com/office/drawing/2014/main" id="{00000000-0008-0000-0000-0000B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3" name="Text Box 68">
          <a:extLst>
            <a:ext uri="{FF2B5EF4-FFF2-40B4-BE49-F238E27FC236}">
              <a16:creationId xmlns="" xmlns:a16="http://schemas.microsoft.com/office/drawing/2014/main" id="{00000000-0008-0000-0000-0000B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4" name="Text Box 69">
          <a:extLst>
            <a:ext uri="{FF2B5EF4-FFF2-40B4-BE49-F238E27FC236}">
              <a16:creationId xmlns="" xmlns:a16="http://schemas.microsoft.com/office/drawing/2014/main" id="{00000000-0008-0000-0000-0000C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5" name="Text Box 70">
          <a:extLst>
            <a:ext uri="{FF2B5EF4-FFF2-40B4-BE49-F238E27FC236}">
              <a16:creationId xmlns="" xmlns:a16="http://schemas.microsoft.com/office/drawing/2014/main" id="{00000000-0008-0000-0000-0000C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6" name="Text Box 71">
          <a:extLst>
            <a:ext uri="{FF2B5EF4-FFF2-40B4-BE49-F238E27FC236}">
              <a16:creationId xmlns="" xmlns:a16="http://schemas.microsoft.com/office/drawing/2014/main" id="{00000000-0008-0000-0000-0000C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7" name="Text Box 72">
          <a:extLst>
            <a:ext uri="{FF2B5EF4-FFF2-40B4-BE49-F238E27FC236}">
              <a16:creationId xmlns="" xmlns:a16="http://schemas.microsoft.com/office/drawing/2014/main" id="{00000000-0008-0000-0000-0000C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8" name="Text Box 73">
          <a:extLst>
            <a:ext uri="{FF2B5EF4-FFF2-40B4-BE49-F238E27FC236}">
              <a16:creationId xmlns="" xmlns:a16="http://schemas.microsoft.com/office/drawing/2014/main" id="{00000000-0008-0000-0000-0000C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9" name="Text Box 74">
          <a:extLst>
            <a:ext uri="{FF2B5EF4-FFF2-40B4-BE49-F238E27FC236}">
              <a16:creationId xmlns="" xmlns:a16="http://schemas.microsoft.com/office/drawing/2014/main" id="{00000000-0008-0000-0000-0000C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0" name="Text Box 75">
          <a:extLst>
            <a:ext uri="{FF2B5EF4-FFF2-40B4-BE49-F238E27FC236}">
              <a16:creationId xmlns="" xmlns:a16="http://schemas.microsoft.com/office/drawing/2014/main" id="{00000000-0008-0000-0000-0000C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1" name="Text Box 76">
          <a:extLst>
            <a:ext uri="{FF2B5EF4-FFF2-40B4-BE49-F238E27FC236}">
              <a16:creationId xmlns="" xmlns:a16="http://schemas.microsoft.com/office/drawing/2014/main" id="{00000000-0008-0000-0000-0000C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2" name="Text Box 77">
          <a:extLst>
            <a:ext uri="{FF2B5EF4-FFF2-40B4-BE49-F238E27FC236}">
              <a16:creationId xmlns="" xmlns:a16="http://schemas.microsoft.com/office/drawing/2014/main" id="{00000000-0008-0000-0000-0000C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3" name="Text Box 78">
          <a:extLst>
            <a:ext uri="{FF2B5EF4-FFF2-40B4-BE49-F238E27FC236}">
              <a16:creationId xmlns="" xmlns:a16="http://schemas.microsoft.com/office/drawing/2014/main" id="{00000000-0008-0000-0000-0000C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4" name="Text Box 79">
          <a:extLst>
            <a:ext uri="{FF2B5EF4-FFF2-40B4-BE49-F238E27FC236}">
              <a16:creationId xmlns="" xmlns:a16="http://schemas.microsoft.com/office/drawing/2014/main" id="{00000000-0008-0000-0000-0000C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5" name="Text Box 80">
          <a:extLst>
            <a:ext uri="{FF2B5EF4-FFF2-40B4-BE49-F238E27FC236}">
              <a16:creationId xmlns="" xmlns:a16="http://schemas.microsoft.com/office/drawing/2014/main" id="{00000000-0008-0000-0000-0000C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6" name="Text Box 81">
          <a:extLst>
            <a:ext uri="{FF2B5EF4-FFF2-40B4-BE49-F238E27FC236}">
              <a16:creationId xmlns="" xmlns:a16="http://schemas.microsoft.com/office/drawing/2014/main" id="{00000000-0008-0000-0000-0000C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7" name="Text Box 3079">
          <a:extLst>
            <a:ext uri="{FF2B5EF4-FFF2-40B4-BE49-F238E27FC236}">
              <a16:creationId xmlns="" xmlns:a16="http://schemas.microsoft.com/office/drawing/2014/main" id="{00000000-0008-0000-0000-0000C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8" name="Text Box 3080">
          <a:extLst>
            <a:ext uri="{FF2B5EF4-FFF2-40B4-BE49-F238E27FC236}">
              <a16:creationId xmlns="" xmlns:a16="http://schemas.microsoft.com/office/drawing/2014/main" id="{00000000-0008-0000-0000-0000C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9" name="Text Box 3081">
          <a:extLst>
            <a:ext uri="{FF2B5EF4-FFF2-40B4-BE49-F238E27FC236}">
              <a16:creationId xmlns="" xmlns:a16="http://schemas.microsoft.com/office/drawing/2014/main" id="{00000000-0008-0000-0000-0000C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0" name="Text Box 3082">
          <a:extLst>
            <a:ext uri="{FF2B5EF4-FFF2-40B4-BE49-F238E27FC236}">
              <a16:creationId xmlns="" xmlns:a16="http://schemas.microsoft.com/office/drawing/2014/main" id="{00000000-0008-0000-0000-0000D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1" name="Text Box 3083">
          <a:extLst>
            <a:ext uri="{FF2B5EF4-FFF2-40B4-BE49-F238E27FC236}">
              <a16:creationId xmlns="" xmlns:a16="http://schemas.microsoft.com/office/drawing/2014/main" id="{00000000-0008-0000-0000-0000D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2" name="Text Box 3084">
          <a:extLst>
            <a:ext uri="{FF2B5EF4-FFF2-40B4-BE49-F238E27FC236}">
              <a16:creationId xmlns="" xmlns:a16="http://schemas.microsoft.com/office/drawing/2014/main" id="{00000000-0008-0000-0000-0000D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3" name="Text Box 3085">
          <a:extLst>
            <a:ext uri="{FF2B5EF4-FFF2-40B4-BE49-F238E27FC236}">
              <a16:creationId xmlns="" xmlns:a16="http://schemas.microsoft.com/office/drawing/2014/main" id="{00000000-0008-0000-0000-0000D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4" name="Text Box 3086">
          <a:extLst>
            <a:ext uri="{FF2B5EF4-FFF2-40B4-BE49-F238E27FC236}">
              <a16:creationId xmlns="" xmlns:a16="http://schemas.microsoft.com/office/drawing/2014/main" id="{00000000-0008-0000-0000-0000D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5" name="Text Box 3087">
          <a:extLst>
            <a:ext uri="{FF2B5EF4-FFF2-40B4-BE49-F238E27FC236}">
              <a16:creationId xmlns="" xmlns:a16="http://schemas.microsoft.com/office/drawing/2014/main" id="{00000000-0008-0000-0000-0000D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6" name="Text Box 3088">
          <a:extLst>
            <a:ext uri="{FF2B5EF4-FFF2-40B4-BE49-F238E27FC236}">
              <a16:creationId xmlns="" xmlns:a16="http://schemas.microsoft.com/office/drawing/2014/main" id="{00000000-0008-0000-0000-0000D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7" name="Text Box 3089">
          <a:extLst>
            <a:ext uri="{FF2B5EF4-FFF2-40B4-BE49-F238E27FC236}">
              <a16:creationId xmlns="" xmlns:a16="http://schemas.microsoft.com/office/drawing/2014/main" id="{00000000-0008-0000-0000-0000D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8" name="Text Box 3090">
          <a:extLst>
            <a:ext uri="{FF2B5EF4-FFF2-40B4-BE49-F238E27FC236}">
              <a16:creationId xmlns="" xmlns:a16="http://schemas.microsoft.com/office/drawing/2014/main" id="{00000000-0008-0000-0000-0000D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9" name="Text Box 3091">
          <a:extLst>
            <a:ext uri="{FF2B5EF4-FFF2-40B4-BE49-F238E27FC236}">
              <a16:creationId xmlns="" xmlns:a16="http://schemas.microsoft.com/office/drawing/2014/main" id="{00000000-0008-0000-0000-0000D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0" name="Text Box 3092">
          <a:extLst>
            <a:ext uri="{FF2B5EF4-FFF2-40B4-BE49-F238E27FC236}">
              <a16:creationId xmlns="" xmlns:a16="http://schemas.microsoft.com/office/drawing/2014/main" id="{00000000-0008-0000-0000-0000D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1" name="Text Box 3093">
          <a:extLst>
            <a:ext uri="{FF2B5EF4-FFF2-40B4-BE49-F238E27FC236}">
              <a16:creationId xmlns="" xmlns:a16="http://schemas.microsoft.com/office/drawing/2014/main" id="{00000000-0008-0000-0000-0000D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2" name="Text Box 3094">
          <a:extLst>
            <a:ext uri="{FF2B5EF4-FFF2-40B4-BE49-F238E27FC236}">
              <a16:creationId xmlns="" xmlns:a16="http://schemas.microsoft.com/office/drawing/2014/main" id="{00000000-0008-0000-0000-0000D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3" name="Text Box 3095">
          <a:extLst>
            <a:ext uri="{FF2B5EF4-FFF2-40B4-BE49-F238E27FC236}">
              <a16:creationId xmlns="" xmlns:a16="http://schemas.microsoft.com/office/drawing/2014/main" id="{00000000-0008-0000-0000-0000D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4" name="Text Box 3096">
          <a:extLst>
            <a:ext uri="{FF2B5EF4-FFF2-40B4-BE49-F238E27FC236}">
              <a16:creationId xmlns="" xmlns:a16="http://schemas.microsoft.com/office/drawing/2014/main" id="{00000000-0008-0000-0000-0000D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5" name="Text Box 3097">
          <a:extLst>
            <a:ext uri="{FF2B5EF4-FFF2-40B4-BE49-F238E27FC236}">
              <a16:creationId xmlns="" xmlns:a16="http://schemas.microsoft.com/office/drawing/2014/main" id="{00000000-0008-0000-0000-0000D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6" name="Text Box 3098">
          <a:extLst>
            <a:ext uri="{FF2B5EF4-FFF2-40B4-BE49-F238E27FC236}">
              <a16:creationId xmlns="" xmlns:a16="http://schemas.microsoft.com/office/drawing/2014/main" id="{00000000-0008-0000-0000-0000E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7" name="Text Box 3099">
          <a:extLst>
            <a:ext uri="{FF2B5EF4-FFF2-40B4-BE49-F238E27FC236}">
              <a16:creationId xmlns="" xmlns:a16="http://schemas.microsoft.com/office/drawing/2014/main" id="{00000000-0008-0000-0000-0000E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8" name="Text Box 3100">
          <a:extLst>
            <a:ext uri="{FF2B5EF4-FFF2-40B4-BE49-F238E27FC236}">
              <a16:creationId xmlns="" xmlns:a16="http://schemas.microsoft.com/office/drawing/2014/main" id="{00000000-0008-0000-0000-0000E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9" name="Text Box 3101">
          <a:extLst>
            <a:ext uri="{FF2B5EF4-FFF2-40B4-BE49-F238E27FC236}">
              <a16:creationId xmlns="" xmlns:a16="http://schemas.microsoft.com/office/drawing/2014/main" id="{00000000-0008-0000-0000-0000E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020" name="Text Box 3102">
          <a:extLst>
            <a:ext uri="{FF2B5EF4-FFF2-40B4-BE49-F238E27FC236}">
              <a16:creationId xmlns="" xmlns:a16="http://schemas.microsoft.com/office/drawing/2014/main" id="{00000000-0008-0000-0000-0000E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1" name="Text Box 59">
          <a:extLst>
            <a:ext uri="{FF2B5EF4-FFF2-40B4-BE49-F238E27FC236}">
              <a16:creationId xmlns="" xmlns:a16="http://schemas.microsoft.com/office/drawing/2014/main" id="{00000000-0008-0000-0000-0000E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2" name="Text Box 60">
          <a:extLst>
            <a:ext uri="{FF2B5EF4-FFF2-40B4-BE49-F238E27FC236}">
              <a16:creationId xmlns="" xmlns:a16="http://schemas.microsoft.com/office/drawing/2014/main" id="{00000000-0008-0000-0000-0000E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3" name="Text Box 61">
          <a:extLst>
            <a:ext uri="{FF2B5EF4-FFF2-40B4-BE49-F238E27FC236}">
              <a16:creationId xmlns="" xmlns:a16="http://schemas.microsoft.com/office/drawing/2014/main" id="{00000000-0008-0000-0000-0000E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4" name="Text Box 62">
          <a:extLst>
            <a:ext uri="{FF2B5EF4-FFF2-40B4-BE49-F238E27FC236}">
              <a16:creationId xmlns="" xmlns:a16="http://schemas.microsoft.com/office/drawing/2014/main" id="{00000000-0008-0000-0000-0000E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5" name="Text Box 63">
          <a:extLst>
            <a:ext uri="{FF2B5EF4-FFF2-40B4-BE49-F238E27FC236}">
              <a16:creationId xmlns="" xmlns:a16="http://schemas.microsoft.com/office/drawing/2014/main" id="{00000000-0008-0000-0000-0000E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6" name="Text Box 64">
          <a:extLst>
            <a:ext uri="{FF2B5EF4-FFF2-40B4-BE49-F238E27FC236}">
              <a16:creationId xmlns="" xmlns:a16="http://schemas.microsoft.com/office/drawing/2014/main" id="{00000000-0008-0000-0000-0000E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7" name="Text Box 65">
          <a:extLst>
            <a:ext uri="{FF2B5EF4-FFF2-40B4-BE49-F238E27FC236}">
              <a16:creationId xmlns="" xmlns:a16="http://schemas.microsoft.com/office/drawing/2014/main" id="{00000000-0008-0000-0000-0000E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8" name="Text Box 66">
          <a:extLst>
            <a:ext uri="{FF2B5EF4-FFF2-40B4-BE49-F238E27FC236}">
              <a16:creationId xmlns="" xmlns:a16="http://schemas.microsoft.com/office/drawing/2014/main" id="{00000000-0008-0000-0000-0000E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9" name="Text Box 67">
          <a:extLst>
            <a:ext uri="{FF2B5EF4-FFF2-40B4-BE49-F238E27FC236}">
              <a16:creationId xmlns="" xmlns:a16="http://schemas.microsoft.com/office/drawing/2014/main" id="{00000000-0008-0000-0000-0000E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0" name="Text Box 68">
          <a:extLst>
            <a:ext uri="{FF2B5EF4-FFF2-40B4-BE49-F238E27FC236}">
              <a16:creationId xmlns="" xmlns:a16="http://schemas.microsoft.com/office/drawing/2014/main" id="{00000000-0008-0000-0000-0000E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1" name="Text Box 69">
          <a:extLst>
            <a:ext uri="{FF2B5EF4-FFF2-40B4-BE49-F238E27FC236}">
              <a16:creationId xmlns="" xmlns:a16="http://schemas.microsoft.com/office/drawing/2014/main" id="{00000000-0008-0000-0000-0000E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2" name="Text Box 70">
          <a:extLst>
            <a:ext uri="{FF2B5EF4-FFF2-40B4-BE49-F238E27FC236}">
              <a16:creationId xmlns="" xmlns:a16="http://schemas.microsoft.com/office/drawing/2014/main" id="{00000000-0008-0000-0000-0000F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3" name="Text Box 71">
          <a:extLst>
            <a:ext uri="{FF2B5EF4-FFF2-40B4-BE49-F238E27FC236}">
              <a16:creationId xmlns="" xmlns:a16="http://schemas.microsoft.com/office/drawing/2014/main" id="{00000000-0008-0000-0000-0000F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4" name="Text Box 72">
          <a:extLst>
            <a:ext uri="{FF2B5EF4-FFF2-40B4-BE49-F238E27FC236}">
              <a16:creationId xmlns="" xmlns:a16="http://schemas.microsoft.com/office/drawing/2014/main" id="{00000000-0008-0000-0000-0000F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5" name="Text Box 73">
          <a:extLst>
            <a:ext uri="{FF2B5EF4-FFF2-40B4-BE49-F238E27FC236}">
              <a16:creationId xmlns="" xmlns:a16="http://schemas.microsoft.com/office/drawing/2014/main" id="{00000000-0008-0000-0000-0000F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6" name="Text Box 74">
          <a:extLst>
            <a:ext uri="{FF2B5EF4-FFF2-40B4-BE49-F238E27FC236}">
              <a16:creationId xmlns="" xmlns:a16="http://schemas.microsoft.com/office/drawing/2014/main" id="{00000000-0008-0000-0000-0000F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7" name="Text Box 75">
          <a:extLst>
            <a:ext uri="{FF2B5EF4-FFF2-40B4-BE49-F238E27FC236}">
              <a16:creationId xmlns="" xmlns:a16="http://schemas.microsoft.com/office/drawing/2014/main" id="{00000000-0008-0000-0000-0000F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8" name="Text Box 76">
          <a:extLst>
            <a:ext uri="{FF2B5EF4-FFF2-40B4-BE49-F238E27FC236}">
              <a16:creationId xmlns="" xmlns:a16="http://schemas.microsoft.com/office/drawing/2014/main" id="{00000000-0008-0000-0000-0000F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9" name="Text Box 77">
          <a:extLst>
            <a:ext uri="{FF2B5EF4-FFF2-40B4-BE49-F238E27FC236}">
              <a16:creationId xmlns="" xmlns:a16="http://schemas.microsoft.com/office/drawing/2014/main" id="{00000000-0008-0000-0000-0000F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0" name="Text Box 78">
          <a:extLst>
            <a:ext uri="{FF2B5EF4-FFF2-40B4-BE49-F238E27FC236}">
              <a16:creationId xmlns="" xmlns:a16="http://schemas.microsoft.com/office/drawing/2014/main" id="{00000000-0008-0000-0000-0000F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1" name="Text Box 79">
          <a:extLst>
            <a:ext uri="{FF2B5EF4-FFF2-40B4-BE49-F238E27FC236}">
              <a16:creationId xmlns="" xmlns:a16="http://schemas.microsoft.com/office/drawing/2014/main" id="{00000000-0008-0000-0000-0000F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2" name="Text Box 80">
          <a:extLst>
            <a:ext uri="{FF2B5EF4-FFF2-40B4-BE49-F238E27FC236}">
              <a16:creationId xmlns="" xmlns:a16="http://schemas.microsoft.com/office/drawing/2014/main" id="{00000000-0008-0000-0000-0000F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3" name="Text Box 81">
          <a:extLst>
            <a:ext uri="{FF2B5EF4-FFF2-40B4-BE49-F238E27FC236}">
              <a16:creationId xmlns="" xmlns:a16="http://schemas.microsoft.com/office/drawing/2014/main" id="{00000000-0008-0000-0000-0000F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044" name="Text Box 82">
          <a:extLst>
            <a:ext uri="{FF2B5EF4-FFF2-40B4-BE49-F238E27FC236}">
              <a16:creationId xmlns="" xmlns:a16="http://schemas.microsoft.com/office/drawing/2014/main" id="{00000000-0008-0000-0000-0000F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5" name="Text Box 3079">
          <a:extLst>
            <a:ext uri="{FF2B5EF4-FFF2-40B4-BE49-F238E27FC236}">
              <a16:creationId xmlns="" xmlns:a16="http://schemas.microsoft.com/office/drawing/2014/main" id="{00000000-0008-0000-0000-0000F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6" name="Text Box 3080">
          <a:extLst>
            <a:ext uri="{FF2B5EF4-FFF2-40B4-BE49-F238E27FC236}">
              <a16:creationId xmlns="" xmlns:a16="http://schemas.microsoft.com/office/drawing/2014/main" id="{00000000-0008-0000-0000-0000F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7" name="Text Box 3081">
          <a:extLst>
            <a:ext uri="{FF2B5EF4-FFF2-40B4-BE49-F238E27FC236}">
              <a16:creationId xmlns="" xmlns:a16="http://schemas.microsoft.com/office/drawing/2014/main" id="{00000000-0008-0000-0000-0000F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8" name="Text Box 3082">
          <a:extLst>
            <a:ext uri="{FF2B5EF4-FFF2-40B4-BE49-F238E27FC236}">
              <a16:creationId xmlns=""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9" name="Text Box 3083">
          <a:extLst>
            <a:ext uri="{FF2B5EF4-FFF2-40B4-BE49-F238E27FC236}">
              <a16:creationId xmlns=""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0" name="Text Box 3084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1" name="Text Box 3085">
          <a:extLst>
            <a:ext uri="{FF2B5EF4-FFF2-40B4-BE49-F238E27FC236}">
              <a16:creationId xmlns=""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2" name="Text Box 3086">
          <a:extLst>
            <a:ext uri="{FF2B5EF4-FFF2-40B4-BE49-F238E27FC236}">
              <a16:creationId xmlns="" xmlns:a16="http://schemas.microsoft.com/office/drawing/2014/main" id="{00000000-0008-0000-0000-00000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3" name="Text Box 3087">
          <a:extLst>
            <a:ext uri="{FF2B5EF4-FFF2-40B4-BE49-F238E27FC236}">
              <a16:creationId xmlns=""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4" name="Text Box 3088">
          <a:extLst>
            <a:ext uri="{FF2B5EF4-FFF2-40B4-BE49-F238E27FC236}">
              <a16:creationId xmlns=""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5" name="Text Box 3089">
          <a:extLst>
            <a:ext uri="{FF2B5EF4-FFF2-40B4-BE49-F238E27FC236}">
              <a16:creationId xmlns=""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6" name="Text Box 3090">
          <a:extLst>
            <a:ext uri="{FF2B5EF4-FFF2-40B4-BE49-F238E27FC236}">
              <a16:creationId xmlns=""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7" name="Text Box 3091">
          <a:extLst>
            <a:ext uri="{FF2B5EF4-FFF2-40B4-BE49-F238E27FC236}">
              <a16:creationId xmlns=""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8" name="Text Box 3092">
          <a:extLst>
            <a:ext uri="{FF2B5EF4-FFF2-40B4-BE49-F238E27FC236}">
              <a16:creationId xmlns=""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9" name="Text Box 3093">
          <a:extLst>
            <a:ext uri="{FF2B5EF4-FFF2-40B4-BE49-F238E27FC236}">
              <a16:creationId xmlns=""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0" name="Text Box 3094">
          <a:extLst>
            <a:ext uri="{FF2B5EF4-FFF2-40B4-BE49-F238E27FC236}">
              <a16:creationId xmlns=""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1" name="Text Box 3095">
          <a:extLst>
            <a:ext uri="{FF2B5EF4-FFF2-40B4-BE49-F238E27FC236}">
              <a16:creationId xmlns=""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2" name="Text Box 3096">
          <a:extLst>
            <a:ext uri="{FF2B5EF4-FFF2-40B4-BE49-F238E27FC236}">
              <a16:creationId xmlns=""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3" name="Text Box 3097">
          <a:extLst>
            <a:ext uri="{FF2B5EF4-FFF2-40B4-BE49-F238E27FC236}">
              <a16:creationId xmlns=""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4" name="Text Box 3098">
          <a:extLst>
            <a:ext uri="{FF2B5EF4-FFF2-40B4-BE49-F238E27FC236}">
              <a16:creationId xmlns=""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5" name="Text Box 3099">
          <a:extLst>
            <a:ext uri="{FF2B5EF4-FFF2-40B4-BE49-F238E27FC236}">
              <a16:creationId xmlns=""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6" name="Text Box 3100">
          <a:extLst>
            <a:ext uri="{FF2B5EF4-FFF2-40B4-BE49-F238E27FC236}">
              <a16:creationId xmlns=""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7" name="Text Box 3101">
          <a:extLst>
            <a:ext uri="{FF2B5EF4-FFF2-40B4-BE49-F238E27FC236}">
              <a16:creationId xmlns=""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068" name="Text Box 3102">
          <a:extLst>
            <a:ext uri="{FF2B5EF4-FFF2-40B4-BE49-F238E27FC236}">
              <a16:creationId xmlns=""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69" name="Text Box 59">
          <a:extLst>
            <a:ext uri="{FF2B5EF4-FFF2-40B4-BE49-F238E27FC236}">
              <a16:creationId xmlns=""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0" name="Text Box 60">
          <a:extLst>
            <a:ext uri="{FF2B5EF4-FFF2-40B4-BE49-F238E27FC236}">
              <a16:creationId xmlns=""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1" name="Text Box 61">
          <a:extLst>
            <a:ext uri="{FF2B5EF4-FFF2-40B4-BE49-F238E27FC236}">
              <a16:creationId xmlns=""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2" name="Text Box 62">
          <a:extLst>
            <a:ext uri="{FF2B5EF4-FFF2-40B4-BE49-F238E27FC236}">
              <a16:creationId xmlns=""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3" name="Text Box 63">
          <a:extLst>
            <a:ext uri="{FF2B5EF4-FFF2-40B4-BE49-F238E27FC236}">
              <a16:creationId xmlns=""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4" name="Text Box 64">
          <a:extLst>
            <a:ext uri="{FF2B5EF4-FFF2-40B4-BE49-F238E27FC236}">
              <a16:creationId xmlns=""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5" name="Text Box 65">
          <a:extLst>
            <a:ext uri="{FF2B5EF4-FFF2-40B4-BE49-F238E27FC236}">
              <a16:creationId xmlns=""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6" name="Text Box 66">
          <a:extLst>
            <a:ext uri="{FF2B5EF4-FFF2-40B4-BE49-F238E27FC236}">
              <a16:creationId xmlns=""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7" name="Text Box 67">
          <a:extLst>
            <a:ext uri="{FF2B5EF4-FFF2-40B4-BE49-F238E27FC236}">
              <a16:creationId xmlns=""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8" name="Text Box 68">
          <a:extLst>
            <a:ext uri="{FF2B5EF4-FFF2-40B4-BE49-F238E27FC236}">
              <a16:creationId xmlns=""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9" name="Text Box 69">
          <a:extLst>
            <a:ext uri="{FF2B5EF4-FFF2-40B4-BE49-F238E27FC236}">
              <a16:creationId xmlns=""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0" name="Text Box 70">
          <a:extLst>
            <a:ext uri="{FF2B5EF4-FFF2-40B4-BE49-F238E27FC236}">
              <a16:creationId xmlns=""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1" name="Text Box 71">
          <a:extLst>
            <a:ext uri="{FF2B5EF4-FFF2-40B4-BE49-F238E27FC236}">
              <a16:creationId xmlns=""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2" name="Text Box 72">
          <a:extLst>
            <a:ext uri="{FF2B5EF4-FFF2-40B4-BE49-F238E27FC236}">
              <a16:creationId xmlns=""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3" name="Text Box 73">
          <a:extLst>
            <a:ext uri="{FF2B5EF4-FFF2-40B4-BE49-F238E27FC236}">
              <a16:creationId xmlns=""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4" name="Text Box 74">
          <a:extLst>
            <a:ext uri="{FF2B5EF4-FFF2-40B4-BE49-F238E27FC236}">
              <a16:creationId xmlns=""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5" name="Text Box 75">
          <a:extLst>
            <a:ext uri="{FF2B5EF4-FFF2-40B4-BE49-F238E27FC236}">
              <a16:creationId xmlns=""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6" name="Text Box 76">
          <a:extLst>
            <a:ext uri="{FF2B5EF4-FFF2-40B4-BE49-F238E27FC236}">
              <a16:creationId xmlns=""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7" name="Text Box 77">
          <a:extLst>
            <a:ext uri="{FF2B5EF4-FFF2-40B4-BE49-F238E27FC236}">
              <a16:creationId xmlns=""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8" name="Text Box 78">
          <a:extLst>
            <a:ext uri="{FF2B5EF4-FFF2-40B4-BE49-F238E27FC236}">
              <a16:creationId xmlns=""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9" name="Text Box 79">
          <a:extLst>
            <a:ext uri="{FF2B5EF4-FFF2-40B4-BE49-F238E27FC236}">
              <a16:creationId xmlns=""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90" name="Text Box 80">
          <a:extLst>
            <a:ext uri="{FF2B5EF4-FFF2-40B4-BE49-F238E27FC236}">
              <a16:creationId xmlns=""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91" name="Text Box 81">
          <a:extLst>
            <a:ext uri="{FF2B5EF4-FFF2-40B4-BE49-F238E27FC236}">
              <a16:creationId xmlns=""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2" name="Text Box 3079">
          <a:extLst>
            <a:ext uri="{FF2B5EF4-FFF2-40B4-BE49-F238E27FC236}">
              <a16:creationId xmlns=""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3" name="Text Box 3080">
          <a:extLst>
            <a:ext uri="{FF2B5EF4-FFF2-40B4-BE49-F238E27FC236}">
              <a16:creationId xmlns=""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4" name="Text Box 3081">
          <a:extLst>
            <a:ext uri="{FF2B5EF4-FFF2-40B4-BE49-F238E27FC236}">
              <a16:creationId xmlns=""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5" name="Text Box 3082">
          <a:extLst>
            <a:ext uri="{FF2B5EF4-FFF2-40B4-BE49-F238E27FC236}">
              <a16:creationId xmlns=""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6" name="Text Box 3083">
          <a:extLst>
            <a:ext uri="{FF2B5EF4-FFF2-40B4-BE49-F238E27FC236}">
              <a16:creationId xmlns=""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7" name="Text Box 3084">
          <a:extLst>
            <a:ext uri="{FF2B5EF4-FFF2-40B4-BE49-F238E27FC236}">
              <a16:creationId xmlns=""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8" name="Text Box 3085">
          <a:extLst>
            <a:ext uri="{FF2B5EF4-FFF2-40B4-BE49-F238E27FC236}">
              <a16:creationId xmlns=""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9" name="Text Box 3086">
          <a:extLst>
            <a:ext uri="{FF2B5EF4-FFF2-40B4-BE49-F238E27FC236}">
              <a16:creationId xmlns=""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0" name="Text Box 3087">
          <a:extLst>
            <a:ext uri="{FF2B5EF4-FFF2-40B4-BE49-F238E27FC236}">
              <a16:creationId xmlns=""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1" name="Text Box 3088">
          <a:extLst>
            <a:ext uri="{FF2B5EF4-FFF2-40B4-BE49-F238E27FC236}">
              <a16:creationId xmlns=""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2" name="Text Box 3089">
          <a:extLst>
            <a:ext uri="{FF2B5EF4-FFF2-40B4-BE49-F238E27FC236}">
              <a16:creationId xmlns=""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3" name="Text Box 3090">
          <a:extLst>
            <a:ext uri="{FF2B5EF4-FFF2-40B4-BE49-F238E27FC236}">
              <a16:creationId xmlns=""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4" name="Text Box 3091">
          <a:extLst>
            <a:ext uri="{FF2B5EF4-FFF2-40B4-BE49-F238E27FC236}">
              <a16:creationId xmlns=""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5" name="Text Box 3092">
          <a:extLst>
            <a:ext uri="{FF2B5EF4-FFF2-40B4-BE49-F238E27FC236}">
              <a16:creationId xmlns=""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6" name="Text Box 3093">
          <a:extLst>
            <a:ext uri="{FF2B5EF4-FFF2-40B4-BE49-F238E27FC236}">
              <a16:creationId xmlns=""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7" name="Text Box 3094">
          <a:extLst>
            <a:ext uri="{FF2B5EF4-FFF2-40B4-BE49-F238E27FC236}">
              <a16:creationId xmlns=""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8" name="Text Box 3095">
          <a:extLst>
            <a:ext uri="{FF2B5EF4-FFF2-40B4-BE49-F238E27FC236}">
              <a16:creationId xmlns=""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9" name="Text Box 3096">
          <a:extLst>
            <a:ext uri="{FF2B5EF4-FFF2-40B4-BE49-F238E27FC236}">
              <a16:creationId xmlns=""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0" name="Text Box 3097">
          <a:extLst>
            <a:ext uri="{FF2B5EF4-FFF2-40B4-BE49-F238E27FC236}">
              <a16:creationId xmlns=""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1" name="Text Box 3098">
          <a:extLst>
            <a:ext uri="{FF2B5EF4-FFF2-40B4-BE49-F238E27FC236}">
              <a16:creationId xmlns=""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2" name="Text Box 3099">
          <a:extLst>
            <a:ext uri="{FF2B5EF4-FFF2-40B4-BE49-F238E27FC236}">
              <a16:creationId xmlns=""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3" name="Text Box 3100">
          <a:extLst>
            <a:ext uri="{FF2B5EF4-FFF2-40B4-BE49-F238E27FC236}">
              <a16:creationId xmlns=""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4" name="Text Box 3101">
          <a:extLst>
            <a:ext uri="{FF2B5EF4-FFF2-40B4-BE49-F238E27FC236}">
              <a16:creationId xmlns=""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15" name="Text Box 3102">
          <a:extLst>
            <a:ext uri="{FF2B5EF4-FFF2-40B4-BE49-F238E27FC236}">
              <a16:creationId xmlns=""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6" name="Text Box 59">
          <a:extLst>
            <a:ext uri="{FF2B5EF4-FFF2-40B4-BE49-F238E27FC236}">
              <a16:creationId xmlns=""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7" name="Text Box 60">
          <a:extLst>
            <a:ext uri="{FF2B5EF4-FFF2-40B4-BE49-F238E27FC236}">
              <a16:creationId xmlns=""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8" name="Text Box 61">
          <a:extLst>
            <a:ext uri="{FF2B5EF4-FFF2-40B4-BE49-F238E27FC236}">
              <a16:creationId xmlns=""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9" name="Text Box 62">
          <a:extLst>
            <a:ext uri="{FF2B5EF4-FFF2-40B4-BE49-F238E27FC236}">
              <a16:creationId xmlns=""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0" name="Text Box 63">
          <a:extLst>
            <a:ext uri="{FF2B5EF4-FFF2-40B4-BE49-F238E27FC236}">
              <a16:creationId xmlns=""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1" name="Text Box 64">
          <a:extLst>
            <a:ext uri="{FF2B5EF4-FFF2-40B4-BE49-F238E27FC236}">
              <a16:creationId xmlns=""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2" name="Text Box 65">
          <a:extLst>
            <a:ext uri="{FF2B5EF4-FFF2-40B4-BE49-F238E27FC236}">
              <a16:creationId xmlns=""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3" name="Text Box 66">
          <a:extLst>
            <a:ext uri="{FF2B5EF4-FFF2-40B4-BE49-F238E27FC236}">
              <a16:creationId xmlns=""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4" name="Text Box 67">
          <a:extLst>
            <a:ext uri="{FF2B5EF4-FFF2-40B4-BE49-F238E27FC236}">
              <a16:creationId xmlns=""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5" name="Text Box 68">
          <a:extLst>
            <a:ext uri="{FF2B5EF4-FFF2-40B4-BE49-F238E27FC236}">
              <a16:creationId xmlns=""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6" name="Text Box 69">
          <a:extLst>
            <a:ext uri="{FF2B5EF4-FFF2-40B4-BE49-F238E27FC236}">
              <a16:creationId xmlns=""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7" name="Text Box 70">
          <a:extLst>
            <a:ext uri="{FF2B5EF4-FFF2-40B4-BE49-F238E27FC236}">
              <a16:creationId xmlns=""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8" name="Text Box 71">
          <a:extLst>
            <a:ext uri="{FF2B5EF4-FFF2-40B4-BE49-F238E27FC236}">
              <a16:creationId xmlns=""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9" name="Text Box 72">
          <a:extLst>
            <a:ext uri="{FF2B5EF4-FFF2-40B4-BE49-F238E27FC236}">
              <a16:creationId xmlns="" xmlns:a16="http://schemas.microsoft.com/office/drawing/2014/main" id="{00000000-0008-0000-0000-00005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0" name="Text Box 73">
          <a:extLst>
            <a:ext uri="{FF2B5EF4-FFF2-40B4-BE49-F238E27FC236}">
              <a16:creationId xmlns="" xmlns:a16="http://schemas.microsoft.com/office/drawing/2014/main" id="{00000000-0008-0000-0000-00005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1" name="Text Box 74">
          <a:extLst>
            <a:ext uri="{FF2B5EF4-FFF2-40B4-BE49-F238E27FC236}">
              <a16:creationId xmlns="" xmlns:a16="http://schemas.microsoft.com/office/drawing/2014/main" id="{00000000-0008-0000-0000-00005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2" name="Text Box 75">
          <a:extLst>
            <a:ext uri="{FF2B5EF4-FFF2-40B4-BE49-F238E27FC236}">
              <a16:creationId xmlns="" xmlns:a16="http://schemas.microsoft.com/office/drawing/2014/main" id="{00000000-0008-0000-0000-00005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3" name="Text Box 76">
          <a:extLst>
            <a:ext uri="{FF2B5EF4-FFF2-40B4-BE49-F238E27FC236}">
              <a16:creationId xmlns="" xmlns:a16="http://schemas.microsoft.com/office/drawing/2014/main" id="{00000000-0008-0000-0000-00005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4" name="Text Box 77">
          <a:extLst>
            <a:ext uri="{FF2B5EF4-FFF2-40B4-BE49-F238E27FC236}">
              <a16:creationId xmlns="" xmlns:a16="http://schemas.microsoft.com/office/drawing/2014/main" id="{00000000-0008-0000-0000-00005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5" name="Text Box 78">
          <a:extLst>
            <a:ext uri="{FF2B5EF4-FFF2-40B4-BE49-F238E27FC236}">
              <a16:creationId xmlns="" xmlns:a16="http://schemas.microsoft.com/office/drawing/2014/main" id="{00000000-0008-0000-0000-00005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6" name="Text Box 79">
          <a:extLst>
            <a:ext uri="{FF2B5EF4-FFF2-40B4-BE49-F238E27FC236}">
              <a16:creationId xmlns="" xmlns:a16="http://schemas.microsoft.com/office/drawing/2014/main" id="{00000000-0008-0000-0000-00005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7" name="Text Box 80">
          <a:extLst>
            <a:ext uri="{FF2B5EF4-FFF2-40B4-BE49-F238E27FC236}">
              <a16:creationId xmlns="" xmlns:a16="http://schemas.microsoft.com/office/drawing/2014/main" id="{00000000-0008-0000-0000-00005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8" name="Text Box 81">
          <a:extLst>
            <a:ext uri="{FF2B5EF4-FFF2-40B4-BE49-F238E27FC236}">
              <a16:creationId xmlns="" xmlns:a16="http://schemas.microsoft.com/office/drawing/2014/main" id="{00000000-0008-0000-0000-00005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139" name="Text Box 82">
          <a:extLst>
            <a:ext uri="{FF2B5EF4-FFF2-40B4-BE49-F238E27FC236}">
              <a16:creationId xmlns="" xmlns:a16="http://schemas.microsoft.com/office/drawing/2014/main" id="{00000000-0008-0000-0000-00005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0" name="Text Box 3079">
          <a:extLst>
            <a:ext uri="{FF2B5EF4-FFF2-40B4-BE49-F238E27FC236}">
              <a16:creationId xmlns="" xmlns:a16="http://schemas.microsoft.com/office/drawing/2014/main" id="{00000000-0008-0000-0000-00005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1" name="Text Box 3080">
          <a:extLst>
            <a:ext uri="{FF2B5EF4-FFF2-40B4-BE49-F238E27FC236}">
              <a16:creationId xmlns="" xmlns:a16="http://schemas.microsoft.com/office/drawing/2014/main" id="{00000000-0008-0000-0000-00005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2" name="Text Box 3081">
          <a:extLst>
            <a:ext uri="{FF2B5EF4-FFF2-40B4-BE49-F238E27FC236}">
              <a16:creationId xmlns="" xmlns:a16="http://schemas.microsoft.com/office/drawing/2014/main" id="{00000000-0008-0000-0000-00005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3" name="Text Box 3082">
          <a:extLst>
            <a:ext uri="{FF2B5EF4-FFF2-40B4-BE49-F238E27FC236}">
              <a16:creationId xmlns="" xmlns:a16="http://schemas.microsoft.com/office/drawing/2014/main" id="{00000000-0008-0000-0000-00005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4" name="Text Box 3083">
          <a:extLst>
            <a:ext uri="{FF2B5EF4-FFF2-40B4-BE49-F238E27FC236}">
              <a16:creationId xmlns="" xmlns:a16="http://schemas.microsoft.com/office/drawing/2014/main" id="{00000000-0008-0000-0000-00006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5" name="Text Box 3084">
          <a:extLst>
            <a:ext uri="{FF2B5EF4-FFF2-40B4-BE49-F238E27FC236}">
              <a16:creationId xmlns="" xmlns:a16="http://schemas.microsoft.com/office/drawing/2014/main" id="{00000000-0008-0000-0000-00006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6" name="Text Box 3085">
          <a:extLst>
            <a:ext uri="{FF2B5EF4-FFF2-40B4-BE49-F238E27FC236}">
              <a16:creationId xmlns="" xmlns:a16="http://schemas.microsoft.com/office/drawing/2014/main" id="{00000000-0008-0000-0000-00006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7" name="Text Box 3086">
          <a:extLst>
            <a:ext uri="{FF2B5EF4-FFF2-40B4-BE49-F238E27FC236}">
              <a16:creationId xmlns="" xmlns:a16="http://schemas.microsoft.com/office/drawing/2014/main" id="{00000000-0008-0000-0000-00006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8" name="Text Box 3087">
          <a:extLst>
            <a:ext uri="{FF2B5EF4-FFF2-40B4-BE49-F238E27FC236}">
              <a16:creationId xmlns="" xmlns:a16="http://schemas.microsoft.com/office/drawing/2014/main" id="{00000000-0008-0000-0000-00006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9" name="Text Box 3088">
          <a:extLst>
            <a:ext uri="{FF2B5EF4-FFF2-40B4-BE49-F238E27FC236}">
              <a16:creationId xmlns="" xmlns:a16="http://schemas.microsoft.com/office/drawing/2014/main" id="{00000000-0008-0000-0000-00006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0" name="Text Box 3089">
          <a:extLst>
            <a:ext uri="{FF2B5EF4-FFF2-40B4-BE49-F238E27FC236}">
              <a16:creationId xmlns="" xmlns:a16="http://schemas.microsoft.com/office/drawing/2014/main" id="{00000000-0008-0000-0000-00006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1" name="Text Box 3090">
          <a:extLst>
            <a:ext uri="{FF2B5EF4-FFF2-40B4-BE49-F238E27FC236}">
              <a16:creationId xmlns="" xmlns:a16="http://schemas.microsoft.com/office/drawing/2014/main" id="{00000000-0008-0000-0000-00006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2" name="Text Box 3091">
          <a:extLst>
            <a:ext uri="{FF2B5EF4-FFF2-40B4-BE49-F238E27FC236}">
              <a16:creationId xmlns="" xmlns:a16="http://schemas.microsoft.com/office/drawing/2014/main" id="{00000000-0008-0000-0000-00006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3" name="Text Box 3092">
          <a:extLst>
            <a:ext uri="{FF2B5EF4-FFF2-40B4-BE49-F238E27FC236}">
              <a16:creationId xmlns="" xmlns:a16="http://schemas.microsoft.com/office/drawing/2014/main" id="{00000000-0008-0000-0000-00006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4" name="Text Box 3093">
          <a:extLst>
            <a:ext uri="{FF2B5EF4-FFF2-40B4-BE49-F238E27FC236}">
              <a16:creationId xmlns="" xmlns:a16="http://schemas.microsoft.com/office/drawing/2014/main" id="{00000000-0008-0000-0000-00006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5" name="Text Box 3094">
          <a:extLst>
            <a:ext uri="{FF2B5EF4-FFF2-40B4-BE49-F238E27FC236}">
              <a16:creationId xmlns="" xmlns:a16="http://schemas.microsoft.com/office/drawing/2014/main" id="{00000000-0008-0000-0000-00006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6" name="Text Box 3095">
          <a:extLst>
            <a:ext uri="{FF2B5EF4-FFF2-40B4-BE49-F238E27FC236}">
              <a16:creationId xmlns="" xmlns:a16="http://schemas.microsoft.com/office/drawing/2014/main" id="{00000000-0008-0000-0000-00006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7" name="Text Box 3096">
          <a:extLst>
            <a:ext uri="{FF2B5EF4-FFF2-40B4-BE49-F238E27FC236}">
              <a16:creationId xmlns="" xmlns:a16="http://schemas.microsoft.com/office/drawing/2014/main" id="{00000000-0008-0000-0000-00006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8" name="Text Box 3097">
          <a:extLst>
            <a:ext uri="{FF2B5EF4-FFF2-40B4-BE49-F238E27FC236}">
              <a16:creationId xmlns="" xmlns:a16="http://schemas.microsoft.com/office/drawing/2014/main" id="{00000000-0008-0000-0000-00006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9" name="Text Box 3098">
          <a:extLst>
            <a:ext uri="{FF2B5EF4-FFF2-40B4-BE49-F238E27FC236}">
              <a16:creationId xmlns="" xmlns:a16="http://schemas.microsoft.com/office/drawing/2014/main" id="{00000000-0008-0000-0000-00006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0" name="Text Box 3099">
          <a:extLst>
            <a:ext uri="{FF2B5EF4-FFF2-40B4-BE49-F238E27FC236}">
              <a16:creationId xmlns="" xmlns:a16="http://schemas.microsoft.com/office/drawing/2014/main" id="{00000000-0008-0000-0000-00007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1" name="Text Box 3100">
          <a:extLst>
            <a:ext uri="{FF2B5EF4-FFF2-40B4-BE49-F238E27FC236}">
              <a16:creationId xmlns="" xmlns:a16="http://schemas.microsoft.com/office/drawing/2014/main" id="{00000000-0008-0000-0000-00007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2" name="Text Box 3101">
          <a:extLst>
            <a:ext uri="{FF2B5EF4-FFF2-40B4-BE49-F238E27FC236}">
              <a16:creationId xmlns="" xmlns:a16="http://schemas.microsoft.com/office/drawing/2014/main" id="{00000000-0008-0000-0000-00007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63" name="Text Box 3102">
          <a:extLst>
            <a:ext uri="{FF2B5EF4-FFF2-40B4-BE49-F238E27FC236}">
              <a16:creationId xmlns="" xmlns:a16="http://schemas.microsoft.com/office/drawing/2014/main" id="{00000000-0008-0000-0000-00007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4" name="Text Box 59">
          <a:extLst>
            <a:ext uri="{FF2B5EF4-FFF2-40B4-BE49-F238E27FC236}">
              <a16:creationId xmlns="" xmlns:a16="http://schemas.microsoft.com/office/drawing/2014/main" id="{00000000-0008-0000-0000-00007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5" name="Text Box 60">
          <a:extLst>
            <a:ext uri="{FF2B5EF4-FFF2-40B4-BE49-F238E27FC236}">
              <a16:creationId xmlns="" xmlns:a16="http://schemas.microsoft.com/office/drawing/2014/main" id="{00000000-0008-0000-0000-00007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6" name="Text Box 61">
          <a:extLst>
            <a:ext uri="{FF2B5EF4-FFF2-40B4-BE49-F238E27FC236}">
              <a16:creationId xmlns="" xmlns:a16="http://schemas.microsoft.com/office/drawing/2014/main" id="{00000000-0008-0000-0000-00007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7" name="Text Box 62">
          <a:extLst>
            <a:ext uri="{FF2B5EF4-FFF2-40B4-BE49-F238E27FC236}">
              <a16:creationId xmlns="" xmlns:a16="http://schemas.microsoft.com/office/drawing/2014/main" id="{00000000-0008-0000-0000-00007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8" name="Text Box 63">
          <a:extLst>
            <a:ext uri="{FF2B5EF4-FFF2-40B4-BE49-F238E27FC236}">
              <a16:creationId xmlns="" xmlns:a16="http://schemas.microsoft.com/office/drawing/2014/main" id="{00000000-0008-0000-0000-00007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9" name="Text Box 64">
          <a:extLst>
            <a:ext uri="{FF2B5EF4-FFF2-40B4-BE49-F238E27FC236}">
              <a16:creationId xmlns="" xmlns:a16="http://schemas.microsoft.com/office/drawing/2014/main" id="{00000000-0008-0000-0000-00007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0" name="Text Box 65">
          <a:extLst>
            <a:ext uri="{FF2B5EF4-FFF2-40B4-BE49-F238E27FC236}">
              <a16:creationId xmlns="" xmlns:a16="http://schemas.microsoft.com/office/drawing/2014/main" id="{00000000-0008-0000-0000-00007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1" name="Text Box 66">
          <a:extLst>
            <a:ext uri="{FF2B5EF4-FFF2-40B4-BE49-F238E27FC236}">
              <a16:creationId xmlns="" xmlns:a16="http://schemas.microsoft.com/office/drawing/2014/main" id="{00000000-0008-0000-0000-00007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2" name="Text Box 67">
          <a:extLst>
            <a:ext uri="{FF2B5EF4-FFF2-40B4-BE49-F238E27FC236}">
              <a16:creationId xmlns="" xmlns:a16="http://schemas.microsoft.com/office/drawing/2014/main" id="{00000000-0008-0000-0000-00007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3" name="Text Box 68">
          <a:extLst>
            <a:ext uri="{FF2B5EF4-FFF2-40B4-BE49-F238E27FC236}">
              <a16:creationId xmlns="" xmlns:a16="http://schemas.microsoft.com/office/drawing/2014/main" id="{00000000-0008-0000-0000-00007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4" name="Text Box 69">
          <a:extLst>
            <a:ext uri="{FF2B5EF4-FFF2-40B4-BE49-F238E27FC236}">
              <a16:creationId xmlns="" xmlns:a16="http://schemas.microsoft.com/office/drawing/2014/main" id="{00000000-0008-0000-0000-00007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5" name="Text Box 70">
          <a:extLst>
            <a:ext uri="{FF2B5EF4-FFF2-40B4-BE49-F238E27FC236}">
              <a16:creationId xmlns="" xmlns:a16="http://schemas.microsoft.com/office/drawing/2014/main" id="{00000000-0008-0000-0000-00007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6" name="Text Box 71">
          <a:extLst>
            <a:ext uri="{FF2B5EF4-FFF2-40B4-BE49-F238E27FC236}">
              <a16:creationId xmlns="" xmlns:a16="http://schemas.microsoft.com/office/drawing/2014/main" id="{00000000-0008-0000-0000-00008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7" name="Text Box 72">
          <a:extLst>
            <a:ext uri="{FF2B5EF4-FFF2-40B4-BE49-F238E27FC236}">
              <a16:creationId xmlns="" xmlns:a16="http://schemas.microsoft.com/office/drawing/2014/main" id="{00000000-0008-0000-0000-00008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8" name="Text Box 73">
          <a:extLst>
            <a:ext uri="{FF2B5EF4-FFF2-40B4-BE49-F238E27FC236}">
              <a16:creationId xmlns="" xmlns:a16="http://schemas.microsoft.com/office/drawing/2014/main" id="{00000000-0008-0000-0000-00008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9" name="Text Box 74">
          <a:extLst>
            <a:ext uri="{FF2B5EF4-FFF2-40B4-BE49-F238E27FC236}">
              <a16:creationId xmlns="" xmlns:a16="http://schemas.microsoft.com/office/drawing/2014/main" id="{00000000-0008-0000-0000-00008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0" name="Text Box 75">
          <a:extLst>
            <a:ext uri="{FF2B5EF4-FFF2-40B4-BE49-F238E27FC236}">
              <a16:creationId xmlns="" xmlns:a16="http://schemas.microsoft.com/office/drawing/2014/main" id="{00000000-0008-0000-0000-00008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1" name="Text Box 76">
          <a:extLst>
            <a:ext uri="{FF2B5EF4-FFF2-40B4-BE49-F238E27FC236}">
              <a16:creationId xmlns="" xmlns:a16="http://schemas.microsoft.com/office/drawing/2014/main" id="{00000000-0008-0000-0000-00008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2" name="Text Box 77">
          <a:extLst>
            <a:ext uri="{FF2B5EF4-FFF2-40B4-BE49-F238E27FC236}">
              <a16:creationId xmlns="" xmlns:a16="http://schemas.microsoft.com/office/drawing/2014/main" id="{00000000-0008-0000-0000-00008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3" name="Text Box 78">
          <a:extLst>
            <a:ext uri="{FF2B5EF4-FFF2-40B4-BE49-F238E27FC236}">
              <a16:creationId xmlns="" xmlns:a16="http://schemas.microsoft.com/office/drawing/2014/main" id="{00000000-0008-0000-0000-00008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4" name="Text Box 79">
          <a:extLst>
            <a:ext uri="{FF2B5EF4-FFF2-40B4-BE49-F238E27FC236}">
              <a16:creationId xmlns="" xmlns:a16="http://schemas.microsoft.com/office/drawing/2014/main" id="{00000000-0008-0000-0000-00008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5" name="Text Box 80">
          <a:extLst>
            <a:ext uri="{FF2B5EF4-FFF2-40B4-BE49-F238E27FC236}">
              <a16:creationId xmlns="" xmlns:a16="http://schemas.microsoft.com/office/drawing/2014/main" id="{00000000-0008-0000-0000-00008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6" name="Text Box 81">
          <a:extLst>
            <a:ext uri="{FF2B5EF4-FFF2-40B4-BE49-F238E27FC236}">
              <a16:creationId xmlns="" xmlns:a16="http://schemas.microsoft.com/office/drawing/2014/main" id="{00000000-0008-0000-0000-00008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7" name="Text Box 3079">
          <a:extLst>
            <a:ext uri="{FF2B5EF4-FFF2-40B4-BE49-F238E27FC236}">
              <a16:creationId xmlns="" xmlns:a16="http://schemas.microsoft.com/office/drawing/2014/main" id="{00000000-0008-0000-0000-00008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8" name="Text Box 3080">
          <a:extLst>
            <a:ext uri="{FF2B5EF4-FFF2-40B4-BE49-F238E27FC236}">
              <a16:creationId xmlns="" xmlns:a16="http://schemas.microsoft.com/office/drawing/2014/main" id="{00000000-0008-0000-0000-00008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9" name="Text Box 3081">
          <a:extLst>
            <a:ext uri="{FF2B5EF4-FFF2-40B4-BE49-F238E27FC236}">
              <a16:creationId xmlns="" xmlns:a16="http://schemas.microsoft.com/office/drawing/2014/main" id="{00000000-0008-0000-0000-00008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0" name="Text Box 3082">
          <a:extLst>
            <a:ext uri="{FF2B5EF4-FFF2-40B4-BE49-F238E27FC236}">
              <a16:creationId xmlns="" xmlns:a16="http://schemas.microsoft.com/office/drawing/2014/main" id="{00000000-0008-0000-0000-00008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1" name="Text Box 3083">
          <a:extLst>
            <a:ext uri="{FF2B5EF4-FFF2-40B4-BE49-F238E27FC236}">
              <a16:creationId xmlns="" xmlns:a16="http://schemas.microsoft.com/office/drawing/2014/main" id="{00000000-0008-0000-0000-00008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2" name="Text Box 3084">
          <a:extLst>
            <a:ext uri="{FF2B5EF4-FFF2-40B4-BE49-F238E27FC236}">
              <a16:creationId xmlns="" xmlns:a16="http://schemas.microsoft.com/office/drawing/2014/main" id="{00000000-0008-0000-0000-00009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3" name="Text Box 3085">
          <a:extLst>
            <a:ext uri="{FF2B5EF4-FFF2-40B4-BE49-F238E27FC236}">
              <a16:creationId xmlns="" xmlns:a16="http://schemas.microsoft.com/office/drawing/2014/main" id="{00000000-0008-0000-0000-00009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4" name="Text Box 3086">
          <a:extLst>
            <a:ext uri="{FF2B5EF4-FFF2-40B4-BE49-F238E27FC236}">
              <a16:creationId xmlns="" xmlns:a16="http://schemas.microsoft.com/office/drawing/2014/main" id="{00000000-0008-0000-0000-00009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5" name="Text Box 3087">
          <a:extLst>
            <a:ext uri="{FF2B5EF4-FFF2-40B4-BE49-F238E27FC236}">
              <a16:creationId xmlns="" xmlns:a16="http://schemas.microsoft.com/office/drawing/2014/main" id="{00000000-0008-0000-0000-00009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6" name="Text Box 3088">
          <a:extLst>
            <a:ext uri="{FF2B5EF4-FFF2-40B4-BE49-F238E27FC236}">
              <a16:creationId xmlns="" xmlns:a16="http://schemas.microsoft.com/office/drawing/2014/main" id="{00000000-0008-0000-0000-00009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7" name="Text Box 3089">
          <a:extLst>
            <a:ext uri="{FF2B5EF4-FFF2-40B4-BE49-F238E27FC236}">
              <a16:creationId xmlns="" xmlns:a16="http://schemas.microsoft.com/office/drawing/2014/main" id="{00000000-0008-0000-0000-00009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8" name="Text Box 3090">
          <a:extLst>
            <a:ext uri="{FF2B5EF4-FFF2-40B4-BE49-F238E27FC236}">
              <a16:creationId xmlns="" xmlns:a16="http://schemas.microsoft.com/office/drawing/2014/main" id="{00000000-0008-0000-0000-00009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9" name="Text Box 3091">
          <a:extLst>
            <a:ext uri="{FF2B5EF4-FFF2-40B4-BE49-F238E27FC236}">
              <a16:creationId xmlns="" xmlns:a16="http://schemas.microsoft.com/office/drawing/2014/main" id="{00000000-0008-0000-0000-00009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0" name="Text Box 3092">
          <a:extLst>
            <a:ext uri="{FF2B5EF4-FFF2-40B4-BE49-F238E27FC236}">
              <a16:creationId xmlns="" xmlns:a16="http://schemas.microsoft.com/office/drawing/2014/main" id="{00000000-0008-0000-0000-00009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1" name="Text Box 3093">
          <a:extLst>
            <a:ext uri="{FF2B5EF4-FFF2-40B4-BE49-F238E27FC236}">
              <a16:creationId xmlns="" xmlns:a16="http://schemas.microsoft.com/office/drawing/2014/main" id="{00000000-0008-0000-0000-00009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2" name="Text Box 3094">
          <a:extLst>
            <a:ext uri="{FF2B5EF4-FFF2-40B4-BE49-F238E27FC236}">
              <a16:creationId xmlns="" xmlns:a16="http://schemas.microsoft.com/office/drawing/2014/main" id="{00000000-0008-0000-0000-00009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3" name="Text Box 3095">
          <a:extLst>
            <a:ext uri="{FF2B5EF4-FFF2-40B4-BE49-F238E27FC236}">
              <a16:creationId xmlns="" xmlns:a16="http://schemas.microsoft.com/office/drawing/2014/main" id="{00000000-0008-0000-0000-00009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4" name="Text Box 3096">
          <a:extLst>
            <a:ext uri="{FF2B5EF4-FFF2-40B4-BE49-F238E27FC236}">
              <a16:creationId xmlns="" xmlns:a16="http://schemas.microsoft.com/office/drawing/2014/main" id="{00000000-0008-0000-0000-00009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5" name="Text Box 3097">
          <a:extLst>
            <a:ext uri="{FF2B5EF4-FFF2-40B4-BE49-F238E27FC236}">
              <a16:creationId xmlns="" xmlns:a16="http://schemas.microsoft.com/office/drawing/2014/main" id="{00000000-0008-0000-0000-00009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6" name="Text Box 3098">
          <a:extLst>
            <a:ext uri="{FF2B5EF4-FFF2-40B4-BE49-F238E27FC236}">
              <a16:creationId xmlns="" xmlns:a16="http://schemas.microsoft.com/office/drawing/2014/main" id="{00000000-0008-0000-0000-00009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7" name="Text Box 3099">
          <a:extLst>
            <a:ext uri="{FF2B5EF4-FFF2-40B4-BE49-F238E27FC236}">
              <a16:creationId xmlns="" xmlns:a16="http://schemas.microsoft.com/office/drawing/2014/main" id="{00000000-0008-0000-0000-00009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8" name="Text Box 3100">
          <a:extLst>
            <a:ext uri="{FF2B5EF4-FFF2-40B4-BE49-F238E27FC236}">
              <a16:creationId xmlns="" xmlns:a16="http://schemas.microsoft.com/office/drawing/2014/main" id="{00000000-0008-0000-0000-0000A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9" name="Text Box 3101">
          <a:extLst>
            <a:ext uri="{FF2B5EF4-FFF2-40B4-BE49-F238E27FC236}">
              <a16:creationId xmlns="" xmlns:a16="http://schemas.microsoft.com/office/drawing/2014/main" id="{00000000-0008-0000-0000-0000A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210" name="Text Box 3102">
          <a:extLst>
            <a:ext uri="{FF2B5EF4-FFF2-40B4-BE49-F238E27FC236}">
              <a16:creationId xmlns="" xmlns:a16="http://schemas.microsoft.com/office/drawing/2014/main" id="{00000000-0008-0000-0000-0000A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1" name="Text Box 59">
          <a:extLst>
            <a:ext uri="{FF2B5EF4-FFF2-40B4-BE49-F238E27FC236}">
              <a16:creationId xmlns="" xmlns:a16="http://schemas.microsoft.com/office/drawing/2014/main" id="{00000000-0008-0000-0000-0000A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2" name="Text Box 60">
          <a:extLst>
            <a:ext uri="{FF2B5EF4-FFF2-40B4-BE49-F238E27FC236}">
              <a16:creationId xmlns="" xmlns:a16="http://schemas.microsoft.com/office/drawing/2014/main" id="{00000000-0008-0000-0000-0000A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3" name="Text Box 61">
          <a:extLst>
            <a:ext uri="{FF2B5EF4-FFF2-40B4-BE49-F238E27FC236}">
              <a16:creationId xmlns="" xmlns:a16="http://schemas.microsoft.com/office/drawing/2014/main" id="{00000000-0008-0000-0000-0000A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4" name="Text Box 62">
          <a:extLst>
            <a:ext uri="{FF2B5EF4-FFF2-40B4-BE49-F238E27FC236}">
              <a16:creationId xmlns="" xmlns:a16="http://schemas.microsoft.com/office/drawing/2014/main" id="{00000000-0008-0000-0000-0000A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5" name="Text Box 63">
          <a:extLst>
            <a:ext uri="{FF2B5EF4-FFF2-40B4-BE49-F238E27FC236}">
              <a16:creationId xmlns="" xmlns:a16="http://schemas.microsoft.com/office/drawing/2014/main" id="{00000000-0008-0000-0000-0000A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6" name="Text Box 64">
          <a:extLst>
            <a:ext uri="{FF2B5EF4-FFF2-40B4-BE49-F238E27FC236}">
              <a16:creationId xmlns="" xmlns:a16="http://schemas.microsoft.com/office/drawing/2014/main" id="{00000000-0008-0000-0000-0000A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7" name="Text Box 65">
          <a:extLst>
            <a:ext uri="{FF2B5EF4-FFF2-40B4-BE49-F238E27FC236}">
              <a16:creationId xmlns="" xmlns:a16="http://schemas.microsoft.com/office/drawing/2014/main" id="{00000000-0008-0000-0000-0000A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8" name="Text Box 66">
          <a:extLst>
            <a:ext uri="{FF2B5EF4-FFF2-40B4-BE49-F238E27FC236}">
              <a16:creationId xmlns="" xmlns:a16="http://schemas.microsoft.com/office/drawing/2014/main" id="{00000000-0008-0000-0000-0000A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9" name="Text Box 67">
          <a:extLst>
            <a:ext uri="{FF2B5EF4-FFF2-40B4-BE49-F238E27FC236}">
              <a16:creationId xmlns="" xmlns:a16="http://schemas.microsoft.com/office/drawing/2014/main" id="{00000000-0008-0000-0000-0000A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0" name="Text Box 68">
          <a:extLst>
            <a:ext uri="{FF2B5EF4-FFF2-40B4-BE49-F238E27FC236}">
              <a16:creationId xmlns="" xmlns:a16="http://schemas.microsoft.com/office/drawing/2014/main" id="{00000000-0008-0000-0000-0000A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1" name="Text Box 69">
          <a:extLst>
            <a:ext uri="{FF2B5EF4-FFF2-40B4-BE49-F238E27FC236}">
              <a16:creationId xmlns="" xmlns:a16="http://schemas.microsoft.com/office/drawing/2014/main" id="{00000000-0008-0000-0000-0000A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2" name="Text Box 70">
          <a:extLst>
            <a:ext uri="{FF2B5EF4-FFF2-40B4-BE49-F238E27FC236}">
              <a16:creationId xmlns="" xmlns:a16="http://schemas.microsoft.com/office/drawing/2014/main" id="{00000000-0008-0000-0000-0000A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3" name="Text Box 71">
          <a:extLst>
            <a:ext uri="{FF2B5EF4-FFF2-40B4-BE49-F238E27FC236}">
              <a16:creationId xmlns="" xmlns:a16="http://schemas.microsoft.com/office/drawing/2014/main" id="{00000000-0008-0000-0000-0000A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4" name="Text Box 72">
          <a:extLst>
            <a:ext uri="{FF2B5EF4-FFF2-40B4-BE49-F238E27FC236}">
              <a16:creationId xmlns="" xmlns:a16="http://schemas.microsoft.com/office/drawing/2014/main" id="{00000000-0008-0000-0000-0000B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5" name="Text Box 73">
          <a:extLst>
            <a:ext uri="{FF2B5EF4-FFF2-40B4-BE49-F238E27FC236}">
              <a16:creationId xmlns="" xmlns:a16="http://schemas.microsoft.com/office/drawing/2014/main" id="{00000000-0008-0000-0000-0000B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6" name="Text Box 74">
          <a:extLst>
            <a:ext uri="{FF2B5EF4-FFF2-40B4-BE49-F238E27FC236}">
              <a16:creationId xmlns="" xmlns:a16="http://schemas.microsoft.com/office/drawing/2014/main" id="{00000000-0008-0000-0000-0000B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7" name="Text Box 75">
          <a:extLst>
            <a:ext uri="{FF2B5EF4-FFF2-40B4-BE49-F238E27FC236}">
              <a16:creationId xmlns="" xmlns:a16="http://schemas.microsoft.com/office/drawing/2014/main" id="{00000000-0008-0000-0000-0000B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8" name="Text Box 76">
          <a:extLst>
            <a:ext uri="{FF2B5EF4-FFF2-40B4-BE49-F238E27FC236}">
              <a16:creationId xmlns="" xmlns:a16="http://schemas.microsoft.com/office/drawing/2014/main" id="{00000000-0008-0000-0000-0000B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9" name="Text Box 77">
          <a:extLst>
            <a:ext uri="{FF2B5EF4-FFF2-40B4-BE49-F238E27FC236}">
              <a16:creationId xmlns="" xmlns:a16="http://schemas.microsoft.com/office/drawing/2014/main" id="{00000000-0008-0000-0000-0000B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0" name="Text Box 78">
          <a:extLst>
            <a:ext uri="{FF2B5EF4-FFF2-40B4-BE49-F238E27FC236}">
              <a16:creationId xmlns="" xmlns:a16="http://schemas.microsoft.com/office/drawing/2014/main" id="{00000000-0008-0000-0000-0000B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1" name="Text Box 79">
          <a:extLst>
            <a:ext uri="{FF2B5EF4-FFF2-40B4-BE49-F238E27FC236}">
              <a16:creationId xmlns="" xmlns:a16="http://schemas.microsoft.com/office/drawing/2014/main" id="{00000000-0008-0000-0000-0000B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2" name="Text Box 80">
          <a:extLst>
            <a:ext uri="{FF2B5EF4-FFF2-40B4-BE49-F238E27FC236}">
              <a16:creationId xmlns="" xmlns:a16="http://schemas.microsoft.com/office/drawing/2014/main" id="{00000000-0008-0000-0000-0000B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3" name="Text Box 81">
          <a:extLst>
            <a:ext uri="{FF2B5EF4-FFF2-40B4-BE49-F238E27FC236}">
              <a16:creationId xmlns="" xmlns:a16="http://schemas.microsoft.com/office/drawing/2014/main" id="{00000000-0008-0000-0000-0000B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234" name="Text Box 82">
          <a:extLst>
            <a:ext uri="{FF2B5EF4-FFF2-40B4-BE49-F238E27FC236}">
              <a16:creationId xmlns="" xmlns:a16="http://schemas.microsoft.com/office/drawing/2014/main" id="{00000000-0008-0000-0000-0000B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5" name="Text Box 3079">
          <a:extLst>
            <a:ext uri="{FF2B5EF4-FFF2-40B4-BE49-F238E27FC236}">
              <a16:creationId xmlns="" xmlns:a16="http://schemas.microsoft.com/office/drawing/2014/main" id="{00000000-0008-0000-0000-0000B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6" name="Text Box 3080">
          <a:extLst>
            <a:ext uri="{FF2B5EF4-FFF2-40B4-BE49-F238E27FC236}">
              <a16:creationId xmlns="" xmlns:a16="http://schemas.microsoft.com/office/drawing/2014/main" id="{00000000-0008-0000-0000-0000B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7" name="Text Box 3081">
          <a:extLst>
            <a:ext uri="{FF2B5EF4-FFF2-40B4-BE49-F238E27FC236}">
              <a16:creationId xmlns="" xmlns:a16="http://schemas.microsoft.com/office/drawing/2014/main" id="{00000000-0008-0000-0000-0000B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8" name="Text Box 3082">
          <a:extLst>
            <a:ext uri="{FF2B5EF4-FFF2-40B4-BE49-F238E27FC236}">
              <a16:creationId xmlns="" xmlns:a16="http://schemas.microsoft.com/office/drawing/2014/main" id="{00000000-0008-0000-0000-0000B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9" name="Text Box 3083">
          <a:extLst>
            <a:ext uri="{FF2B5EF4-FFF2-40B4-BE49-F238E27FC236}">
              <a16:creationId xmlns="" xmlns:a16="http://schemas.microsoft.com/office/drawing/2014/main" id="{00000000-0008-0000-0000-0000B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0" name="Text Box 3084">
          <a:extLst>
            <a:ext uri="{FF2B5EF4-FFF2-40B4-BE49-F238E27FC236}">
              <a16:creationId xmlns="" xmlns:a16="http://schemas.microsoft.com/office/drawing/2014/main" id="{00000000-0008-0000-0000-0000C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1" name="Text Box 3085">
          <a:extLst>
            <a:ext uri="{FF2B5EF4-FFF2-40B4-BE49-F238E27FC236}">
              <a16:creationId xmlns="" xmlns:a16="http://schemas.microsoft.com/office/drawing/2014/main" id="{00000000-0008-0000-0000-0000C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2" name="Text Box 3086">
          <a:extLst>
            <a:ext uri="{FF2B5EF4-FFF2-40B4-BE49-F238E27FC236}">
              <a16:creationId xmlns="" xmlns:a16="http://schemas.microsoft.com/office/drawing/2014/main" id="{00000000-0008-0000-0000-0000C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3" name="Text Box 3087">
          <a:extLst>
            <a:ext uri="{FF2B5EF4-FFF2-40B4-BE49-F238E27FC236}">
              <a16:creationId xmlns="" xmlns:a16="http://schemas.microsoft.com/office/drawing/2014/main" id="{00000000-0008-0000-0000-0000C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4" name="Text Box 3088">
          <a:extLst>
            <a:ext uri="{FF2B5EF4-FFF2-40B4-BE49-F238E27FC236}">
              <a16:creationId xmlns="" xmlns:a16="http://schemas.microsoft.com/office/drawing/2014/main" id="{00000000-0008-0000-0000-0000C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5" name="Text Box 3089">
          <a:extLst>
            <a:ext uri="{FF2B5EF4-FFF2-40B4-BE49-F238E27FC236}">
              <a16:creationId xmlns="" xmlns:a16="http://schemas.microsoft.com/office/drawing/2014/main" id="{00000000-0008-0000-0000-0000C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6" name="Text Box 3090">
          <a:extLst>
            <a:ext uri="{FF2B5EF4-FFF2-40B4-BE49-F238E27FC236}">
              <a16:creationId xmlns="" xmlns:a16="http://schemas.microsoft.com/office/drawing/2014/main" id="{00000000-0008-0000-0000-0000C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7" name="Text Box 3091">
          <a:extLst>
            <a:ext uri="{FF2B5EF4-FFF2-40B4-BE49-F238E27FC236}">
              <a16:creationId xmlns="" xmlns:a16="http://schemas.microsoft.com/office/drawing/2014/main" id="{00000000-0008-0000-0000-0000C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8" name="Text Box 3092">
          <a:extLst>
            <a:ext uri="{FF2B5EF4-FFF2-40B4-BE49-F238E27FC236}">
              <a16:creationId xmlns="" xmlns:a16="http://schemas.microsoft.com/office/drawing/2014/main" id="{00000000-0008-0000-0000-0000C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9" name="Text Box 3093">
          <a:extLst>
            <a:ext uri="{FF2B5EF4-FFF2-40B4-BE49-F238E27FC236}">
              <a16:creationId xmlns="" xmlns:a16="http://schemas.microsoft.com/office/drawing/2014/main" id="{00000000-0008-0000-0000-0000C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0" name="Text Box 3094">
          <a:extLst>
            <a:ext uri="{FF2B5EF4-FFF2-40B4-BE49-F238E27FC236}">
              <a16:creationId xmlns="" xmlns:a16="http://schemas.microsoft.com/office/drawing/2014/main" id="{00000000-0008-0000-0000-0000C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1" name="Text Box 3095">
          <a:extLst>
            <a:ext uri="{FF2B5EF4-FFF2-40B4-BE49-F238E27FC236}">
              <a16:creationId xmlns="" xmlns:a16="http://schemas.microsoft.com/office/drawing/2014/main" id="{00000000-0008-0000-0000-0000C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2" name="Text Box 3096">
          <a:extLst>
            <a:ext uri="{FF2B5EF4-FFF2-40B4-BE49-F238E27FC236}">
              <a16:creationId xmlns="" xmlns:a16="http://schemas.microsoft.com/office/drawing/2014/main" id="{00000000-0008-0000-0000-0000C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3" name="Text Box 3097">
          <a:extLst>
            <a:ext uri="{FF2B5EF4-FFF2-40B4-BE49-F238E27FC236}">
              <a16:creationId xmlns="" xmlns:a16="http://schemas.microsoft.com/office/drawing/2014/main" id="{00000000-0008-0000-0000-0000C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4" name="Text Box 3098">
          <a:extLst>
            <a:ext uri="{FF2B5EF4-FFF2-40B4-BE49-F238E27FC236}">
              <a16:creationId xmlns="" xmlns:a16="http://schemas.microsoft.com/office/drawing/2014/main" id="{00000000-0008-0000-0000-0000C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5" name="Text Box 3099">
          <a:extLst>
            <a:ext uri="{FF2B5EF4-FFF2-40B4-BE49-F238E27FC236}">
              <a16:creationId xmlns="" xmlns:a16="http://schemas.microsoft.com/office/drawing/2014/main" id="{00000000-0008-0000-0000-0000C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6" name="Text Box 3100">
          <a:extLst>
            <a:ext uri="{FF2B5EF4-FFF2-40B4-BE49-F238E27FC236}">
              <a16:creationId xmlns="" xmlns:a16="http://schemas.microsoft.com/office/drawing/2014/main" id="{00000000-0008-0000-0000-0000D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7" name="Text Box 3101">
          <a:extLst>
            <a:ext uri="{FF2B5EF4-FFF2-40B4-BE49-F238E27FC236}">
              <a16:creationId xmlns="" xmlns:a16="http://schemas.microsoft.com/office/drawing/2014/main" id="{00000000-0008-0000-0000-0000D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258" name="Text Box 3102">
          <a:extLst>
            <a:ext uri="{FF2B5EF4-FFF2-40B4-BE49-F238E27FC236}">
              <a16:creationId xmlns="" xmlns:a16="http://schemas.microsoft.com/office/drawing/2014/main" id="{00000000-0008-0000-0000-0000D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59" name="Text Box 59">
          <a:extLst>
            <a:ext uri="{FF2B5EF4-FFF2-40B4-BE49-F238E27FC236}">
              <a16:creationId xmlns="" xmlns:a16="http://schemas.microsoft.com/office/drawing/2014/main" id="{00000000-0008-0000-0000-0000D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0" name="Text Box 60">
          <a:extLst>
            <a:ext uri="{FF2B5EF4-FFF2-40B4-BE49-F238E27FC236}">
              <a16:creationId xmlns="" xmlns:a16="http://schemas.microsoft.com/office/drawing/2014/main" id="{00000000-0008-0000-0000-0000D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1" name="Text Box 61">
          <a:extLst>
            <a:ext uri="{FF2B5EF4-FFF2-40B4-BE49-F238E27FC236}">
              <a16:creationId xmlns="" xmlns:a16="http://schemas.microsoft.com/office/drawing/2014/main" id="{00000000-0008-0000-0000-0000D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2" name="Text Box 62">
          <a:extLst>
            <a:ext uri="{FF2B5EF4-FFF2-40B4-BE49-F238E27FC236}">
              <a16:creationId xmlns="" xmlns:a16="http://schemas.microsoft.com/office/drawing/2014/main" id="{00000000-0008-0000-0000-0000D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3" name="Text Box 63">
          <a:extLst>
            <a:ext uri="{FF2B5EF4-FFF2-40B4-BE49-F238E27FC236}">
              <a16:creationId xmlns="" xmlns:a16="http://schemas.microsoft.com/office/drawing/2014/main" id="{00000000-0008-0000-0000-0000D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4" name="Text Box 64">
          <a:extLst>
            <a:ext uri="{FF2B5EF4-FFF2-40B4-BE49-F238E27FC236}">
              <a16:creationId xmlns="" xmlns:a16="http://schemas.microsoft.com/office/drawing/2014/main" id="{00000000-0008-0000-0000-0000D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5" name="Text Box 65">
          <a:extLst>
            <a:ext uri="{FF2B5EF4-FFF2-40B4-BE49-F238E27FC236}">
              <a16:creationId xmlns="" xmlns:a16="http://schemas.microsoft.com/office/drawing/2014/main" id="{00000000-0008-0000-0000-0000D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6" name="Text Box 66">
          <a:extLst>
            <a:ext uri="{FF2B5EF4-FFF2-40B4-BE49-F238E27FC236}">
              <a16:creationId xmlns="" xmlns:a16="http://schemas.microsoft.com/office/drawing/2014/main" id="{00000000-0008-0000-0000-0000D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7" name="Text Box 67">
          <a:extLst>
            <a:ext uri="{FF2B5EF4-FFF2-40B4-BE49-F238E27FC236}">
              <a16:creationId xmlns="" xmlns:a16="http://schemas.microsoft.com/office/drawing/2014/main" id="{00000000-0008-0000-0000-0000D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8" name="Text Box 68">
          <a:extLst>
            <a:ext uri="{FF2B5EF4-FFF2-40B4-BE49-F238E27FC236}">
              <a16:creationId xmlns="" xmlns:a16="http://schemas.microsoft.com/office/drawing/2014/main" id="{00000000-0008-0000-0000-0000D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9" name="Text Box 69">
          <a:extLst>
            <a:ext uri="{FF2B5EF4-FFF2-40B4-BE49-F238E27FC236}">
              <a16:creationId xmlns="" xmlns:a16="http://schemas.microsoft.com/office/drawing/2014/main" id="{00000000-0008-0000-0000-0000D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0" name="Text Box 70">
          <a:extLst>
            <a:ext uri="{FF2B5EF4-FFF2-40B4-BE49-F238E27FC236}">
              <a16:creationId xmlns="" xmlns:a16="http://schemas.microsoft.com/office/drawing/2014/main" id="{00000000-0008-0000-0000-0000D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1" name="Text Box 71">
          <a:extLst>
            <a:ext uri="{FF2B5EF4-FFF2-40B4-BE49-F238E27FC236}">
              <a16:creationId xmlns="" xmlns:a16="http://schemas.microsoft.com/office/drawing/2014/main" id="{00000000-0008-0000-0000-0000D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2" name="Text Box 72">
          <a:extLst>
            <a:ext uri="{FF2B5EF4-FFF2-40B4-BE49-F238E27FC236}">
              <a16:creationId xmlns="" xmlns:a16="http://schemas.microsoft.com/office/drawing/2014/main" id="{00000000-0008-0000-0000-0000E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3" name="Text Box 73">
          <a:extLst>
            <a:ext uri="{FF2B5EF4-FFF2-40B4-BE49-F238E27FC236}">
              <a16:creationId xmlns="" xmlns:a16="http://schemas.microsoft.com/office/drawing/2014/main" id="{00000000-0008-0000-0000-0000E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4" name="Text Box 74">
          <a:extLst>
            <a:ext uri="{FF2B5EF4-FFF2-40B4-BE49-F238E27FC236}">
              <a16:creationId xmlns="" xmlns:a16="http://schemas.microsoft.com/office/drawing/2014/main" id="{00000000-0008-0000-0000-0000E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5" name="Text Box 75">
          <a:extLst>
            <a:ext uri="{FF2B5EF4-FFF2-40B4-BE49-F238E27FC236}">
              <a16:creationId xmlns="" xmlns:a16="http://schemas.microsoft.com/office/drawing/2014/main" id="{00000000-0008-0000-0000-0000E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6" name="Text Box 76">
          <a:extLst>
            <a:ext uri="{FF2B5EF4-FFF2-40B4-BE49-F238E27FC236}">
              <a16:creationId xmlns="" xmlns:a16="http://schemas.microsoft.com/office/drawing/2014/main" id="{00000000-0008-0000-0000-0000E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7" name="Text Box 77">
          <a:extLst>
            <a:ext uri="{FF2B5EF4-FFF2-40B4-BE49-F238E27FC236}">
              <a16:creationId xmlns="" xmlns:a16="http://schemas.microsoft.com/office/drawing/2014/main" id="{00000000-0008-0000-0000-0000E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8" name="Text Box 78">
          <a:extLst>
            <a:ext uri="{FF2B5EF4-FFF2-40B4-BE49-F238E27FC236}">
              <a16:creationId xmlns="" xmlns:a16="http://schemas.microsoft.com/office/drawing/2014/main" id="{00000000-0008-0000-0000-0000E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9" name="Text Box 79">
          <a:extLst>
            <a:ext uri="{FF2B5EF4-FFF2-40B4-BE49-F238E27FC236}">
              <a16:creationId xmlns="" xmlns:a16="http://schemas.microsoft.com/office/drawing/2014/main" id="{00000000-0008-0000-0000-0000E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0" name="Text Box 80">
          <a:extLst>
            <a:ext uri="{FF2B5EF4-FFF2-40B4-BE49-F238E27FC236}">
              <a16:creationId xmlns="" xmlns:a16="http://schemas.microsoft.com/office/drawing/2014/main" id="{00000000-0008-0000-0000-0000E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1" name="Text Box 81">
          <a:extLst>
            <a:ext uri="{FF2B5EF4-FFF2-40B4-BE49-F238E27FC236}">
              <a16:creationId xmlns="" xmlns:a16="http://schemas.microsoft.com/office/drawing/2014/main" id="{00000000-0008-0000-0000-0000E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2" name="Text Box 3079">
          <a:extLst>
            <a:ext uri="{FF2B5EF4-FFF2-40B4-BE49-F238E27FC236}">
              <a16:creationId xmlns="" xmlns:a16="http://schemas.microsoft.com/office/drawing/2014/main" id="{00000000-0008-0000-0000-0000E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3" name="Text Box 3080">
          <a:extLst>
            <a:ext uri="{FF2B5EF4-FFF2-40B4-BE49-F238E27FC236}">
              <a16:creationId xmlns="" xmlns:a16="http://schemas.microsoft.com/office/drawing/2014/main" id="{00000000-0008-0000-0000-0000E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4" name="Text Box 3081">
          <a:extLst>
            <a:ext uri="{FF2B5EF4-FFF2-40B4-BE49-F238E27FC236}">
              <a16:creationId xmlns="" xmlns:a16="http://schemas.microsoft.com/office/drawing/2014/main" id="{00000000-0008-0000-0000-0000E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5" name="Text Box 3082">
          <a:extLst>
            <a:ext uri="{FF2B5EF4-FFF2-40B4-BE49-F238E27FC236}">
              <a16:creationId xmlns="" xmlns:a16="http://schemas.microsoft.com/office/drawing/2014/main" id="{00000000-0008-0000-0000-0000E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6" name="Text Box 3083">
          <a:extLst>
            <a:ext uri="{FF2B5EF4-FFF2-40B4-BE49-F238E27FC236}">
              <a16:creationId xmlns="" xmlns:a16="http://schemas.microsoft.com/office/drawing/2014/main" id="{00000000-0008-0000-0000-0000E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7" name="Text Box 3084">
          <a:extLst>
            <a:ext uri="{FF2B5EF4-FFF2-40B4-BE49-F238E27FC236}">
              <a16:creationId xmlns="" xmlns:a16="http://schemas.microsoft.com/office/drawing/2014/main" id="{00000000-0008-0000-0000-0000E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8" name="Text Box 3085">
          <a:extLst>
            <a:ext uri="{FF2B5EF4-FFF2-40B4-BE49-F238E27FC236}">
              <a16:creationId xmlns="" xmlns:a16="http://schemas.microsoft.com/office/drawing/2014/main" id="{00000000-0008-0000-0000-0000F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9" name="Text Box 3086">
          <a:extLst>
            <a:ext uri="{FF2B5EF4-FFF2-40B4-BE49-F238E27FC236}">
              <a16:creationId xmlns="" xmlns:a16="http://schemas.microsoft.com/office/drawing/2014/main" id="{00000000-0008-0000-0000-0000F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0" name="Text Box 3087">
          <a:extLst>
            <a:ext uri="{FF2B5EF4-FFF2-40B4-BE49-F238E27FC236}">
              <a16:creationId xmlns="" xmlns:a16="http://schemas.microsoft.com/office/drawing/2014/main" id="{00000000-0008-0000-0000-0000F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1" name="Text Box 3088">
          <a:extLst>
            <a:ext uri="{FF2B5EF4-FFF2-40B4-BE49-F238E27FC236}">
              <a16:creationId xmlns="" xmlns:a16="http://schemas.microsoft.com/office/drawing/2014/main" id="{00000000-0008-0000-0000-0000F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2" name="Text Box 3089">
          <a:extLst>
            <a:ext uri="{FF2B5EF4-FFF2-40B4-BE49-F238E27FC236}">
              <a16:creationId xmlns="" xmlns:a16="http://schemas.microsoft.com/office/drawing/2014/main" id="{00000000-0008-0000-0000-0000F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3" name="Text Box 3090">
          <a:extLst>
            <a:ext uri="{FF2B5EF4-FFF2-40B4-BE49-F238E27FC236}">
              <a16:creationId xmlns="" xmlns:a16="http://schemas.microsoft.com/office/drawing/2014/main" id="{00000000-0008-0000-0000-0000F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4" name="Text Box 3091">
          <a:extLst>
            <a:ext uri="{FF2B5EF4-FFF2-40B4-BE49-F238E27FC236}">
              <a16:creationId xmlns="" xmlns:a16="http://schemas.microsoft.com/office/drawing/2014/main" id="{00000000-0008-0000-0000-0000F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5" name="Text Box 3092">
          <a:extLst>
            <a:ext uri="{FF2B5EF4-FFF2-40B4-BE49-F238E27FC236}">
              <a16:creationId xmlns="" xmlns:a16="http://schemas.microsoft.com/office/drawing/2014/main" id="{00000000-0008-0000-0000-0000F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6" name="Text Box 3093">
          <a:extLst>
            <a:ext uri="{FF2B5EF4-FFF2-40B4-BE49-F238E27FC236}">
              <a16:creationId xmlns="" xmlns:a16="http://schemas.microsoft.com/office/drawing/2014/main" id="{00000000-0008-0000-0000-0000F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7" name="Text Box 3094">
          <a:extLst>
            <a:ext uri="{FF2B5EF4-FFF2-40B4-BE49-F238E27FC236}">
              <a16:creationId xmlns="" xmlns:a16="http://schemas.microsoft.com/office/drawing/2014/main" id="{00000000-0008-0000-0000-0000F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8" name="Text Box 3095">
          <a:extLst>
            <a:ext uri="{FF2B5EF4-FFF2-40B4-BE49-F238E27FC236}">
              <a16:creationId xmlns="" xmlns:a16="http://schemas.microsoft.com/office/drawing/2014/main" id="{00000000-0008-0000-0000-0000F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9" name="Text Box 3096">
          <a:extLst>
            <a:ext uri="{FF2B5EF4-FFF2-40B4-BE49-F238E27FC236}">
              <a16:creationId xmlns="" xmlns:a16="http://schemas.microsoft.com/office/drawing/2014/main" id="{00000000-0008-0000-0000-0000F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0" name="Text Box 3097">
          <a:extLst>
            <a:ext uri="{FF2B5EF4-FFF2-40B4-BE49-F238E27FC236}">
              <a16:creationId xmlns="" xmlns:a16="http://schemas.microsoft.com/office/drawing/2014/main" id="{00000000-0008-0000-0000-0000F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1" name="Text Box 3098">
          <a:extLst>
            <a:ext uri="{FF2B5EF4-FFF2-40B4-BE49-F238E27FC236}">
              <a16:creationId xmlns="" xmlns:a16="http://schemas.microsoft.com/office/drawing/2014/main" id="{00000000-0008-0000-0000-0000F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2" name="Text Box 3099">
          <a:extLst>
            <a:ext uri="{FF2B5EF4-FFF2-40B4-BE49-F238E27FC236}">
              <a16:creationId xmlns="" xmlns:a16="http://schemas.microsoft.com/office/drawing/2014/main" id="{00000000-0008-0000-0000-0000F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3" name="Text Box 3100">
          <a:extLst>
            <a:ext uri="{FF2B5EF4-FFF2-40B4-BE49-F238E27FC236}">
              <a16:creationId xmlns="" xmlns:a16="http://schemas.microsoft.com/office/drawing/2014/main" id="{00000000-0008-0000-0000-0000F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4" name="Text Box 3101">
          <a:extLst>
            <a:ext uri="{FF2B5EF4-FFF2-40B4-BE49-F238E27FC236}">
              <a16:creationId xmlns="" xmlns:a16="http://schemas.microsoft.com/office/drawing/2014/main" id="{00000000-0008-0000-0000-00000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305" name="Text Box 3102">
          <a:extLst>
            <a:ext uri="{FF2B5EF4-FFF2-40B4-BE49-F238E27FC236}">
              <a16:creationId xmlns="" xmlns:a16="http://schemas.microsoft.com/office/drawing/2014/main" id="{00000000-0008-0000-0000-00000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6" name="Text Box 59">
          <a:extLst>
            <a:ext uri="{FF2B5EF4-FFF2-40B4-BE49-F238E27FC236}">
              <a16:creationId xmlns="" xmlns:a16="http://schemas.microsoft.com/office/drawing/2014/main" id="{00000000-0008-0000-0000-00000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7" name="Text Box 60">
          <a:extLst>
            <a:ext uri="{FF2B5EF4-FFF2-40B4-BE49-F238E27FC236}">
              <a16:creationId xmlns="" xmlns:a16="http://schemas.microsoft.com/office/drawing/2014/main" id="{00000000-0008-0000-0000-00000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8" name="Text Box 61">
          <a:extLst>
            <a:ext uri="{FF2B5EF4-FFF2-40B4-BE49-F238E27FC236}">
              <a16:creationId xmlns="" xmlns:a16="http://schemas.microsoft.com/office/drawing/2014/main" id="{00000000-0008-0000-0000-00000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9" name="Text Box 62">
          <a:extLst>
            <a:ext uri="{FF2B5EF4-FFF2-40B4-BE49-F238E27FC236}">
              <a16:creationId xmlns="" xmlns:a16="http://schemas.microsoft.com/office/drawing/2014/main" id="{00000000-0008-0000-0000-00000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0" name="Text Box 63">
          <a:extLst>
            <a:ext uri="{FF2B5EF4-FFF2-40B4-BE49-F238E27FC236}">
              <a16:creationId xmlns="" xmlns:a16="http://schemas.microsoft.com/office/drawing/2014/main" id="{00000000-0008-0000-0000-00000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1" name="Text Box 64">
          <a:extLst>
            <a:ext uri="{FF2B5EF4-FFF2-40B4-BE49-F238E27FC236}">
              <a16:creationId xmlns="" xmlns:a16="http://schemas.microsoft.com/office/drawing/2014/main" id="{00000000-0008-0000-0000-00000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2" name="Text Box 65">
          <a:extLst>
            <a:ext uri="{FF2B5EF4-FFF2-40B4-BE49-F238E27FC236}">
              <a16:creationId xmlns="" xmlns:a16="http://schemas.microsoft.com/office/drawing/2014/main" id="{00000000-0008-0000-0000-00000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3" name="Text Box 66">
          <a:extLst>
            <a:ext uri="{FF2B5EF4-FFF2-40B4-BE49-F238E27FC236}">
              <a16:creationId xmlns="" xmlns:a16="http://schemas.microsoft.com/office/drawing/2014/main" id="{00000000-0008-0000-0000-00000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4" name="Text Box 67">
          <a:extLst>
            <a:ext uri="{FF2B5EF4-FFF2-40B4-BE49-F238E27FC236}">
              <a16:creationId xmlns="" xmlns:a16="http://schemas.microsoft.com/office/drawing/2014/main" id="{00000000-0008-0000-0000-00000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5" name="Text Box 68">
          <a:extLst>
            <a:ext uri="{FF2B5EF4-FFF2-40B4-BE49-F238E27FC236}">
              <a16:creationId xmlns="" xmlns:a16="http://schemas.microsoft.com/office/drawing/2014/main" id="{00000000-0008-0000-0000-00000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6" name="Text Box 69">
          <a:extLst>
            <a:ext uri="{FF2B5EF4-FFF2-40B4-BE49-F238E27FC236}">
              <a16:creationId xmlns="" xmlns:a16="http://schemas.microsoft.com/office/drawing/2014/main" id="{00000000-0008-0000-0000-00000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7" name="Text Box 70">
          <a:extLst>
            <a:ext uri="{FF2B5EF4-FFF2-40B4-BE49-F238E27FC236}">
              <a16:creationId xmlns="" xmlns:a16="http://schemas.microsoft.com/office/drawing/2014/main" id="{00000000-0008-0000-0000-00000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8" name="Text Box 71">
          <a:extLst>
            <a:ext uri="{FF2B5EF4-FFF2-40B4-BE49-F238E27FC236}">
              <a16:creationId xmlns="" xmlns:a16="http://schemas.microsoft.com/office/drawing/2014/main" id="{00000000-0008-0000-0000-00000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9" name="Text Box 72">
          <a:extLst>
            <a:ext uri="{FF2B5EF4-FFF2-40B4-BE49-F238E27FC236}">
              <a16:creationId xmlns="" xmlns:a16="http://schemas.microsoft.com/office/drawing/2014/main" id="{00000000-0008-0000-0000-00000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0" name="Text Box 73">
          <a:extLst>
            <a:ext uri="{FF2B5EF4-FFF2-40B4-BE49-F238E27FC236}">
              <a16:creationId xmlns="" xmlns:a16="http://schemas.microsoft.com/office/drawing/2014/main" id="{00000000-0008-0000-0000-00001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1" name="Text Box 74">
          <a:extLst>
            <a:ext uri="{FF2B5EF4-FFF2-40B4-BE49-F238E27FC236}">
              <a16:creationId xmlns="" xmlns:a16="http://schemas.microsoft.com/office/drawing/2014/main" id="{00000000-0008-0000-0000-00001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2" name="Text Box 75">
          <a:extLst>
            <a:ext uri="{FF2B5EF4-FFF2-40B4-BE49-F238E27FC236}">
              <a16:creationId xmlns="" xmlns:a16="http://schemas.microsoft.com/office/drawing/2014/main" id="{00000000-0008-0000-0000-00001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3" name="Text Box 76">
          <a:extLst>
            <a:ext uri="{FF2B5EF4-FFF2-40B4-BE49-F238E27FC236}">
              <a16:creationId xmlns="" xmlns:a16="http://schemas.microsoft.com/office/drawing/2014/main" id="{00000000-0008-0000-0000-00001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4" name="Text Box 77">
          <a:extLst>
            <a:ext uri="{FF2B5EF4-FFF2-40B4-BE49-F238E27FC236}">
              <a16:creationId xmlns="" xmlns:a16="http://schemas.microsoft.com/office/drawing/2014/main" id="{00000000-0008-0000-0000-00001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5" name="Text Box 78">
          <a:extLst>
            <a:ext uri="{FF2B5EF4-FFF2-40B4-BE49-F238E27FC236}">
              <a16:creationId xmlns="" xmlns:a16="http://schemas.microsoft.com/office/drawing/2014/main" id="{00000000-0008-0000-0000-00001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6" name="Text Box 79">
          <a:extLst>
            <a:ext uri="{FF2B5EF4-FFF2-40B4-BE49-F238E27FC236}">
              <a16:creationId xmlns="" xmlns:a16="http://schemas.microsoft.com/office/drawing/2014/main" id="{00000000-0008-0000-0000-00001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7" name="Text Box 80">
          <a:extLst>
            <a:ext uri="{FF2B5EF4-FFF2-40B4-BE49-F238E27FC236}">
              <a16:creationId xmlns="" xmlns:a16="http://schemas.microsoft.com/office/drawing/2014/main" id="{00000000-0008-0000-0000-00001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8" name="Text Box 81">
          <a:extLst>
            <a:ext uri="{FF2B5EF4-FFF2-40B4-BE49-F238E27FC236}">
              <a16:creationId xmlns="" xmlns:a16="http://schemas.microsoft.com/office/drawing/2014/main" id="{00000000-0008-0000-0000-00001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329" name="Text Box 82">
          <a:extLst>
            <a:ext uri="{FF2B5EF4-FFF2-40B4-BE49-F238E27FC236}">
              <a16:creationId xmlns=""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0" name="Text Box 3079">
          <a:extLst>
            <a:ext uri="{FF2B5EF4-FFF2-40B4-BE49-F238E27FC236}">
              <a16:creationId xmlns=""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1" name="Text Box 3080">
          <a:extLst>
            <a:ext uri="{FF2B5EF4-FFF2-40B4-BE49-F238E27FC236}">
              <a16:creationId xmlns=""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2" name="Text Box 3081">
          <a:extLst>
            <a:ext uri="{FF2B5EF4-FFF2-40B4-BE49-F238E27FC236}">
              <a16:creationId xmlns=""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3" name="Text Box 3082">
          <a:extLst>
            <a:ext uri="{FF2B5EF4-FFF2-40B4-BE49-F238E27FC236}">
              <a16:creationId xmlns=""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4" name="Text Box 3083">
          <a:extLst>
            <a:ext uri="{FF2B5EF4-FFF2-40B4-BE49-F238E27FC236}">
              <a16:creationId xmlns=""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5" name="Text Box 3084">
          <a:extLst>
            <a:ext uri="{FF2B5EF4-FFF2-40B4-BE49-F238E27FC236}">
              <a16:creationId xmlns=""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6" name="Text Box 3085">
          <a:extLst>
            <a:ext uri="{FF2B5EF4-FFF2-40B4-BE49-F238E27FC236}">
              <a16:creationId xmlns=""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7" name="Text Box 3086">
          <a:extLst>
            <a:ext uri="{FF2B5EF4-FFF2-40B4-BE49-F238E27FC236}">
              <a16:creationId xmlns=""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8" name="Text Box 3087">
          <a:extLst>
            <a:ext uri="{FF2B5EF4-FFF2-40B4-BE49-F238E27FC236}">
              <a16:creationId xmlns=""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9" name="Text Box 3088">
          <a:extLst>
            <a:ext uri="{FF2B5EF4-FFF2-40B4-BE49-F238E27FC236}">
              <a16:creationId xmlns=""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0" name="Text Box 3089">
          <a:extLst>
            <a:ext uri="{FF2B5EF4-FFF2-40B4-BE49-F238E27FC236}">
              <a16:creationId xmlns=""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1" name="Text Box 3090">
          <a:extLst>
            <a:ext uri="{FF2B5EF4-FFF2-40B4-BE49-F238E27FC236}">
              <a16:creationId xmlns=""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2" name="Text Box 3091">
          <a:extLst>
            <a:ext uri="{FF2B5EF4-FFF2-40B4-BE49-F238E27FC236}">
              <a16:creationId xmlns=""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3" name="Text Box 3092">
          <a:extLst>
            <a:ext uri="{FF2B5EF4-FFF2-40B4-BE49-F238E27FC236}">
              <a16:creationId xmlns=""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4" name="Text Box 3093">
          <a:extLst>
            <a:ext uri="{FF2B5EF4-FFF2-40B4-BE49-F238E27FC236}">
              <a16:creationId xmlns=""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5" name="Text Box 3094">
          <a:extLst>
            <a:ext uri="{FF2B5EF4-FFF2-40B4-BE49-F238E27FC236}">
              <a16:creationId xmlns=""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6" name="Text Box 3095">
          <a:extLst>
            <a:ext uri="{FF2B5EF4-FFF2-40B4-BE49-F238E27FC236}">
              <a16:creationId xmlns=""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7" name="Text Box 3096">
          <a:extLst>
            <a:ext uri="{FF2B5EF4-FFF2-40B4-BE49-F238E27FC236}">
              <a16:creationId xmlns=""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8" name="Text Box 3097">
          <a:extLst>
            <a:ext uri="{FF2B5EF4-FFF2-40B4-BE49-F238E27FC236}">
              <a16:creationId xmlns=""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9" name="Text Box 3098">
          <a:extLst>
            <a:ext uri="{FF2B5EF4-FFF2-40B4-BE49-F238E27FC236}">
              <a16:creationId xmlns=""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0" name="Text Box 3099">
          <a:extLst>
            <a:ext uri="{FF2B5EF4-FFF2-40B4-BE49-F238E27FC236}">
              <a16:creationId xmlns=""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1" name="Text Box 3100">
          <a:extLst>
            <a:ext uri="{FF2B5EF4-FFF2-40B4-BE49-F238E27FC236}">
              <a16:creationId xmlns=""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2" name="Text Box 3101">
          <a:extLst>
            <a:ext uri="{FF2B5EF4-FFF2-40B4-BE49-F238E27FC236}">
              <a16:creationId xmlns=""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353" name="Text Box 3102">
          <a:extLst>
            <a:ext uri="{FF2B5EF4-FFF2-40B4-BE49-F238E27FC236}">
              <a16:creationId xmlns=""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4" name="Text Box 59">
          <a:extLst>
            <a:ext uri="{FF2B5EF4-FFF2-40B4-BE49-F238E27FC236}">
              <a16:creationId xmlns=""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5" name="Text Box 60">
          <a:extLst>
            <a:ext uri="{FF2B5EF4-FFF2-40B4-BE49-F238E27FC236}">
              <a16:creationId xmlns=""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6" name="Text Box 61">
          <a:extLst>
            <a:ext uri="{FF2B5EF4-FFF2-40B4-BE49-F238E27FC236}">
              <a16:creationId xmlns=""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7" name="Text Box 62">
          <a:extLst>
            <a:ext uri="{FF2B5EF4-FFF2-40B4-BE49-F238E27FC236}">
              <a16:creationId xmlns=""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8" name="Text Box 63">
          <a:extLst>
            <a:ext uri="{FF2B5EF4-FFF2-40B4-BE49-F238E27FC236}">
              <a16:creationId xmlns=""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9" name="Text Box 64">
          <a:extLst>
            <a:ext uri="{FF2B5EF4-FFF2-40B4-BE49-F238E27FC236}">
              <a16:creationId xmlns=""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0" name="Text Box 65">
          <a:extLst>
            <a:ext uri="{FF2B5EF4-FFF2-40B4-BE49-F238E27FC236}">
              <a16:creationId xmlns=""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1" name="Text Box 66">
          <a:extLst>
            <a:ext uri="{FF2B5EF4-FFF2-40B4-BE49-F238E27FC236}">
              <a16:creationId xmlns=""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2" name="Text Box 67">
          <a:extLst>
            <a:ext uri="{FF2B5EF4-FFF2-40B4-BE49-F238E27FC236}">
              <a16:creationId xmlns=""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3" name="Text Box 68">
          <a:extLst>
            <a:ext uri="{FF2B5EF4-FFF2-40B4-BE49-F238E27FC236}">
              <a16:creationId xmlns=""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4" name="Text Box 69">
          <a:extLst>
            <a:ext uri="{FF2B5EF4-FFF2-40B4-BE49-F238E27FC236}">
              <a16:creationId xmlns=""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5" name="Text Box 70">
          <a:extLst>
            <a:ext uri="{FF2B5EF4-FFF2-40B4-BE49-F238E27FC236}">
              <a16:creationId xmlns=""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6" name="Text Box 71">
          <a:extLst>
            <a:ext uri="{FF2B5EF4-FFF2-40B4-BE49-F238E27FC236}">
              <a16:creationId xmlns=""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7" name="Text Box 72">
          <a:extLst>
            <a:ext uri="{FF2B5EF4-FFF2-40B4-BE49-F238E27FC236}">
              <a16:creationId xmlns=""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8" name="Text Box 73">
          <a:extLst>
            <a:ext uri="{FF2B5EF4-FFF2-40B4-BE49-F238E27FC236}">
              <a16:creationId xmlns=""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9" name="Text Box 74">
          <a:extLst>
            <a:ext uri="{FF2B5EF4-FFF2-40B4-BE49-F238E27FC236}">
              <a16:creationId xmlns="" xmlns:a16="http://schemas.microsoft.com/office/drawing/2014/main" id="{00000000-0008-0000-0000-00004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0" name="Text Box 75">
          <a:extLst>
            <a:ext uri="{FF2B5EF4-FFF2-40B4-BE49-F238E27FC236}">
              <a16:creationId xmlns="" xmlns:a16="http://schemas.microsoft.com/office/drawing/2014/main" id="{00000000-0008-0000-0000-00004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1" name="Text Box 76">
          <a:extLst>
            <a:ext uri="{FF2B5EF4-FFF2-40B4-BE49-F238E27FC236}">
              <a16:creationId xmlns="" xmlns:a16="http://schemas.microsoft.com/office/drawing/2014/main" id="{00000000-0008-0000-0000-00004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2" name="Text Box 77">
          <a:extLst>
            <a:ext uri="{FF2B5EF4-FFF2-40B4-BE49-F238E27FC236}">
              <a16:creationId xmlns="" xmlns:a16="http://schemas.microsoft.com/office/drawing/2014/main" id="{00000000-0008-0000-0000-00004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3" name="Text Box 78">
          <a:extLst>
            <a:ext uri="{FF2B5EF4-FFF2-40B4-BE49-F238E27FC236}">
              <a16:creationId xmlns="" xmlns:a16="http://schemas.microsoft.com/office/drawing/2014/main" id="{00000000-0008-0000-0000-00004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4" name="Text Box 79">
          <a:extLst>
            <a:ext uri="{FF2B5EF4-FFF2-40B4-BE49-F238E27FC236}">
              <a16:creationId xmlns="" xmlns:a16="http://schemas.microsoft.com/office/drawing/2014/main" id="{00000000-0008-0000-0000-00004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5" name="Text Box 80">
          <a:extLst>
            <a:ext uri="{FF2B5EF4-FFF2-40B4-BE49-F238E27FC236}">
              <a16:creationId xmlns="" xmlns:a16="http://schemas.microsoft.com/office/drawing/2014/main" id="{00000000-0008-0000-0000-00004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6" name="Text Box 81">
          <a:extLst>
            <a:ext uri="{FF2B5EF4-FFF2-40B4-BE49-F238E27FC236}">
              <a16:creationId xmlns="" xmlns:a16="http://schemas.microsoft.com/office/drawing/2014/main" id="{00000000-0008-0000-0000-00004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7" name="Text Box 3079">
          <a:extLst>
            <a:ext uri="{FF2B5EF4-FFF2-40B4-BE49-F238E27FC236}">
              <a16:creationId xmlns="" xmlns:a16="http://schemas.microsoft.com/office/drawing/2014/main" id="{00000000-0008-0000-0000-00004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8" name="Text Box 3080">
          <a:extLst>
            <a:ext uri="{FF2B5EF4-FFF2-40B4-BE49-F238E27FC236}">
              <a16:creationId xmlns="" xmlns:a16="http://schemas.microsoft.com/office/drawing/2014/main" id="{00000000-0008-0000-0000-00004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9" name="Text Box 3081">
          <a:extLst>
            <a:ext uri="{FF2B5EF4-FFF2-40B4-BE49-F238E27FC236}">
              <a16:creationId xmlns="" xmlns:a16="http://schemas.microsoft.com/office/drawing/2014/main" id="{00000000-0008-0000-0000-00004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0" name="Text Box 3082">
          <a:extLst>
            <a:ext uri="{FF2B5EF4-FFF2-40B4-BE49-F238E27FC236}">
              <a16:creationId xmlns="" xmlns:a16="http://schemas.microsoft.com/office/drawing/2014/main" id="{00000000-0008-0000-0000-00004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1" name="Text Box 3083">
          <a:extLst>
            <a:ext uri="{FF2B5EF4-FFF2-40B4-BE49-F238E27FC236}">
              <a16:creationId xmlns="" xmlns:a16="http://schemas.microsoft.com/office/drawing/2014/main" id="{00000000-0008-0000-0000-00004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2" name="Text Box 3084">
          <a:extLst>
            <a:ext uri="{FF2B5EF4-FFF2-40B4-BE49-F238E27FC236}">
              <a16:creationId xmlns="" xmlns:a16="http://schemas.microsoft.com/office/drawing/2014/main" id="{00000000-0008-0000-0000-00004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3" name="Text Box 3085">
          <a:extLst>
            <a:ext uri="{FF2B5EF4-FFF2-40B4-BE49-F238E27FC236}">
              <a16:creationId xmlns="" xmlns:a16="http://schemas.microsoft.com/office/drawing/2014/main" id="{00000000-0008-0000-0000-00004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4" name="Text Box 3086">
          <a:extLst>
            <a:ext uri="{FF2B5EF4-FFF2-40B4-BE49-F238E27FC236}">
              <a16:creationId xmlns="" xmlns:a16="http://schemas.microsoft.com/office/drawing/2014/main" id="{00000000-0008-0000-0000-00005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5" name="Text Box 3087">
          <a:extLst>
            <a:ext uri="{FF2B5EF4-FFF2-40B4-BE49-F238E27FC236}">
              <a16:creationId xmlns="" xmlns:a16="http://schemas.microsoft.com/office/drawing/2014/main" id="{00000000-0008-0000-0000-00005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6" name="Text Box 3088">
          <a:extLst>
            <a:ext uri="{FF2B5EF4-FFF2-40B4-BE49-F238E27FC236}">
              <a16:creationId xmlns="" xmlns:a16="http://schemas.microsoft.com/office/drawing/2014/main" id="{00000000-0008-0000-0000-00005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7" name="Text Box 3089">
          <a:extLst>
            <a:ext uri="{FF2B5EF4-FFF2-40B4-BE49-F238E27FC236}">
              <a16:creationId xmlns="" xmlns:a16="http://schemas.microsoft.com/office/drawing/2014/main" id="{00000000-0008-0000-0000-00005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8" name="Text Box 3090">
          <a:extLst>
            <a:ext uri="{FF2B5EF4-FFF2-40B4-BE49-F238E27FC236}">
              <a16:creationId xmlns="" xmlns:a16="http://schemas.microsoft.com/office/drawing/2014/main" id="{00000000-0008-0000-0000-00005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9" name="Text Box 3091">
          <a:extLst>
            <a:ext uri="{FF2B5EF4-FFF2-40B4-BE49-F238E27FC236}">
              <a16:creationId xmlns="" xmlns:a16="http://schemas.microsoft.com/office/drawing/2014/main" id="{00000000-0008-0000-0000-00005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0" name="Text Box 3092">
          <a:extLst>
            <a:ext uri="{FF2B5EF4-FFF2-40B4-BE49-F238E27FC236}">
              <a16:creationId xmlns="" xmlns:a16="http://schemas.microsoft.com/office/drawing/2014/main" id="{00000000-0008-0000-0000-00005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1" name="Text Box 3093">
          <a:extLst>
            <a:ext uri="{FF2B5EF4-FFF2-40B4-BE49-F238E27FC236}">
              <a16:creationId xmlns="" xmlns:a16="http://schemas.microsoft.com/office/drawing/2014/main" id="{00000000-0008-0000-0000-00005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2" name="Text Box 3094">
          <a:extLst>
            <a:ext uri="{FF2B5EF4-FFF2-40B4-BE49-F238E27FC236}">
              <a16:creationId xmlns="" xmlns:a16="http://schemas.microsoft.com/office/drawing/2014/main" id="{00000000-0008-0000-0000-00005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3" name="Text Box 3095">
          <a:extLst>
            <a:ext uri="{FF2B5EF4-FFF2-40B4-BE49-F238E27FC236}">
              <a16:creationId xmlns="" xmlns:a16="http://schemas.microsoft.com/office/drawing/2014/main" id="{00000000-0008-0000-0000-00005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4" name="Text Box 3096">
          <a:extLst>
            <a:ext uri="{FF2B5EF4-FFF2-40B4-BE49-F238E27FC236}">
              <a16:creationId xmlns="" xmlns:a16="http://schemas.microsoft.com/office/drawing/2014/main" id="{00000000-0008-0000-0000-00005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5" name="Text Box 3097">
          <a:extLst>
            <a:ext uri="{FF2B5EF4-FFF2-40B4-BE49-F238E27FC236}">
              <a16:creationId xmlns="" xmlns:a16="http://schemas.microsoft.com/office/drawing/2014/main" id="{00000000-0008-0000-0000-00005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6" name="Text Box 3098">
          <a:extLst>
            <a:ext uri="{FF2B5EF4-FFF2-40B4-BE49-F238E27FC236}">
              <a16:creationId xmlns="" xmlns:a16="http://schemas.microsoft.com/office/drawing/2014/main" id="{00000000-0008-0000-0000-00005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7" name="Text Box 3099">
          <a:extLst>
            <a:ext uri="{FF2B5EF4-FFF2-40B4-BE49-F238E27FC236}">
              <a16:creationId xmlns="" xmlns:a16="http://schemas.microsoft.com/office/drawing/2014/main" id="{00000000-0008-0000-0000-00005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8" name="Text Box 3100">
          <a:extLst>
            <a:ext uri="{FF2B5EF4-FFF2-40B4-BE49-F238E27FC236}">
              <a16:creationId xmlns="" xmlns:a16="http://schemas.microsoft.com/office/drawing/2014/main" id="{00000000-0008-0000-0000-00005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9" name="Text Box 3101">
          <a:extLst>
            <a:ext uri="{FF2B5EF4-FFF2-40B4-BE49-F238E27FC236}">
              <a16:creationId xmlns="" xmlns:a16="http://schemas.microsoft.com/office/drawing/2014/main" id="{00000000-0008-0000-0000-00005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00" name="Text Box 3102">
          <a:extLst>
            <a:ext uri="{FF2B5EF4-FFF2-40B4-BE49-F238E27FC236}">
              <a16:creationId xmlns="" xmlns:a16="http://schemas.microsoft.com/office/drawing/2014/main" id="{00000000-0008-0000-0000-00006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1" name="Text Box 59">
          <a:extLst>
            <a:ext uri="{FF2B5EF4-FFF2-40B4-BE49-F238E27FC236}">
              <a16:creationId xmlns="" xmlns:a16="http://schemas.microsoft.com/office/drawing/2014/main" id="{00000000-0008-0000-0000-00006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2" name="Text Box 60">
          <a:extLst>
            <a:ext uri="{FF2B5EF4-FFF2-40B4-BE49-F238E27FC236}">
              <a16:creationId xmlns="" xmlns:a16="http://schemas.microsoft.com/office/drawing/2014/main" id="{00000000-0008-0000-0000-00006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3" name="Text Box 61">
          <a:extLst>
            <a:ext uri="{FF2B5EF4-FFF2-40B4-BE49-F238E27FC236}">
              <a16:creationId xmlns="" xmlns:a16="http://schemas.microsoft.com/office/drawing/2014/main" id="{00000000-0008-0000-0000-00006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4" name="Text Box 62">
          <a:extLst>
            <a:ext uri="{FF2B5EF4-FFF2-40B4-BE49-F238E27FC236}">
              <a16:creationId xmlns="" xmlns:a16="http://schemas.microsoft.com/office/drawing/2014/main" id="{00000000-0008-0000-0000-00006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5" name="Text Box 63">
          <a:extLst>
            <a:ext uri="{FF2B5EF4-FFF2-40B4-BE49-F238E27FC236}">
              <a16:creationId xmlns="" xmlns:a16="http://schemas.microsoft.com/office/drawing/2014/main" id="{00000000-0008-0000-0000-00006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6" name="Text Box 64">
          <a:extLst>
            <a:ext uri="{FF2B5EF4-FFF2-40B4-BE49-F238E27FC236}">
              <a16:creationId xmlns="" xmlns:a16="http://schemas.microsoft.com/office/drawing/2014/main" id="{00000000-0008-0000-0000-00006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7" name="Text Box 65">
          <a:extLst>
            <a:ext uri="{FF2B5EF4-FFF2-40B4-BE49-F238E27FC236}">
              <a16:creationId xmlns="" xmlns:a16="http://schemas.microsoft.com/office/drawing/2014/main" id="{00000000-0008-0000-0000-00006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8" name="Text Box 66">
          <a:extLst>
            <a:ext uri="{FF2B5EF4-FFF2-40B4-BE49-F238E27FC236}">
              <a16:creationId xmlns="" xmlns:a16="http://schemas.microsoft.com/office/drawing/2014/main" id="{00000000-0008-0000-0000-00006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9" name="Text Box 67">
          <a:extLst>
            <a:ext uri="{FF2B5EF4-FFF2-40B4-BE49-F238E27FC236}">
              <a16:creationId xmlns="" xmlns:a16="http://schemas.microsoft.com/office/drawing/2014/main" id="{00000000-0008-0000-0000-00006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0" name="Text Box 68">
          <a:extLst>
            <a:ext uri="{FF2B5EF4-FFF2-40B4-BE49-F238E27FC236}">
              <a16:creationId xmlns="" xmlns:a16="http://schemas.microsoft.com/office/drawing/2014/main" id="{00000000-0008-0000-0000-00006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1" name="Text Box 69">
          <a:extLst>
            <a:ext uri="{FF2B5EF4-FFF2-40B4-BE49-F238E27FC236}">
              <a16:creationId xmlns="" xmlns:a16="http://schemas.microsoft.com/office/drawing/2014/main" id="{00000000-0008-0000-0000-00006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2" name="Text Box 70">
          <a:extLst>
            <a:ext uri="{FF2B5EF4-FFF2-40B4-BE49-F238E27FC236}">
              <a16:creationId xmlns="" xmlns:a16="http://schemas.microsoft.com/office/drawing/2014/main" id="{00000000-0008-0000-0000-00006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3" name="Text Box 71">
          <a:extLst>
            <a:ext uri="{FF2B5EF4-FFF2-40B4-BE49-F238E27FC236}">
              <a16:creationId xmlns="" xmlns:a16="http://schemas.microsoft.com/office/drawing/2014/main" id="{00000000-0008-0000-0000-00006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4" name="Text Box 72">
          <a:extLst>
            <a:ext uri="{FF2B5EF4-FFF2-40B4-BE49-F238E27FC236}">
              <a16:creationId xmlns="" xmlns:a16="http://schemas.microsoft.com/office/drawing/2014/main" id="{00000000-0008-0000-0000-00006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5" name="Text Box 73">
          <a:extLst>
            <a:ext uri="{FF2B5EF4-FFF2-40B4-BE49-F238E27FC236}">
              <a16:creationId xmlns="" xmlns:a16="http://schemas.microsoft.com/office/drawing/2014/main" id="{00000000-0008-0000-0000-00006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6" name="Text Box 74">
          <a:extLst>
            <a:ext uri="{FF2B5EF4-FFF2-40B4-BE49-F238E27FC236}">
              <a16:creationId xmlns="" xmlns:a16="http://schemas.microsoft.com/office/drawing/2014/main" id="{00000000-0008-0000-0000-00007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7" name="Text Box 75">
          <a:extLst>
            <a:ext uri="{FF2B5EF4-FFF2-40B4-BE49-F238E27FC236}">
              <a16:creationId xmlns="" xmlns:a16="http://schemas.microsoft.com/office/drawing/2014/main" id="{00000000-0008-0000-0000-00007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8" name="Text Box 76">
          <a:extLst>
            <a:ext uri="{FF2B5EF4-FFF2-40B4-BE49-F238E27FC236}">
              <a16:creationId xmlns="" xmlns:a16="http://schemas.microsoft.com/office/drawing/2014/main" id="{00000000-0008-0000-0000-00007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9" name="Text Box 77">
          <a:extLst>
            <a:ext uri="{FF2B5EF4-FFF2-40B4-BE49-F238E27FC236}">
              <a16:creationId xmlns="" xmlns:a16="http://schemas.microsoft.com/office/drawing/2014/main" id="{00000000-0008-0000-0000-00007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0" name="Text Box 78">
          <a:extLst>
            <a:ext uri="{FF2B5EF4-FFF2-40B4-BE49-F238E27FC236}">
              <a16:creationId xmlns="" xmlns:a16="http://schemas.microsoft.com/office/drawing/2014/main" id="{00000000-0008-0000-0000-00007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1" name="Text Box 79">
          <a:extLst>
            <a:ext uri="{FF2B5EF4-FFF2-40B4-BE49-F238E27FC236}">
              <a16:creationId xmlns="" xmlns:a16="http://schemas.microsoft.com/office/drawing/2014/main" id="{00000000-0008-0000-0000-00007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2" name="Text Box 80">
          <a:extLst>
            <a:ext uri="{FF2B5EF4-FFF2-40B4-BE49-F238E27FC236}">
              <a16:creationId xmlns="" xmlns:a16="http://schemas.microsoft.com/office/drawing/2014/main" id="{00000000-0008-0000-0000-00007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3" name="Text Box 81">
          <a:extLst>
            <a:ext uri="{FF2B5EF4-FFF2-40B4-BE49-F238E27FC236}">
              <a16:creationId xmlns="" xmlns:a16="http://schemas.microsoft.com/office/drawing/2014/main" id="{00000000-0008-0000-0000-00007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424" name="Text Box 82">
          <a:extLst>
            <a:ext uri="{FF2B5EF4-FFF2-40B4-BE49-F238E27FC236}">
              <a16:creationId xmlns="" xmlns:a16="http://schemas.microsoft.com/office/drawing/2014/main" id="{00000000-0008-0000-0000-00007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5" name="Text Box 3079">
          <a:extLst>
            <a:ext uri="{FF2B5EF4-FFF2-40B4-BE49-F238E27FC236}">
              <a16:creationId xmlns="" xmlns:a16="http://schemas.microsoft.com/office/drawing/2014/main" id="{00000000-0008-0000-0000-00007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6" name="Text Box 3080">
          <a:extLst>
            <a:ext uri="{FF2B5EF4-FFF2-40B4-BE49-F238E27FC236}">
              <a16:creationId xmlns="" xmlns:a16="http://schemas.microsoft.com/office/drawing/2014/main" id="{00000000-0008-0000-0000-00007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7" name="Text Box 3081">
          <a:extLst>
            <a:ext uri="{FF2B5EF4-FFF2-40B4-BE49-F238E27FC236}">
              <a16:creationId xmlns="" xmlns:a16="http://schemas.microsoft.com/office/drawing/2014/main" id="{00000000-0008-0000-0000-00007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8" name="Text Box 3082">
          <a:extLst>
            <a:ext uri="{FF2B5EF4-FFF2-40B4-BE49-F238E27FC236}">
              <a16:creationId xmlns="" xmlns:a16="http://schemas.microsoft.com/office/drawing/2014/main" id="{00000000-0008-0000-0000-00007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9" name="Text Box 3083">
          <a:extLst>
            <a:ext uri="{FF2B5EF4-FFF2-40B4-BE49-F238E27FC236}">
              <a16:creationId xmlns="" xmlns:a16="http://schemas.microsoft.com/office/drawing/2014/main" id="{00000000-0008-0000-0000-00007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0" name="Text Box 3084">
          <a:extLst>
            <a:ext uri="{FF2B5EF4-FFF2-40B4-BE49-F238E27FC236}">
              <a16:creationId xmlns="" xmlns:a16="http://schemas.microsoft.com/office/drawing/2014/main" id="{00000000-0008-0000-0000-00007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1" name="Text Box 3085">
          <a:extLst>
            <a:ext uri="{FF2B5EF4-FFF2-40B4-BE49-F238E27FC236}">
              <a16:creationId xmlns="" xmlns:a16="http://schemas.microsoft.com/office/drawing/2014/main" id="{00000000-0008-0000-0000-00007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2" name="Text Box 3086">
          <a:extLst>
            <a:ext uri="{FF2B5EF4-FFF2-40B4-BE49-F238E27FC236}">
              <a16:creationId xmlns="" xmlns:a16="http://schemas.microsoft.com/office/drawing/2014/main" id="{00000000-0008-0000-0000-00008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3" name="Text Box 3087">
          <a:extLst>
            <a:ext uri="{FF2B5EF4-FFF2-40B4-BE49-F238E27FC236}">
              <a16:creationId xmlns="" xmlns:a16="http://schemas.microsoft.com/office/drawing/2014/main" id="{00000000-0008-0000-0000-00008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4" name="Text Box 3088">
          <a:extLst>
            <a:ext uri="{FF2B5EF4-FFF2-40B4-BE49-F238E27FC236}">
              <a16:creationId xmlns="" xmlns:a16="http://schemas.microsoft.com/office/drawing/2014/main" id="{00000000-0008-0000-0000-00008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5" name="Text Box 3089">
          <a:extLst>
            <a:ext uri="{FF2B5EF4-FFF2-40B4-BE49-F238E27FC236}">
              <a16:creationId xmlns="" xmlns:a16="http://schemas.microsoft.com/office/drawing/2014/main" id="{00000000-0008-0000-0000-00008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6" name="Text Box 3090">
          <a:extLst>
            <a:ext uri="{FF2B5EF4-FFF2-40B4-BE49-F238E27FC236}">
              <a16:creationId xmlns="" xmlns:a16="http://schemas.microsoft.com/office/drawing/2014/main" id="{00000000-0008-0000-0000-00008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7" name="Text Box 3091">
          <a:extLst>
            <a:ext uri="{FF2B5EF4-FFF2-40B4-BE49-F238E27FC236}">
              <a16:creationId xmlns="" xmlns:a16="http://schemas.microsoft.com/office/drawing/2014/main" id="{00000000-0008-0000-0000-00008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8" name="Text Box 3092">
          <a:extLst>
            <a:ext uri="{FF2B5EF4-FFF2-40B4-BE49-F238E27FC236}">
              <a16:creationId xmlns="" xmlns:a16="http://schemas.microsoft.com/office/drawing/2014/main" id="{00000000-0008-0000-0000-00008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9" name="Text Box 3093">
          <a:extLst>
            <a:ext uri="{FF2B5EF4-FFF2-40B4-BE49-F238E27FC236}">
              <a16:creationId xmlns="" xmlns:a16="http://schemas.microsoft.com/office/drawing/2014/main" id="{00000000-0008-0000-0000-00008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0" name="Text Box 3094">
          <a:extLst>
            <a:ext uri="{FF2B5EF4-FFF2-40B4-BE49-F238E27FC236}">
              <a16:creationId xmlns="" xmlns:a16="http://schemas.microsoft.com/office/drawing/2014/main" id="{00000000-0008-0000-0000-00008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1" name="Text Box 3095">
          <a:extLst>
            <a:ext uri="{FF2B5EF4-FFF2-40B4-BE49-F238E27FC236}">
              <a16:creationId xmlns="" xmlns:a16="http://schemas.microsoft.com/office/drawing/2014/main" id="{00000000-0008-0000-0000-00008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2" name="Text Box 3096">
          <a:extLst>
            <a:ext uri="{FF2B5EF4-FFF2-40B4-BE49-F238E27FC236}">
              <a16:creationId xmlns="" xmlns:a16="http://schemas.microsoft.com/office/drawing/2014/main" id="{00000000-0008-0000-0000-00008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3" name="Text Box 3097">
          <a:extLst>
            <a:ext uri="{FF2B5EF4-FFF2-40B4-BE49-F238E27FC236}">
              <a16:creationId xmlns="" xmlns:a16="http://schemas.microsoft.com/office/drawing/2014/main" id="{00000000-0008-0000-0000-00008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4" name="Text Box 3098">
          <a:extLst>
            <a:ext uri="{FF2B5EF4-FFF2-40B4-BE49-F238E27FC236}">
              <a16:creationId xmlns="" xmlns:a16="http://schemas.microsoft.com/office/drawing/2014/main" id="{00000000-0008-0000-0000-00008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5" name="Text Box 3099">
          <a:extLst>
            <a:ext uri="{FF2B5EF4-FFF2-40B4-BE49-F238E27FC236}">
              <a16:creationId xmlns="" xmlns:a16="http://schemas.microsoft.com/office/drawing/2014/main" id="{00000000-0008-0000-0000-00008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6" name="Text Box 3100">
          <a:extLst>
            <a:ext uri="{FF2B5EF4-FFF2-40B4-BE49-F238E27FC236}">
              <a16:creationId xmlns="" xmlns:a16="http://schemas.microsoft.com/office/drawing/2014/main" id="{00000000-0008-0000-0000-00008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7" name="Text Box 3101">
          <a:extLst>
            <a:ext uri="{FF2B5EF4-FFF2-40B4-BE49-F238E27FC236}">
              <a16:creationId xmlns="" xmlns:a16="http://schemas.microsoft.com/office/drawing/2014/main" id="{00000000-0008-0000-0000-00008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48" name="Text Box 3102">
          <a:extLst>
            <a:ext uri="{FF2B5EF4-FFF2-40B4-BE49-F238E27FC236}">
              <a16:creationId xmlns="" xmlns:a16="http://schemas.microsoft.com/office/drawing/2014/main" id="{00000000-0008-0000-0000-00009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49" name="Text Box 59">
          <a:extLst>
            <a:ext uri="{FF2B5EF4-FFF2-40B4-BE49-F238E27FC236}">
              <a16:creationId xmlns="" xmlns:a16="http://schemas.microsoft.com/office/drawing/2014/main" id="{00000000-0008-0000-0000-00009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0" name="Text Box 60">
          <a:extLst>
            <a:ext uri="{FF2B5EF4-FFF2-40B4-BE49-F238E27FC236}">
              <a16:creationId xmlns="" xmlns:a16="http://schemas.microsoft.com/office/drawing/2014/main" id="{00000000-0008-0000-0000-00009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1" name="Text Box 61">
          <a:extLst>
            <a:ext uri="{FF2B5EF4-FFF2-40B4-BE49-F238E27FC236}">
              <a16:creationId xmlns="" xmlns:a16="http://schemas.microsoft.com/office/drawing/2014/main" id="{00000000-0008-0000-0000-00009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2" name="Text Box 62">
          <a:extLst>
            <a:ext uri="{FF2B5EF4-FFF2-40B4-BE49-F238E27FC236}">
              <a16:creationId xmlns="" xmlns:a16="http://schemas.microsoft.com/office/drawing/2014/main" id="{00000000-0008-0000-0000-00009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3" name="Text Box 63">
          <a:extLst>
            <a:ext uri="{FF2B5EF4-FFF2-40B4-BE49-F238E27FC236}">
              <a16:creationId xmlns="" xmlns:a16="http://schemas.microsoft.com/office/drawing/2014/main" id="{00000000-0008-0000-0000-00009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4" name="Text Box 64">
          <a:extLst>
            <a:ext uri="{FF2B5EF4-FFF2-40B4-BE49-F238E27FC236}">
              <a16:creationId xmlns="" xmlns:a16="http://schemas.microsoft.com/office/drawing/2014/main" id="{00000000-0008-0000-0000-00009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5" name="Text Box 65">
          <a:extLst>
            <a:ext uri="{FF2B5EF4-FFF2-40B4-BE49-F238E27FC236}">
              <a16:creationId xmlns="" xmlns:a16="http://schemas.microsoft.com/office/drawing/2014/main" id="{00000000-0008-0000-0000-00009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6" name="Text Box 66">
          <a:extLst>
            <a:ext uri="{FF2B5EF4-FFF2-40B4-BE49-F238E27FC236}">
              <a16:creationId xmlns="" xmlns:a16="http://schemas.microsoft.com/office/drawing/2014/main" id="{00000000-0008-0000-0000-00009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7" name="Text Box 67">
          <a:extLst>
            <a:ext uri="{FF2B5EF4-FFF2-40B4-BE49-F238E27FC236}">
              <a16:creationId xmlns="" xmlns:a16="http://schemas.microsoft.com/office/drawing/2014/main" id="{00000000-0008-0000-0000-00009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8" name="Text Box 68">
          <a:extLst>
            <a:ext uri="{FF2B5EF4-FFF2-40B4-BE49-F238E27FC236}">
              <a16:creationId xmlns="" xmlns:a16="http://schemas.microsoft.com/office/drawing/2014/main" id="{00000000-0008-0000-0000-00009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9" name="Text Box 69">
          <a:extLst>
            <a:ext uri="{FF2B5EF4-FFF2-40B4-BE49-F238E27FC236}">
              <a16:creationId xmlns="" xmlns:a16="http://schemas.microsoft.com/office/drawing/2014/main" id="{00000000-0008-0000-0000-00009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0" name="Text Box 70">
          <a:extLst>
            <a:ext uri="{FF2B5EF4-FFF2-40B4-BE49-F238E27FC236}">
              <a16:creationId xmlns="" xmlns:a16="http://schemas.microsoft.com/office/drawing/2014/main" id="{00000000-0008-0000-0000-00009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1" name="Text Box 71">
          <a:extLst>
            <a:ext uri="{FF2B5EF4-FFF2-40B4-BE49-F238E27FC236}">
              <a16:creationId xmlns="" xmlns:a16="http://schemas.microsoft.com/office/drawing/2014/main" id="{00000000-0008-0000-0000-00009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2" name="Text Box 72">
          <a:extLst>
            <a:ext uri="{FF2B5EF4-FFF2-40B4-BE49-F238E27FC236}">
              <a16:creationId xmlns="" xmlns:a16="http://schemas.microsoft.com/office/drawing/2014/main" id="{00000000-0008-0000-0000-00009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3" name="Text Box 73">
          <a:extLst>
            <a:ext uri="{FF2B5EF4-FFF2-40B4-BE49-F238E27FC236}">
              <a16:creationId xmlns="" xmlns:a16="http://schemas.microsoft.com/office/drawing/2014/main" id="{00000000-0008-0000-0000-00009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4" name="Text Box 74">
          <a:extLst>
            <a:ext uri="{FF2B5EF4-FFF2-40B4-BE49-F238E27FC236}">
              <a16:creationId xmlns="" xmlns:a16="http://schemas.microsoft.com/office/drawing/2014/main" id="{00000000-0008-0000-0000-0000A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5" name="Text Box 75">
          <a:extLst>
            <a:ext uri="{FF2B5EF4-FFF2-40B4-BE49-F238E27FC236}">
              <a16:creationId xmlns="" xmlns:a16="http://schemas.microsoft.com/office/drawing/2014/main" id="{00000000-0008-0000-0000-0000A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6" name="Text Box 76">
          <a:extLst>
            <a:ext uri="{FF2B5EF4-FFF2-40B4-BE49-F238E27FC236}">
              <a16:creationId xmlns="" xmlns:a16="http://schemas.microsoft.com/office/drawing/2014/main" id="{00000000-0008-0000-0000-0000A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7" name="Text Box 77">
          <a:extLst>
            <a:ext uri="{FF2B5EF4-FFF2-40B4-BE49-F238E27FC236}">
              <a16:creationId xmlns="" xmlns:a16="http://schemas.microsoft.com/office/drawing/2014/main" id="{00000000-0008-0000-0000-0000A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8" name="Text Box 78">
          <a:extLst>
            <a:ext uri="{FF2B5EF4-FFF2-40B4-BE49-F238E27FC236}">
              <a16:creationId xmlns="" xmlns:a16="http://schemas.microsoft.com/office/drawing/2014/main" id="{00000000-0008-0000-0000-0000A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9" name="Text Box 79">
          <a:extLst>
            <a:ext uri="{FF2B5EF4-FFF2-40B4-BE49-F238E27FC236}">
              <a16:creationId xmlns="" xmlns:a16="http://schemas.microsoft.com/office/drawing/2014/main" id="{00000000-0008-0000-0000-0000A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70" name="Text Box 80">
          <a:extLst>
            <a:ext uri="{FF2B5EF4-FFF2-40B4-BE49-F238E27FC236}">
              <a16:creationId xmlns="" xmlns:a16="http://schemas.microsoft.com/office/drawing/2014/main" id="{00000000-0008-0000-0000-0000A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71" name="Text Box 81">
          <a:extLst>
            <a:ext uri="{FF2B5EF4-FFF2-40B4-BE49-F238E27FC236}">
              <a16:creationId xmlns="" xmlns:a16="http://schemas.microsoft.com/office/drawing/2014/main" id="{00000000-0008-0000-0000-0000A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2" name="Text Box 3079">
          <a:extLst>
            <a:ext uri="{FF2B5EF4-FFF2-40B4-BE49-F238E27FC236}">
              <a16:creationId xmlns="" xmlns:a16="http://schemas.microsoft.com/office/drawing/2014/main" id="{00000000-0008-0000-0000-0000A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3" name="Text Box 3080">
          <a:extLst>
            <a:ext uri="{FF2B5EF4-FFF2-40B4-BE49-F238E27FC236}">
              <a16:creationId xmlns="" xmlns:a16="http://schemas.microsoft.com/office/drawing/2014/main" id="{00000000-0008-0000-0000-0000A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4" name="Text Box 3081">
          <a:extLst>
            <a:ext uri="{FF2B5EF4-FFF2-40B4-BE49-F238E27FC236}">
              <a16:creationId xmlns="" xmlns:a16="http://schemas.microsoft.com/office/drawing/2014/main" id="{00000000-0008-0000-0000-0000A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5" name="Text Box 3082">
          <a:extLst>
            <a:ext uri="{FF2B5EF4-FFF2-40B4-BE49-F238E27FC236}">
              <a16:creationId xmlns="" xmlns:a16="http://schemas.microsoft.com/office/drawing/2014/main" id="{00000000-0008-0000-0000-0000A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6" name="Text Box 3083">
          <a:extLst>
            <a:ext uri="{FF2B5EF4-FFF2-40B4-BE49-F238E27FC236}">
              <a16:creationId xmlns="" xmlns:a16="http://schemas.microsoft.com/office/drawing/2014/main" id="{00000000-0008-0000-0000-0000A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7" name="Text Box 3084">
          <a:extLst>
            <a:ext uri="{FF2B5EF4-FFF2-40B4-BE49-F238E27FC236}">
              <a16:creationId xmlns="" xmlns:a16="http://schemas.microsoft.com/office/drawing/2014/main" id="{00000000-0008-0000-0000-0000A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8" name="Text Box 3085">
          <a:extLst>
            <a:ext uri="{FF2B5EF4-FFF2-40B4-BE49-F238E27FC236}">
              <a16:creationId xmlns="" xmlns:a16="http://schemas.microsoft.com/office/drawing/2014/main" id="{00000000-0008-0000-0000-0000A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9" name="Text Box 3086">
          <a:extLst>
            <a:ext uri="{FF2B5EF4-FFF2-40B4-BE49-F238E27FC236}">
              <a16:creationId xmlns="" xmlns:a16="http://schemas.microsoft.com/office/drawing/2014/main" id="{00000000-0008-0000-0000-0000A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0" name="Text Box 3087">
          <a:extLst>
            <a:ext uri="{FF2B5EF4-FFF2-40B4-BE49-F238E27FC236}">
              <a16:creationId xmlns="" xmlns:a16="http://schemas.microsoft.com/office/drawing/2014/main" id="{00000000-0008-0000-0000-0000B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1" name="Text Box 3088">
          <a:extLst>
            <a:ext uri="{FF2B5EF4-FFF2-40B4-BE49-F238E27FC236}">
              <a16:creationId xmlns="" xmlns:a16="http://schemas.microsoft.com/office/drawing/2014/main" id="{00000000-0008-0000-0000-0000B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2" name="Text Box 3089">
          <a:extLst>
            <a:ext uri="{FF2B5EF4-FFF2-40B4-BE49-F238E27FC236}">
              <a16:creationId xmlns="" xmlns:a16="http://schemas.microsoft.com/office/drawing/2014/main" id="{00000000-0008-0000-0000-0000B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3" name="Text Box 3090">
          <a:extLst>
            <a:ext uri="{FF2B5EF4-FFF2-40B4-BE49-F238E27FC236}">
              <a16:creationId xmlns="" xmlns:a16="http://schemas.microsoft.com/office/drawing/2014/main" id="{00000000-0008-0000-0000-0000B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4" name="Text Box 3091">
          <a:extLst>
            <a:ext uri="{FF2B5EF4-FFF2-40B4-BE49-F238E27FC236}">
              <a16:creationId xmlns="" xmlns:a16="http://schemas.microsoft.com/office/drawing/2014/main" id="{00000000-0008-0000-0000-0000B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5" name="Text Box 3092">
          <a:extLst>
            <a:ext uri="{FF2B5EF4-FFF2-40B4-BE49-F238E27FC236}">
              <a16:creationId xmlns="" xmlns:a16="http://schemas.microsoft.com/office/drawing/2014/main" id="{00000000-0008-0000-0000-0000B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6" name="Text Box 3093">
          <a:extLst>
            <a:ext uri="{FF2B5EF4-FFF2-40B4-BE49-F238E27FC236}">
              <a16:creationId xmlns="" xmlns:a16="http://schemas.microsoft.com/office/drawing/2014/main" id="{00000000-0008-0000-0000-0000B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7" name="Text Box 3094">
          <a:extLst>
            <a:ext uri="{FF2B5EF4-FFF2-40B4-BE49-F238E27FC236}">
              <a16:creationId xmlns="" xmlns:a16="http://schemas.microsoft.com/office/drawing/2014/main" id="{00000000-0008-0000-0000-0000B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8" name="Text Box 3095">
          <a:extLst>
            <a:ext uri="{FF2B5EF4-FFF2-40B4-BE49-F238E27FC236}">
              <a16:creationId xmlns="" xmlns:a16="http://schemas.microsoft.com/office/drawing/2014/main" id="{00000000-0008-0000-0000-0000B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9" name="Text Box 3096">
          <a:extLst>
            <a:ext uri="{FF2B5EF4-FFF2-40B4-BE49-F238E27FC236}">
              <a16:creationId xmlns="" xmlns:a16="http://schemas.microsoft.com/office/drawing/2014/main" id="{00000000-0008-0000-0000-0000B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0" name="Text Box 3097">
          <a:extLst>
            <a:ext uri="{FF2B5EF4-FFF2-40B4-BE49-F238E27FC236}">
              <a16:creationId xmlns="" xmlns:a16="http://schemas.microsoft.com/office/drawing/2014/main" id="{00000000-0008-0000-0000-0000B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1" name="Text Box 3098">
          <a:extLst>
            <a:ext uri="{FF2B5EF4-FFF2-40B4-BE49-F238E27FC236}">
              <a16:creationId xmlns="" xmlns:a16="http://schemas.microsoft.com/office/drawing/2014/main" id="{00000000-0008-0000-0000-0000B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2" name="Text Box 3099">
          <a:extLst>
            <a:ext uri="{FF2B5EF4-FFF2-40B4-BE49-F238E27FC236}">
              <a16:creationId xmlns="" xmlns:a16="http://schemas.microsoft.com/office/drawing/2014/main" id="{00000000-0008-0000-0000-0000B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3" name="Text Box 3100">
          <a:extLst>
            <a:ext uri="{FF2B5EF4-FFF2-40B4-BE49-F238E27FC236}">
              <a16:creationId xmlns="" xmlns:a16="http://schemas.microsoft.com/office/drawing/2014/main" id="{00000000-0008-0000-0000-0000B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4" name="Text Box 3101">
          <a:extLst>
            <a:ext uri="{FF2B5EF4-FFF2-40B4-BE49-F238E27FC236}">
              <a16:creationId xmlns="" xmlns:a16="http://schemas.microsoft.com/office/drawing/2014/main" id="{00000000-0008-0000-0000-0000B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95" name="Text Box 3102">
          <a:extLst>
            <a:ext uri="{FF2B5EF4-FFF2-40B4-BE49-F238E27FC236}">
              <a16:creationId xmlns="" xmlns:a16="http://schemas.microsoft.com/office/drawing/2014/main" id="{00000000-0008-0000-0000-0000B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6" name="Text Box 59">
          <a:extLst>
            <a:ext uri="{FF2B5EF4-FFF2-40B4-BE49-F238E27FC236}">
              <a16:creationId xmlns="" xmlns:a16="http://schemas.microsoft.com/office/drawing/2014/main" id="{00000000-0008-0000-0000-0000C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7" name="Text Box 60">
          <a:extLst>
            <a:ext uri="{FF2B5EF4-FFF2-40B4-BE49-F238E27FC236}">
              <a16:creationId xmlns="" xmlns:a16="http://schemas.microsoft.com/office/drawing/2014/main" id="{00000000-0008-0000-0000-0000C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8" name="Text Box 61">
          <a:extLst>
            <a:ext uri="{FF2B5EF4-FFF2-40B4-BE49-F238E27FC236}">
              <a16:creationId xmlns="" xmlns:a16="http://schemas.microsoft.com/office/drawing/2014/main" id="{00000000-0008-0000-0000-0000C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9" name="Text Box 62">
          <a:extLst>
            <a:ext uri="{FF2B5EF4-FFF2-40B4-BE49-F238E27FC236}">
              <a16:creationId xmlns="" xmlns:a16="http://schemas.microsoft.com/office/drawing/2014/main" id="{00000000-0008-0000-0000-0000C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0" name="Text Box 63">
          <a:extLst>
            <a:ext uri="{FF2B5EF4-FFF2-40B4-BE49-F238E27FC236}">
              <a16:creationId xmlns="" xmlns:a16="http://schemas.microsoft.com/office/drawing/2014/main" id="{00000000-0008-0000-0000-0000C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1" name="Text Box 64">
          <a:extLst>
            <a:ext uri="{FF2B5EF4-FFF2-40B4-BE49-F238E27FC236}">
              <a16:creationId xmlns="" xmlns:a16="http://schemas.microsoft.com/office/drawing/2014/main" id="{00000000-0008-0000-0000-0000C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2" name="Text Box 65">
          <a:extLst>
            <a:ext uri="{FF2B5EF4-FFF2-40B4-BE49-F238E27FC236}">
              <a16:creationId xmlns="" xmlns:a16="http://schemas.microsoft.com/office/drawing/2014/main" id="{00000000-0008-0000-0000-0000C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3" name="Text Box 66">
          <a:extLst>
            <a:ext uri="{FF2B5EF4-FFF2-40B4-BE49-F238E27FC236}">
              <a16:creationId xmlns="" xmlns:a16="http://schemas.microsoft.com/office/drawing/2014/main" id="{00000000-0008-0000-0000-0000C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4" name="Text Box 67">
          <a:extLst>
            <a:ext uri="{FF2B5EF4-FFF2-40B4-BE49-F238E27FC236}">
              <a16:creationId xmlns="" xmlns:a16="http://schemas.microsoft.com/office/drawing/2014/main" id="{00000000-0008-0000-0000-0000C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5" name="Text Box 68">
          <a:extLst>
            <a:ext uri="{FF2B5EF4-FFF2-40B4-BE49-F238E27FC236}">
              <a16:creationId xmlns="" xmlns:a16="http://schemas.microsoft.com/office/drawing/2014/main" id="{00000000-0008-0000-0000-0000C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6" name="Text Box 69">
          <a:extLst>
            <a:ext uri="{FF2B5EF4-FFF2-40B4-BE49-F238E27FC236}">
              <a16:creationId xmlns="" xmlns:a16="http://schemas.microsoft.com/office/drawing/2014/main" id="{00000000-0008-0000-0000-0000C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7" name="Text Box 70">
          <a:extLst>
            <a:ext uri="{FF2B5EF4-FFF2-40B4-BE49-F238E27FC236}">
              <a16:creationId xmlns="" xmlns:a16="http://schemas.microsoft.com/office/drawing/2014/main" id="{00000000-0008-0000-0000-0000C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8" name="Text Box 71">
          <a:extLst>
            <a:ext uri="{FF2B5EF4-FFF2-40B4-BE49-F238E27FC236}">
              <a16:creationId xmlns="" xmlns:a16="http://schemas.microsoft.com/office/drawing/2014/main" id="{00000000-0008-0000-0000-0000C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9" name="Text Box 72">
          <a:extLst>
            <a:ext uri="{FF2B5EF4-FFF2-40B4-BE49-F238E27FC236}">
              <a16:creationId xmlns="" xmlns:a16="http://schemas.microsoft.com/office/drawing/2014/main" id="{00000000-0008-0000-0000-0000C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0" name="Text Box 73">
          <a:extLst>
            <a:ext uri="{FF2B5EF4-FFF2-40B4-BE49-F238E27FC236}">
              <a16:creationId xmlns="" xmlns:a16="http://schemas.microsoft.com/office/drawing/2014/main" id="{00000000-0008-0000-0000-0000C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1" name="Text Box 74">
          <a:extLst>
            <a:ext uri="{FF2B5EF4-FFF2-40B4-BE49-F238E27FC236}">
              <a16:creationId xmlns="" xmlns:a16="http://schemas.microsoft.com/office/drawing/2014/main" id="{00000000-0008-0000-0000-0000C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2" name="Text Box 75">
          <a:extLst>
            <a:ext uri="{FF2B5EF4-FFF2-40B4-BE49-F238E27FC236}">
              <a16:creationId xmlns="" xmlns:a16="http://schemas.microsoft.com/office/drawing/2014/main" id="{00000000-0008-0000-0000-0000D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3" name="Text Box 76">
          <a:extLst>
            <a:ext uri="{FF2B5EF4-FFF2-40B4-BE49-F238E27FC236}">
              <a16:creationId xmlns="" xmlns:a16="http://schemas.microsoft.com/office/drawing/2014/main" id="{00000000-0008-0000-0000-0000D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4" name="Text Box 77">
          <a:extLst>
            <a:ext uri="{FF2B5EF4-FFF2-40B4-BE49-F238E27FC236}">
              <a16:creationId xmlns="" xmlns:a16="http://schemas.microsoft.com/office/drawing/2014/main" id="{00000000-0008-0000-0000-0000D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5" name="Text Box 78">
          <a:extLst>
            <a:ext uri="{FF2B5EF4-FFF2-40B4-BE49-F238E27FC236}">
              <a16:creationId xmlns="" xmlns:a16="http://schemas.microsoft.com/office/drawing/2014/main" id="{00000000-0008-0000-0000-0000D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6" name="Text Box 79">
          <a:extLst>
            <a:ext uri="{FF2B5EF4-FFF2-40B4-BE49-F238E27FC236}">
              <a16:creationId xmlns="" xmlns:a16="http://schemas.microsoft.com/office/drawing/2014/main" id="{00000000-0008-0000-0000-0000D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7" name="Text Box 80">
          <a:extLst>
            <a:ext uri="{FF2B5EF4-FFF2-40B4-BE49-F238E27FC236}">
              <a16:creationId xmlns="" xmlns:a16="http://schemas.microsoft.com/office/drawing/2014/main" id="{00000000-0008-0000-0000-0000D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8" name="Text Box 81">
          <a:extLst>
            <a:ext uri="{FF2B5EF4-FFF2-40B4-BE49-F238E27FC236}">
              <a16:creationId xmlns="" xmlns:a16="http://schemas.microsoft.com/office/drawing/2014/main" id="{00000000-0008-0000-0000-0000D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519" name="Text Box 82">
          <a:extLst>
            <a:ext uri="{FF2B5EF4-FFF2-40B4-BE49-F238E27FC236}">
              <a16:creationId xmlns="" xmlns:a16="http://schemas.microsoft.com/office/drawing/2014/main" id="{00000000-0008-0000-0000-0000D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0" name="Text Box 3079">
          <a:extLst>
            <a:ext uri="{FF2B5EF4-FFF2-40B4-BE49-F238E27FC236}">
              <a16:creationId xmlns="" xmlns:a16="http://schemas.microsoft.com/office/drawing/2014/main" id="{00000000-0008-0000-0000-0000D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1" name="Text Box 3080">
          <a:extLst>
            <a:ext uri="{FF2B5EF4-FFF2-40B4-BE49-F238E27FC236}">
              <a16:creationId xmlns="" xmlns:a16="http://schemas.microsoft.com/office/drawing/2014/main" id="{00000000-0008-0000-0000-0000D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2" name="Text Box 3081">
          <a:extLst>
            <a:ext uri="{FF2B5EF4-FFF2-40B4-BE49-F238E27FC236}">
              <a16:creationId xmlns="" xmlns:a16="http://schemas.microsoft.com/office/drawing/2014/main" id="{00000000-0008-0000-0000-0000D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3" name="Text Box 3082">
          <a:extLst>
            <a:ext uri="{FF2B5EF4-FFF2-40B4-BE49-F238E27FC236}">
              <a16:creationId xmlns="" xmlns:a16="http://schemas.microsoft.com/office/drawing/2014/main" id="{00000000-0008-0000-0000-0000D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4" name="Text Box 3083">
          <a:extLst>
            <a:ext uri="{FF2B5EF4-FFF2-40B4-BE49-F238E27FC236}">
              <a16:creationId xmlns="" xmlns:a16="http://schemas.microsoft.com/office/drawing/2014/main" id="{00000000-0008-0000-0000-0000D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5" name="Text Box 3084">
          <a:extLst>
            <a:ext uri="{FF2B5EF4-FFF2-40B4-BE49-F238E27FC236}">
              <a16:creationId xmlns="" xmlns:a16="http://schemas.microsoft.com/office/drawing/2014/main" id="{00000000-0008-0000-0000-0000D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6" name="Text Box 3085">
          <a:extLst>
            <a:ext uri="{FF2B5EF4-FFF2-40B4-BE49-F238E27FC236}">
              <a16:creationId xmlns="" xmlns:a16="http://schemas.microsoft.com/office/drawing/2014/main" id="{00000000-0008-0000-0000-0000D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7" name="Text Box 3086">
          <a:extLst>
            <a:ext uri="{FF2B5EF4-FFF2-40B4-BE49-F238E27FC236}">
              <a16:creationId xmlns="" xmlns:a16="http://schemas.microsoft.com/office/drawing/2014/main" id="{00000000-0008-0000-0000-0000D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8" name="Text Box 3087">
          <a:extLst>
            <a:ext uri="{FF2B5EF4-FFF2-40B4-BE49-F238E27FC236}">
              <a16:creationId xmlns="" xmlns:a16="http://schemas.microsoft.com/office/drawing/2014/main" id="{00000000-0008-0000-0000-0000E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9" name="Text Box 3088">
          <a:extLst>
            <a:ext uri="{FF2B5EF4-FFF2-40B4-BE49-F238E27FC236}">
              <a16:creationId xmlns="" xmlns:a16="http://schemas.microsoft.com/office/drawing/2014/main" id="{00000000-0008-0000-0000-0000E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0" name="Text Box 3089">
          <a:extLst>
            <a:ext uri="{FF2B5EF4-FFF2-40B4-BE49-F238E27FC236}">
              <a16:creationId xmlns="" xmlns:a16="http://schemas.microsoft.com/office/drawing/2014/main" id="{00000000-0008-0000-0000-0000E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1" name="Text Box 3090">
          <a:extLst>
            <a:ext uri="{FF2B5EF4-FFF2-40B4-BE49-F238E27FC236}">
              <a16:creationId xmlns="" xmlns:a16="http://schemas.microsoft.com/office/drawing/2014/main" id="{00000000-0008-0000-0000-0000E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2" name="Text Box 3091">
          <a:extLst>
            <a:ext uri="{FF2B5EF4-FFF2-40B4-BE49-F238E27FC236}">
              <a16:creationId xmlns="" xmlns:a16="http://schemas.microsoft.com/office/drawing/2014/main" id="{00000000-0008-0000-0000-0000E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3" name="Text Box 3092">
          <a:extLst>
            <a:ext uri="{FF2B5EF4-FFF2-40B4-BE49-F238E27FC236}">
              <a16:creationId xmlns="" xmlns:a16="http://schemas.microsoft.com/office/drawing/2014/main" id="{00000000-0008-0000-0000-0000E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4" name="Text Box 3093">
          <a:extLst>
            <a:ext uri="{FF2B5EF4-FFF2-40B4-BE49-F238E27FC236}">
              <a16:creationId xmlns="" xmlns:a16="http://schemas.microsoft.com/office/drawing/2014/main" id="{00000000-0008-0000-0000-0000E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5" name="Text Box 3094">
          <a:extLst>
            <a:ext uri="{FF2B5EF4-FFF2-40B4-BE49-F238E27FC236}">
              <a16:creationId xmlns="" xmlns:a16="http://schemas.microsoft.com/office/drawing/2014/main" id="{00000000-0008-0000-0000-0000E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6" name="Text Box 3095">
          <a:extLst>
            <a:ext uri="{FF2B5EF4-FFF2-40B4-BE49-F238E27FC236}">
              <a16:creationId xmlns="" xmlns:a16="http://schemas.microsoft.com/office/drawing/2014/main" id="{00000000-0008-0000-0000-0000E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7" name="Text Box 3096">
          <a:extLst>
            <a:ext uri="{FF2B5EF4-FFF2-40B4-BE49-F238E27FC236}">
              <a16:creationId xmlns="" xmlns:a16="http://schemas.microsoft.com/office/drawing/2014/main" id="{00000000-0008-0000-0000-0000E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8" name="Text Box 3097">
          <a:extLst>
            <a:ext uri="{FF2B5EF4-FFF2-40B4-BE49-F238E27FC236}">
              <a16:creationId xmlns="" xmlns:a16="http://schemas.microsoft.com/office/drawing/2014/main" id="{00000000-0008-0000-0000-0000E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9" name="Text Box 3098">
          <a:extLst>
            <a:ext uri="{FF2B5EF4-FFF2-40B4-BE49-F238E27FC236}">
              <a16:creationId xmlns="" xmlns:a16="http://schemas.microsoft.com/office/drawing/2014/main" id="{00000000-0008-0000-0000-0000E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0" name="Text Box 3099">
          <a:extLst>
            <a:ext uri="{FF2B5EF4-FFF2-40B4-BE49-F238E27FC236}">
              <a16:creationId xmlns="" xmlns:a16="http://schemas.microsoft.com/office/drawing/2014/main" id="{00000000-0008-0000-0000-0000E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1" name="Text Box 3100">
          <a:extLst>
            <a:ext uri="{FF2B5EF4-FFF2-40B4-BE49-F238E27FC236}">
              <a16:creationId xmlns="" xmlns:a16="http://schemas.microsoft.com/office/drawing/2014/main" id="{00000000-0008-0000-0000-0000E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2" name="Text Box 3101">
          <a:extLst>
            <a:ext uri="{FF2B5EF4-FFF2-40B4-BE49-F238E27FC236}">
              <a16:creationId xmlns="" xmlns:a16="http://schemas.microsoft.com/office/drawing/2014/main" id="{00000000-0008-0000-0000-0000E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43" name="Text Box 3102">
          <a:extLst>
            <a:ext uri="{FF2B5EF4-FFF2-40B4-BE49-F238E27FC236}">
              <a16:creationId xmlns="" xmlns:a16="http://schemas.microsoft.com/office/drawing/2014/main" id="{00000000-0008-0000-0000-0000E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4" name="Text Box 59">
          <a:extLst>
            <a:ext uri="{FF2B5EF4-FFF2-40B4-BE49-F238E27FC236}">
              <a16:creationId xmlns="" xmlns:a16="http://schemas.microsoft.com/office/drawing/2014/main" id="{00000000-0008-0000-0000-0000F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5" name="Text Box 60">
          <a:extLst>
            <a:ext uri="{FF2B5EF4-FFF2-40B4-BE49-F238E27FC236}">
              <a16:creationId xmlns="" xmlns:a16="http://schemas.microsoft.com/office/drawing/2014/main" id="{00000000-0008-0000-0000-0000F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6" name="Text Box 61">
          <a:extLst>
            <a:ext uri="{FF2B5EF4-FFF2-40B4-BE49-F238E27FC236}">
              <a16:creationId xmlns="" xmlns:a16="http://schemas.microsoft.com/office/drawing/2014/main" id="{00000000-0008-0000-0000-0000F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7" name="Text Box 62">
          <a:extLst>
            <a:ext uri="{FF2B5EF4-FFF2-40B4-BE49-F238E27FC236}">
              <a16:creationId xmlns="" xmlns:a16="http://schemas.microsoft.com/office/drawing/2014/main" id="{00000000-0008-0000-0000-0000F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8" name="Text Box 63">
          <a:extLst>
            <a:ext uri="{FF2B5EF4-FFF2-40B4-BE49-F238E27FC236}">
              <a16:creationId xmlns="" xmlns:a16="http://schemas.microsoft.com/office/drawing/2014/main" id="{00000000-0008-0000-0000-0000F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9" name="Text Box 64">
          <a:extLst>
            <a:ext uri="{FF2B5EF4-FFF2-40B4-BE49-F238E27FC236}">
              <a16:creationId xmlns="" xmlns:a16="http://schemas.microsoft.com/office/drawing/2014/main" id="{00000000-0008-0000-0000-0000F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0" name="Text Box 65">
          <a:extLst>
            <a:ext uri="{FF2B5EF4-FFF2-40B4-BE49-F238E27FC236}">
              <a16:creationId xmlns="" xmlns:a16="http://schemas.microsoft.com/office/drawing/2014/main" id="{00000000-0008-0000-0000-0000F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1" name="Text Box 66">
          <a:extLst>
            <a:ext uri="{FF2B5EF4-FFF2-40B4-BE49-F238E27FC236}">
              <a16:creationId xmlns="" xmlns:a16="http://schemas.microsoft.com/office/drawing/2014/main" id="{00000000-0008-0000-0000-0000F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2" name="Text Box 67">
          <a:extLst>
            <a:ext uri="{FF2B5EF4-FFF2-40B4-BE49-F238E27FC236}">
              <a16:creationId xmlns="" xmlns:a16="http://schemas.microsoft.com/office/drawing/2014/main" id="{00000000-0008-0000-0000-0000F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3" name="Text Box 68">
          <a:extLst>
            <a:ext uri="{FF2B5EF4-FFF2-40B4-BE49-F238E27FC236}">
              <a16:creationId xmlns="" xmlns:a16="http://schemas.microsoft.com/office/drawing/2014/main" id="{00000000-0008-0000-0000-0000F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4" name="Text Box 69">
          <a:extLst>
            <a:ext uri="{FF2B5EF4-FFF2-40B4-BE49-F238E27FC236}">
              <a16:creationId xmlns="" xmlns:a16="http://schemas.microsoft.com/office/drawing/2014/main" id="{00000000-0008-0000-0000-0000F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5" name="Text Box 70">
          <a:extLst>
            <a:ext uri="{FF2B5EF4-FFF2-40B4-BE49-F238E27FC236}">
              <a16:creationId xmlns="" xmlns:a16="http://schemas.microsoft.com/office/drawing/2014/main" id="{00000000-0008-0000-0000-0000F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6" name="Text Box 71">
          <a:extLst>
            <a:ext uri="{FF2B5EF4-FFF2-40B4-BE49-F238E27FC236}">
              <a16:creationId xmlns="" xmlns:a16="http://schemas.microsoft.com/office/drawing/2014/main" id="{00000000-0008-0000-0000-0000F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7" name="Text Box 72">
          <a:extLst>
            <a:ext uri="{FF2B5EF4-FFF2-40B4-BE49-F238E27FC236}">
              <a16:creationId xmlns="" xmlns:a16="http://schemas.microsoft.com/office/drawing/2014/main" id="{00000000-0008-0000-0000-0000F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8" name="Text Box 73">
          <a:extLst>
            <a:ext uri="{FF2B5EF4-FFF2-40B4-BE49-F238E27FC236}">
              <a16:creationId xmlns="" xmlns:a16="http://schemas.microsoft.com/office/drawing/2014/main" id="{00000000-0008-0000-0000-0000F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9" name="Text Box 74">
          <a:extLst>
            <a:ext uri="{FF2B5EF4-FFF2-40B4-BE49-F238E27FC236}">
              <a16:creationId xmlns="" xmlns:a16="http://schemas.microsoft.com/office/drawing/2014/main" id="{00000000-0008-0000-0000-0000F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0" name="Text Box 75">
          <a:extLst>
            <a:ext uri="{FF2B5EF4-FFF2-40B4-BE49-F238E27FC236}">
              <a16:creationId xmlns="" xmlns:a16="http://schemas.microsoft.com/office/drawing/2014/main" id="{00000000-0008-0000-0000-00000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1" name="Text Box 76">
          <a:extLst>
            <a:ext uri="{FF2B5EF4-FFF2-40B4-BE49-F238E27FC236}">
              <a16:creationId xmlns="" xmlns:a16="http://schemas.microsoft.com/office/drawing/2014/main" id="{00000000-0008-0000-0000-00000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2" name="Text Box 77">
          <a:extLst>
            <a:ext uri="{FF2B5EF4-FFF2-40B4-BE49-F238E27FC236}">
              <a16:creationId xmlns="" xmlns:a16="http://schemas.microsoft.com/office/drawing/2014/main" id="{00000000-0008-0000-0000-00000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3" name="Text Box 78">
          <a:extLst>
            <a:ext uri="{FF2B5EF4-FFF2-40B4-BE49-F238E27FC236}">
              <a16:creationId xmlns="" xmlns:a16="http://schemas.microsoft.com/office/drawing/2014/main" id="{00000000-0008-0000-0000-00000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4" name="Text Box 79">
          <a:extLst>
            <a:ext uri="{FF2B5EF4-FFF2-40B4-BE49-F238E27FC236}">
              <a16:creationId xmlns="" xmlns:a16="http://schemas.microsoft.com/office/drawing/2014/main" id="{00000000-0008-0000-0000-00000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5" name="Text Box 80">
          <a:extLst>
            <a:ext uri="{FF2B5EF4-FFF2-40B4-BE49-F238E27FC236}">
              <a16:creationId xmlns="" xmlns:a16="http://schemas.microsoft.com/office/drawing/2014/main" id="{00000000-0008-0000-0000-00000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6" name="Text Box 81">
          <a:extLst>
            <a:ext uri="{FF2B5EF4-FFF2-40B4-BE49-F238E27FC236}">
              <a16:creationId xmlns="" xmlns:a16="http://schemas.microsoft.com/office/drawing/2014/main" id="{00000000-0008-0000-0000-00000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7" name="Text Box 3079">
          <a:extLst>
            <a:ext uri="{FF2B5EF4-FFF2-40B4-BE49-F238E27FC236}">
              <a16:creationId xmlns="" xmlns:a16="http://schemas.microsoft.com/office/drawing/2014/main" id="{00000000-0008-0000-0000-00000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8" name="Text Box 3080">
          <a:extLst>
            <a:ext uri="{FF2B5EF4-FFF2-40B4-BE49-F238E27FC236}">
              <a16:creationId xmlns="" xmlns:a16="http://schemas.microsoft.com/office/drawing/2014/main" id="{00000000-0008-0000-0000-00000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9" name="Text Box 3081">
          <a:extLst>
            <a:ext uri="{FF2B5EF4-FFF2-40B4-BE49-F238E27FC236}">
              <a16:creationId xmlns="" xmlns:a16="http://schemas.microsoft.com/office/drawing/2014/main" id="{00000000-0008-0000-0000-00000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0" name="Text Box 3082">
          <a:extLst>
            <a:ext uri="{FF2B5EF4-FFF2-40B4-BE49-F238E27FC236}">
              <a16:creationId xmlns="" xmlns:a16="http://schemas.microsoft.com/office/drawing/2014/main" id="{00000000-0008-0000-0000-00000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1" name="Text Box 3083">
          <a:extLst>
            <a:ext uri="{FF2B5EF4-FFF2-40B4-BE49-F238E27FC236}">
              <a16:creationId xmlns="" xmlns:a16="http://schemas.microsoft.com/office/drawing/2014/main" id="{00000000-0008-0000-0000-00000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2" name="Text Box 3084">
          <a:extLst>
            <a:ext uri="{FF2B5EF4-FFF2-40B4-BE49-F238E27FC236}">
              <a16:creationId xmlns="" xmlns:a16="http://schemas.microsoft.com/office/drawing/2014/main" id="{00000000-0008-0000-0000-00000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3" name="Text Box 3085">
          <a:extLst>
            <a:ext uri="{FF2B5EF4-FFF2-40B4-BE49-F238E27FC236}">
              <a16:creationId xmlns="" xmlns:a16="http://schemas.microsoft.com/office/drawing/2014/main" id="{00000000-0008-0000-0000-00000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4" name="Text Box 3086">
          <a:extLst>
            <a:ext uri="{FF2B5EF4-FFF2-40B4-BE49-F238E27FC236}">
              <a16:creationId xmlns="" xmlns:a16="http://schemas.microsoft.com/office/drawing/2014/main" id="{00000000-0008-0000-0000-00000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5" name="Text Box 3087">
          <a:extLst>
            <a:ext uri="{FF2B5EF4-FFF2-40B4-BE49-F238E27FC236}">
              <a16:creationId xmlns="" xmlns:a16="http://schemas.microsoft.com/office/drawing/2014/main" id="{00000000-0008-0000-0000-00000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6" name="Text Box 3088">
          <a:extLst>
            <a:ext uri="{FF2B5EF4-FFF2-40B4-BE49-F238E27FC236}">
              <a16:creationId xmlns="" xmlns:a16="http://schemas.microsoft.com/office/drawing/2014/main" id="{00000000-0008-0000-0000-00001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7" name="Text Box 3089">
          <a:extLst>
            <a:ext uri="{FF2B5EF4-FFF2-40B4-BE49-F238E27FC236}">
              <a16:creationId xmlns="" xmlns:a16="http://schemas.microsoft.com/office/drawing/2014/main" id="{00000000-0008-0000-0000-00001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8" name="Text Box 3090">
          <a:extLst>
            <a:ext uri="{FF2B5EF4-FFF2-40B4-BE49-F238E27FC236}">
              <a16:creationId xmlns="" xmlns:a16="http://schemas.microsoft.com/office/drawing/2014/main" id="{00000000-0008-0000-0000-00001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9" name="Text Box 3091">
          <a:extLst>
            <a:ext uri="{FF2B5EF4-FFF2-40B4-BE49-F238E27FC236}">
              <a16:creationId xmlns="" xmlns:a16="http://schemas.microsoft.com/office/drawing/2014/main" id="{00000000-0008-0000-0000-00001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0" name="Text Box 3092">
          <a:extLst>
            <a:ext uri="{FF2B5EF4-FFF2-40B4-BE49-F238E27FC236}">
              <a16:creationId xmlns="" xmlns:a16="http://schemas.microsoft.com/office/drawing/2014/main" id="{00000000-0008-0000-0000-00001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1" name="Text Box 3093">
          <a:extLst>
            <a:ext uri="{FF2B5EF4-FFF2-40B4-BE49-F238E27FC236}">
              <a16:creationId xmlns="" xmlns:a16="http://schemas.microsoft.com/office/drawing/2014/main" id="{00000000-0008-0000-0000-00001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2" name="Text Box 3094">
          <a:extLst>
            <a:ext uri="{FF2B5EF4-FFF2-40B4-BE49-F238E27FC236}">
              <a16:creationId xmlns="" xmlns:a16="http://schemas.microsoft.com/office/drawing/2014/main" id="{00000000-0008-0000-0000-00001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3" name="Text Box 3095">
          <a:extLst>
            <a:ext uri="{FF2B5EF4-FFF2-40B4-BE49-F238E27FC236}">
              <a16:creationId xmlns="" xmlns:a16="http://schemas.microsoft.com/office/drawing/2014/main" id="{00000000-0008-0000-0000-00001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4" name="Text Box 3096">
          <a:extLst>
            <a:ext uri="{FF2B5EF4-FFF2-40B4-BE49-F238E27FC236}">
              <a16:creationId xmlns="" xmlns:a16="http://schemas.microsoft.com/office/drawing/2014/main" id="{00000000-0008-0000-0000-00001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5" name="Text Box 3097">
          <a:extLst>
            <a:ext uri="{FF2B5EF4-FFF2-40B4-BE49-F238E27FC236}">
              <a16:creationId xmlns="" xmlns:a16="http://schemas.microsoft.com/office/drawing/2014/main" id="{00000000-0008-0000-0000-00001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6" name="Text Box 3098">
          <a:extLst>
            <a:ext uri="{FF2B5EF4-FFF2-40B4-BE49-F238E27FC236}">
              <a16:creationId xmlns="" xmlns:a16="http://schemas.microsoft.com/office/drawing/2014/main" id="{00000000-0008-0000-0000-00001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7" name="Text Box 3099">
          <a:extLst>
            <a:ext uri="{FF2B5EF4-FFF2-40B4-BE49-F238E27FC236}">
              <a16:creationId xmlns="" xmlns:a16="http://schemas.microsoft.com/office/drawing/2014/main" id="{00000000-0008-0000-0000-00001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8" name="Text Box 3100">
          <a:extLst>
            <a:ext uri="{FF2B5EF4-FFF2-40B4-BE49-F238E27FC236}">
              <a16:creationId xmlns="" xmlns:a16="http://schemas.microsoft.com/office/drawing/2014/main" id="{00000000-0008-0000-0000-00001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9" name="Text Box 3101">
          <a:extLst>
            <a:ext uri="{FF2B5EF4-FFF2-40B4-BE49-F238E27FC236}">
              <a16:creationId xmlns="" xmlns:a16="http://schemas.microsoft.com/office/drawing/2014/main" id="{00000000-0008-0000-0000-00001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90" name="Text Box 3102">
          <a:extLst>
            <a:ext uri="{FF2B5EF4-FFF2-40B4-BE49-F238E27FC236}">
              <a16:creationId xmlns="" xmlns:a16="http://schemas.microsoft.com/office/drawing/2014/main" id="{00000000-0008-0000-0000-00001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1" name="Text Box 59">
          <a:extLst>
            <a:ext uri="{FF2B5EF4-FFF2-40B4-BE49-F238E27FC236}">
              <a16:creationId xmlns="" xmlns:a16="http://schemas.microsoft.com/office/drawing/2014/main" id="{00000000-0008-0000-0000-00001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2" name="Text Box 60">
          <a:extLst>
            <a:ext uri="{FF2B5EF4-FFF2-40B4-BE49-F238E27FC236}">
              <a16:creationId xmlns="" xmlns:a16="http://schemas.microsoft.com/office/drawing/2014/main" id="{00000000-0008-0000-0000-00002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3" name="Text Box 61">
          <a:extLst>
            <a:ext uri="{FF2B5EF4-FFF2-40B4-BE49-F238E27FC236}">
              <a16:creationId xmlns="" xmlns:a16="http://schemas.microsoft.com/office/drawing/2014/main" id="{00000000-0008-0000-0000-00002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4" name="Text Box 62">
          <a:extLst>
            <a:ext uri="{FF2B5EF4-FFF2-40B4-BE49-F238E27FC236}">
              <a16:creationId xmlns="" xmlns:a16="http://schemas.microsoft.com/office/drawing/2014/main" id="{00000000-0008-0000-0000-00002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5" name="Text Box 63">
          <a:extLst>
            <a:ext uri="{FF2B5EF4-FFF2-40B4-BE49-F238E27FC236}">
              <a16:creationId xmlns="" xmlns:a16="http://schemas.microsoft.com/office/drawing/2014/main" id="{00000000-0008-0000-0000-00002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6" name="Text Box 64">
          <a:extLst>
            <a:ext uri="{FF2B5EF4-FFF2-40B4-BE49-F238E27FC236}">
              <a16:creationId xmlns="" xmlns:a16="http://schemas.microsoft.com/office/drawing/2014/main" id="{00000000-0008-0000-0000-00002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7" name="Text Box 65">
          <a:extLst>
            <a:ext uri="{FF2B5EF4-FFF2-40B4-BE49-F238E27FC236}">
              <a16:creationId xmlns="" xmlns:a16="http://schemas.microsoft.com/office/drawing/2014/main" id="{00000000-0008-0000-0000-00002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8" name="Text Box 66">
          <a:extLst>
            <a:ext uri="{FF2B5EF4-FFF2-40B4-BE49-F238E27FC236}">
              <a16:creationId xmlns="" xmlns:a16="http://schemas.microsoft.com/office/drawing/2014/main" id="{00000000-0008-0000-0000-00002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9" name="Text Box 67">
          <a:extLst>
            <a:ext uri="{FF2B5EF4-FFF2-40B4-BE49-F238E27FC236}">
              <a16:creationId xmlns="" xmlns:a16="http://schemas.microsoft.com/office/drawing/2014/main" id="{00000000-0008-0000-0000-00002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0" name="Text Box 68">
          <a:extLst>
            <a:ext uri="{FF2B5EF4-FFF2-40B4-BE49-F238E27FC236}">
              <a16:creationId xmlns="" xmlns:a16="http://schemas.microsoft.com/office/drawing/2014/main" id="{00000000-0008-0000-0000-00002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1" name="Text Box 69">
          <a:extLst>
            <a:ext uri="{FF2B5EF4-FFF2-40B4-BE49-F238E27FC236}">
              <a16:creationId xmlns="" xmlns:a16="http://schemas.microsoft.com/office/drawing/2014/main" id="{00000000-0008-0000-0000-00002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2" name="Text Box 70">
          <a:extLst>
            <a:ext uri="{FF2B5EF4-FFF2-40B4-BE49-F238E27FC236}">
              <a16:creationId xmlns="" xmlns:a16="http://schemas.microsoft.com/office/drawing/2014/main" id="{00000000-0008-0000-0000-00002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3" name="Text Box 71">
          <a:extLst>
            <a:ext uri="{FF2B5EF4-FFF2-40B4-BE49-F238E27FC236}">
              <a16:creationId xmlns="" xmlns:a16="http://schemas.microsoft.com/office/drawing/2014/main" id="{00000000-0008-0000-0000-00002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4" name="Text Box 72">
          <a:extLst>
            <a:ext uri="{FF2B5EF4-FFF2-40B4-BE49-F238E27FC236}">
              <a16:creationId xmlns="" xmlns:a16="http://schemas.microsoft.com/office/drawing/2014/main" id="{00000000-0008-0000-0000-00002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5" name="Text Box 73">
          <a:extLst>
            <a:ext uri="{FF2B5EF4-FFF2-40B4-BE49-F238E27FC236}">
              <a16:creationId xmlns="" xmlns:a16="http://schemas.microsoft.com/office/drawing/2014/main" id="{00000000-0008-0000-0000-00002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6" name="Text Box 74">
          <a:extLst>
            <a:ext uri="{FF2B5EF4-FFF2-40B4-BE49-F238E27FC236}">
              <a16:creationId xmlns="" xmlns:a16="http://schemas.microsoft.com/office/drawing/2014/main" id="{00000000-0008-0000-0000-00002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7" name="Text Box 75">
          <a:extLst>
            <a:ext uri="{FF2B5EF4-FFF2-40B4-BE49-F238E27FC236}">
              <a16:creationId xmlns="" xmlns:a16="http://schemas.microsoft.com/office/drawing/2014/main" id="{00000000-0008-0000-0000-00002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8" name="Text Box 76">
          <a:extLst>
            <a:ext uri="{FF2B5EF4-FFF2-40B4-BE49-F238E27FC236}">
              <a16:creationId xmlns="" xmlns:a16="http://schemas.microsoft.com/office/drawing/2014/main" id="{00000000-0008-0000-0000-00003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9" name="Text Box 77">
          <a:extLst>
            <a:ext uri="{FF2B5EF4-FFF2-40B4-BE49-F238E27FC236}">
              <a16:creationId xmlns="" xmlns:a16="http://schemas.microsoft.com/office/drawing/2014/main" id="{00000000-0008-0000-0000-00003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0" name="Text Box 78">
          <a:extLst>
            <a:ext uri="{FF2B5EF4-FFF2-40B4-BE49-F238E27FC236}">
              <a16:creationId xmlns="" xmlns:a16="http://schemas.microsoft.com/office/drawing/2014/main" id="{00000000-0008-0000-0000-00003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1" name="Text Box 79">
          <a:extLst>
            <a:ext uri="{FF2B5EF4-FFF2-40B4-BE49-F238E27FC236}">
              <a16:creationId xmlns="" xmlns:a16="http://schemas.microsoft.com/office/drawing/2014/main" id="{00000000-0008-0000-0000-00003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2" name="Text Box 80">
          <a:extLst>
            <a:ext uri="{FF2B5EF4-FFF2-40B4-BE49-F238E27FC236}">
              <a16:creationId xmlns="" xmlns:a16="http://schemas.microsoft.com/office/drawing/2014/main" id="{00000000-0008-0000-0000-00003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3" name="Text Box 81">
          <a:extLst>
            <a:ext uri="{FF2B5EF4-FFF2-40B4-BE49-F238E27FC236}">
              <a16:creationId xmlns="" xmlns:a16="http://schemas.microsoft.com/office/drawing/2014/main" id="{00000000-0008-0000-0000-00003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614" name="Text Box 82">
          <a:extLst>
            <a:ext uri="{FF2B5EF4-FFF2-40B4-BE49-F238E27FC236}">
              <a16:creationId xmlns="" xmlns:a16="http://schemas.microsoft.com/office/drawing/2014/main" id="{00000000-0008-0000-0000-00003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5" name="Text Box 3079">
          <a:extLst>
            <a:ext uri="{FF2B5EF4-FFF2-40B4-BE49-F238E27FC236}">
              <a16:creationId xmlns="" xmlns:a16="http://schemas.microsoft.com/office/drawing/2014/main" id="{00000000-0008-0000-0000-00003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6" name="Text Box 3080">
          <a:extLst>
            <a:ext uri="{FF2B5EF4-FFF2-40B4-BE49-F238E27FC236}">
              <a16:creationId xmlns="" xmlns:a16="http://schemas.microsoft.com/office/drawing/2014/main" id="{00000000-0008-0000-0000-00003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7" name="Text Box 3081">
          <a:extLst>
            <a:ext uri="{FF2B5EF4-FFF2-40B4-BE49-F238E27FC236}">
              <a16:creationId xmlns="" xmlns:a16="http://schemas.microsoft.com/office/drawing/2014/main" id="{00000000-0008-0000-0000-00003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8" name="Text Box 3082">
          <a:extLst>
            <a:ext uri="{FF2B5EF4-FFF2-40B4-BE49-F238E27FC236}">
              <a16:creationId xmlns="" xmlns:a16="http://schemas.microsoft.com/office/drawing/2014/main" id="{00000000-0008-0000-0000-00003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9" name="Text Box 3083">
          <a:extLst>
            <a:ext uri="{FF2B5EF4-FFF2-40B4-BE49-F238E27FC236}">
              <a16:creationId xmlns="" xmlns:a16="http://schemas.microsoft.com/office/drawing/2014/main" id="{00000000-0008-0000-0000-00003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0" name="Text Box 3084">
          <a:extLst>
            <a:ext uri="{FF2B5EF4-FFF2-40B4-BE49-F238E27FC236}">
              <a16:creationId xmlns="" xmlns:a16="http://schemas.microsoft.com/office/drawing/2014/main" id="{00000000-0008-0000-0000-00003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1" name="Text Box 3085">
          <a:extLst>
            <a:ext uri="{FF2B5EF4-FFF2-40B4-BE49-F238E27FC236}">
              <a16:creationId xmlns="" xmlns:a16="http://schemas.microsoft.com/office/drawing/2014/main" id="{00000000-0008-0000-0000-00003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2" name="Text Box 3086">
          <a:extLst>
            <a:ext uri="{FF2B5EF4-FFF2-40B4-BE49-F238E27FC236}">
              <a16:creationId xmlns="" xmlns:a16="http://schemas.microsoft.com/office/drawing/2014/main" id="{00000000-0008-0000-0000-00003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3" name="Text Box 3087">
          <a:extLst>
            <a:ext uri="{FF2B5EF4-FFF2-40B4-BE49-F238E27FC236}">
              <a16:creationId xmlns="" xmlns:a16="http://schemas.microsoft.com/office/drawing/2014/main" id="{00000000-0008-0000-0000-00003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4" name="Text Box 3088">
          <a:extLst>
            <a:ext uri="{FF2B5EF4-FFF2-40B4-BE49-F238E27FC236}">
              <a16:creationId xmlns="" xmlns:a16="http://schemas.microsoft.com/office/drawing/2014/main" id="{00000000-0008-0000-0000-00004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5" name="Text Box 3089">
          <a:extLst>
            <a:ext uri="{FF2B5EF4-FFF2-40B4-BE49-F238E27FC236}">
              <a16:creationId xmlns="" xmlns:a16="http://schemas.microsoft.com/office/drawing/2014/main" id="{00000000-0008-0000-0000-00004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6" name="Text Box 3090">
          <a:extLst>
            <a:ext uri="{FF2B5EF4-FFF2-40B4-BE49-F238E27FC236}">
              <a16:creationId xmlns="" xmlns:a16="http://schemas.microsoft.com/office/drawing/2014/main" id="{00000000-0008-0000-0000-00004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7" name="Text Box 3091">
          <a:extLst>
            <a:ext uri="{FF2B5EF4-FFF2-40B4-BE49-F238E27FC236}">
              <a16:creationId xmlns="" xmlns:a16="http://schemas.microsoft.com/office/drawing/2014/main" id="{00000000-0008-0000-0000-00004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8" name="Text Box 3092">
          <a:extLst>
            <a:ext uri="{FF2B5EF4-FFF2-40B4-BE49-F238E27FC236}">
              <a16:creationId xmlns="" xmlns:a16="http://schemas.microsoft.com/office/drawing/2014/main" id="{00000000-0008-0000-0000-00004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9" name="Text Box 3093">
          <a:extLst>
            <a:ext uri="{FF2B5EF4-FFF2-40B4-BE49-F238E27FC236}">
              <a16:creationId xmlns="" xmlns:a16="http://schemas.microsoft.com/office/drawing/2014/main" id="{00000000-0008-0000-0000-00004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0" name="Text Box 3094">
          <a:extLst>
            <a:ext uri="{FF2B5EF4-FFF2-40B4-BE49-F238E27FC236}">
              <a16:creationId xmlns="" xmlns:a16="http://schemas.microsoft.com/office/drawing/2014/main" id="{00000000-0008-0000-0000-00004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1" name="Text Box 3095">
          <a:extLst>
            <a:ext uri="{FF2B5EF4-FFF2-40B4-BE49-F238E27FC236}">
              <a16:creationId xmlns="" xmlns:a16="http://schemas.microsoft.com/office/drawing/2014/main" id="{00000000-0008-0000-0000-00004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2" name="Text Box 3096">
          <a:extLst>
            <a:ext uri="{FF2B5EF4-FFF2-40B4-BE49-F238E27FC236}">
              <a16:creationId xmlns="" xmlns:a16="http://schemas.microsoft.com/office/drawing/2014/main" id="{00000000-0008-0000-0000-00004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3" name="Text Box 3097">
          <a:extLst>
            <a:ext uri="{FF2B5EF4-FFF2-40B4-BE49-F238E27FC236}">
              <a16:creationId xmlns="" xmlns:a16="http://schemas.microsoft.com/office/drawing/2014/main" id="{00000000-0008-0000-0000-00004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4" name="Text Box 3098">
          <a:extLst>
            <a:ext uri="{FF2B5EF4-FFF2-40B4-BE49-F238E27FC236}">
              <a16:creationId xmlns="" xmlns:a16="http://schemas.microsoft.com/office/drawing/2014/main" id="{00000000-0008-0000-0000-00004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5" name="Text Box 3099">
          <a:extLst>
            <a:ext uri="{FF2B5EF4-FFF2-40B4-BE49-F238E27FC236}">
              <a16:creationId xmlns="" xmlns:a16="http://schemas.microsoft.com/office/drawing/2014/main" id="{00000000-0008-0000-0000-00004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6" name="Text Box 3100">
          <a:extLst>
            <a:ext uri="{FF2B5EF4-FFF2-40B4-BE49-F238E27FC236}">
              <a16:creationId xmlns="" xmlns:a16="http://schemas.microsoft.com/office/drawing/2014/main" id="{00000000-0008-0000-0000-00004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7" name="Text Box 3101">
          <a:extLst>
            <a:ext uri="{FF2B5EF4-FFF2-40B4-BE49-F238E27FC236}">
              <a16:creationId xmlns="" xmlns:a16="http://schemas.microsoft.com/office/drawing/2014/main" id="{00000000-0008-0000-0000-00004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38" name="Text Box 3102">
          <a:extLst>
            <a:ext uri="{FF2B5EF4-FFF2-40B4-BE49-F238E27FC236}">
              <a16:creationId xmlns="" xmlns:a16="http://schemas.microsoft.com/office/drawing/2014/main" id="{00000000-0008-0000-0000-00004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39" name="Text Box 59">
          <a:extLst>
            <a:ext uri="{FF2B5EF4-FFF2-40B4-BE49-F238E27FC236}">
              <a16:creationId xmlns="" xmlns:a16="http://schemas.microsoft.com/office/drawing/2014/main" id="{00000000-0008-0000-0000-00004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0" name="Text Box 60">
          <a:extLst>
            <a:ext uri="{FF2B5EF4-FFF2-40B4-BE49-F238E27FC236}">
              <a16:creationId xmlns="" xmlns:a16="http://schemas.microsoft.com/office/drawing/2014/main" id="{00000000-0008-0000-0000-00005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1" name="Text Box 61">
          <a:extLst>
            <a:ext uri="{FF2B5EF4-FFF2-40B4-BE49-F238E27FC236}">
              <a16:creationId xmlns="" xmlns:a16="http://schemas.microsoft.com/office/drawing/2014/main" id="{00000000-0008-0000-0000-00005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2" name="Text Box 62">
          <a:extLst>
            <a:ext uri="{FF2B5EF4-FFF2-40B4-BE49-F238E27FC236}">
              <a16:creationId xmlns="" xmlns:a16="http://schemas.microsoft.com/office/drawing/2014/main" id="{00000000-0008-0000-0000-00005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3" name="Text Box 63">
          <a:extLst>
            <a:ext uri="{FF2B5EF4-FFF2-40B4-BE49-F238E27FC236}">
              <a16:creationId xmlns="" xmlns:a16="http://schemas.microsoft.com/office/drawing/2014/main" id="{00000000-0008-0000-0000-00005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4" name="Text Box 64">
          <a:extLst>
            <a:ext uri="{FF2B5EF4-FFF2-40B4-BE49-F238E27FC236}">
              <a16:creationId xmlns="" xmlns:a16="http://schemas.microsoft.com/office/drawing/2014/main" id="{00000000-0008-0000-0000-00005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5" name="Text Box 65">
          <a:extLst>
            <a:ext uri="{FF2B5EF4-FFF2-40B4-BE49-F238E27FC236}">
              <a16:creationId xmlns="" xmlns:a16="http://schemas.microsoft.com/office/drawing/2014/main" id="{00000000-0008-0000-0000-00005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6" name="Text Box 66">
          <a:extLst>
            <a:ext uri="{FF2B5EF4-FFF2-40B4-BE49-F238E27FC236}">
              <a16:creationId xmlns="" xmlns:a16="http://schemas.microsoft.com/office/drawing/2014/main" id="{00000000-0008-0000-0000-00005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7" name="Text Box 67">
          <a:extLst>
            <a:ext uri="{FF2B5EF4-FFF2-40B4-BE49-F238E27FC236}">
              <a16:creationId xmlns="" xmlns:a16="http://schemas.microsoft.com/office/drawing/2014/main" id="{00000000-0008-0000-0000-00005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8" name="Text Box 68">
          <a:extLst>
            <a:ext uri="{FF2B5EF4-FFF2-40B4-BE49-F238E27FC236}">
              <a16:creationId xmlns="" xmlns:a16="http://schemas.microsoft.com/office/drawing/2014/main" id="{00000000-0008-0000-0000-00005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9" name="Text Box 69">
          <a:extLst>
            <a:ext uri="{FF2B5EF4-FFF2-40B4-BE49-F238E27FC236}">
              <a16:creationId xmlns="" xmlns:a16="http://schemas.microsoft.com/office/drawing/2014/main" id="{00000000-0008-0000-0000-00005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0" name="Text Box 70">
          <a:extLst>
            <a:ext uri="{FF2B5EF4-FFF2-40B4-BE49-F238E27FC236}">
              <a16:creationId xmlns="" xmlns:a16="http://schemas.microsoft.com/office/drawing/2014/main" id="{00000000-0008-0000-0000-00005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1" name="Text Box 71">
          <a:extLst>
            <a:ext uri="{FF2B5EF4-FFF2-40B4-BE49-F238E27FC236}">
              <a16:creationId xmlns="" xmlns:a16="http://schemas.microsoft.com/office/drawing/2014/main" id="{00000000-0008-0000-0000-00005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2" name="Text Box 72">
          <a:extLst>
            <a:ext uri="{FF2B5EF4-FFF2-40B4-BE49-F238E27FC236}">
              <a16:creationId xmlns="" xmlns:a16="http://schemas.microsoft.com/office/drawing/2014/main" id="{00000000-0008-0000-0000-00005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3" name="Text Box 73">
          <a:extLst>
            <a:ext uri="{FF2B5EF4-FFF2-40B4-BE49-F238E27FC236}">
              <a16:creationId xmlns="" xmlns:a16="http://schemas.microsoft.com/office/drawing/2014/main" id="{00000000-0008-0000-0000-00005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4" name="Text Box 74">
          <a:extLst>
            <a:ext uri="{FF2B5EF4-FFF2-40B4-BE49-F238E27FC236}">
              <a16:creationId xmlns="" xmlns:a16="http://schemas.microsoft.com/office/drawing/2014/main" id="{00000000-0008-0000-0000-00005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5" name="Text Box 75">
          <a:extLst>
            <a:ext uri="{FF2B5EF4-FFF2-40B4-BE49-F238E27FC236}">
              <a16:creationId xmlns="" xmlns:a16="http://schemas.microsoft.com/office/drawing/2014/main" id="{00000000-0008-0000-0000-00005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6" name="Text Box 76">
          <a:extLst>
            <a:ext uri="{FF2B5EF4-FFF2-40B4-BE49-F238E27FC236}">
              <a16:creationId xmlns="" xmlns:a16="http://schemas.microsoft.com/office/drawing/2014/main" id="{00000000-0008-0000-0000-00006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7" name="Text Box 77">
          <a:extLst>
            <a:ext uri="{FF2B5EF4-FFF2-40B4-BE49-F238E27FC236}">
              <a16:creationId xmlns="" xmlns:a16="http://schemas.microsoft.com/office/drawing/2014/main" id="{00000000-0008-0000-0000-00006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8" name="Text Box 78">
          <a:extLst>
            <a:ext uri="{FF2B5EF4-FFF2-40B4-BE49-F238E27FC236}">
              <a16:creationId xmlns="" xmlns:a16="http://schemas.microsoft.com/office/drawing/2014/main" id="{00000000-0008-0000-0000-00006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9" name="Text Box 79">
          <a:extLst>
            <a:ext uri="{FF2B5EF4-FFF2-40B4-BE49-F238E27FC236}">
              <a16:creationId xmlns="" xmlns:a16="http://schemas.microsoft.com/office/drawing/2014/main" id="{00000000-0008-0000-0000-00006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0" name="Text Box 80">
          <a:extLst>
            <a:ext uri="{FF2B5EF4-FFF2-40B4-BE49-F238E27FC236}">
              <a16:creationId xmlns="" xmlns:a16="http://schemas.microsoft.com/office/drawing/2014/main" id="{00000000-0008-0000-0000-00006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1" name="Text Box 81">
          <a:extLst>
            <a:ext uri="{FF2B5EF4-FFF2-40B4-BE49-F238E27FC236}">
              <a16:creationId xmlns="" xmlns:a16="http://schemas.microsoft.com/office/drawing/2014/main" id="{00000000-0008-0000-0000-00006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2" name="Text Box 3079">
          <a:extLst>
            <a:ext uri="{FF2B5EF4-FFF2-40B4-BE49-F238E27FC236}">
              <a16:creationId xmlns="" xmlns:a16="http://schemas.microsoft.com/office/drawing/2014/main" id="{00000000-0008-0000-0000-00006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3" name="Text Box 3080">
          <a:extLst>
            <a:ext uri="{FF2B5EF4-FFF2-40B4-BE49-F238E27FC236}">
              <a16:creationId xmlns="" xmlns:a16="http://schemas.microsoft.com/office/drawing/2014/main" id="{00000000-0008-0000-0000-00006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4" name="Text Box 3081">
          <a:extLst>
            <a:ext uri="{FF2B5EF4-FFF2-40B4-BE49-F238E27FC236}">
              <a16:creationId xmlns="" xmlns:a16="http://schemas.microsoft.com/office/drawing/2014/main" id="{00000000-0008-0000-0000-00006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5" name="Text Box 3082">
          <a:extLst>
            <a:ext uri="{FF2B5EF4-FFF2-40B4-BE49-F238E27FC236}">
              <a16:creationId xmlns="" xmlns:a16="http://schemas.microsoft.com/office/drawing/2014/main" id="{00000000-0008-0000-0000-00006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6" name="Text Box 3083">
          <a:extLst>
            <a:ext uri="{FF2B5EF4-FFF2-40B4-BE49-F238E27FC236}">
              <a16:creationId xmlns="" xmlns:a16="http://schemas.microsoft.com/office/drawing/2014/main" id="{00000000-0008-0000-0000-00006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7" name="Text Box 3084">
          <a:extLst>
            <a:ext uri="{FF2B5EF4-FFF2-40B4-BE49-F238E27FC236}">
              <a16:creationId xmlns="" xmlns:a16="http://schemas.microsoft.com/office/drawing/2014/main" id="{00000000-0008-0000-0000-00006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8" name="Text Box 3085">
          <a:extLst>
            <a:ext uri="{FF2B5EF4-FFF2-40B4-BE49-F238E27FC236}">
              <a16:creationId xmlns="" xmlns:a16="http://schemas.microsoft.com/office/drawing/2014/main" id="{00000000-0008-0000-0000-00006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9" name="Text Box 3086">
          <a:extLst>
            <a:ext uri="{FF2B5EF4-FFF2-40B4-BE49-F238E27FC236}">
              <a16:creationId xmlns="" xmlns:a16="http://schemas.microsoft.com/office/drawing/2014/main" id="{00000000-0008-0000-0000-00006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0" name="Text Box 3087">
          <a:extLst>
            <a:ext uri="{FF2B5EF4-FFF2-40B4-BE49-F238E27FC236}">
              <a16:creationId xmlns="" xmlns:a16="http://schemas.microsoft.com/office/drawing/2014/main" id="{00000000-0008-0000-0000-00006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1" name="Text Box 3088">
          <a:extLst>
            <a:ext uri="{FF2B5EF4-FFF2-40B4-BE49-F238E27FC236}">
              <a16:creationId xmlns="" xmlns:a16="http://schemas.microsoft.com/office/drawing/2014/main" id="{00000000-0008-0000-0000-00006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2" name="Text Box 3089">
          <a:extLst>
            <a:ext uri="{FF2B5EF4-FFF2-40B4-BE49-F238E27FC236}">
              <a16:creationId xmlns="" xmlns:a16="http://schemas.microsoft.com/office/drawing/2014/main" id="{00000000-0008-0000-0000-00007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3" name="Text Box 3090">
          <a:extLst>
            <a:ext uri="{FF2B5EF4-FFF2-40B4-BE49-F238E27FC236}">
              <a16:creationId xmlns="" xmlns:a16="http://schemas.microsoft.com/office/drawing/2014/main" id="{00000000-0008-0000-0000-00007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4" name="Text Box 3091">
          <a:extLst>
            <a:ext uri="{FF2B5EF4-FFF2-40B4-BE49-F238E27FC236}">
              <a16:creationId xmlns="" xmlns:a16="http://schemas.microsoft.com/office/drawing/2014/main" id="{00000000-0008-0000-0000-00007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5" name="Text Box 3092">
          <a:extLst>
            <a:ext uri="{FF2B5EF4-FFF2-40B4-BE49-F238E27FC236}">
              <a16:creationId xmlns="" xmlns:a16="http://schemas.microsoft.com/office/drawing/2014/main" id="{00000000-0008-0000-0000-00007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6" name="Text Box 3093">
          <a:extLst>
            <a:ext uri="{FF2B5EF4-FFF2-40B4-BE49-F238E27FC236}">
              <a16:creationId xmlns="" xmlns:a16="http://schemas.microsoft.com/office/drawing/2014/main" id="{00000000-0008-0000-0000-00007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7" name="Text Box 3094">
          <a:extLst>
            <a:ext uri="{FF2B5EF4-FFF2-40B4-BE49-F238E27FC236}">
              <a16:creationId xmlns="" xmlns:a16="http://schemas.microsoft.com/office/drawing/2014/main" id="{00000000-0008-0000-0000-00007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8" name="Text Box 3095">
          <a:extLst>
            <a:ext uri="{FF2B5EF4-FFF2-40B4-BE49-F238E27FC236}">
              <a16:creationId xmlns="" xmlns:a16="http://schemas.microsoft.com/office/drawing/2014/main" id="{00000000-0008-0000-0000-00007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9" name="Text Box 3096">
          <a:extLst>
            <a:ext uri="{FF2B5EF4-FFF2-40B4-BE49-F238E27FC236}">
              <a16:creationId xmlns="" xmlns:a16="http://schemas.microsoft.com/office/drawing/2014/main" id="{00000000-0008-0000-0000-00007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0" name="Text Box 3097">
          <a:extLst>
            <a:ext uri="{FF2B5EF4-FFF2-40B4-BE49-F238E27FC236}">
              <a16:creationId xmlns="" xmlns:a16="http://schemas.microsoft.com/office/drawing/2014/main" id="{00000000-0008-0000-0000-00007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1" name="Text Box 3098">
          <a:extLst>
            <a:ext uri="{FF2B5EF4-FFF2-40B4-BE49-F238E27FC236}">
              <a16:creationId xmlns="" xmlns:a16="http://schemas.microsoft.com/office/drawing/2014/main" id="{00000000-0008-0000-0000-00007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2" name="Text Box 3099">
          <a:extLst>
            <a:ext uri="{FF2B5EF4-FFF2-40B4-BE49-F238E27FC236}">
              <a16:creationId xmlns="" xmlns:a16="http://schemas.microsoft.com/office/drawing/2014/main" id="{00000000-0008-0000-0000-00007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3" name="Text Box 3100">
          <a:extLst>
            <a:ext uri="{FF2B5EF4-FFF2-40B4-BE49-F238E27FC236}">
              <a16:creationId xmlns="" xmlns:a16="http://schemas.microsoft.com/office/drawing/2014/main" id="{00000000-0008-0000-0000-00007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4" name="Text Box 3101">
          <a:extLst>
            <a:ext uri="{FF2B5EF4-FFF2-40B4-BE49-F238E27FC236}">
              <a16:creationId xmlns="" xmlns:a16="http://schemas.microsoft.com/office/drawing/2014/main" id="{00000000-0008-0000-0000-00007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85" name="Text Box 3102">
          <a:extLst>
            <a:ext uri="{FF2B5EF4-FFF2-40B4-BE49-F238E27FC236}">
              <a16:creationId xmlns="" xmlns:a16="http://schemas.microsoft.com/office/drawing/2014/main" id="{00000000-0008-0000-0000-00007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6" name="Text Box 59">
          <a:extLst>
            <a:ext uri="{FF2B5EF4-FFF2-40B4-BE49-F238E27FC236}">
              <a16:creationId xmlns="" xmlns:a16="http://schemas.microsoft.com/office/drawing/2014/main" id="{00000000-0008-0000-0000-00007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7" name="Text Box 60">
          <a:extLst>
            <a:ext uri="{FF2B5EF4-FFF2-40B4-BE49-F238E27FC236}">
              <a16:creationId xmlns="" xmlns:a16="http://schemas.microsoft.com/office/drawing/2014/main" id="{00000000-0008-0000-0000-00007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8" name="Text Box 61">
          <a:extLst>
            <a:ext uri="{FF2B5EF4-FFF2-40B4-BE49-F238E27FC236}">
              <a16:creationId xmlns="" xmlns:a16="http://schemas.microsoft.com/office/drawing/2014/main" id="{00000000-0008-0000-0000-00008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9" name="Text Box 62">
          <a:extLst>
            <a:ext uri="{FF2B5EF4-FFF2-40B4-BE49-F238E27FC236}">
              <a16:creationId xmlns="" xmlns:a16="http://schemas.microsoft.com/office/drawing/2014/main" id="{00000000-0008-0000-0000-00008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0" name="Text Box 63">
          <a:extLst>
            <a:ext uri="{FF2B5EF4-FFF2-40B4-BE49-F238E27FC236}">
              <a16:creationId xmlns="" xmlns:a16="http://schemas.microsoft.com/office/drawing/2014/main" id="{00000000-0008-0000-0000-00008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1" name="Text Box 64">
          <a:extLst>
            <a:ext uri="{FF2B5EF4-FFF2-40B4-BE49-F238E27FC236}">
              <a16:creationId xmlns="" xmlns:a16="http://schemas.microsoft.com/office/drawing/2014/main" id="{00000000-0008-0000-0000-00008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2" name="Text Box 65">
          <a:extLst>
            <a:ext uri="{FF2B5EF4-FFF2-40B4-BE49-F238E27FC236}">
              <a16:creationId xmlns="" xmlns:a16="http://schemas.microsoft.com/office/drawing/2014/main" id="{00000000-0008-0000-0000-00008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3" name="Text Box 66">
          <a:extLst>
            <a:ext uri="{FF2B5EF4-FFF2-40B4-BE49-F238E27FC236}">
              <a16:creationId xmlns="" xmlns:a16="http://schemas.microsoft.com/office/drawing/2014/main" id="{00000000-0008-0000-0000-00008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4" name="Text Box 67">
          <a:extLst>
            <a:ext uri="{FF2B5EF4-FFF2-40B4-BE49-F238E27FC236}">
              <a16:creationId xmlns="" xmlns:a16="http://schemas.microsoft.com/office/drawing/2014/main" id="{00000000-0008-0000-0000-00008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5" name="Text Box 68">
          <a:extLst>
            <a:ext uri="{FF2B5EF4-FFF2-40B4-BE49-F238E27FC236}">
              <a16:creationId xmlns="" xmlns:a16="http://schemas.microsoft.com/office/drawing/2014/main" id="{00000000-0008-0000-0000-00008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6" name="Text Box 69">
          <a:extLst>
            <a:ext uri="{FF2B5EF4-FFF2-40B4-BE49-F238E27FC236}">
              <a16:creationId xmlns="" xmlns:a16="http://schemas.microsoft.com/office/drawing/2014/main" id="{00000000-0008-0000-0000-00008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7" name="Text Box 70">
          <a:extLst>
            <a:ext uri="{FF2B5EF4-FFF2-40B4-BE49-F238E27FC236}">
              <a16:creationId xmlns="" xmlns:a16="http://schemas.microsoft.com/office/drawing/2014/main" id="{00000000-0008-0000-0000-00008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8" name="Text Box 71">
          <a:extLst>
            <a:ext uri="{FF2B5EF4-FFF2-40B4-BE49-F238E27FC236}">
              <a16:creationId xmlns="" xmlns:a16="http://schemas.microsoft.com/office/drawing/2014/main" id="{00000000-0008-0000-0000-00008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9" name="Text Box 72">
          <a:extLst>
            <a:ext uri="{FF2B5EF4-FFF2-40B4-BE49-F238E27FC236}">
              <a16:creationId xmlns="" xmlns:a16="http://schemas.microsoft.com/office/drawing/2014/main" id="{00000000-0008-0000-0000-00008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0" name="Text Box 73">
          <a:extLst>
            <a:ext uri="{FF2B5EF4-FFF2-40B4-BE49-F238E27FC236}">
              <a16:creationId xmlns="" xmlns:a16="http://schemas.microsoft.com/office/drawing/2014/main" id="{00000000-0008-0000-0000-00008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1" name="Text Box 74">
          <a:extLst>
            <a:ext uri="{FF2B5EF4-FFF2-40B4-BE49-F238E27FC236}">
              <a16:creationId xmlns="" xmlns:a16="http://schemas.microsoft.com/office/drawing/2014/main" id="{00000000-0008-0000-0000-00008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2" name="Text Box 75">
          <a:extLst>
            <a:ext uri="{FF2B5EF4-FFF2-40B4-BE49-F238E27FC236}">
              <a16:creationId xmlns="" xmlns:a16="http://schemas.microsoft.com/office/drawing/2014/main" id="{00000000-0008-0000-0000-00008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3" name="Text Box 76">
          <a:extLst>
            <a:ext uri="{FF2B5EF4-FFF2-40B4-BE49-F238E27FC236}">
              <a16:creationId xmlns="" xmlns:a16="http://schemas.microsoft.com/office/drawing/2014/main" id="{00000000-0008-0000-0000-00008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4" name="Text Box 77">
          <a:extLst>
            <a:ext uri="{FF2B5EF4-FFF2-40B4-BE49-F238E27FC236}">
              <a16:creationId xmlns="" xmlns:a16="http://schemas.microsoft.com/office/drawing/2014/main" id="{00000000-0008-0000-0000-00009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5" name="Text Box 78">
          <a:extLst>
            <a:ext uri="{FF2B5EF4-FFF2-40B4-BE49-F238E27FC236}">
              <a16:creationId xmlns="" xmlns:a16="http://schemas.microsoft.com/office/drawing/2014/main" id="{00000000-0008-0000-0000-00009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6" name="Text Box 79">
          <a:extLst>
            <a:ext uri="{FF2B5EF4-FFF2-40B4-BE49-F238E27FC236}">
              <a16:creationId xmlns="" xmlns:a16="http://schemas.microsoft.com/office/drawing/2014/main" id="{00000000-0008-0000-0000-00009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7" name="Text Box 80">
          <a:extLst>
            <a:ext uri="{FF2B5EF4-FFF2-40B4-BE49-F238E27FC236}">
              <a16:creationId xmlns="" xmlns:a16="http://schemas.microsoft.com/office/drawing/2014/main" id="{00000000-0008-0000-0000-00009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8" name="Text Box 81">
          <a:extLst>
            <a:ext uri="{FF2B5EF4-FFF2-40B4-BE49-F238E27FC236}">
              <a16:creationId xmlns="" xmlns:a16="http://schemas.microsoft.com/office/drawing/2014/main" id="{00000000-0008-0000-0000-00009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709" name="Text Box 82">
          <a:extLst>
            <a:ext uri="{FF2B5EF4-FFF2-40B4-BE49-F238E27FC236}">
              <a16:creationId xmlns="" xmlns:a16="http://schemas.microsoft.com/office/drawing/2014/main" id="{00000000-0008-0000-0000-00009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0" name="Text Box 3079">
          <a:extLst>
            <a:ext uri="{FF2B5EF4-FFF2-40B4-BE49-F238E27FC236}">
              <a16:creationId xmlns="" xmlns:a16="http://schemas.microsoft.com/office/drawing/2014/main" id="{00000000-0008-0000-0000-00009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1" name="Text Box 3080">
          <a:extLst>
            <a:ext uri="{FF2B5EF4-FFF2-40B4-BE49-F238E27FC236}">
              <a16:creationId xmlns="" xmlns:a16="http://schemas.microsoft.com/office/drawing/2014/main" id="{00000000-0008-0000-0000-00009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2" name="Text Box 3081">
          <a:extLst>
            <a:ext uri="{FF2B5EF4-FFF2-40B4-BE49-F238E27FC236}">
              <a16:creationId xmlns="" xmlns:a16="http://schemas.microsoft.com/office/drawing/2014/main" id="{00000000-0008-0000-0000-00009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3" name="Text Box 3082">
          <a:extLst>
            <a:ext uri="{FF2B5EF4-FFF2-40B4-BE49-F238E27FC236}">
              <a16:creationId xmlns="" xmlns:a16="http://schemas.microsoft.com/office/drawing/2014/main" id="{00000000-0008-0000-0000-00009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4" name="Text Box 3083">
          <a:extLst>
            <a:ext uri="{FF2B5EF4-FFF2-40B4-BE49-F238E27FC236}">
              <a16:creationId xmlns="" xmlns:a16="http://schemas.microsoft.com/office/drawing/2014/main" id="{00000000-0008-0000-0000-00009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5" name="Text Box 3084">
          <a:extLst>
            <a:ext uri="{FF2B5EF4-FFF2-40B4-BE49-F238E27FC236}">
              <a16:creationId xmlns="" xmlns:a16="http://schemas.microsoft.com/office/drawing/2014/main" id="{00000000-0008-0000-0000-00009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6" name="Text Box 3085">
          <a:extLst>
            <a:ext uri="{FF2B5EF4-FFF2-40B4-BE49-F238E27FC236}">
              <a16:creationId xmlns="" xmlns:a16="http://schemas.microsoft.com/office/drawing/2014/main" id="{00000000-0008-0000-0000-00009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7" name="Text Box 3086">
          <a:extLst>
            <a:ext uri="{FF2B5EF4-FFF2-40B4-BE49-F238E27FC236}">
              <a16:creationId xmlns="" xmlns:a16="http://schemas.microsoft.com/office/drawing/2014/main" id="{00000000-0008-0000-0000-00009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8" name="Text Box 3087">
          <a:extLst>
            <a:ext uri="{FF2B5EF4-FFF2-40B4-BE49-F238E27FC236}">
              <a16:creationId xmlns="" xmlns:a16="http://schemas.microsoft.com/office/drawing/2014/main" id="{00000000-0008-0000-0000-00009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9" name="Text Box 3088">
          <a:extLst>
            <a:ext uri="{FF2B5EF4-FFF2-40B4-BE49-F238E27FC236}">
              <a16:creationId xmlns="" xmlns:a16="http://schemas.microsoft.com/office/drawing/2014/main" id="{00000000-0008-0000-0000-00009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0" name="Text Box 3089">
          <a:extLst>
            <a:ext uri="{FF2B5EF4-FFF2-40B4-BE49-F238E27FC236}">
              <a16:creationId xmlns="" xmlns:a16="http://schemas.microsoft.com/office/drawing/2014/main" id="{00000000-0008-0000-0000-0000A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1" name="Text Box 3090">
          <a:extLst>
            <a:ext uri="{FF2B5EF4-FFF2-40B4-BE49-F238E27FC236}">
              <a16:creationId xmlns="" xmlns:a16="http://schemas.microsoft.com/office/drawing/2014/main" id="{00000000-0008-0000-0000-0000A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2" name="Text Box 3091">
          <a:extLst>
            <a:ext uri="{FF2B5EF4-FFF2-40B4-BE49-F238E27FC236}">
              <a16:creationId xmlns="" xmlns:a16="http://schemas.microsoft.com/office/drawing/2014/main" id="{00000000-0008-0000-0000-0000A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3" name="Text Box 3092">
          <a:extLst>
            <a:ext uri="{FF2B5EF4-FFF2-40B4-BE49-F238E27FC236}">
              <a16:creationId xmlns="" xmlns:a16="http://schemas.microsoft.com/office/drawing/2014/main" id="{00000000-0008-0000-0000-0000A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4" name="Text Box 3093">
          <a:extLst>
            <a:ext uri="{FF2B5EF4-FFF2-40B4-BE49-F238E27FC236}">
              <a16:creationId xmlns="" xmlns:a16="http://schemas.microsoft.com/office/drawing/2014/main" id="{00000000-0008-0000-0000-0000A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5" name="Text Box 3094">
          <a:extLst>
            <a:ext uri="{FF2B5EF4-FFF2-40B4-BE49-F238E27FC236}">
              <a16:creationId xmlns="" xmlns:a16="http://schemas.microsoft.com/office/drawing/2014/main" id="{00000000-0008-0000-0000-0000A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6" name="Text Box 3095">
          <a:extLst>
            <a:ext uri="{FF2B5EF4-FFF2-40B4-BE49-F238E27FC236}">
              <a16:creationId xmlns="" xmlns:a16="http://schemas.microsoft.com/office/drawing/2014/main" id="{00000000-0008-0000-0000-0000A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7" name="Text Box 3096">
          <a:extLst>
            <a:ext uri="{FF2B5EF4-FFF2-40B4-BE49-F238E27FC236}">
              <a16:creationId xmlns="" xmlns:a16="http://schemas.microsoft.com/office/drawing/2014/main" id="{00000000-0008-0000-0000-0000A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8" name="Text Box 3097">
          <a:extLst>
            <a:ext uri="{FF2B5EF4-FFF2-40B4-BE49-F238E27FC236}">
              <a16:creationId xmlns="" xmlns:a16="http://schemas.microsoft.com/office/drawing/2014/main" id="{00000000-0008-0000-0000-0000A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9" name="Text Box 3098">
          <a:extLst>
            <a:ext uri="{FF2B5EF4-FFF2-40B4-BE49-F238E27FC236}">
              <a16:creationId xmlns=""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0" name="Text Box 3099">
          <a:extLst>
            <a:ext uri="{FF2B5EF4-FFF2-40B4-BE49-F238E27FC236}">
              <a16:creationId xmlns=""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1" name="Text Box 3100">
          <a:extLst>
            <a:ext uri="{FF2B5EF4-FFF2-40B4-BE49-F238E27FC236}">
              <a16:creationId xmlns=""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2" name="Text Box 3101">
          <a:extLst>
            <a:ext uri="{FF2B5EF4-FFF2-40B4-BE49-F238E27FC236}">
              <a16:creationId xmlns=""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733" name="Text Box 3102">
          <a:extLst>
            <a:ext uri="{FF2B5EF4-FFF2-40B4-BE49-F238E27FC236}">
              <a16:creationId xmlns=""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4" name="Text Box 59">
          <a:extLst>
            <a:ext uri="{FF2B5EF4-FFF2-40B4-BE49-F238E27FC236}">
              <a16:creationId xmlns=""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5" name="Text Box 60">
          <a:extLst>
            <a:ext uri="{FF2B5EF4-FFF2-40B4-BE49-F238E27FC236}">
              <a16:creationId xmlns=""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6" name="Text Box 61">
          <a:extLst>
            <a:ext uri="{FF2B5EF4-FFF2-40B4-BE49-F238E27FC236}">
              <a16:creationId xmlns=""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7" name="Text Box 62">
          <a:extLst>
            <a:ext uri="{FF2B5EF4-FFF2-40B4-BE49-F238E27FC236}">
              <a16:creationId xmlns=""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8" name="Text Box 63">
          <a:extLst>
            <a:ext uri="{FF2B5EF4-FFF2-40B4-BE49-F238E27FC236}">
              <a16:creationId xmlns=""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9" name="Text Box 64">
          <a:extLst>
            <a:ext uri="{FF2B5EF4-FFF2-40B4-BE49-F238E27FC236}">
              <a16:creationId xmlns=""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0" name="Text Box 65">
          <a:extLst>
            <a:ext uri="{FF2B5EF4-FFF2-40B4-BE49-F238E27FC236}">
              <a16:creationId xmlns=""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1" name="Text Box 66">
          <a:extLst>
            <a:ext uri="{FF2B5EF4-FFF2-40B4-BE49-F238E27FC236}">
              <a16:creationId xmlns=""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2" name="Text Box 67">
          <a:extLst>
            <a:ext uri="{FF2B5EF4-FFF2-40B4-BE49-F238E27FC236}">
              <a16:creationId xmlns=""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3" name="Text Box 68">
          <a:extLst>
            <a:ext uri="{FF2B5EF4-FFF2-40B4-BE49-F238E27FC236}">
              <a16:creationId xmlns=""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4" name="Text Box 69">
          <a:extLst>
            <a:ext uri="{FF2B5EF4-FFF2-40B4-BE49-F238E27FC236}">
              <a16:creationId xmlns=""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5" name="Text Box 70">
          <a:extLst>
            <a:ext uri="{FF2B5EF4-FFF2-40B4-BE49-F238E27FC236}">
              <a16:creationId xmlns=""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6" name="Text Box 71">
          <a:extLst>
            <a:ext uri="{FF2B5EF4-FFF2-40B4-BE49-F238E27FC236}">
              <a16:creationId xmlns=""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7" name="Text Box 72">
          <a:extLst>
            <a:ext uri="{FF2B5EF4-FFF2-40B4-BE49-F238E27FC236}">
              <a16:creationId xmlns=""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8" name="Text Box 73">
          <a:extLst>
            <a:ext uri="{FF2B5EF4-FFF2-40B4-BE49-F238E27FC236}">
              <a16:creationId xmlns=""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9" name="Text Box 74">
          <a:extLst>
            <a:ext uri="{FF2B5EF4-FFF2-40B4-BE49-F238E27FC236}">
              <a16:creationId xmlns=""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0" name="Text Box 75">
          <a:extLst>
            <a:ext uri="{FF2B5EF4-FFF2-40B4-BE49-F238E27FC236}">
              <a16:creationId xmlns=""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1" name="Text Box 76">
          <a:extLst>
            <a:ext uri="{FF2B5EF4-FFF2-40B4-BE49-F238E27FC236}">
              <a16:creationId xmlns=""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2" name="Text Box 77">
          <a:extLst>
            <a:ext uri="{FF2B5EF4-FFF2-40B4-BE49-F238E27FC236}">
              <a16:creationId xmlns=""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3" name="Text Box 78">
          <a:extLst>
            <a:ext uri="{FF2B5EF4-FFF2-40B4-BE49-F238E27FC236}">
              <a16:creationId xmlns=""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4" name="Text Box 79">
          <a:extLst>
            <a:ext uri="{FF2B5EF4-FFF2-40B4-BE49-F238E27FC236}">
              <a16:creationId xmlns=""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5" name="Text Box 80">
          <a:extLst>
            <a:ext uri="{FF2B5EF4-FFF2-40B4-BE49-F238E27FC236}">
              <a16:creationId xmlns=""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6" name="Text Box 81">
          <a:extLst>
            <a:ext uri="{FF2B5EF4-FFF2-40B4-BE49-F238E27FC236}">
              <a16:creationId xmlns=""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7" name="Text Box 3079">
          <a:extLst>
            <a:ext uri="{FF2B5EF4-FFF2-40B4-BE49-F238E27FC236}">
              <a16:creationId xmlns=""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8" name="Text Box 3080">
          <a:extLst>
            <a:ext uri="{FF2B5EF4-FFF2-40B4-BE49-F238E27FC236}">
              <a16:creationId xmlns=""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9" name="Text Box 3081">
          <a:extLst>
            <a:ext uri="{FF2B5EF4-FFF2-40B4-BE49-F238E27FC236}">
              <a16:creationId xmlns=""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0" name="Text Box 3082">
          <a:extLst>
            <a:ext uri="{FF2B5EF4-FFF2-40B4-BE49-F238E27FC236}">
              <a16:creationId xmlns=""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1" name="Text Box 3083">
          <a:extLst>
            <a:ext uri="{FF2B5EF4-FFF2-40B4-BE49-F238E27FC236}">
              <a16:creationId xmlns=""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2" name="Text Box 3084">
          <a:extLst>
            <a:ext uri="{FF2B5EF4-FFF2-40B4-BE49-F238E27FC236}">
              <a16:creationId xmlns=""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3" name="Text Box 3085">
          <a:extLst>
            <a:ext uri="{FF2B5EF4-FFF2-40B4-BE49-F238E27FC236}">
              <a16:creationId xmlns=""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4" name="Text Box 3086">
          <a:extLst>
            <a:ext uri="{FF2B5EF4-FFF2-40B4-BE49-F238E27FC236}">
              <a16:creationId xmlns=""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5" name="Text Box 3087">
          <a:extLst>
            <a:ext uri="{FF2B5EF4-FFF2-40B4-BE49-F238E27FC236}">
              <a16:creationId xmlns=""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6" name="Text Box 3088">
          <a:extLst>
            <a:ext uri="{FF2B5EF4-FFF2-40B4-BE49-F238E27FC236}">
              <a16:creationId xmlns=""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7" name="Text Box 3089">
          <a:extLst>
            <a:ext uri="{FF2B5EF4-FFF2-40B4-BE49-F238E27FC236}">
              <a16:creationId xmlns=""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8" name="Text Box 3090">
          <a:extLst>
            <a:ext uri="{FF2B5EF4-FFF2-40B4-BE49-F238E27FC236}">
              <a16:creationId xmlns=""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9" name="Text Box 3091">
          <a:extLst>
            <a:ext uri="{FF2B5EF4-FFF2-40B4-BE49-F238E27FC236}">
              <a16:creationId xmlns="" xmlns:a16="http://schemas.microsoft.com/office/drawing/2014/main" id="{00000000-0008-0000-0000-0000D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0" name="Text Box 3092">
          <a:extLst>
            <a:ext uri="{FF2B5EF4-FFF2-40B4-BE49-F238E27FC236}">
              <a16:creationId xmlns="" xmlns:a16="http://schemas.microsoft.com/office/drawing/2014/main" id="{00000000-0008-0000-0000-0000D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1" name="Text Box 3093">
          <a:extLst>
            <a:ext uri="{FF2B5EF4-FFF2-40B4-BE49-F238E27FC236}">
              <a16:creationId xmlns="" xmlns:a16="http://schemas.microsoft.com/office/drawing/2014/main" id="{00000000-0008-0000-0000-0000D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2" name="Text Box 3094">
          <a:extLst>
            <a:ext uri="{FF2B5EF4-FFF2-40B4-BE49-F238E27FC236}">
              <a16:creationId xmlns="" xmlns:a16="http://schemas.microsoft.com/office/drawing/2014/main" id="{00000000-0008-0000-0000-0000D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3" name="Text Box 3095">
          <a:extLst>
            <a:ext uri="{FF2B5EF4-FFF2-40B4-BE49-F238E27FC236}">
              <a16:creationId xmlns="" xmlns:a16="http://schemas.microsoft.com/office/drawing/2014/main" id="{00000000-0008-0000-0000-0000D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4" name="Text Box 3096">
          <a:extLst>
            <a:ext uri="{FF2B5EF4-FFF2-40B4-BE49-F238E27FC236}">
              <a16:creationId xmlns="" xmlns:a16="http://schemas.microsoft.com/office/drawing/2014/main" id="{00000000-0008-0000-0000-0000D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5" name="Text Box 3097">
          <a:extLst>
            <a:ext uri="{FF2B5EF4-FFF2-40B4-BE49-F238E27FC236}">
              <a16:creationId xmlns="" xmlns:a16="http://schemas.microsoft.com/office/drawing/2014/main" id="{00000000-0008-0000-0000-0000D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6" name="Text Box 3098">
          <a:extLst>
            <a:ext uri="{FF2B5EF4-FFF2-40B4-BE49-F238E27FC236}">
              <a16:creationId xmlns="" xmlns:a16="http://schemas.microsoft.com/office/drawing/2014/main" id="{00000000-0008-0000-0000-0000D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7" name="Text Box 3099">
          <a:extLst>
            <a:ext uri="{FF2B5EF4-FFF2-40B4-BE49-F238E27FC236}">
              <a16:creationId xmlns="" xmlns:a16="http://schemas.microsoft.com/office/drawing/2014/main" id="{00000000-0008-0000-0000-0000D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8" name="Text Box 3100">
          <a:extLst>
            <a:ext uri="{FF2B5EF4-FFF2-40B4-BE49-F238E27FC236}">
              <a16:creationId xmlns="" xmlns:a16="http://schemas.microsoft.com/office/drawing/2014/main" id="{00000000-0008-0000-0000-0000D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9" name="Text Box 3101">
          <a:extLst>
            <a:ext uri="{FF2B5EF4-FFF2-40B4-BE49-F238E27FC236}">
              <a16:creationId xmlns="" xmlns:a16="http://schemas.microsoft.com/office/drawing/2014/main" id="{00000000-0008-0000-0000-0000D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780" name="Text Box 3102">
          <a:extLst>
            <a:ext uri="{FF2B5EF4-FFF2-40B4-BE49-F238E27FC236}">
              <a16:creationId xmlns="" xmlns:a16="http://schemas.microsoft.com/office/drawing/2014/main" id="{00000000-0008-0000-0000-0000D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1" name="Text Box 59">
          <a:extLst>
            <a:ext uri="{FF2B5EF4-FFF2-40B4-BE49-F238E27FC236}">
              <a16:creationId xmlns="" xmlns:a16="http://schemas.microsoft.com/office/drawing/2014/main" id="{00000000-0008-0000-0000-0000D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2" name="Text Box 60">
          <a:extLst>
            <a:ext uri="{FF2B5EF4-FFF2-40B4-BE49-F238E27FC236}">
              <a16:creationId xmlns="" xmlns:a16="http://schemas.microsoft.com/office/drawing/2014/main" id="{00000000-0008-0000-0000-0000D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3" name="Text Box 61">
          <a:extLst>
            <a:ext uri="{FF2B5EF4-FFF2-40B4-BE49-F238E27FC236}">
              <a16:creationId xmlns="" xmlns:a16="http://schemas.microsoft.com/office/drawing/2014/main" id="{00000000-0008-0000-0000-0000D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4" name="Text Box 62">
          <a:extLst>
            <a:ext uri="{FF2B5EF4-FFF2-40B4-BE49-F238E27FC236}">
              <a16:creationId xmlns="" xmlns:a16="http://schemas.microsoft.com/office/drawing/2014/main" id="{00000000-0008-0000-0000-0000E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5" name="Text Box 63">
          <a:extLst>
            <a:ext uri="{FF2B5EF4-FFF2-40B4-BE49-F238E27FC236}">
              <a16:creationId xmlns="" xmlns:a16="http://schemas.microsoft.com/office/drawing/2014/main" id="{00000000-0008-0000-0000-0000E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6" name="Text Box 64">
          <a:extLst>
            <a:ext uri="{FF2B5EF4-FFF2-40B4-BE49-F238E27FC236}">
              <a16:creationId xmlns="" xmlns:a16="http://schemas.microsoft.com/office/drawing/2014/main" id="{00000000-0008-0000-0000-0000E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7" name="Text Box 65">
          <a:extLst>
            <a:ext uri="{FF2B5EF4-FFF2-40B4-BE49-F238E27FC236}">
              <a16:creationId xmlns="" xmlns:a16="http://schemas.microsoft.com/office/drawing/2014/main" id="{00000000-0008-0000-0000-0000E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8" name="Text Box 66">
          <a:extLst>
            <a:ext uri="{FF2B5EF4-FFF2-40B4-BE49-F238E27FC236}">
              <a16:creationId xmlns="" xmlns:a16="http://schemas.microsoft.com/office/drawing/2014/main" id="{00000000-0008-0000-0000-0000E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9" name="Text Box 67">
          <a:extLst>
            <a:ext uri="{FF2B5EF4-FFF2-40B4-BE49-F238E27FC236}">
              <a16:creationId xmlns="" xmlns:a16="http://schemas.microsoft.com/office/drawing/2014/main" id="{00000000-0008-0000-0000-0000E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0" name="Text Box 68">
          <a:extLst>
            <a:ext uri="{FF2B5EF4-FFF2-40B4-BE49-F238E27FC236}">
              <a16:creationId xmlns="" xmlns:a16="http://schemas.microsoft.com/office/drawing/2014/main" id="{00000000-0008-0000-0000-0000E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1" name="Text Box 69">
          <a:extLst>
            <a:ext uri="{FF2B5EF4-FFF2-40B4-BE49-F238E27FC236}">
              <a16:creationId xmlns="" xmlns:a16="http://schemas.microsoft.com/office/drawing/2014/main" id="{00000000-0008-0000-0000-0000E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2" name="Text Box 70">
          <a:extLst>
            <a:ext uri="{FF2B5EF4-FFF2-40B4-BE49-F238E27FC236}">
              <a16:creationId xmlns="" xmlns:a16="http://schemas.microsoft.com/office/drawing/2014/main" id="{00000000-0008-0000-0000-0000E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3" name="Text Box 71">
          <a:extLst>
            <a:ext uri="{FF2B5EF4-FFF2-40B4-BE49-F238E27FC236}">
              <a16:creationId xmlns="" xmlns:a16="http://schemas.microsoft.com/office/drawing/2014/main" id="{00000000-0008-0000-0000-0000E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4" name="Text Box 72">
          <a:extLst>
            <a:ext uri="{FF2B5EF4-FFF2-40B4-BE49-F238E27FC236}">
              <a16:creationId xmlns="" xmlns:a16="http://schemas.microsoft.com/office/drawing/2014/main" id="{00000000-0008-0000-0000-0000E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5" name="Text Box 73">
          <a:extLst>
            <a:ext uri="{FF2B5EF4-FFF2-40B4-BE49-F238E27FC236}">
              <a16:creationId xmlns="" xmlns:a16="http://schemas.microsoft.com/office/drawing/2014/main" id="{00000000-0008-0000-0000-0000E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6" name="Text Box 74">
          <a:extLst>
            <a:ext uri="{FF2B5EF4-FFF2-40B4-BE49-F238E27FC236}">
              <a16:creationId xmlns="" xmlns:a16="http://schemas.microsoft.com/office/drawing/2014/main" id="{00000000-0008-0000-0000-0000E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7" name="Text Box 75">
          <a:extLst>
            <a:ext uri="{FF2B5EF4-FFF2-40B4-BE49-F238E27FC236}">
              <a16:creationId xmlns="" xmlns:a16="http://schemas.microsoft.com/office/drawing/2014/main" id="{00000000-0008-0000-0000-0000E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8" name="Text Box 76">
          <a:extLst>
            <a:ext uri="{FF2B5EF4-FFF2-40B4-BE49-F238E27FC236}">
              <a16:creationId xmlns="" xmlns:a16="http://schemas.microsoft.com/office/drawing/2014/main" id="{00000000-0008-0000-0000-0000E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9" name="Text Box 77">
          <a:extLst>
            <a:ext uri="{FF2B5EF4-FFF2-40B4-BE49-F238E27FC236}">
              <a16:creationId xmlns="" xmlns:a16="http://schemas.microsoft.com/office/drawing/2014/main" id="{00000000-0008-0000-0000-0000E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0" name="Text Box 78">
          <a:extLst>
            <a:ext uri="{FF2B5EF4-FFF2-40B4-BE49-F238E27FC236}">
              <a16:creationId xmlns="" xmlns:a16="http://schemas.microsoft.com/office/drawing/2014/main" id="{00000000-0008-0000-0000-0000F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1" name="Text Box 79">
          <a:extLst>
            <a:ext uri="{FF2B5EF4-FFF2-40B4-BE49-F238E27FC236}">
              <a16:creationId xmlns="" xmlns:a16="http://schemas.microsoft.com/office/drawing/2014/main" id="{00000000-0008-0000-0000-0000F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2" name="Text Box 80">
          <a:extLst>
            <a:ext uri="{FF2B5EF4-FFF2-40B4-BE49-F238E27FC236}">
              <a16:creationId xmlns="" xmlns:a16="http://schemas.microsoft.com/office/drawing/2014/main" id="{00000000-0008-0000-0000-0000F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3" name="Text Box 81">
          <a:extLst>
            <a:ext uri="{FF2B5EF4-FFF2-40B4-BE49-F238E27FC236}">
              <a16:creationId xmlns="" xmlns:a16="http://schemas.microsoft.com/office/drawing/2014/main" id="{00000000-0008-0000-0000-0000F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804" name="Text Box 82">
          <a:extLst>
            <a:ext uri="{FF2B5EF4-FFF2-40B4-BE49-F238E27FC236}">
              <a16:creationId xmlns="" xmlns:a16="http://schemas.microsoft.com/office/drawing/2014/main" id="{00000000-0008-0000-0000-0000F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5" name="Text Box 3079">
          <a:extLst>
            <a:ext uri="{FF2B5EF4-FFF2-40B4-BE49-F238E27FC236}">
              <a16:creationId xmlns="" xmlns:a16="http://schemas.microsoft.com/office/drawing/2014/main" id="{00000000-0008-0000-0000-0000F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6" name="Text Box 3080">
          <a:extLst>
            <a:ext uri="{FF2B5EF4-FFF2-40B4-BE49-F238E27FC236}">
              <a16:creationId xmlns="" xmlns:a16="http://schemas.microsoft.com/office/drawing/2014/main" id="{00000000-0008-0000-0000-0000F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7" name="Text Box 3081">
          <a:extLst>
            <a:ext uri="{FF2B5EF4-FFF2-40B4-BE49-F238E27FC236}">
              <a16:creationId xmlns="" xmlns:a16="http://schemas.microsoft.com/office/drawing/2014/main" id="{00000000-0008-0000-0000-0000F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8" name="Text Box 3082">
          <a:extLst>
            <a:ext uri="{FF2B5EF4-FFF2-40B4-BE49-F238E27FC236}">
              <a16:creationId xmlns="" xmlns:a16="http://schemas.microsoft.com/office/drawing/2014/main" id="{00000000-0008-0000-0000-0000F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9" name="Text Box 3083">
          <a:extLst>
            <a:ext uri="{FF2B5EF4-FFF2-40B4-BE49-F238E27FC236}">
              <a16:creationId xmlns="" xmlns:a16="http://schemas.microsoft.com/office/drawing/2014/main" id="{00000000-0008-0000-0000-0000F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0" name="Text Box 3084">
          <a:extLst>
            <a:ext uri="{FF2B5EF4-FFF2-40B4-BE49-F238E27FC236}">
              <a16:creationId xmlns="" xmlns:a16="http://schemas.microsoft.com/office/drawing/2014/main" id="{00000000-0008-0000-0000-0000F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1" name="Text Box 3085">
          <a:extLst>
            <a:ext uri="{FF2B5EF4-FFF2-40B4-BE49-F238E27FC236}">
              <a16:creationId xmlns="" xmlns:a16="http://schemas.microsoft.com/office/drawing/2014/main" id="{00000000-0008-0000-0000-0000F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2" name="Text Box 3086">
          <a:extLst>
            <a:ext uri="{FF2B5EF4-FFF2-40B4-BE49-F238E27FC236}">
              <a16:creationId xmlns="" xmlns:a16="http://schemas.microsoft.com/office/drawing/2014/main" id="{00000000-0008-0000-0000-0000F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3" name="Text Box 3087">
          <a:extLst>
            <a:ext uri="{FF2B5EF4-FFF2-40B4-BE49-F238E27FC236}">
              <a16:creationId xmlns="" xmlns:a16="http://schemas.microsoft.com/office/drawing/2014/main" id="{00000000-0008-0000-0000-0000F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4" name="Text Box 3088">
          <a:extLst>
            <a:ext uri="{FF2B5EF4-FFF2-40B4-BE49-F238E27FC236}">
              <a16:creationId xmlns="" xmlns:a16="http://schemas.microsoft.com/office/drawing/2014/main" id="{00000000-0008-0000-0000-0000F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5" name="Text Box 3089">
          <a:extLst>
            <a:ext uri="{FF2B5EF4-FFF2-40B4-BE49-F238E27FC236}">
              <a16:creationId xmlns="" xmlns:a16="http://schemas.microsoft.com/office/drawing/2014/main" id="{00000000-0008-0000-0000-0000F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6" name="Text Box 3090">
          <a:extLst>
            <a:ext uri="{FF2B5EF4-FFF2-40B4-BE49-F238E27FC236}">
              <a16:creationId xmlns="" xmlns:a16="http://schemas.microsoft.com/office/drawing/2014/main" id="{00000000-0008-0000-0000-00000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7" name="Text Box 3091">
          <a:extLst>
            <a:ext uri="{FF2B5EF4-FFF2-40B4-BE49-F238E27FC236}">
              <a16:creationId xmlns="" xmlns:a16="http://schemas.microsoft.com/office/drawing/2014/main" id="{00000000-0008-0000-0000-00000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8" name="Text Box 3092">
          <a:extLst>
            <a:ext uri="{FF2B5EF4-FFF2-40B4-BE49-F238E27FC236}">
              <a16:creationId xmlns="" xmlns:a16="http://schemas.microsoft.com/office/drawing/2014/main" id="{00000000-0008-0000-0000-00000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9" name="Text Box 3093">
          <a:extLst>
            <a:ext uri="{FF2B5EF4-FFF2-40B4-BE49-F238E27FC236}">
              <a16:creationId xmlns="" xmlns:a16="http://schemas.microsoft.com/office/drawing/2014/main" id="{00000000-0008-0000-0000-00000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0" name="Text Box 3094">
          <a:extLst>
            <a:ext uri="{FF2B5EF4-FFF2-40B4-BE49-F238E27FC236}">
              <a16:creationId xmlns="" xmlns:a16="http://schemas.microsoft.com/office/drawing/2014/main" id="{00000000-0008-0000-0000-00000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1" name="Text Box 3095">
          <a:extLst>
            <a:ext uri="{FF2B5EF4-FFF2-40B4-BE49-F238E27FC236}">
              <a16:creationId xmlns="" xmlns:a16="http://schemas.microsoft.com/office/drawing/2014/main" id="{00000000-0008-0000-0000-00000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2" name="Text Box 3096">
          <a:extLst>
            <a:ext uri="{FF2B5EF4-FFF2-40B4-BE49-F238E27FC236}">
              <a16:creationId xmlns="" xmlns:a16="http://schemas.microsoft.com/office/drawing/2014/main" id="{00000000-0008-0000-0000-00000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3" name="Text Box 3097">
          <a:extLst>
            <a:ext uri="{FF2B5EF4-FFF2-40B4-BE49-F238E27FC236}">
              <a16:creationId xmlns="" xmlns:a16="http://schemas.microsoft.com/office/drawing/2014/main" id="{00000000-0008-0000-0000-00000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4" name="Text Box 3098">
          <a:extLst>
            <a:ext uri="{FF2B5EF4-FFF2-40B4-BE49-F238E27FC236}">
              <a16:creationId xmlns="" xmlns:a16="http://schemas.microsoft.com/office/drawing/2014/main" id="{00000000-0008-0000-0000-00000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5" name="Text Box 3099">
          <a:extLst>
            <a:ext uri="{FF2B5EF4-FFF2-40B4-BE49-F238E27FC236}">
              <a16:creationId xmlns="" xmlns:a16="http://schemas.microsoft.com/office/drawing/2014/main" id="{00000000-0008-0000-0000-00000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6" name="Text Box 3100">
          <a:extLst>
            <a:ext uri="{FF2B5EF4-FFF2-40B4-BE49-F238E27FC236}">
              <a16:creationId xmlns="" xmlns:a16="http://schemas.microsoft.com/office/drawing/2014/main" id="{00000000-0008-0000-0000-00000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7" name="Text Box 3101">
          <a:extLst>
            <a:ext uri="{FF2B5EF4-FFF2-40B4-BE49-F238E27FC236}">
              <a16:creationId xmlns="" xmlns:a16="http://schemas.microsoft.com/office/drawing/2014/main" id="{00000000-0008-0000-0000-00000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828" name="Text Box 3102">
          <a:extLst>
            <a:ext uri="{FF2B5EF4-FFF2-40B4-BE49-F238E27FC236}">
              <a16:creationId xmlns="" xmlns:a16="http://schemas.microsoft.com/office/drawing/2014/main" id="{00000000-0008-0000-0000-00000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29" name="Text Box 59">
          <a:extLst>
            <a:ext uri="{FF2B5EF4-FFF2-40B4-BE49-F238E27FC236}">
              <a16:creationId xmlns="" xmlns:a16="http://schemas.microsoft.com/office/drawing/2014/main" id="{00000000-0008-0000-0000-00000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0" name="Text Box 60">
          <a:extLst>
            <a:ext uri="{FF2B5EF4-FFF2-40B4-BE49-F238E27FC236}">
              <a16:creationId xmlns="" xmlns:a16="http://schemas.microsoft.com/office/drawing/2014/main" id="{00000000-0008-0000-0000-00000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1" name="Text Box 61">
          <a:extLst>
            <a:ext uri="{FF2B5EF4-FFF2-40B4-BE49-F238E27FC236}">
              <a16:creationId xmlns="" xmlns:a16="http://schemas.microsoft.com/office/drawing/2014/main" id="{00000000-0008-0000-0000-00000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2" name="Text Box 62">
          <a:extLst>
            <a:ext uri="{FF2B5EF4-FFF2-40B4-BE49-F238E27FC236}">
              <a16:creationId xmlns="" xmlns:a16="http://schemas.microsoft.com/office/drawing/2014/main" id="{00000000-0008-0000-0000-00001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3" name="Text Box 63">
          <a:extLst>
            <a:ext uri="{FF2B5EF4-FFF2-40B4-BE49-F238E27FC236}">
              <a16:creationId xmlns="" xmlns:a16="http://schemas.microsoft.com/office/drawing/2014/main" id="{00000000-0008-0000-0000-00001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4" name="Text Box 64">
          <a:extLst>
            <a:ext uri="{FF2B5EF4-FFF2-40B4-BE49-F238E27FC236}">
              <a16:creationId xmlns="" xmlns:a16="http://schemas.microsoft.com/office/drawing/2014/main" id="{00000000-0008-0000-0000-00001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5" name="Text Box 65">
          <a:extLst>
            <a:ext uri="{FF2B5EF4-FFF2-40B4-BE49-F238E27FC236}">
              <a16:creationId xmlns="" xmlns:a16="http://schemas.microsoft.com/office/drawing/2014/main" id="{00000000-0008-0000-0000-00001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6" name="Text Box 66">
          <a:extLst>
            <a:ext uri="{FF2B5EF4-FFF2-40B4-BE49-F238E27FC236}">
              <a16:creationId xmlns="" xmlns:a16="http://schemas.microsoft.com/office/drawing/2014/main" id="{00000000-0008-0000-0000-00001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7" name="Text Box 67">
          <a:extLst>
            <a:ext uri="{FF2B5EF4-FFF2-40B4-BE49-F238E27FC236}">
              <a16:creationId xmlns="" xmlns:a16="http://schemas.microsoft.com/office/drawing/2014/main" id="{00000000-0008-0000-0000-00001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8" name="Text Box 68">
          <a:extLst>
            <a:ext uri="{FF2B5EF4-FFF2-40B4-BE49-F238E27FC236}">
              <a16:creationId xmlns="" xmlns:a16="http://schemas.microsoft.com/office/drawing/2014/main" id="{00000000-0008-0000-0000-00001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9" name="Text Box 69">
          <a:extLst>
            <a:ext uri="{FF2B5EF4-FFF2-40B4-BE49-F238E27FC236}">
              <a16:creationId xmlns="" xmlns:a16="http://schemas.microsoft.com/office/drawing/2014/main" id="{00000000-0008-0000-0000-00001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0" name="Text Box 70">
          <a:extLst>
            <a:ext uri="{FF2B5EF4-FFF2-40B4-BE49-F238E27FC236}">
              <a16:creationId xmlns="" xmlns:a16="http://schemas.microsoft.com/office/drawing/2014/main" id="{00000000-0008-0000-0000-00001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1" name="Text Box 71">
          <a:extLst>
            <a:ext uri="{FF2B5EF4-FFF2-40B4-BE49-F238E27FC236}">
              <a16:creationId xmlns="" xmlns:a16="http://schemas.microsoft.com/office/drawing/2014/main" id="{00000000-0008-0000-0000-00001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2" name="Text Box 72">
          <a:extLst>
            <a:ext uri="{FF2B5EF4-FFF2-40B4-BE49-F238E27FC236}">
              <a16:creationId xmlns="" xmlns:a16="http://schemas.microsoft.com/office/drawing/2014/main" id="{00000000-0008-0000-0000-00001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3" name="Text Box 73">
          <a:extLst>
            <a:ext uri="{FF2B5EF4-FFF2-40B4-BE49-F238E27FC236}">
              <a16:creationId xmlns="" xmlns:a16="http://schemas.microsoft.com/office/drawing/2014/main" id="{00000000-0008-0000-0000-00001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4" name="Text Box 74">
          <a:extLst>
            <a:ext uri="{FF2B5EF4-FFF2-40B4-BE49-F238E27FC236}">
              <a16:creationId xmlns="" xmlns:a16="http://schemas.microsoft.com/office/drawing/2014/main" id="{00000000-0008-0000-0000-00001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5" name="Text Box 75">
          <a:extLst>
            <a:ext uri="{FF2B5EF4-FFF2-40B4-BE49-F238E27FC236}">
              <a16:creationId xmlns="" xmlns:a16="http://schemas.microsoft.com/office/drawing/2014/main" id="{00000000-0008-0000-0000-00001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6" name="Text Box 76">
          <a:extLst>
            <a:ext uri="{FF2B5EF4-FFF2-40B4-BE49-F238E27FC236}">
              <a16:creationId xmlns="" xmlns:a16="http://schemas.microsoft.com/office/drawing/2014/main" id="{00000000-0008-0000-0000-00001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7" name="Text Box 77">
          <a:extLst>
            <a:ext uri="{FF2B5EF4-FFF2-40B4-BE49-F238E27FC236}">
              <a16:creationId xmlns="" xmlns:a16="http://schemas.microsoft.com/office/drawing/2014/main" id="{00000000-0008-0000-0000-00001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8" name="Text Box 78">
          <a:extLst>
            <a:ext uri="{FF2B5EF4-FFF2-40B4-BE49-F238E27FC236}">
              <a16:creationId xmlns="" xmlns:a16="http://schemas.microsoft.com/office/drawing/2014/main" id="{00000000-0008-0000-0000-00002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9" name="Text Box 79">
          <a:extLst>
            <a:ext uri="{FF2B5EF4-FFF2-40B4-BE49-F238E27FC236}">
              <a16:creationId xmlns="" xmlns:a16="http://schemas.microsoft.com/office/drawing/2014/main" id="{00000000-0008-0000-0000-00002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0" name="Text Box 80">
          <a:extLst>
            <a:ext uri="{FF2B5EF4-FFF2-40B4-BE49-F238E27FC236}">
              <a16:creationId xmlns="" xmlns:a16="http://schemas.microsoft.com/office/drawing/2014/main" id="{00000000-0008-0000-0000-00002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1" name="Text Box 81">
          <a:extLst>
            <a:ext uri="{FF2B5EF4-FFF2-40B4-BE49-F238E27FC236}">
              <a16:creationId xmlns="" xmlns:a16="http://schemas.microsoft.com/office/drawing/2014/main" id="{00000000-0008-0000-0000-00002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2" name="Text Box 3079">
          <a:extLst>
            <a:ext uri="{FF2B5EF4-FFF2-40B4-BE49-F238E27FC236}">
              <a16:creationId xmlns="" xmlns:a16="http://schemas.microsoft.com/office/drawing/2014/main" id="{00000000-0008-0000-0000-00002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3" name="Text Box 3080">
          <a:extLst>
            <a:ext uri="{FF2B5EF4-FFF2-40B4-BE49-F238E27FC236}">
              <a16:creationId xmlns="" xmlns:a16="http://schemas.microsoft.com/office/drawing/2014/main" id="{00000000-0008-0000-0000-00002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4" name="Text Box 3081">
          <a:extLst>
            <a:ext uri="{FF2B5EF4-FFF2-40B4-BE49-F238E27FC236}">
              <a16:creationId xmlns="" xmlns:a16="http://schemas.microsoft.com/office/drawing/2014/main" id="{00000000-0008-0000-0000-00002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5" name="Text Box 3082">
          <a:extLst>
            <a:ext uri="{FF2B5EF4-FFF2-40B4-BE49-F238E27FC236}">
              <a16:creationId xmlns="" xmlns:a16="http://schemas.microsoft.com/office/drawing/2014/main" id="{00000000-0008-0000-0000-00002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6" name="Text Box 3083">
          <a:extLst>
            <a:ext uri="{FF2B5EF4-FFF2-40B4-BE49-F238E27FC236}">
              <a16:creationId xmlns="" xmlns:a16="http://schemas.microsoft.com/office/drawing/2014/main" id="{00000000-0008-0000-0000-00002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7" name="Text Box 3084">
          <a:extLst>
            <a:ext uri="{FF2B5EF4-FFF2-40B4-BE49-F238E27FC236}">
              <a16:creationId xmlns="" xmlns:a16="http://schemas.microsoft.com/office/drawing/2014/main" id="{00000000-0008-0000-0000-00002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8" name="Text Box 3085">
          <a:extLst>
            <a:ext uri="{FF2B5EF4-FFF2-40B4-BE49-F238E27FC236}">
              <a16:creationId xmlns="" xmlns:a16="http://schemas.microsoft.com/office/drawing/2014/main" id="{00000000-0008-0000-0000-00002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9" name="Text Box 3086">
          <a:extLst>
            <a:ext uri="{FF2B5EF4-FFF2-40B4-BE49-F238E27FC236}">
              <a16:creationId xmlns="" xmlns:a16="http://schemas.microsoft.com/office/drawing/2014/main" id="{00000000-0008-0000-0000-00002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0" name="Text Box 3087">
          <a:extLst>
            <a:ext uri="{FF2B5EF4-FFF2-40B4-BE49-F238E27FC236}">
              <a16:creationId xmlns="" xmlns:a16="http://schemas.microsoft.com/office/drawing/2014/main" id="{00000000-0008-0000-0000-00002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1" name="Text Box 3088">
          <a:extLst>
            <a:ext uri="{FF2B5EF4-FFF2-40B4-BE49-F238E27FC236}">
              <a16:creationId xmlns="" xmlns:a16="http://schemas.microsoft.com/office/drawing/2014/main" id="{00000000-0008-0000-0000-00002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2" name="Text Box 3089">
          <a:extLst>
            <a:ext uri="{FF2B5EF4-FFF2-40B4-BE49-F238E27FC236}">
              <a16:creationId xmlns="" xmlns:a16="http://schemas.microsoft.com/office/drawing/2014/main" id="{00000000-0008-0000-0000-00002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3" name="Text Box 3090">
          <a:extLst>
            <a:ext uri="{FF2B5EF4-FFF2-40B4-BE49-F238E27FC236}">
              <a16:creationId xmlns="" xmlns:a16="http://schemas.microsoft.com/office/drawing/2014/main" id="{00000000-0008-0000-0000-00002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4" name="Text Box 3091">
          <a:extLst>
            <a:ext uri="{FF2B5EF4-FFF2-40B4-BE49-F238E27FC236}">
              <a16:creationId xmlns="" xmlns:a16="http://schemas.microsoft.com/office/drawing/2014/main" id="{00000000-0008-0000-0000-00003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5" name="Text Box 3092">
          <a:extLst>
            <a:ext uri="{FF2B5EF4-FFF2-40B4-BE49-F238E27FC236}">
              <a16:creationId xmlns="" xmlns:a16="http://schemas.microsoft.com/office/drawing/2014/main" id="{00000000-0008-0000-0000-00003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6" name="Text Box 3093">
          <a:extLst>
            <a:ext uri="{FF2B5EF4-FFF2-40B4-BE49-F238E27FC236}">
              <a16:creationId xmlns="" xmlns:a16="http://schemas.microsoft.com/office/drawing/2014/main" id="{00000000-0008-0000-0000-00003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7" name="Text Box 3094">
          <a:extLst>
            <a:ext uri="{FF2B5EF4-FFF2-40B4-BE49-F238E27FC236}">
              <a16:creationId xmlns="" xmlns:a16="http://schemas.microsoft.com/office/drawing/2014/main" id="{00000000-0008-0000-0000-00003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8" name="Text Box 3095">
          <a:extLst>
            <a:ext uri="{FF2B5EF4-FFF2-40B4-BE49-F238E27FC236}">
              <a16:creationId xmlns="" xmlns:a16="http://schemas.microsoft.com/office/drawing/2014/main" id="{00000000-0008-0000-0000-00003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9" name="Text Box 3096">
          <a:extLst>
            <a:ext uri="{FF2B5EF4-FFF2-40B4-BE49-F238E27FC236}">
              <a16:creationId xmlns="" xmlns:a16="http://schemas.microsoft.com/office/drawing/2014/main" id="{00000000-0008-0000-0000-00003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0" name="Text Box 3097">
          <a:extLst>
            <a:ext uri="{FF2B5EF4-FFF2-40B4-BE49-F238E27FC236}">
              <a16:creationId xmlns="" xmlns:a16="http://schemas.microsoft.com/office/drawing/2014/main" id="{00000000-0008-0000-0000-00003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1" name="Text Box 3098">
          <a:extLst>
            <a:ext uri="{FF2B5EF4-FFF2-40B4-BE49-F238E27FC236}">
              <a16:creationId xmlns="" xmlns:a16="http://schemas.microsoft.com/office/drawing/2014/main" id="{00000000-0008-0000-0000-00003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2" name="Text Box 3099">
          <a:extLst>
            <a:ext uri="{FF2B5EF4-FFF2-40B4-BE49-F238E27FC236}">
              <a16:creationId xmlns="" xmlns:a16="http://schemas.microsoft.com/office/drawing/2014/main" id="{00000000-0008-0000-0000-00003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3" name="Text Box 3100">
          <a:extLst>
            <a:ext uri="{FF2B5EF4-FFF2-40B4-BE49-F238E27FC236}">
              <a16:creationId xmlns="" xmlns:a16="http://schemas.microsoft.com/office/drawing/2014/main" id="{00000000-0008-0000-0000-00003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4" name="Text Box 3101">
          <a:extLst>
            <a:ext uri="{FF2B5EF4-FFF2-40B4-BE49-F238E27FC236}">
              <a16:creationId xmlns="" xmlns:a16="http://schemas.microsoft.com/office/drawing/2014/main" id="{00000000-0008-0000-0000-00003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875" name="Text Box 3102">
          <a:extLst>
            <a:ext uri="{FF2B5EF4-FFF2-40B4-BE49-F238E27FC236}">
              <a16:creationId xmlns="" xmlns:a16="http://schemas.microsoft.com/office/drawing/2014/main" id="{00000000-0008-0000-0000-00003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6" name="Text Box 59">
          <a:extLst>
            <a:ext uri="{FF2B5EF4-FFF2-40B4-BE49-F238E27FC236}">
              <a16:creationId xmlns="" xmlns:a16="http://schemas.microsoft.com/office/drawing/2014/main" id="{00000000-0008-0000-0000-00003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7" name="Text Box 60">
          <a:extLst>
            <a:ext uri="{FF2B5EF4-FFF2-40B4-BE49-F238E27FC236}">
              <a16:creationId xmlns="" xmlns:a16="http://schemas.microsoft.com/office/drawing/2014/main" id="{00000000-0008-0000-0000-00003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8" name="Text Box 61">
          <a:extLst>
            <a:ext uri="{FF2B5EF4-FFF2-40B4-BE49-F238E27FC236}">
              <a16:creationId xmlns="" xmlns:a16="http://schemas.microsoft.com/office/drawing/2014/main" id="{00000000-0008-0000-0000-00003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9" name="Text Box 62">
          <a:extLst>
            <a:ext uri="{FF2B5EF4-FFF2-40B4-BE49-F238E27FC236}">
              <a16:creationId xmlns="" xmlns:a16="http://schemas.microsoft.com/office/drawing/2014/main" id="{00000000-0008-0000-0000-00003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0" name="Text Box 63">
          <a:extLst>
            <a:ext uri="{FF2B5EF4-FFF2-40B4-BE49-F238E27FC236}">
              <a16:creationId xmlns="" xmlns:a16="http://schemas.microsoft.com/office/drawing/2014/main" id="{00000000-0008-0000-0000-00004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1" name="Text Box 64">
          <a:extLst>
            <a:ext uri="{FF2B5EF4-FFF2-40B4-BE49-F238E27FC236}">
              <a16:creationId xmlns="" xmlns:a16="http://schemas.microsoft.com/office/drawing/2014/main" id="{00000000-0008-0000-0000-00004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2" name="Text Box 65">
          <a:extLst>
            <a:ext uri="{FF2B5EF4-FFF2-40B4-BE49-F238E27FC236}">
              <a16:creationId xmlns="" xmlns:a16="http://schemas.microsoft.com/office/drawing/2014/main" id="{00000000-0008-0000-0000-00004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3" name="Text Box 66">
          <a:extLst>
            <a:ext uri="{FF2B5EF4-FFF2-40B4-BE49-F238E27FC236}">
              <a16:creationId xmlns="" xmlns:a16="http://schemas.microsoft.com/office/drawing/2014/main" id="{00000000-0008-0000-0000-00004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4" name="Text Box 67">
          <a:extLst>
            <a:ext uri="{FF2B5EF4-FFF2-40B4-BE49-F238E27FC236}">
              <a16:creationId xmlns="" xmlns:a16="http://schemas.microsoft.com/office/drawing/2014/main" id="{00000000-0008-0000-0000-00004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5" name="Text Box 68">
          <a:extLst>
            <a:ext uri="{FF2B5EF4-FFF2-40B4-BE49-F238E27FC236}">
              <a16:creationId xmlns="" xmlns:a16="http://schemas.microsoft.com/office/drawing/2014/main" id="{00000000-0008-0000-0000-00004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6" name="Text Box 69">
          <a:extLst>
            <a:ext uri="{FF2B5EF4-FFF2-40B4-BE49-F238E27FC236}">
              <a16:creationId xmlns="" xmlns:a16="http://schemas.microsoft.com/office/drawing/2014/main" id="{00000000-0008-0000-0000-00004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7" name="Text Box 70">
          <a:extLst>
            <a:ext uri="{FF2B5EF4-FFF2-40B4-BE49-F238E27FC236}">
              <a16:creationId xmlns="" xmlns:a16="http://schemas.microsoft.com/office/drawing/2014/main" id="{00000000-0008-0000-0000-00004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8" name="Text Box 71">
          <a:extLst>
            <a:ext uri="{FF2B5EF4-FFF2-40B4-BE49-F238E27FC236}">
              <a16:creationId xmlns="" xmlns:a16="http://schemas.microsoft.com/office/drawing/2014/main" id="{00000000-0008-0000-0000-00004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9" name="Text Box 72">
          <a:extLst>
            <a:ext uri="{FF2B5EF4-FFF2-40B4-BE49-F238E27FC236}">
              <a16:creationId xmlns="" xmlns:a16="http://schemas.microsoft.com/office/drawing/2014/main" id="{00000000-0008-0000-0000-00004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0" name="Text Box 73">
          <a:extLst>
            <a:ext uri="{FF2B5EF4-FFF2-40B4-BE49-F238E27FC236}">
              <a16:creationId xmlns="" xmlns:a16="http://schemas.microsoft.com/office/drawing/2014/main" id="{00000000-0008-0000-0000-00004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1" name="Text Box 74">
          <a:extLst>
            <a:ext uri="{FF2B5EF4-FFF2-40B4-BE49-F238E27FC236}">
              <a16:creationId xmlns="" xmlns:a16="http://schemas.microsoft.com/office/drawing/2014/main" id="{00000000-0008-0000-0000-00004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2" name="Text Box 75">
          <a:extLst>
            <a:ext uri="{FF2B5EF4-FFF2-40B4-BE49-F238E27FC236}">
              <a16:creationId xmlns="" xmlns:a16="http://schemas.microsoft.com/office/drawing/2014/main" id="{00000000-0008-0000-0000-00004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3" name="Text Box 76">
          <a:extLst>
            <a:ext uri="{FF2B5EF4-FFF2-40B4-BE49-F238E27FC236}">
              <a16:creationId xmlns="" xmlns:a16="http://schemas.microsoft.com/office/drawing/2014/main" id="{00000000-0008-0000-0000-00004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4" name="Text Box 77">
          <a:extLst>
            <a:ext uri="{FF2B5EF4-FFF2-40B4-BE49-F238E27FC236}">
              <a16:creationId xmlns="" xmlns:a16="http://schemas.microsoft.com/office/drawing/2014/main" id="{00000000-0008-0000-0000-00004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5" name="Text Box 78">
          <a:extLst>
            <a:ext uri="{FF2B5EF4-FFF2-40B4-BE49-F238E27FC236}">
              <a16:creationId xmlns="" xmlns:a16="http://schemas.microsoft.com/office/drawing/2014/main" id="{00000000-0008-0000-0000-00004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6" name="Text Box 79">
          <a:extLst>
            <a:ext uri="{FF2B5EF4-FFF2-40B4-BE49-F238E27FC236}">
              <a16:creationId xmlns="" xmlns:a16="http://schemas.microsoft.com/office/drawing/2014/main" id="{00000000-0008-0000-0000-00005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7" name="Text Box 80">
          <a:extLst>
            <a:ext uri="{FF2B5EF4-FFF2-40B4-BE49-F238E27FC236}">
              <a16:creationId xmlns="" xmlns:a16="http://schemas.microsoft.com/office/drawing/2014/main" id="{00000000-0008-0000-0000-00005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8" name="Text Box 81">
          <a:extLst>
            <a:ext uri="{FF2B5EF4-FFF2-40B4-BE49-F238E27FC236}">
              <a16:creationId xmlns="" xmlns:a16="http://schemas.microsoft.com/office/drawing/2014/main" id="{00000000-0008-0000-0000-00005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899" name="Text Box 82">
          <a:extLst>
            <a:ext uri="{FF2B5EF4-FFF2-40B4-BE49-F238E27FC236}">
              <a16:creationId xmlns="" xmlns:a16="http://schemas.microsoft.com/office/drawing/2014/main" id="{00000000-0008-0000-0000-00005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0" name="Text Box 3079">
          <a:extLst>
            <a:ext uri="{FF2B5EF4-FFF2-40B4-BE49-F238E27FC236}">
              <a16:creationId xmlns="" xmlns:a16="http://schemas.microsoft.com/office/drawing/2014/main" id="{00000000-0008-0000-0000-00005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1" name="Text Box 3080">
          <a:extLst>
            <a:ext uri="{FF2B5EF4-FFF2-40B4-BE49-F238E27FC236}">
              <a16:creationId xmlns="" xmlns:a16="http://schemas.microsoft.com/office/drawing/2014/main" id="{00000000-0008-0000-0000-00005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2" name="Text Box 3081">
          <a:extLst>
            <a:ext uri="{FF2B5EF4-FFF2-40B4-BE49-F238E27FC236}">
              <a16:creationId xmlns="" xmlns:a16="http://schemas.microsoft.com/office/drawing/2014/main" id="{00000000-0008-0000-0000-00005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3" name="Text Box 3082">
          <a:extLst>
            <a:ext uri="{FF2B5EF4-FFF2-40B4-BE49-F238E27FC236}">
              <a16:creationId xmlns="" xmlns:a16="http://schemas.microsoft.com/office/drawing/2014/main" id="{00000000-0008-0000-0000-00005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4" name="Text Box 3083">
          <a:extLst>
            <a:ext uri="{FF2B5EF4-FFF2-40B4-BE49-F238E27FC236}">
              <a16:creationId xmlns="" xmlns:a16="http://schemas.microsoft.com/office/drawing/2014/main" id="{00000000-0008-0000-0000-00005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5" name="Text Box 3084">
          <a:extLst>
            <a:ext uri="{FF2B5EF4-FFF2-40B4-BE49-F238E27FC236}">
              <a16:creationId xmlns="" xmlns:a16="http://schemas.microsoft.com/office/drawing/2014/main" id="{00000000-0008-0000-0000-00005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6" name="Text Box 3085">
          <a:extLst>
            <a:ext uri="{FF2B5EF4-FFF2-40B4-BE49-F238E27FC236}">
              <a16:creationId xmlns="" xmlns:a16="http://schemas.microsoft.com/office/drawing/2014/main" id="{00000000-0008-0000-0000-00005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7" name="Text Box 3086">
          <a:extLst>
            <a:ext uri="{FF2B5EF4-FFF2-40B4-BE49-F238E27FC236}">
              <a16:creationId xmlns="" xmlns:a16="http://schemas.microsoft.com/office/drawing/2014/main" id="{00000000-0008-0000-0000-00005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8" name="Text Box 3087">
          <a:extLst>
            <a:ext uri="{FF2B5EF4-FFF2-40B4-BE49-F238E27FC236}">
              <a16:creationId xmlns="" xmlns:a16="http://schemas.microsoft.com/office/drawing/2014/main" id="{00000000-0008-0000-0000-00005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9" name="Text Box 3088">
          <a:extLst>
            <a:ext uri="{FF2B5EF4-FFF2-40B4-BE49-F238E27FC236}">
              <a16:creationId xmlns="" xmlns:a16="http://schemas.microsoft.com/office/drawing/2014/main" id="{00000000-0008-0000-0000-00005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0" name="Text Box 3089">
          <a:extLst>
            <a:ext uri="{FF2B5EF4-FFF2-40B4-BE49-F238E27FC236}">
              <a16:creationId xmlns="" xmlns:a16="http://schemas.microsoft.com/office/drawing/2014/main" id="{00000000-0008-0000-0000-00005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1" name="Text Box 3090">
          <a:extLst>
            <a:ext uri="{FF2B5EF4-FFF2-40B4-BE49-F238E27FC236}">
              <a16:creationId xmlns="" xmlns:a16="http://schemas.microsoft.com/office/drawing/2014/main" id="{00000000-0008-0000-0000-00005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2" name="Text Box 3091">
          <a:extLst>
            <a:ext uri="{FF2B5EF4-FFF2-40B4-BE49-F238E27FC236}">
              <a16:creationId xmlns="" xmlns:a16="http://schemas.microsoft.com/office/drawing/2014/main" id="{00000000-0008-0000-0000-00006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3" name="Text Box 3092">
          <a:extLst>
            <a:ext uri="{FF2B5EF4-FFF2-40B4-BE49-F238E27FC236}">
              <a16:creationId xmlns="" xmlns:a16="http://schemas.microsoft.com/office/drawing/2014/main" id="{00000000-0008-0000-0000-00006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4" name="Text Box 3093">
          <a:extLst>
            <a:ext uri="{FF2B5EF4-FFF2-40B4-BE49-F238E27FC236}">
              <a16:creationId xmlns="" xmlns:a16="http://schemas.microsoft.com/office/drawing/2014/main" id="{00000000-0008-0000-0000-00006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5" name="Text Box 3094">
          <a:extLst>
            <a:ext uri="{FF2B5EF4-FFF2-40B4-BE49-F238E27FC236}">
              <a16:creationId xmlns="" xmlns:a16="http://schemas.microsoft.com/office/drawing/2014/main" id="{00000000-0008-0000-0000-00006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6" name="Text Box 3095">
          <a:extLst>
            <a:ext uri="{FF2B5EF4-FFF2-40B4-BE49-F238E27FC236}">
              <a16:creationId xmlns="" xmlns:a16="http://schemas.microsoft.com/office/drawing/2014/main" id="{00000000-0008-0000-0000-00006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7" name="Text Box 3096">
          <a:extLst>
            <a:ext uri="{FF2B5EF4-FFF2-40B4-BE49-F238E27FC236}">
              <a16:creationId xmlns="" xmlns:a16="http://schemas.microsoft.com/office/drawing/2014/main" id="{00000000-0008-0000-0000-00006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8" name="Text Box 3097">
          <a:extLst>
            <a:ext uri="{FF2B5EF4-FFF2-40B4-BE49-F238E27FC236}">
              <a16:creationId xmlns="" xmlns:a16="http://schemas.microsoft.com/office/drawing/2014/main" id="{00000000-0008-0000-0000-00006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9" name="Text Box 3098">
          <a:extLst>
            <a:ext uri="{FF2B5EF4-FFF2-40B4-BE49-F238E27FC236}">
              <a16:creationId xmlns="" xmlns:a16="http://schemas.microsoft.com/office/drawing/2014/main" id="{00000000-0008-0000-0000-00006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0" name="Text Box 3099">
          <a:extLst>
            <a:ext uri="{FF2B5EF4-FFF2-40B4-BE49-F238E27FC236}">
              <a16:creationId xmlns="" xmlns:a16="http://schemas.microsoft.com/office/drawing/2014/main" id="{00000000-0008-0000-0000-00006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1" name="Text Box 3100">
          <a:extLst>
            <a:ext uri="{FF2B5EF4-FFF2-40B4-BE49-F238E27FC236}">
              <a16:creationId xmlns="" xmlns:a16="http://schemas.microsoft.com/office/drawing/2014/main" id="{00000000-0008-0000-0000-00006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2" name="Text Box 3101">
          <a:extLst>
            <a:ext uri="{FF2B5EF4-FFF2-40B4-BE49-F238E27FC236}">
              <a16:creationId xmlns="" xmlns:a16="http://schemas.microsoft.com/office/drawing/2014/main" id="{00000000-0008-0000-0000-00006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923" name="Text Box 3102">
          <a:extLst>
            <a:ext uri="{FF2B5EF4-FFF2-40B4-BE49-F238E27FC236}">
              <a16:creationId xmlns="" xmlns:a16="http://schemas.microsoft.com/office/drawing/2014/main" id="{00000000-0008-0000-0000-00006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4" name="Text Box 59">
          <a:extLst>
            <a:ext uri="{FF2B5EF4-FFF2-40B4-BE49-F238E27FC236}">
              <a16:creationId xmlns="" xmlns:a16="http://schemas.microsoft.com/office/drawing/2014/main" id="{00000000-0008-0000-0000-00006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5" name="Text Box 60">
          <a:extLst>
            <a:ext uri="{FF2B5EF4-FFF2-40B4-BE49-F238E27FC236}">
              <a16:creationId xmlns="" xmlns:a16="http://schemas.microsoft.com/office/drawing/2014/main" id="{00000000-0008-0000-0000-00006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6" name="Text Box 61">
          <a:extLst>
            <a:ext uri="{FF2B5EF4-FFF2-40B4-BE49-F238E27FC236}">
              <a16:creationId xmlns="" xmlns:a16="http://schemas.microsoft.com/office/drawing/2014/main" id="{00000000-0008-0000-0000-00006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7" name="Text Box 62">
          <a:extLst>
            <a:ext uri="{FF2B5EF4-FFF2-40B4-BE49-F238E27FC236}">
              <a16:creationId xmlns="" xmlns:a16="http://schemas.microsoft.com/office/drawing/2014/main" id="{00000000-0008-0000-0000-00006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8" name="Text Box 63">
          <a:extLst>
            <a:ext uri="{FF2B5EF4-FFF2-40B4-BE49-F238E27FC236}">
              <a16:creationId xmlns="" xmlns:a16="http://schemas.microsoft.com/office/drawing/2014/main" id="{00000000-0008-0000-0000-00007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9" name="Text Box 64">
          <a:extLst>
            <a:ext uri="{FF2B5EF4-FFF2-40B4-BE49-F238E27FC236}">
              <a16:creationId xmlns="" xmlns:a16="http://schemas.microsoft.com/office/drawing/2014/main" id="{00000000-0008-0000-0000-00007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0" name="Text Box 65">
          <a:extLst>
            <a:ext uri="{FF2B5EF4-FFF2-40B4-BE49-F238E27FC236}">
              <a16:creationId xmlns="" xmlns:a16="http://schemas.microsoft.com/office/drawing/2014/main" id="{00000000-0008-0000-0000-00007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1" name="Text Box 66">
          <a:extLst>
            <a:ext uri="{FF2B5EF4-FFF2-40B4-BE49-F238E27FC236}">
              <a16:creationId xmlns="" xmlns:a16="http://schemas.microsoft.com/office/drawing/2014/main" id="{00000000-0008-0000-0000-00007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2" name="Text Box 67">
          <a:extLst>
            <a:ext uri="{FF2B5EF4-FFF2-40B4-BE49-F238E27FC236}">
              <a16:creationId xmlns="" xmlns:a16="http://schemas.microsoft.com/office/drawing/2014/main" id="{00000000-0008-0000-0000-00007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3" name="Text Box 68">
          <a:extLst>
            <a:ext uri="{FF2B5EF4-FFF2-40B4-BE49-F238E27FC236}">
              <a16:creationId xmlns="" xmlns:a16="http://schemas.microsoft.com/office/drawing/2014/main" id="{00000000-0008-0000-0000-00007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4" name="Text Box 69">
          <a:extLst>
            <a:ext uri="{FF2B5EF4-FFF2-40B4-BE49-F238E27FC236}">
              <a16:creationId xmlns="" xmlns:a16="http://schemas.microsoft.com/office/drawing/2014/main" id="{00000000-0008-0000-0000-00007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5" name="Text Box 70">
          <a:extLst>
            <a:ext uri="{FF2B5EF4-FFF2-40B4-BE49-F238E27FC236}">
              <a16:creationId xmlns="" xmlns:a16="http://schemas.microsoft.com/office/drawing/2014/main" id="{00000000-0008-0000-0000-00007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6" name="Text Box 71">
          <a:extLst>
            <a:ext uri="{FF2B5EF4-FFF2-40B4-BE49-F238E27FC236}">
              <a16:creationId xmlns="" xmlns:a16="http://schemas.microsoft.com/office/drawing/2014/main" id="{00000000-0008-0000-0000-00007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7" name="Text Box 72">
          <a:extLst>
            <a:ext uri="{FF2B5EF4-FFF2-40B4-BE49-F238E27FC236}">
              <a16:creationId xmlns="" xmlns:a16="http://schemas.microsoft.com/office/drawing/2014/main" id="{00000000-0008-0000-0000-00007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8" name="Text Box 73">
          <a:extLst>
            <a:ext uri="{FF2B5EF4-FFF2-40B4-BE49-F238E27FC236}">
              <a16:creationId xmlns="" xmlns:a16="http://schemas.microsoft.com/office/drawing/2014/main" id="{00000000-0008-0000-0000-00007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9" name="Text Box 74">
          <a:extLst>
            <a:ext uri="{FF2B5EF4-FFF2-40B4-BE49-F238E27FC236}">
              <a16:creationId xmlns="" xmlns:a16="http://schemas.microsoft.com/office/drawing/2014/main" id="{00000000-0008-0000-0000-00007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0" name="Text Box 75">
          <a:extLst>
            <a:ext uri="{FF2B5EF4-FFF2-40B4-BE49-F238E27FC236}">
              <a16:creationId xmlns="" xmlns:a16="http://schemas.microsoft.com/office/drawing/2014/main" id="{00000000-0008-0000-0000-00007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1" name="Text Box 76">
          <a:extLst>
            <a:ext uri="{FF2B5EF4-FFF2-40B4-BE49-F238E27FC236}">
              <a16:creationId xmlns="" xmlns:a16="http://schemas.microsoft.com/office/drawing/2014/main" id="{00000000-0008-0000-0000-00007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2" name="Text Box 77">
          <a:extLst>
            <a:ext uri="{FF2B5EF4-FFF2-40B4-BE49-F238E27FC236}">
              <a16:creationId xmlns="" xmlns:a16="http://schemas.microsoft.com/office/drawing/2014/main" id="{00000000-0008-0000-0000-00007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3" name="Text Box 78">
          <a:extLst>
            <a:ext uri="{FF2B5EF4-FFF2-40B4-BE49-F238E27FC236}">
              <a16:creationId xmlns="" xmlns:a16="http://schemas.microsoft.com/office/drawing/2014/main" id="{00000000-0008-0000-0000-00007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4" name="Text Box 79">
          <a:extLst>
            <a:ext uri="{FF2B5EF4-FFF2-40B4-BE49-F238E27FC236}">
              <a16:creationId xmlns="" xmlns:a16="http://schemas.microsoft.com/office/drawing/2014/main" id="{00000000-0008-0000-0000-00008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5" name="Text Box 80">
          <a:extLst>
            <a:ext uri="{FF2B5EF4-FFF2-40B4-BE49-F238E27FC236}">
              <a16:creationId xmlns="" xmlns:a16="http://schemas.microsoft.com/office/drawing/2014/main" id="{00000000-0008-0000-0000-00008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6" name="Text Box 81">
          <a:extLst>
            <a:ext uri="{FF2B5EF4-FFF2-40B4-BE49-F238E27FC236}">
              <a16:creationId xmlns="" xmlns:a16="http://schemas.microsoft.com/office/drawing/2014/main" id="{00000000-0008-0000-0000-00008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7" name="Text Box 3079">
          <a:extLst>
            <a:ext uri="{FF2B5EF4-FFF2-40B4-BE49-F238E27FC236}">
              <a16:creationId xmlns="" xmlns:a16="http://schemas.microsoft.com/office/drawing/2014/main" id="{00000000-0008-0000-0000-00008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8" name="Text Box 3080">
          <a:extLst>
            <a:ext uri="{FF2B5EF4-FFF2-40B4-BE49-F238E27FC236}">
              <a16:creationId xmlns="" xmlns:a16="http://schemas.microsoft.com/office/drawing/2014/main" id="{00000000-0008-0000-0000-00008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9" name="Text Box 3081">
          <a:extLst>
            <a:ext uri="{FF2B5EF4-FFF2-40B4-BE49-F238E27FC236}">
              <a16:creationId xmlns="" xmlns:a16="http://schemas.microsoft.com/office/drawing/2014/main" id="{00000000-0008-0000-0000-00008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0" name="Text Box 3082">
          <a:extLst>
            <a:ext uri="{FF2B5EF4-FFF2-40B4-BE49-F238E27FC236}">
              <a16:creationId xmlns="" xmlns:a16="http://schemas.microsoft.com/office/drawing/2014/main" id="{00000000-0008-0000-0000-00008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1" name="Text Box 3083">
          <a:extLst>
            <a:ext uri="{FF2B5EF4-FFF2-40B4-BE49-F238E27FC236}">
              <a16:creationId xmlns="" xmlns:a16="http://schemas.microsoft.com/office/drawing/2014/main" id="{00000000-0008-0000-0000-00008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2" name="Text Box 3084">
          <a:extLst>
            <a:ext uri="{FF2B5EF4-FFF2-40B4-BE49-F238E27FC236}">
              <a16:creationId xmlns="" xmlns:a16="http://schemas.microsoft.com/office/drawing/2014/main" id="{00000000-0008-0000-0000-00008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3" name="Text Box 3085">
          <a:extLst>
            <a:ext uri="{FF2B5EF4-FFF2-40B4-BE49-F238E27FC236}">
              <a16:creationId xmlns="" xmlns:a16="http://schemas.microsoft.com/office/drawing/2014/main" id="{00000000-0008-0000-0000-00008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4" name="Text Box 3086">
          <a:extLst>
            <a:ext uri="{FF2B5EF4-FFF2-40B4-BE49-F238E27FC236}">
              <a16:creationId xmlns="" xmlns:a16="http://schemas.microsoft.com/office/drawing/2014/main" id="{00000000-0008-0000-0000-00008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5" name="Text Box 3087">
          <a:extLst>
            <a:ext uri="{FF2B5EF4-FFF2-40B4-BE49-F238E27FC236}">
              <a16:creationId xmlns="" xmlns:a16="http://schemas.microsoft.com/office/drawing/2014/main" id="{00000000-0008-0000-0000-00008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6" name="Text Box 3088">
          <a:extLst>
            <a:ext uri="{FF2B5EF4-FFF2-40B4-BE49-F238E27FC236}">
              <a16:creationId xmlns="" xmlns:a16="http://schemas.microsoft.com/office/drawing/2014/main" id="{00000000-0008-0000-0000-00008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7" name="Text Box 3089">
          <a:extLst>
            <a:ext uri="{FF2B5EF4-FFF2-40B4-BE49-F238E27FC236}">
              <a16:creationId xmlns="" xmlns:a16="http://schemas.microsoft.com/office/drawing/2014/main" id="{00000000-0008-0000-0000-00008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8" name="Text Box 3090">
          <a:extLst>
            <a:ext uri="{FF2B5EF4-FFF2-40B4-BE49-F238E27FC236}">
              <a16:creationId xmlns="" xmlns:a16="http://schemas.microsoft.com/office/drawing/2014/main" id="{00000000-0008-0000-0000-00008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9" name="Text Box 3091">
          <a:extLst>
            <a:ext uri="{FF2B5EF4-FFF2-40B4-BE49-F238E27FC236}">
              <a16:creationId xmlns="" xmlns:a16="http://schemas.microsoft.com/office/drawing/2014/main" id="{00000000-0008-0000-0000-00008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0" name="Text Box 3092">
          <a:extLst>
            <a:ext uri="{FF2B5EF4-FFF2-40B4-BE49-F238E27FC236}">
              <a16:creationId xmlns="" xmlns:a16="http://schemas.microsoft.com/office/drawing/2014/main" id="{00000000-0008-0000-0000-00009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1" name="Text Box 3093">
          <a:extLst>
            <a:ext uri="{FF2B5EF4-FFF2-40B4-BE49-F238E27FC236}">
              <a16:creationId xmlns="" xmlns:a16="http://schemas.microsoft.com/office/drawing/2014/main" id="{00000000-0008-0000-0000-00009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2" name="Text Box 3094">
          <a:extLst>
            <a:ext uri="{FF2B5EF4-FFF2-40B4-BE49-F238E27FC236}">
              <a16:creationId xmlns="" xmlns:a16="http://schemas.microsoft.com/office/drawing/2014/main" id="{00000000-0008-0000-0000-00009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3" name="Text Box 3095">
          <a:extLst>
            <a:ext uri="{FF2B5EF4-FFF2-40B4-BE49-F238E27FC236}">
              <a16:creationId xmlns="" xmlns:a16="http://schemas.microsoft.com/office/drawing/2014/main" id="{00000000-0008-0000-0000-00009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4" name="Text Box 3096">
          <a:extLst>
            <a:ext uri="{FF2B5EF4-FFF2-40B4-BE49-F238E27FC236}">
              <a16:creationId xmlns="" xmlns:a16="http://schemas.microsoft.com/office/drawing/2014/main" id="{00000000-0008-0000-0000-00009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5" name="Text Box 3097">
          <a:extLst>
            <a:ext uri="{FF2B5EF4-FFF2-40B4-BE49-F238E27FC236}">
              <a16:creationId xmlns="" xmlns:a16="http://schemas.microsoft.com/office/drawing/2014/main" id="{00000000-0008-0000-0000-00009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6" name="Text Box 3098">
          <a:extLst>
            <a:ext uri="{FF2B5EF4-FFF2-40B4-BE49-F238E27FC236}">
              <a16:creationId xmlns="" xmlns:a16="http://schemas.microsoft.com/office/drawing/2014/main" id="{00000000-0008-0000-0000-00009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7" name="Text Box 3099">
          <a:extLst>
            <a:ext uri="{FF2B5EF4-FFF2-40B4-BE49-F238E27FC236}">
              <a16:creationId xmlns="" xmlns:a16="http://schemas.microsoft.com/office/drawing/2014/main" id="{00000000-0008-0000-0000-00009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8" name="Text Box 3100">
          <a:extLst>
            <a:ext uri="{FF2B5EF4-FFF2-40B4-BE49-F238E27FC236}">
              <a16:creationId xmlns="" xmlns:a16="http://schemas.microsoft.com/office/drawing/2014/main" id="{00000000-0008-0000-0000-00009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9" name="Text Box 3101">
          <a:extLst>
            <a:ext uri="{FF2B5EF4-FFF2-40B4-BE49-F238E27FC236}">
              <a16:creationId xmlns="" xmlns:a16="http://schemas.microsoft.com/office/drawing/2014/main" id="{00000000-0008-0000-0000-00009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970" name="Text Box 3102">
          <a:extLst>
            <a:ext uri="{FF2B5EF4-FFF2-40B4-BE49-F238E27FC236}">
              <a16:creationId xmlns="" xmlns:a16="http://schemas.microsoft.com/office/drawing/2014/main" id="{00000000-0008-0000-0000-00009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1" name="Text Box 59">
          <a:extLst>
            <a:ext uri="{FF2B5EF4-FFF2-40B4-BE49-F238E27FC236}">
              <a16:creationId xmlns="" xmlns:a16="http://schemas.microsoft.com/office/drawing/2014/main" id="{00000000-0008-0000-0000-00009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2" name="Text Box 60">
          <a:extLst>
            <a:ext uri="{FF2B5EF4-FFF2-40B4-BE49-F238E27FC236}">
              <a16:creationId xmlns="" xmlns:a16="http://schemas.microsoft.com/office/drawing/2014/main" id="{00000000-0008-0000-0000-00009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3" name="Text Box 61">
          <a:extLst>
            <a:ext uri="{FF2B5EF4-FFF2-40B4-BE49-F238E27FC236}">
              <a16:creationId xmlns="" xmlns:a16="http://schemas.microsoft.com/office/drawing/2014/main" id="{00000000-0008-0000-0000-00009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4" name="Text Box 62">
          <a:extLst>
            <a:ext uri="{FF2B5EF4-FFF2-40B4-BE49-F238E27FC236}">
              <a16:creationId xmlns="" xmlns:a16="http://schemas.microsoft.com/office/drawing/2014/main" id="{00000000-0008-0000-0000-00009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5" name="Text Box 63">
          <a:extLst>
            <a:ext uri="{FF2B5EF4-FFF2-40B4-BE49-F238E27FC236}">
              <a16:creationId xmlns="" xmlns:a16="http://schemas.microsoft.com/office/drawing/2014/main" id="{00000000-0008-0000-0000-00009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6" name="Text Box 64">
          <a:extLst>
            <a:ext uri="{FF2B5EF4-FFF2-40B4-BE49-F238E27FC236}">
              <a16:creationId xmlns="" xmlns:a16="http://schemas.microsoft.com/office/drawing/2014/main" id="{00000000-0008-0000-0000-0000A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7" name="Text Box 65">
          <a:extLst>
            <a:ext uri="{FF2B5EF4-FFF2-40B4-BE49-F238E27FC236}">
              <a16:creationId xmlns="" xmlns:a16="http://schemas.microsoft.com/office/drawing/2014/main" id="{00000000-0008-0000-0000-0000A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8" name="Text Box 66">
          <a:extLst>
            <a:ext uri="{FF2B5EF4-FFF2-40B4-BE49-F238E27FC236}">
              <a16:creationId xmlns="" xmlns:a16="http://schemas.microsoft.com/office/drawing/2014/main" id="{00000000-0008-0000-0000-0000A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9" name="Text Box 67">
          <a:extLst>
            <a:ext uri="{FF2B5EF4-FFF2-40B4-BE49-F238E27FC236}">
              <a16:creationId xmlns="" xmlns:a16="http://schemas.microsoft.com/office/drawing/2014/main" id="{00000000-0008-0000-0000-0000A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0" name="Text Box 68">
          <a:extLst>
            <a:ext uri="{FF2B5EF4-FFF2-40B4-BE49-F238E27FC236}">
              <a16:creationId xmlns="" xmlns:a16="http://schemas.microsoft.com/office/drawing/2014/main" id="{00000000-0008-0000-0000-0000A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1" name="Text Box 69">
          <a:extLst>
            <a:ext uri="{FF2B5EF4-FFF2-40B4-BE49-F238E27FC236}">
              <a16:creationId xmlns="" xmlns:a16="http://schemas.microsoft.com/office/drawing/2014/main" id="{00000000-0008-0000-0000-0000A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2" name="Text Box 70">
          <a:extLst>
            <a:ext uri="{FF2B5EF4-FFF2-40B4-BE49-F238E27FC236}">
              <a16:creationId xmlns="" xmlns:a16="http://schemas.microsoft.com/office/drawing/2014/main" id="{00000000-0008-0000-0000-0000A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3" name="Text Box 71">
          <a:extLst>
            <a:ext uri="{FF2B5EF4-FFF2-40B4-BE49-F238E27FC236}">
              <a16:creationId xmlns="" xmlns:a16="http://schemas.microsoft.com/office/drawing/2014/main" id="{00000000-0008-0000-0000-0000A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4" name="Text Box 72">
          <a:extLst>
            <a:ext uri="{FF2B5EF4-FFF2-40B4-BE49-F238E27FC236}">
              <a16:creationId xmlns="" xmlns:a16="http://schemas.microsoft.com/office/drawing/2014/main" id="{00000000-0008-0000-0000-0000A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5" name="Text Box 73">
          <a:extLst>
            <a:ext uri="{FF2B5EF4-FFF2-40B4-BE49-F238E27FC236}">
              <a16:creationId xmlns="" xmlns:a16="http://schemas.microsoft.com/office/drawing/2014/main" id="{00000000-0008-0000-0000-0000A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6" name="Text Box 74">
          <a:extLst>
            <a:ext uri="{FF2B5EF4-FFF2-40B4-BE49-F238E27FC236}">
              <a16:creationId xmlns="" xmlns:a16="http://schemas.microsoft.com/office/drawing/2014/main" id="{00000000-0008-0000-0000-0000A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7" name="Text Box 75">
          <a:extLst>
            <a:ext uri="{FF2B5EF4-FFF2-40B4-BE49-F238E27FC236}">
              <a16:creationId xmlns="" xmlns:a16="http://schemas.microsoft.com/office/drawing/2014/main" id="{00000000-0008-0000-0000-0000A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8" name="Text Box 76">
          <a:extLst>
            <a:ext uri="{FF2B5EF4-FFF2-40B4-BE49-F238E27FC236}">
              <a16:creationId xmlns="" xmlns:a16="http://schemas.microsoft.com/office/drawing/2014/main" id="{00000000-0008-0000-0000-0000A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9" name="Text Box 77">
          <a:extLst>
            <a:ext uri="{FF2B5EF4-FFF2-40B4-BE49-F238E27FC236}">
              <a16:creationId xmlns="" xmlns:a16="http://schemas.microsoft.com/office/drawing/2014/main" id="{00000000-0008-0000-0000-0000A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0" name="Text Box 78">
          <a:extLst>
            <a:ext uri="{FF2B5EF4-FFF2-40B4-BE49-F238E27FC236}">
              <a16:creationId xmlns="" xmlns:a16="http://schemas.microsoft.com/office/drawing/2014/main" id="{00000000-0008-0000-0000-0000A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1" name="Text Box 79">
          <a:extLst>
            <a:ext uri="{FF2B5EF4-FFF2-40B4-BE49-F238E27FC236}">
              <a16:creationId xmlns="" xmlns:a16="http://schemas.microsoft.com/office/drawing/2014/main" id="{00000000-0008-0000-0000-0000A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2" name="Text Box 80">
          <a:extLst>
            <a:ext uri="{FF2B5EF4-FFF2-40B4-BE49-F238E27FC236}">
              <a16:creationId xmlns="" xmlns:a16="http://schemas.microsoft.com/office/drawing/2014/main" id="{00000000-0008-0000-0000-0000B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3" name="Text Box 81">
          <a:extLst>
            <a:ext uri="{FF2B5EF4-FFF2-40B4-BE49-F238E27FC236}">
              <a16:creationId xmlns="" xmlns:a16="http://schemas.microsoft.com/office/drawing/2014/main" id="{00000000-0008-0000-0000-0000B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994" name="Text Box 82">
          <a:extLst>
            <a:ext uri="{FF2B5EF4-FFF2-40B4-BE49-F238E27FC236}">
              <a16:creationId xmlns="" xmlns:a16="http://schemas.microsoft.com/office/drawing/2014/main" id="{00000000-0008-0000-0000-0000B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5" name="Text Box 3079">
          <a:extLst>
            <a:ext uri="{FF2B5EF4-FFF2-40B4-BE49-F238E27FC236}">
              <a16:creationId xmlns="" xmlns:a16="http://schemas.microsoft.com/office/drawing/2014/main" id="{00000000-0008-0000-0000-0000B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6" name="Text Box 3080">
          <a:extLst>
            <a:ext uri="{FF2B5EF4-FFF2-40B4-BE49-F238E27FC236}">
              <a16:creationId xmlns="" xmlns:a16="http://schemas.microsoft.com/office/drawing/2014/main" id="{00000000-0008-0000-0000-0000B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7" name="Text Box 3081">
          <a:extLst>
            <a:ext uri="{FF2B5EF4-FFF2-40B4-BE49-F238E27FC236}">
              <a16:creationId xmlns="" xmlns:a16="http://schemas.microsoft.com/office/drawing/2014/main" id="{00000000-0008-0000-0000-0000B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8" name="Text Box 3082">
          <a:extLst>
            <a:ext uri="{FF2B5EF4-FFF2-40B4-BE49-F238E27FC236}">
              <a16:creationId xmlns="" xmlns:a16="http://schemas.microsoft.com/office/drawing/2014/main" id="{00000000-0008-0000-0000-0000B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9" name="Text Box 3083">
          <a:extLst>
            <a:ext uri="{FF2B5EF4-FFF2-40B4-BE49-F238E27FC236}">
              <a16:creationId xmlns="" xmlns:a16="http://schemas.microsoft.com/office/drawing/2014/main" id="{00000000-0008-0000-0000-0000B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0" name="Text Box 3084">
          <a:extLst>
            <a:ext uri="{FF2B5EF4-FFF2-40B4-BE49-F238E27FC236}">
              <a16:creationId xmlns="" xmlns:a16="http://schemas.microsoft.com/office/drawing/2014/main" id="{00000000-0008-0000-0000-0000B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1" name="Text Box 3085">
          <a:extLst>
            <a:ext uri="{FF2B5EF4-FFF2-40B4-BE49-F238E27FC236}">
              <a16:creationId xmlns="" xmlns:a16="http://schemas.microsoft.com/office/drawing/2014/main" id="{00000000-0008-0000-0000-0000B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2" name="Text Box 3086">
          <a:extLst>
            <a:ext uri="{FF2B5EF4-FFF2-40B4-BE49-F238E27FC236}">
              <a16:creationId xmlns="" xmlns:a16="http://schemas.microsoft.com/office/drawing/2014/main" id="{00000000-0008-0000-0000-0000B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3" name="Text Box 3087">
          <a:extLst>
            <a:ext uri="{FF2B5EF4-FFF2-40B4-BE49-F238E27FC236}">
              <a16:creationId xmlns="" xmlns:a16="http://schemas.microsoft.com/office/drawing/2014/main" id="{00000000-0008-0000-0000-0000B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4" name="Text Box 3088">
          <a:extLst>
            <a:ext uri="{FF2B5EF4-FFF2-40B4-BE49-F238E27FC236}">
              <a16:creationId xmlns="" xmlns:a16="http://schemas.microsoft.com/office/drawing/2014/main" id="{00000000-0008-0000-0000-0000B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5" name="Text Box 3089">
          <a:extLst>
            <a:ext uri="{FF2B5EF4-FFF2-40B4-BE49-F238E27FC236}">
              <a16:creationId xmlns="" xmlns:a16="http://schemas.microsoft.com/office/drawing/2014/main" id="{00000000-0008-0000-0000-0000B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6" name="Text Box 3090">
          <a:extLst>
            <a:ext uri="{FF2B5EF4-FFF2-40B4-BE49-F238E27FC236}">
              <a16:creationId xmlns="" xmlns:a16="http://schemas.microsoft.com/office/drawing/2014/main" id="{00000000-0008-0000-0000-0000B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7" name="Text Box 3091">
          <a:extLst>
            <a:ext uri="{FF2B5EF4-FFF2-40B4-BE49-F238E27FC236}">
              <a16:creationId xmlns="" xmlns:a16="http://schemas.microsoft.com/office/drawing/2014/main" id="{00000000-0008-0000-0000-0000B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8" name="Text Box 3092">
          <a:extLst>
            <a:ext uri="{FF2B5EF4-FFF2-40B4-BE49-F238E27FC236}">
              <a16:creationId xmlns="" xmlns:a16="http://schemas.microsoft.com/office/drawing/2014/main" id="{00000000-0008-0000-0000-0000C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9" name="Text Box 3093">
          <a:extLst>
            <a:ext uri="{FF2B5EF4-FFF2-40B4-BE49-F238E27FC236}">
              <a16:creationId xmlns="" xmlns:a16="http://schemas.microsoft.com/office/drawing/2014/main" id="{00000000-0008-0000-0000-0000C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0" name="Text Box 3094">
          <a:extLst>
            <a:ext uri="{FF2B5EF4-FFF2-40B4-BE49-F238E27FC236}">
              <a16:creationId xmlns="" xmlns:a16="http://schemas.microsoft.com/office/drawing/2014/main" id="{00000000-0008-0000-0000-0000C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1" name="Text Box 3095">
          <a:extLst>
            <a:ext uri="{FF2B5EF4-FFF2-40B4-BE49-F238E27FC236}">
              <a16:creationId xmlns="" xmlns:a16="http://schemas.microsoft.com/office/drawing/2014/main" id="{00000000-0008-0000-0000-0000C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2" name="Text Box 3096">
          <a:extLst>
            <a:ext uri="{FF2B5EF4-FFF2-40B4-BE49-F238E27FC236}">
              <a16:creationId xmlns="" xmlns:a16="http://schemas.microsoft.com/office/drawing/2014/main" id="{00000000-0008-0000-0000-0000C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3" name="Text Box 3097">
          <a:extLst>
            <a:ext uri="{FF2B5EF4-FFF2-40B4-BE49-F238E27FC236}">
              <a16:creationId xmlns="" xmlns:a16="http://schemas.microsoft.com/office/drawing/2014/main" id="{00000000-0008-0000-0000-0000C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4" name="Text Box 3098">
          <a:extLst>
            <a:ext uri="{FF2B5EF4-FFF2-40B4-BE49-F238E27FC236}">
              <a16:creationId xmlns="" xmlns:a16="http://schemas.microsoft.com/office/drawing/2014/main" id="{00000000-0008-0000-0000-0000C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5" name="Text Box 3099">
          <a:extLst>
            <a:ext uri="{FF2B5EF4-FFF2-40B4-BE49-F238E27FC236}">
              <a16:creationId xmlns="" xmlns:a16="http://schemas.microsoft.com/office/drawing/2014/main" id="{00000000-0008-0000-0000-0000C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6" name="Text Box 3100">
          <a:extLst>
            <a:ext uri="{FF2B5EF4-FFF2-40B4-BE49-F238E27FC236}">
              <a16:creationId xmlns="" xmlns:a16="http://schemas.microsoft.com/office/drawing/2014/main" id="{00000000-0008-0000-0000-0000C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7" name="Text Box 3101">
          <a:extLst>
            <a:ext uri="{FF2B5EF4-FFF2-40B4-BE49-F238E27FC236}">
              <a16:creationId xmlns="" xmlns:a16="http://schemas.microsoft.com/office/drawing/2014/main" id="{00000000-0008-0000-0000-0000C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018" name="Text Box 3102">
          <a:extLst>
            <a:ext uri="{FF2B5EF4-FFF2-40B4-BE49-F238E27FC236}">
              <a16:creationId xmlns="" xmlns:a16="http://schemas.microsoft.com/office/drawing/2014/main" id="{00000000-0008-0000-0000-0000C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19" name="Text Box 59">
          <a:extLst>
            <a:ext uri="{FF2B5EF4-FFF2-40B4-BE49-F238E27FC236}">
              <a16:creationId xmlns="" xmlns:a16="http://schemas.microsoft.com/office/drawing/2014/main" id="{00000000-0008-0000-0000-0000C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0" name="Text Box 60">
          <a:extLst>
            <a:ext uri="{FF2B5EF4-FFF2-40B4-BE49-F238E27FC236}">
              <a16:creationId xmlns="" xmlns:a16="http://schemas.microsoft.com/office/drawing/2014/main" id="{00000000-0008-0000-0000-0000C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1" name="Text Box 61">
          <a:extLst>
            <a:ext uri="{FF2B5EF4-FFF2-40B4-BE49-F238E27FC236}">
              <a16:creationId xmlns="" xmlns:a16="http://schemas.microsoft.com/office/drawing/2014/main" id="{00000000-0008-0000-0000-0000C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2" name="Text Box 62">
          <a:extLst>
            <a:ext uri="{FF2B5EF4-FFF2-40B4-BE49-F238E27FC236}">
              <a16:creationId xmlns="" xmlns:a16="http://schemas.microsoft.com/office/drawing/2014/main" id="{00000000-0008-0000-0000-0000C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3" name="Text Box 63">
          <a:extLst>
            <a:ext uri="{FF2B5EF4-FFF2-40B4-BE49-F238E27FC236}">
              <a16:creationId xmlns="" xmlns:a16="http://schemas.microsoft.com/office/drawing/2014/main" id="{00000000-0008-0000-0000-0000C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4" name="Text Box 64">
          <a:extLst>
            <a:ext uri="{FF2B5EF4-FFF2-40B4-BE49-F238E27FC236}">
              <a16:creationId xmlns="" xmlns:a16="http://schemas.microsoft.com/office/drawing/2014/main" id="{00000000-0008-0000-0000-0000D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5" name="Text Box 65">
          <a:extLst>
            <a:ext uri="{FF2B5EF4-FFF2-40B4-BE49-F238E27FC236}">
              <a16:creationId xmlns="" xmlns:a16="http://schemas.microsoft.com/office/drawing/2014/main" id="{00000000-0008-0000-0000-0000D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6" name="Text Box 66">
          <a:extLst>
            <a:ext uri="{FF2B5EF4-FFF2-40B4-BE49-F238E27FC236}">
              <a16:creationId xmlns="" xmlns:a16="http://schemas.microsoft.com/office/drawing/2014/main" id="{00000000-0008-0000-0000-0000D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7" name="Text Box 67">
          <a:extLst>
            <a:ext uri="{FF2B5EF4-FFF2-40B4-BE49-F238E27FC236}">
              <a16:creationId xmlns="" xmlns:a16="http://schemas.microsoft.com/office/drawing/2014/main" id="{00000000-0008-0000-0000-0000D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8" name="Text Box 68">
          <a:extLst>
            <a:ext uri="{FF2B5EF4-FFF2-40B4-BE49-F238E27FC236}">
              <a16:creationId xmlns="" xmlns:a16="http://schemas.microsoft.com/office/drawing/2014/main" id="{00000000-0008-0000-0000-0000D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9" name="Text Box 69">
          <a:extLst>
            <a:ext uri="{FF2B5EF4-FFF2-40B4-BE49-F238E27FC236}">
              <a16:creationId xmlns="" xmlns:a16="http://schemas.microsoft.com/office/drawing/2014/main" id="{00000000-0008-0000-0000-0000D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0" name="Text Box 70">
          <a:extLst>
            <a:ext uri="{FF2B5EF4-FFF2-40B4-BE49-F238E27FC236}">
              <a16:creationId xmlns="" xmlns:a16="http://schemas.microsoft.com/office/drawing/2014/main" id="{00000000-0008-0000-0000-0000D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1" name="Text Box 71">
          <a:extLst>
            <a:ext uri="{FF2B5EF4-FFF2-40B4-BE49-F238E27FC236}">
              <a16:creationId xmlns="" xmlns:a16="http://schemas.microsoft.com/office/drawing/2014/main" id="{00000000-0008-0000-0000-0000D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2" name="Text Box 72">
          <a:extLst>
            <a:ext uri="{FF2B5EF4-FFF2-40B4-BE49-F238E27FC236}">
              <a16:creationId xmlns="" xmlns:a16="http://schemas.microsoft.com/office/drawing/2014/main" id="{00000000-0008-0000-0000-0000D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3" name="Text Box 73">
          <a:extLst>
            <a:ext uri="{FF2B5EF4-FFF2-40B4-BE49-F238E27FC236}">
              <a16:creationId xmlns="" xmlns:a16="http://schemas.microsoft.com/office/drawing/2014/main" id="{00000000-0008-0000-0000-0000D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4" name="Text Box 74">
          <a:extLst>
            <a:ext uri="{FF2B5EF4-FFF2-40B4-BE49-F238E27FC236}">
              <a16:creationId xmlns="" xmlns:a16="http://schemas.microsoft.com/office/drawing/2014/main" id="{00000000-0008-0000-0000-0000D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5" name="Text Box 75">
          <a:extLst>
            <a:ext uri="{FF2B5EF4-FFF2-40B4-BE49-F238E27FC236}">
              <a16:creationId xmlns="" xmlns:a16="http://schemas.microsoft.com/office/drawing/2014/main" id="{00000000-0008-0000-0000-0000D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6" name="Text Box 76">
          <a:extLst>
            <a:ext uri="{FF2B5EF4-FFF2-40B4-BE49-F238E27FC236}">
              <a16:creationId xmlns="" xmlns:a16="http://schemas.microsoft.com/office/drawing/2014/main" id="{00000000-0008-0000-0000-0000D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7" name="Text Box 77">
          <a:extLst>
            <a:ext uri="{FF2B5EF4-FFF2-40B4-BE49-F238E27FC236}">
              <a16:creationId xmlns="" xmlns:a16="http://schemas.microsoft.com/office/drawing/2014/main" id="{00000000-0008-0000-0000-0000D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8" name="Text Box 78">
          <a:extLst>
            <a:ext uri="{FF2B5EF4-FFF2-40B4-BE49-F238E27FC236}">
              <a16:creationId xmlns="" xmlns:a16="http://schemas.microsoft.com/office/drawing/2014/main" id="{00000000-0008-0000-0000-0000D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9" name="Text Box 79">
          <a:extLst>
            <a:ext uri="{FF2B5EF4-FFF2-40B4-BE49-F238E27FC236}">
              <a16:creationId xmlns="" xmlns:a16="http://schemas.microsoft.com/office/drawing/2014/main" id="{00000000-0008-0000-0000-0000D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40" name="Text Box 80">
          <a:extLst>
            <a:ext uri="{FF2B5EF4-FFF2-40B4-BE49-F238E27FC236}">
              <a16:creationId xmlns="" xmlns:a16="http://schemas.microsoft.com/office/drawing/2014/main" id="{00000000-0008-0000-0000-0000E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41" name="Text Box 81">
          <a:extLst>
            <a:ext uri="{FF2B5EF4-FFF2-40B4-BE49-F238E27FC236}">
              <a16:creationId xmlns="" xmlns:a16="http://schemas.microsoft.com/office/drawing/2014/main" id="{00000000-0008-0000-0000-0000E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2" name="Text Box 3079">
          <a:extLst>
            <a:ext uri="{FF2B5EF4-FFF2-40B4-BE49-F238E27FC236}">
              <a16:creationId xmlns="" xmlns:a16="http://schemas.microsoft.com/office/drawing/2014/main" id="{00000000-0008-0000-0000-0000E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3" name="Text Box 3080">
          <a:extLst>
            <a:ext uri="{FF2B5EF4-FFF2-40B4-BE49-F238E27FC236}">
              <a16:creationId xmlns="" xmlns:a16="http://schemas.microsoft.com/office/drawing/2014/main" id="{00000000-0008-0000-0000-0000E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4" name="Text Box 3081">
          <a:extLst>
            <a:ext uri="{FF2B5EF4-FFF2-40B4-BE49-F238E27FC236}">
              <a16:creationId xmlns="" xmlns:a16="http://schemas.microsoft.com/office/drawing/2014/main" id="{00000000-0008-0000-0000-0000E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5" name="Text Box 3082">
          <a:extLst>
            <a:ext uri="{FF2B5EF4-FFF2-40B4-BE49-F238E27FC236}">
              <a16:creationId xmlns="" xmlns:a16="http://schemas.microsoft.com/office/drawing/2014/main" id="{00000000-0008-0000-0000-0000E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6" name="Text Box 3083">
          <a:extLst>
            <a:ext uri="{FF2B5EF4-FFF2-40B4-BE49-F238E27FC236}">
              <a16:creationId xmlns="" xmlns:a16="http://schemas.microsoft.com/office/drawing/2014/main" id="{00000000-0008-0000-0000-0000E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7" name="Text Box 3084">
          <a:extLst>
            <a:ext uri="{FF2B5EF4-FFF2-40B4-BE49-F238E27FC236}">
              <a16:creationId xmlns="" xmlns:a16="http://schemas.microsoft.com/office/drawing/2014/main" id="{00000000-0008-0000-0000-0000E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8" name="Text Box 3085">
          <a:extLst>
            <a:ext uri="{FF2B5EF4-FFF2-40B4-BE49-F238E27FC236}">
              <a16:creationId xmlns="" xmlns:a16="http://schemas.microsoft.com/office/drawing/2014/main" id="{00000000-0008-0000-0000-0000E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9" name="Text Box 3086">
          <a:extLst>
            <a:ext uri="{FF2B5EF4-FFF2-40B4-BE49-F238E27FC236}">
              <a16:creationId xmlns="" xmlns:a16="http://schemas.microsoft.com/office/drawing/2014/main" id="{00000000-0008-0000-0000-0000E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0" name="Text Box 3087">
          <a:extLst>
            <a:ext uri="{FF2B5EF4-FFF2-40B4-BE49-F238E27FC236}">
              <a16:creationId xmlns="" xmlns:a16="http://schemas.microsoft.com/office/drawing/2014/main" id="{00000000-0008-0000-0000-0000E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1" name="Text Box 3088">
          <a:extLst>
            <a:ext uri="{FF2B5EF4-FFF2-40B4-BE49-F238E27FC236}">
              <a16:creationId xmlns="" xmlns:a16="http://schemas.microsoft.com/office/drawing/2014/main" id="{00000000-0008-0000-0000-0000E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2" name="Text Box 3089">
          <a:extLst>
            <a:ext uri="{FF2B5EF4-FFF2-40B4-BE49-F238E27FC236}">
              <a16:creationId xmlns="" xmlns:a16="http://schemas.microsoft.com/office/drawing/2014/main" id="{00000000-0008-0000-0000-0000E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3" name="Text Box 3090">
          <a:extLst>
            <a:ext uri="{FF2B5EF4-FFF2-40B4-BE49-F238E27FC236}">
              <a16:creationId xmlns="" xmlns:a16="http://schemas.microsoft.com/office/drawing/2014/main" id="{00000000-0008-0000-0000-0000E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4" name="Text Box 3091">
          <a:extLst>
            <a:ext uri="{FF2B5EF4-FFF2-40B4-BE49-F238E27FC236}">
              <a16:creationId xmlns="" xmlns:a16="http://schemas.microsoft.com/office/drawing/2014/main" id="{00000000-0008-0000-0000-0000E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5" name="Text Box 3092">
          <a:extLst>
            <a:ext uri="{FF2B5EF4-FFF2-40B4-BE49-F238E27FC236}">
              <a16:creationId xmlns="" xmlns:a16="http://schemas.microsoft.com/office/drawing/2014/main" id="{00000000-0008-0000-0000-0000E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6" name="Text Box 3093">
          <a:extLst>
            <a:ext uri="{FF2B5EF4-FFF2-40B4-BE49-F238E27FC236}">
              <a16:creationId xmlns="" xmlns:a16="http://schemas.microsoft.com/office/drawing/2014/main" id="{00000000-0008-0000-0000-0000F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7" name="Text Box 3094">
          <a:extLst>
            <a:ext uri="{FF2B5EF4-FFF2-40B4-BE49-F238E27FC236}">
              <a16:creationId xmlns="" xmlns:a16="http://schemas.microsoft.com/office/drawing/2014/main" id="{00000000-0008-0000-0000-0000F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8" name="Text Box 3095">
          <a:extLst>
            <a:ext uri="{FF2B5EF4-FFF2-40B4-BE49-F238E27FC236}">
              <a16:creationId xmlns="" xmlns:a16="http://schemas.microsoft.com/office/drawing/2014/main" id="{00000000-0008-0000-0000-0000F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9" name="Text Box 3096">
          <a:extLst>
            <a:ext uri="{FF2B5EF4-FFF2-40B4-BE49-F238E27FC236}">
              <a16:creationId xmlns="" xmlns:a16="http://schemas.microsoft.com/office/drawing/2014/main" id="{00000000-0008-0000-0000-0000F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0" name="Text Box 3097">
          <a:extLst>
            <a:ext uri="{FF2B5EF4-FFF2-40B4-BE49-F238E27FC236}">
              <a16:creationId xmlns="" xmlns:a16="http://schemas.microsoft.com/office/drawing/2014/main" id="{00000000-0008-0000-0000-0000F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1" name="Text Box 3098">
          <a:extLst>
            <a:ext uri="{FF2B5EF4-FFF2-40B4-BE49-F238E27FC236}">
              <a16:creationId xmlns="" xmlns:a16="http://schemas.microsoft.com/office/drawing/2014/main" id="{00000000-0008-0000-0000-0000F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2" name="Text Box 3099">
          <a:extLst>
            <a:ext uri="{FF2B5EF4-FFF2-40B4-BE49-F238E27FC236}">
              <a16:creationId xmlns="" xmlns:a16="http://schemas.microsoft.com/office/drawing/2014/main" id="{00000000-0008-0000-0000-0000F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3" name="Text Box 3100">
          <a:extLst>
            <a:ext uri="{FF2B5EF4-FFF2-40B4-BE49-F238E27FC236}">
              <a16:creationId xmlns="" xmlns:a16="http://schemas.microsoft.com/office/drawing/2014/main" id="{00000000-0008-0000-0000-0000F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4" name="Text Box 3101">
          <a:extLst>
            <a:ext uri="{FF2B5EF4-FFF2-40B4-BE49-F238E27FC236}">
              <a16:creationId xmlns="" xmlns:a16="http://schemas.microsoft.com/office/drawing/2014/main" id="{00000000-0008-0000-0000-0000F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065" name="Text Box 3102">
          <a:extLst>
            <a:ext uri="{FF2B5EF4-FFF2-40B4-BE49-F238E27FC236}">
              <a16:creationId xmlns="" xmlns:a16="http://schemas.microsoft.com/office/drawing/2014/main" id="{00000000-0008-0000-0000-0000F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6" name="Text Box 59">
          <a:extLst>
            <a:ext uri="{FF2B5EF4-FFF2-40B4-BE49-F238E27FC236}">
              <a16:creationId xmlns="" xmlns:a16="http://schemas.microsoft.com/office/drawing/2014/main" id="{00000000-0008-0000-0000-0000F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7" name="Text Box 60">
          <a:extLst>
            <a:ext uri="{FF2B5EF4-FFF2-40B4-BE49-F238E27FC236}">
              <a16:creationId xmlns="" xmlns:a16="http://schemas.microsoft.com/office/drawing/2014/main" id="{00000000-0008-0000-0000-0000F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8" name="Text Box 61">
          <a:extLst>
            <a:ext uri="{FF2B5EF4-FFF2-40B4-BE49-F238E27FC236}">
              <a16:creationId xmlns="" xmlns:a16="http://schemas.microsoft.com/office/drawing/2014/main" id="{00000000-0008-0000-0000-0000F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9" name="Text Box 62">
          <a:extLst>
            <a:ext uri="{FF2B5EF4-FFF2-40B4-BE49-F238E27FC236}">
              <a16:creationId xmlns="" xmlns:a16="http://schemas.microsoft.com/office/drawing/2014/main" id="{00000000-0008-0000-0000-0000F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0" name="Text Box 63">
          <a:extLst>
            <a:ext uri="{FF2B5EF4-FFF2-40B4-BE49-F238E27FC236}">
              <a16:creationId xmlns="" xmlns:a16="http://schemas.microsoft.com/office/drawing/2014/main" id="{00000000-0008-0000-0000-0000F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1" name="Text Box 64">
          <a:extLst>
            <a:ext uri="{FF2B5EF4-FFF2-40B4-BE49-F238E27FC236}">
              <a16:creationId xmlns="" xmlns:a16="http://schemas.microsoft.com/office/drawing/2014/main" id="{00000000-0008-0000-0000-0000F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2" name="Text Box 65">
          <a:extLst>
            <a:ext uri="{FF2B5EF4-FFF2-40B4-BE49-F238E27FC236}">
              <a16:creationId xmlns="" xmlns:a16="http://schemas.microsoft.com/office/drawing/2014/main" id="{00000000-0008-0000-0000-00000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3" name="Text Box 66">
          <a:extLst>
            <a:ext uri="{FF2B5EF4-FFF2-40B4-BE49-F238E27FC236}">
              <a16:creationId xmlns="" xmlns:a16="http://schemas.microsoft.com/office/drawing/2014/main" id="{00000000-0008-0000-0000-00000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4" name="Text Box 67">
          <a:extLst>
            <a:ext uri="{FF2B5EF4-FFF2-40B4-BE49-F238E27FC236}">
              <a16:creationId xmlns="" xmlns:a16="http://schemas.microsoft.com/office/drawing/2014/main" id="{00000000-0008-0000-0000-00000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5" name="Text Box 68">
          <a:extLst>
            <a:ext uri="{FF2B5EF4-FFF2-40B4-BE49-F238E27FC236}">
              <a16:creationId xmlns="" xmlns:a16="http://schemas.microsoft.com/office/drawing/2014/main" id="{00000000-0008-0000-0000-00000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6" name="Text Box 69">
          <a:extLst>
            <a:ext uri="{FF2B5EF4-FFF2-40B4-BE49-F238E27FC236}">
              <a16:creationId xmlns="" xmlns:a16="http://schemas.microsoft.com/office/drawing/2014/main" id="{00000000-0008-0000-0000-00000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7" name="Text Box 70">
          <a:extLst>
            <a:ext uri="{FF2B5EF4-FFF2-40B4-BE49-F238E27FC236}">
              <a16:creationId xmlns="" xmlns:a16="http://schemas.microsoft.com/office/drawing/2014/main" id="{00000000-0008-0000-0000-00000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8" name="Text Box 71">
          <a:extLst>
            <a:ext uri="{FF2B5EF4-FFF2-40B4-BE49-F238E27FC236}">
              <a16:creationId xmlns="" xmlns:a16="http://schemas.microsoft.com/office/drawing/2014/main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9" name="Text Box 72">
          <a:extLst>
            <a:ext uri="{FF2B5EF4-FFF2-40B4-BE49-F238E27FC236}">
              <a16:creationId xmlns="" xmlns:a16="http://schemas.microsoft.com/office/drawing/2014/main" id="{00000000-0008-0000-0000-00000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0" name="Text Box 73">
          <a:extLst>
            <a:ext uri="{FF2B5EF4-FFF2-40B4-BE49-F238E27FC236}">
              <a16:creationId xmlns="" xmlns:a16="http://schemas.microsoft.com/office/drawing/2014/main" id="{00000000-0008-0000-0000-00000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1" name="Text Box 74">
          <a:extLst>
            <a:ext uri="{FF2B5EF4-FFF2-40B4-BE49-F238E27FC236}">
              <a16:creationId xmlns="" xmlns:a16="http://schemas.microsoft.com/office/drawing/2014/main" id="{00000000-0008-0000-0000-00000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2" name="Text Box 75">
          <a:extLst>
            <a:ext uri="{FF2B5EF4-FFF2-40B4-BE49-F238E27FC236}">
              <a16:creationId xmlns="" xmlns:a16="http://schemas.microsoft.com/office/drawing/2014/main" id="{00000000-0008-0000-0000-00000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3" name="Text Box 76">
          <a:extLst>
            <a:ext uri="{FF2B5EF4-FFF2-40B4-BE49-F238E27FC236}">
              <a16:creationId xmlns="" xmlns:a16="http://schemas.microsoft.com/office/drawing/2014/main" id="{00000000-0008-0000-0000-00000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4" name="Text Box 77">
          <a:extLst>
            <a:ext uri="{FF2B5EF4-FFF2-40B4-BE49-F238E27FC236}">
              <a16:creationId xmlns="" xmlns:a16="http://schemas.microsoft.com/office/drawing/2014/main" id="{00000000-0008-0000-0000-00000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5" name="Text Box 78">
          <a:extLst>
            <a:ext uri="{FF2B5EF4-FFF2-40B4-BE49-F238E27FC236}">
              <a16:creationId xmlns="" xmlns:a16="http://schemas.microsoft.com/office/drawing/2014/main" id="{00000000-0008-0000-0000-00000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6" name="Text Box 79">
          <a:extLst>
            <a:ext uri="{FF2B5EF4-FFF2-40B4-BE49-F238E27FC236}">
              <a16:creationId xmlns="" xmlns:a16="http://schemas.microsoft.com/office/drawing/2014/main" id="{00000000-0008-0000-0000-00000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7" name="Text Box 80">
          <a:extLst>
            <a:ext uri="{FF2B5EF4-FFF2-40B4-BE49-F238E27FC236}">
              <a16:creationId xmlns="" xmlns:a16="http://schemas.microsoft.com/office/drawing/2014/main" id="{00000000-0008-0000-0000-00000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8" name="Text Box 81">
          <a:extLst>
            <a:ext uri="{FF2B5EF4-FFF2-40B4-BE49-F238E27FC236}">
              <a16:creationId xmlns="" xmlns:a16="http://schemas.microsoft.com/office/drawing/2014/main" id="{00000000-0008-0000-0000-00001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089" name="Text Box 82">
          <a:extLst>
            <a:ext uri="{FF2B5EF4-FFF2-40B4-BE49-F238E27FC236}">
              <a16:creationId xmlns="" xmlns:a16="http://schemas.microsoft.com/office/drawing/2014/main" id="{00000000-0008-0000-0000-00001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0" name="Text Box 3079">
          <a:extLst>
            <a:ext uri="{FF2B5EF4-FFF2-40B4-BE49-F238E27FC236}">
              <a16:creationId xmlns="" xmlns:a16="http://schemas.microsoft.com/office/drawing/2014/main" id="{00000000-0008-0000-0000-00001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1" name="Text Box 3080">
          <a:extLst>
            <a:ext uri="{FF2B5EF4-FFF2-40B4-BE49-F238E27FC236}">
              <a16:creationId xmlns="" xmlns:a16="http://schemas.microsoft.com/office/drawing/2014/main" id="{00000000-0008-0000-0000-00001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2" name="Text Box 3081">
          <a:extLst>
            <a:ext uri="{FF2B5EF4-FFF2-40B4-BE49-F238E27FC236}">
              <a16:creationId xmlns="" xmlns:a16="http://schemas.microsoft.com/office/drawing/2014/main" id="{00000000-0008-0000-0000-00001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3" name="Text Box 3082">
          <a:extLst>
            <a:ext uri="{FF2B5EF4-FFF2-40B4-BE49-F238E27FC236}">
              <a16:creationId xmlns="" xmlns:a16="http://schemas.microsoft.com/office/drawing/2014/main" id="{00000000-0008-0000-0000-00001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4" name="Text Box 3083">
          <a:extLst>
            <a:ext uri="{FF2B5EF4-FFF2-40B4-BE49-F238E27FC236}">
              <a16:creationId xmlns="" xmlns:a16="http://schemas.microsoft.com/office/drawing/2014/main" id="{00000000-0008-0000-0000-00001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5" name="Text Box 3084">
          <a:extLst>
            <a:ext uri="{FF2B5EF4-FFF2-40B4-BE49-F238E27FC236}">
              <a16:creationId xmlns="" xmlns:a16="http://schemas.microsoft.com/office/drawing/2014/main" id="{00000000-0008-0000-0000-00001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6" name="Text Box 3085">
          <a:extLst>
            <a:ext uri="{FF2B5EF4-FFF2-40B4-BE49-F238E27FC236}">
              <a16:creationId xmlns="" xmlns:a16="http://schemas.microsoft.com/office/drawing/2014/main" id="{00000000-0008-0000-0000-00001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7" name="Text Box 3086">
          <a:extLst>
            <a:ext uri="{FF2B5EF4-FFF2-40B4-BE49-F238E27FC236}">
              <a16:creationId xmlns="" xmlns:a16="http://schemas.microsoft.com/office/drawing/2014/main" id="{00000000-0008-0000-0000-00001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8" name="Text Box 3087">
          <a:extLst>
            <a:ext uri="{FF2B5EF4-FFF2-40B4-BE49-F238E27FC236}">
              <a16:creationId xmlns="" xmlns:a16="http://schemas.microsoft.com/office/drawing/2014/main" id="{00000000-0008-0000-0000-00001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9" name="Text Box 3088">
          <a:extLst>
            <a:ext uri="{FF2B5EF4-FFF2-40B4-BE49-F238E27FC236}">
              <a16:creationId xmlns="" xmlns:a16="http://schemas.microsoft.com/office/drawing/2014/main" id="{00000000-0008-0000-0000-00001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0" name="Text Box 3089">
          <a:extLst>
            <a:ext uri="{FF2B5EF4-FFF2-40B4-BE49-F238E27FC236}">
              <a16:creationId xmlns="" xmlns:a16="http://schemas.microsoft.com/office/drawing/2014/main" id="{00000000-0008-0000-0000-00001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1" name="Text Box 3090">
          <a:extLst>
            <a:ext uri="{FF2B5EF4-FFF2-40B4-BE49-F238E27FC236}">
              <a16:creationId xmlns="" xmlns:a16="http://schemas.microsoft.com/office/drawing/2014/main" id="{00000000-0008-0000-0000-00001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2" name="Text Box 3091">
          <a:extLst>
            <a:ext uri="{FF2B5EF4-FFF2-40B4-BE49-F238E27FC236}">
              <a16:creationId xmlns="" xmlns:a16="http://schemas.microsoft.com/office/drawing/2014/main" id="{00000000-0008-0000-0000-00001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3" name="Text Box 3092">
          <a:extLst>
            <a:ext uri="{FF2B5EF4-FFF2-40B4-BE49-F238E27FC236}">
              <a16:creationId xmlns="" xmlns:a16="http://schemas.microsoft.com/office/drawing/2014/main" id="{00000000-0008-0000-0000-00001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4" name="Text Box 3093">
          <a:extLst>
            <a:ext uri="{FF2B5EF4-FFF2-40B4-BE49-F238E27FC236}">
              <a16:creationId xmlns="" xmlns:a16="http://schemas.microsoft.com/office/drawing/2014/main" id="{00000000-0008-0000-0000-00002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5" name="Text Box 3094">
          <a:extLst>
            <a:ext uri="{FF2B5EF4-FFF2-40B4-BE49-F238E27FC236}">
              <a16:creationId xmlns="" xmlns:a16="http://schemas.microsoft.com/office/drawing/2014/main" id="{00000000-0008-0000-0000-00002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6" name="Text Box 3095">
          <a:extLst>
            <a:ext uri="{FF2B5EF4-FFF2-40B4-BE49-F238E27FC236}">
              <a16:creationId xmlns="" xmlns:a16="http://schemas.microsoft.com/office/drawing/2014/main" id="{00000000-0008-0000-0000-00002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7" name="Text Box 3096">
          <a:extLst>
            <a:ext uri="{FF2B5EF4-FFF2-40B4-BE49-F238E27FC236}">
              <a16:creationId xmlns="" xmlns:a16="http://schemas.microsoft.com/office/drawing/2014/main" id="{00000000-0008-0000-0000-00002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8" name="Text Box 3097">
          <a:extLst>
            <a:ext uri="{FF2B5EF4-FFF2-40B4-BE49-F238E27FC236}">
              <a16:creationId xmlns="" xmlns:a16="http://schemas.microsoft.com/office/drawing/2014/main" id="{00000000-0008-0000-0000-00002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9" name="Text Box 3098">
          <a:extLst>
            <a:ext uri="{FF2B5EF4-FFF2-40B4-BE49-F238E27FC236}">
              <a16:creationId xmlns="" xmlns:a16="http://schemas.microsoft.com/office/drawing/2014/main" id="{00000000-0008-0000-0000-00002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0" name="Text Box 3099">
          <a:extLst>
            <a:ext uri="{FF2B5EF4-FFF2-40B4-BE49-F238E27FC236}">
              <a16:creationId xmlns="" xmlns:a16="http://schemas.microsoft.com/office/drawing/2014/main" id="{00000000-0008-0000-0000-00002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1" name="Text Box 3100">
          <a:extLst>
            <a:ext uri="{FF2B5EF4-FFF2-40B4-BE49-F238E27FC236}">
              <a16:creationId xmlns="" xmlns:a16="http://schemas.microsoft.com/office/drawing/2014/main" id="{00000000-0008-0000-0000-00002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2" name="Text Box 3101">
          <a:extLst>
            <a:ext uri="{FF2B5EF4-FFF2-40B4-BE49-F238E27FC236}">
              <a16:creationId xmlns="" xmlns:a16="http://schemas.microsoft.com/office/drawing/2014/main" id="{00000000-0008-0000-0000-00002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13" name="Text Box 3102">
          <a:extLst>
            <a:ext uri="{FF2B5EF4-FFF2-40B4-BE49-F238E27FC236}">
              <a16:creationId xmlns="" xmlns:a16="http://schemas.microsoft.com/office/drawing/2014/main" id="{00000000-0008-0000-0000-00002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4" name="Text Box 59">
          <a:extLst>
            <a:ext uri="{FF2B5EF4-FFF2-40B4-BE49-F238E27FC236}">
              <a16:creationId xmlns="" xmlns:a16="http://schemas.microsoft.com/office/drawing/2014/main" id="{00000000-0008-0000-0000-00002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5" name="Text Box 60">
          <a:extLst>
            <a:ext uri="{FF2B5EF4-FFF2-40B4-BE49-F238E27FC236}">
              <a16:creationId xmlns="" xmlns:a16="http://schemas.microsoft.com/office/drawing/2014/main" id="{00000000-0008-0000-0000-00002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6" name="Text Box 61">
          <a:extLst>
            <a:ext uri="{FF2B5EF4-FFF2-40B4-BE49-F238E27FC236}">
              <a16:creationId xmlns="" xmlns:a16="http://schemas.microsoft.com/office/drawing/2014/main" id="{00000000-0008-0000-0000-00002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7" name="Text Box 62">
          <a:extLst>
            <a:ext uri="{FF2B5EF4-FFF2-40B4-BE49-F238E27FC236}">
              <a16:creationId xmlns="" xmlns:a16="http://schemas.microsoft.com/office/drawing/2014/main" id="{00000000-0008-0000-0000-00002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8" name="Text Box 63">
          <a:extLst>
            <a:ext uri="{FF2B5EF4-FFF2-40B4-BE49-F238E27FC236}">
              <a16:creationId xmlns="" xmlns:a16="http://schemas.microsoft.com/office/drawing/2014/main" id="{00000000-0008-0000-0000-00002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9" name="Text Box 64">
          <a:extLst>
            <a:ext uri="{FF2B5EF4-FFF2-40B4-BE49-F238E27FC236}">
              <a16:creationId xmlns="" xmlns:a16="http://schemas.microsoft.com/office/drawing/2014/main" id="{00000000-0008-0000-0000-00002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0" name="Text Box 65">
          <a:extLst>
            <a:ext uri="{FF2B5EF4-FFF2-40B4-BE49-F238E27FC236}">
              <a16:creationId xmlns="" xmlns:a16="http://schemas.microsoft.com/office/drawing/2014/main" id="{00000000-0008-0000-0000-00003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1" name="Text Box 66">
          <a:extLst>
            <a:ext uri="{FF2B5EF4-FFF2-40B4-BE49-F238E27FC236}">
              <a16:creationId xmlns="" xmlns:a16="http://schemas.microsoft.com/office/drawing/2014/main" id="{00000000-0008-0000-0000-00003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2" name="Text Box 67">
          <a:extLst>
            <a:ext uri="{FF2B5EF4-FFF2-40B4-BE49-F238E27FC236}">
              <a16:creationId xmlns="" xmlns:a16="http://schemas.microsoft.com/office/drawing/2014/main" id="{00000000-0008-0000-0000-00003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3" name="Text Box 68">
          <a:extLst>
            <a:ext uri="{FF2B5EF4-FFF2-40B4-BE49-F238E27FC236}">
              <a16:creationId xmlns="" xmlns:a16="http://schemas.microsoft.com/office/drawing/2014/main" id="{00000000-0008-0000-0000-00003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4" name="Text Box 69">
          <a:extLst>
            <a:ext uri="{FF2B5EF4-FFF2-40B4-BE49-F238E27FC236}">
              <a16:creationId xmlns="" xmlns:a16="http://schemas.microsoft.com/office/drawing/2014/main" id="{00000000-0008-0000-0000-00003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5" name="Text Box 70">
          <a:extLst>
            <a:ext uri="{FF2B5EF4-FFF2-40B4-BE49-F238E27FC236}">
              <a16:creationId xmlns="" xmlns:a16="http://schemas.microsoft.com/office/drawing/2014/main" id="{00000000-0008-0000-0000-00003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6" name="Text Box 71">
          <a:extLst>
            <a:ext uri="{FF2B5EF4-FFF2-40B4-BE49-F238E27FC236}">
              <a16:creationId xmlns="" xmlns:a16="http://schemas.microsoft.com/office/drawing/2014/main" id="{00000000-0008-0000-0000-00003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7" name="Text Box 72">
          <a:extLst>
            <a:ext uri="{FF2B5EF4-FFF2-40B4-BE49-F238E27FC236}">
              <a16:creationId xmlns="" xmlns:a16="http://schemas.microsoft.com/office/drawing/2014/main" id="{00000000-0008-0000-0000-00003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8" name="Text Box 73">
          <a:extLst>
            <a:ext uri="{FF2B5EF4-FFF2-40B4-BE49-F238E27FC236}">
              <a16:creationId xmlns="" xmlns:a16="http://schemas.microsoft.com/office/drawing/2014/main" id="{00000000-0008-0000-0000-00003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9" name="Text Box 74">
          <a:extLst>
            <a:ext uri="{FF2B5EF4-FFF2-40B4-BE49-F238E27FC236}">
              <a16:creationId xmlns="" xmlns:a16="http://schemas.microsoft.com/office/drawing/2014/main" id="{00000000-0008-0000-0000-00003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0" name="Text Box 75">
          <a:extLst>
            <a:ext uri="{FF2B5EF4-FFF2-40B4-BE49-F238E27FC236}">
              <a16:creationId xmlns="" xmlns:a16="http://schemas.microsoft.com/office/drawing/2014/main" id="{00000000-0008-0000-0000-00003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1" name="Text Box 76">
          <a:extLst>
            <a:ext uri="{FF2B5EF4-FFF2-40B4-BE49-F238E27FC236}">
              <a16:creationId xmlns="" xmlns:a16="http://schemas.microsoft.com/office/drawing/2014/main" id="{00000000-0008-0000-0000-00003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2" name="Text Box 77">
          <a:extLst>
            <a:ext uri="{FF2B5EF4-FFF2-40B4-BE49-F238E27FC236}">
              <a16:creationId xmlns="" xmlns:a16="http://schemas.microsoft.com/office/drawing/2014/main" id="{00000000-0008-0000-0000-00003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3" name="Text Box 78">
          <a:extLst>
            <a:ext uri="{FF2B5EF4-FFF2-40B4-BE49-F238E27FC236}">
              <a16:creationId xmlns="" xmlns:a16="http://schemas.microsoft.com/office/drawing/2014/main" id="{00000000-0008-0000-0000-00003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4" name="Text Box 79">
          <a:extLst>
            <a:ext uri="{FF2B5EF4-FFF2-40B4-BE49-F238E27FC236}">
              <a16:creationId xmlns="" xmlns:a16="http://schemas.microsoft.com/office/drawing/2014/main" id="{00000000-0008-0000-0000-00003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5" name="Text Box 80">
          <a:extLst>
            <a:ext uri="{FF2B5EF4-FFF2-40B4-BE49-F238E27FC236}">
              <a16:creationId xmlns="" xmlns:a16="http://schemas.microsoft.com/office/drawing/2014/main" id="{00000000-0008-0000-0000-00003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6" name="Text Box 81">
          <a:extLst>
            <a:ext uri="{FF2B5EF4-FFF2-40B4-BE49-F238E27FC236}">
              <a16:creationId xmlns="" xmlns:a16="http://schemas.microsoft.com/office/drawing/2014/main" id="{00000000-0008-0000-0000-00004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7" name="Text Box 3079">
          <a:extLst>
            <a:ext uri="{FF2B5EF4-FFF2-40B4-BE49-F238E27FC236}">
              <a16:creationId xmlns="" xmlns:a16="http://schemas.microsoft.com/office/drawing/2014/main" id="{00000000-0008-0000-0000-00004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8" name="Text Box 3080">
          <a:extLst>
            <a:ext uri="{FF2B5EF4-FFF2-40B4-BE49-F238E27FC236}">
              <a16:creationId xmlns="" xmlns:a16="http://schemas.microsoft.com/office/drawing/2014/main" id="{00000000-0008-0000-0000-00004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9" name="Text Box 3081">
          <a:extLst>
            <a:ext uri="{FF2B5EF4-FFF2-40B4-BE49-F238E27FC236}">
              <a16:creationId xmlns="" xmlns:a16="http://schemas.microsoft.com/office/drawing/2014/main" id="{00000000-0008-0000-0000-00004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0" name="Text Box 3082">
          <a:extLst>
            <a:ext uri="{FF2B5EF4-FFF2-40B4-BE49-F238E27FC236}">
              <a16:creationId xmlns="" xmlns:a16="http://schemas.microsoft.com/office/drawing/2014/main" id="{00000000-0008-0000-0000-00004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1" name="Text Box 3083">
          <a:extLst>
            <a:ext uri="{FF2B5EF4-FFF2-40B4-BE49-F238E27FC236}">
              <a16:creationId xmlns="" xmlns:a16="http://schemas.microsoft.com/office/drawing/2014/main" id="{00000000-0008-0000-0000-00004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2" name="Text Box 3084">
          <a:extLst>
            <a:ext uri="{FF2B5EF4-FFF2-40B4-BE49-F238E27FC236}">
              <a16:creationId xmlns="" xmlns:a16="http://schemas.microsoft.com/office/drawing/2014/main" id="{00000000-0008-0000-0000-00004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3" name="Text Box 3085">
          <a:extLst>
            <a:ext uri="{FF2B5EF4-FFF2-40B4-BE49-F238E27FC236}">
              <a16:creationId xmlns="" xmlns:a16="http://schemas.microsoft.com/office/drawing/2014/main" id="{00000000-0008-0000-0000-00004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4" name="Text Box 3086">
          <a:extLst>
            <a:ext uri="{FF2B5EF4-FFF2-40B4-BE49-F238E27FC236}">
              <a16:creationId xmlns="" xmlns:a16="http://schemas.microsoft.com/office/drawing/2014/main" id="{00000000-0008-0000-0000-00004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5" name="Text Box 3087">
          <a:extLst>
            <a:ext uri="{FF2B5EF4-FFF2-40B4-BE49-F238E27FC236}">
              <a16:creationId xmlns="" xmlns:a16="http://schemas.microsoft.com/office/drawing/2014/main" id="{00000000-0008-0000-0000-00004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6" name="Text Box 3088">
          <a:extLst>
            <a:ext uri="{FF2B5EF4-FFF2-40B4-BE49-F238E27FC236}">
              <a16:creationId xmlns="" xmlns:a16="http://schemas.microsoft.com/office/drawing/2014/main" id="{00000000-0008-0000-0000-00004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7" name="Text Box 3089">
          <a:extLst>
            <a:ext uri="{FF2B5EF4-FFF2-40B4-BE49-F238E27FC236}">
              <a16:creationId xmlns="" xmlns:a16="http://schemas.microsoft.com/office/drawing/2014/main" id="{00000000-0008-0000-0000-00004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8" name="Text Box 3090">
          <a:extLst>
            <a:ext uri="{FF2B5EF4-FFF2-40B4-BE49-F238E27FC236}">
              <a16:creationId xmlns="" xmlns:a16="http://schemas.microsoft.com/office/drawing/2014/main" id="{00000000-0008-0000-0000-00004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9" name="Text Box 3091">
          <a:extLst>
            <a:ext uri="{FF2B5EF4-FFF2-40B4-BE49-F238E27FC236}">
              <a16:creationId xmlns="" xmlns:a16="http://schemas.microsoft.com/office/drawing/2014/main" id="{00000000-0008-0000-0000-00004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0" name="Text Box 3092">
          <a:extLst>
            <a:ext uri="{FF2B5EF4-FFF2-40B4-BE49-F238E27FC236}">
              <a16:creationId xmlns="" xmlns:a16="http://schemas.microsoft.com/office/drawing/2014/main" id="{00000000-0008-0000-0000-00004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1" name="Text Box 3093">
          <a:extLst>
            <a:ext uri="{FF2B5EF4-FFF2-40B4-BE49-F238E27FC236}">
              <a16:creationId xmlns="" xmlns:a16="http://schemas.microsoft.com/office/drawing/2014/main" id="{00000000-0008-0000-0000-00004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2" name="Text Box 3094">
          <a:extLst>
            <a:ext uri="{FF2B5EF4-FFF2-40B4-BE49-F238E27FC236}">
              <a16:creationId xmlns="" xmlns:a16="http://schemas.microsoft.com/office/drawing/2014/main" id="{00000000-0008-0000-0000-00005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3" name="Text Box 3095">
          <a:extLst>
            <a:ext uri="{FF2B5EF4-FFF2-40B4-BE49-F238E27FC236}">
              <a16:creationId xmlns="" xmlns:a16="http://schemas.microsoft.com/office/drawing/2014/main" id="{00000000-0008-0000-0000-00005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4" name="Text Box 3096">
          <a:extLst>
            <a:ext uri="{FF2B5EF4-FFF2-40B4-BE49-F238E27FC236}">
              <a16:creationId xmlns="" xmlns:a16="http://schemas.microsoft.com/office/drawing/2014/main" id="{00000000-0008-0000-0000-00005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5" name="Text Box 3097">
          <a:extLst>
            <a:ext uri="{FF2B5EF4-FFF2-40B4-BE49-F238E27FC236}">
              <a16:creationId xmlns="" xmlns:a16="http://schemas.microsoft.com/office/drawing/2014/main" id="{00000000-0008-0000-0000-00005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6" name="Text Box 3098">
          <a:extLst>
            <a:ext uri="{FF2B5EF4-FFF2-40B4-BE49-F238E27FC236}">
              <a16:creationId xmlns="" xmlns:a16="http://schemas.microsoft.com/office/drawing/2014/main" id="{00000000-0008-0000-0000-00005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7" name="Text Box 3099">
          <a:extLst>
            <a:ext uri="{FF2B5EF4-FFF2-40B4-BE49-F238E27FC236}">
              <a16:creationId xmlns="" xmlns:a16="http://schemas.microsoft.com/office/drawing/2014/main" id="{00000000-0008-0000-0000-00005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8" name="Text Box 3100">
          <a:extLst>
            <a:ext uri="{FF2B5EF4-FFF2-40B4-BE49-F238E27FC236}">
              <a16:creationId xmlns="" xmlns:a16="http://schemas.microsoft.com/office/drawing/2014/main" id="{00000000-0008-0000-0000-00005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9" name="Text Box 3101">
          <a:extLst>
            <a:ext uri="{FF2B5EF4-FFF2-40B4-BE49-F238E27FC236}">
              <a16:creationId xmlns="" xmlns:a16="http://schemas.microsoft.com/office/drawing/2014/main" id="{00000000-0008-0000-0000-00005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60" name="Text Box 3102">
          <a:extLst>
            <a:ext uri="{FF2B5EF4-FFF2-40B4-BE49-F238E27FC236}">
              <a16:creationId xmlns="" xmlns:a16="http://schemas.microsoft.com/office/drawing/2014/main" id="{00000000-0008-0000-0000-00005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1" name="Text Box 59">
          <a:extLst>
            <a:ext uri="{FF2B5EF4-FFF2-40B4-BE49-F238E27FC236}">
              <a16:creationId xmlns="" xmlns:a16="http://schemas.microsoft.com/office/drawing/2014/main" id="{00000000-0008-0000-0000-00005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2" name="Text Box 60">
          <a:extLst>
            <a:ext uri="{FF2B5EF4-FFF2-40B4-BE49-F238E27FC236}">
              <a16:creationId xmlns="" xmlns:a16="http://schemas.microsoft.com/office/drawing/2014/main" id="{00000000-0008-0000-0000-00005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3" name="Text Box 61">
          <a:extLst>
            <a:ext uri="{FF2B5EF4-FFF2-40B4-BE49-F238E27FC236}">
              <a16:creationId xmlns="" xmlns:a16="http://schemas.microsoft.com/office/drawing/2014/main" id="{00000000-0008-0000-0000-00005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4" name="Text Box 62">
          <a:extLst>
            <a:ext uri="{FF2B5EF4-FFF2-40B4-BE49-F238E27FC236}">
              <a16:creationId xmlns="" xmlns:a16="http://schemas.microsoft.com/office/drawing/2014/main" id="{00000000-0008-0000-0000-00005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5" name="Text Box 63">
          <a:extLst>
            <a:ext uri="{FF2B5EF4-FFF2-40B4-BE49-F238E27FC236}">
              <a16:creationId xmlns="" xmlns:a16="http://schemas.microsoft.com/office/drawing/2014/main" id="{00000000-0008-0000-0000-00005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6" name="Text Box 64">
          <a:extLst>
            <a:ext uri="{FF2B5EF4-FFF2-40B4-BE49-F238E27FC236}">
              <a16:creationId xmlns="" xmlns:a16="http://schemas.microsoft.com/office/drawing/2014/main" id="{00000000-0008-0000-0000-00005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7" name="Text Box 65">
          <a:extLst>
            <a:ext uri="{FF2B5EF4-FFF2-40B4-BE49-F238E27FC236}">
              <a16:creationId xmlns="" xmlns:a16="http://schemas.microsoft.com/office/drawing/2014/main" id="{00000000-0008-0000-0000-00005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8" name="Text Box 66">
          <a:extLst>
            <a:ext uri="{FF2B5EF4-FFF2-40B4-BE49-F238E27FC236}">
              <a16:creationId xmlns="" xmlns:a16="http://schemas.microsoft.com/office/drawing/2014/main" id="{00000000-0008-0000-0000-00006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9" name="Text Box 67">
          <a:extLst>
            <a:ext uri="{FF2B5EF4-FFF2-40B4-BE49-F238E27FC236}">
              <a16:creationId xmlns="" xmlns:a16="http://schemas.microsoft.com/office/drawing/2014/main" id="{00000000-0008-0000-0000-00006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0" name="Text Box 68">
          <a:extLst>
            <a:ext uri="{FF2B5EF4-FFF2-40B4-BE49-F238E27FC236}">
              <a16:creationId xmlns="" xmlns:a16="http://schemas.microsoft.com/office/drawing/2014/main" id="{00000000-0008-0000-0000-00006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1" name="Text Box 69">
          <a:extLst>
            <a:ext uri="{FF2B5EF4-FFF2-40B4-BE49-F238E27FC236}">
              <a16:creationId xmlns="" xmlns:a16="http://schemas.microsoft.com/office/drawing/2014/main" id="{00000000-0008-0000-0000-00006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2" name="Text Box 70">
          <a:extLst>
            <a:ext uri="{FF2B5EF4-FFF2-40B4-BE49-F238E27FC236}">
              <a16:creationId xmlns="" xmlns:a16="http://schemas.microsoft.com/office/drawing/2014/main" id="{00000000-0008-0000-0000-00006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3" name="Text Box 71">
          <a:extLst>
            <a:ext uri="{FF2B5EF4-FFF2-40B4-BE49-F238E27FC236}">
              <a16:creationId xmlns="" xmlns:a16="http://schemas.microsoft.com/office/drawing/2014/main" id="{00000000-0008-0000-0000-00006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4" name="Text Box 72">
          <a:extLst>
            <a:ext uri="{FF2B5EF4-FFF2-40B4-BE49-F238E27FC236}">
              <a16:creationId xmlns="" xmlns:a16="http://schemas.microsoft.com/office/drawing/2014/main" id="{00000000-0008-0000-0000-00006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5" name="Text Box 73">
          <a:extLst>
            <a:ext uri="{FF2B5EF4-FFF2-40B4-BE49-F238E27FC236}">
              <a16:creationId xmlns="" xmlns:a16="http://schemas.microsoft.com/office/drawing/2014/main" id="{00000000-0008-0000-0000-00006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6" name="Text Box 74">
          <a:extLst>
            <a:ext uri="{FF2B5EF4-FFF2-40B4-BE49-F238E27FC236}">
              <a16:creationId xmlns="" xmlns:a16="http://schemas.microsoft.com/office/drawing/2014/main" id="{00000000-0008-0000-0000-00006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7" name="Text Box 75">
          <a:extLst>
            <a:ext uri="{FF2B5EF4-FFF2-40B4-BE49-F238E27FC236}">
              <a16:creationId xmlns="" xmlns:a16="http://schemas.microsoft.com/office/drawing/2014/main" id="{00000000-0008-0000-0000-00006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8" name="Text Box 76">
          <a:extLst>
            <a:ext uri="{FF2B5EF4-FFF2-40B4-BE49-F238E27FC236}">
              <a16:creationId xmlns="" xmlns:a16="http://schemas.microsoft.com/office/drawing/2014/main" id="{00000000-0008-0000-0000-00006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9" name="Text Box 77">
          <a:extLst>
            <a:ext uri="{FF2B5EF4-FFF2-40B4-BE49-F238E27FC236}">
              <a16:creationId xmlns="" xmlns:a16="http://schemas.microsoft.com/office/drawing/2014/main" id="{00000000-0008-0000-0000-00006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0" name="Text Box 78">
          <a:extLst>
            <a:ext uri="{FF2B5EF4-FFF2-40B4-BE49-F238E27FC236}">
              <a16:creationId xmlns="" xmlns:a16="http://schemas.microsoft.com/office/drawing/2014/main" id="{00000000-0008-0000-0000-00006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1" name="Text Box 79">
          <a:extLst>
            <a:ext uri="{FF2B5EF4-FFF2-40B4-BE49-F238E27FC236}">
              <a16:creationId xmlns="" xmlns:a16="http://schemas.microsoft.com/office/drawing/2014/main" id="{00000000-0008-0000-0000-00006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2" name="Text Box 80">
          <a:extLst>
            <a:ext uri="{FF2B5EF4-FFF2-40B4-BE49-F238E27FC236}">
              <a16:creationId xmlns="" xmlns:a16="http://schemas.microsoft.com/office/drawing/2014/main" id="{00000000-0008-0000-0000-00006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3" name="Text Box 81">
          <a:extLst>
            <a:ext uri="{FF2B5EF4-FFF2-40B4-BE49-F238E27FC236}">
              <a16:creationId xmlns="" xmlns:a16="http://schemas.microsoft.com/office/drawing/2014/main" id="{00000000-0008-0000-0000-00006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184" name="Text Box 82">
          <a:extLst>
            <a:ext uri="{FF2B5EF4-FFF2-40B4-BE49-F238E27FC236}">
              <a16:creationId xmlns="" xmlns:a16="http://schemas.microsoft.com/office/drawing/2014/main" id="{00000000-0008-0000-0000-00007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5" name="Text Box 3079">
          <a:extLst>
            <a:ext uri="{FF2B5EF4-FFF2-40B4-BE49-F238E27FC236}">
              <a16:creationId xmlns="" xmlns:a16="http://schemas.microsoft.com/office/drawing/2014/main" id="{00000000-0008-0000-0000-00007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6" name="Text Box 3080">
          <a:extLst>
            <a:ext uri="{FF2B5EF4-FFF2-40B4-BE49-F238E27FC236}">
              <a16:creationId xmlns="" xmlns:a16="http://schemas.microsoft.com/office/drawing/2014/main" id="{00000000-0008-0000-0000-00007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7" name="Text Box 3081">
          <a:extLst>
            <a:ext uri="{FF2B5EF4-FFF2-40B4-BE49-F238E27FC236}">
              <a16:creationId xmlns="" xmlns:a16="http://schemas.microsoft.com/office/drawing/2014/main" id="{00000000-0008-0000-0000-00007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8" name="Text Box 3082">
          <a:extLst>
            <a:ext uri="{FF2B5EF4-FFF2-40B4-BE49-F238E27FC236}">
              <a16:creationId xmlns="" xmlns:a16="http://schemas.microsoft.com/office/drawing/2014/main" id="{00000000-0008-0000-0000-00007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9" name="Text Box 3083">
          <a:extLst>
            <a:ext uri="{FF2B5EF4-FFF2-40B4-BE49-F238E27FC236}">
              <a16:creationId xmlns="" xmlns:a16="http://schemas.microsoft.com/office/drawing/2014/main" id="{00000000-0008-0000-0000-00007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0" name="Text Box 3084">
          <a:extLst>
            <a:ext uri="{FF2B5EF4-FFF2-40B4-BE49-F238E27FC236}">
              <a16:creationId xmlns="" xmlns:a16="http://schemas.microsoft.com/office/drawing/2014/main" id="{00000000-0008-0000-0000-00007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1" name="Text Box 3085">
          <a:extLst>
            <a:ext uri="{FF2B5EF4-FFF2-40B4-BE49-F238E27FC236}">
              <a16:creationId xmlns="" xmlns:a16="http://schemas.microsoft.com/office/drawing/2014/main" id="{00000000-0008-0000-0000-00007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2" name="Text Box 3086">
          <a:extLst>
            <a:ext uri="{FF2B5EF4-FFF2-40B4-BE49-F238E27FC236}">
              <a16:creationId xmlns="" xmlns:a16="http://schemas.microsoft.com/office/drawing/2014/main" id="{00000000-0008-0000-0000-00007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3" name="Text Box 3087">
          <a:extLst>
            <a:ext uri="{FF2B5EF4-FFF2-40B4-BE49-F238E27FC236}">
              <a16:creationId xmlns="" xmlns:a16="http://schemas.microsoft.com/office/drawing/2014/main" id="{00000000-0008-0000-0000-00007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4" name="Text Box 3088">
          <a:extLst>
            <a:ext uri="{FF2B5EF4-FFF2-40B4-BE49-F238E27FC236}">
              <a16:creationId xmlns="" xmlns:a16="http://schemas.microsoft.com/office/drawing/2014/main" id="{00000000-0008-0000-0000-00007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5" name="Text Box 3089">
          <a:extLst>
            <a:ext uri="{FF2B5EF4-FFF2-40B4-BE49-F238E27FC236}">
              <a16:creationId xmlns="" xmlns:a16="http://schemas.microsoft.com/office/drawing/2014/main" id="{00000000-0008-0000-0000-00007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6" name="Text Box 3090">
          <a:extLst>
            <a:ext uri="{FF2B5EF4-FFF2-40B4-BE49-F238E27FC236}">
              <a16:creationId xmlns="" xmlns:a16="http://schemas.microsoft.com/office/drawing/2014/main" id="{00000000-0008-0000-0000-00007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7" name="Text Box 3091">
          <a:extLst>
            <a:ext uri="{FF2B5EF4-FFF2-40B4-BE49-F238E27FC236}">
              <a16:creationId xmlns="" xmlns:a16="http://schemas.microsoft.com/office/drawing/2014/main" id="{00000000-0008-0000-0000-00007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8" name="Text Box 3092">
          <a:extLst>
            <a:ext uri="{FF2B5EF4-FFF2-40B4-BE49-F238E27FC236}">
              <a16:creationId xmlns="" xmlns:a16="http://schemas.microsoft.com/office/drawing/2014/main" id="{00000000-0008-0000-0000-00007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9" name="Text Box 3093">
          <a:extLst>
            <a:ext uri="{FF2B5EF4-FFF2-40B4-BE49-F238E27FC236}">
              <a16:creationId xmlns="" xmlns:a16="http://schemas.microsoft.com/office/drawing/2014/main" id="{00000000-0008-0000-0000-00007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0" name="Text Box 3094">
          <a:extLst>
            <a:ext uri="{FF2B5EF4-FFF2-40B4-BE49-F238E27FC236}">
              <a16:creationId xmlns="" xmlns:a16="http://schemas.microsoft.com/office/drawing/2014/main" id="{00000000-0008-0000-0000-00008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1" name="Text Box 3095">
          <a:extLst>
            <a:ext uri="{FF2B5EF4-FFF2-40B4-BE49-F238E27FC236}">
              <a16:creationId xmlns="" xmlns:a16="http://schemas.microsoft.com/office/drawing/2014/main" id="{00000000-0008-0000-0000-00008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2" name="Text Box 3096">
          <a:extLst>
            <a:ext uri="{FF2B5EF4-FFF2-40B4-BE49-F238E27FC236}">
              <a16:creationId xmlns="" xmlns:a16="http://schemas.microsoft.com/office/drawing/2014/main" id="{00000000-0008-0000-0000-00008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3" name="Text Box 3097">
          <a:extLst>
            <a:ext uri="{FF2B5EF4-FFF2-40B4-BE49-F238E27FC236}">
              <a16:creationId xmlns="" xmlns:a16="http://schemas.microsoft.com/office/drawing/2014/main" id="{00000000-0008-0000-0000-00008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4" name="Text Box 3098">
          <a:extLst>
            <a:ext uri="{FF2B5EF4-FFF2-40B4-BE49-F238E27FC236}">
              <a16:creationId xmlns="" xmlns:a16="http://schemas.microsoft.com/office/drawing/2014/main" id="{00000000-0008-0000-0000-00008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5" name="Text Box 3099">
          <a:extLst>
            <a:ext uri="{FF2B5EF4-FFF2-40B4-BE49-F238E27FC236}">
              <a16:creationId xmlns="" xmlns:a16="http://schemas.microsoft.com/office/drawing/2014/main" id="{00000000-0008-0000-0000-00008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6" name="Text Box 3100">
          <a:extLst>
            <a:ext uri="{FF2B5EF4-FFF2-40B4-BE49-F238E27FC236}">
              <a16:creationId xmlns="" xmlns:a16="http://schemas.microsoft.com/office/drawing/2014/main" id="{00000000-0008-0000-0000-00008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7" name="Text Box 3101">
          <a:extLst>
            <a:ext uri="{FF2B5EF4-FFF2-40B4-BE49-F238E27FC236}">
              <a16:creationId xmlns="" xmlns:a16="http://schemas.microsoft.com/office/drawing/2014/main" id="{00000000-0008-0000-0000-00008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208" name="Text Box 3102">
          <a:extLst>
            <a:ext uri="{FF2B5EF4-FFF2-40B4-BE49-F238E27FC236}">
              <a16:creationId xmlns="" xmlns:a16="http://schemas.microsoft.com/office/drawing/2014/main" id="{00000000-0008-0000-0000-00008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09" name="Text Box 59">
          <a:extLst>
            <a:ext uri="{FF2B5EF4-FFF2-40B4-BE49-F238E27FC236}">
              <a16:creationId xmlns="" xmlns:a16="http://schemas.microsoft.com/office/drawing/2014/main" id="{00000000-0008-0000-0000-00008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0" name="Text Box 60">
          <a:extLst>
            <a:ext uri="{FF2B5EF4-FFF2-40B4-BE49-F238E27FC236}">
              <a16:creationId xmlns="" xmlns:a16="http://schemas.microsoft.com/office/drawing/2014/main" id="{00000000-0008-0000-0000-00008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1" name="Text Box 61">
          <a:extLst>
            <a:ext uri="{FF2B5EF4-FFF2-40B4-BE49-F238E27FC236}">
              <a16:creationId xmlns="" xmlns:a16="http://schemas.microsoft.com/office/drawing/2014/main" id="{00000000-0008-0000-0000-00008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2" name="Text Box 62">
          <a:extLst>
            <a:ext uri="{FF2B5EF4-FFF2-40B4-BE49-F238E27FC236}">
              <a16:creationId xmlns="" xmlns:a16="http://schemas.microsoft.com/office/drawing/2014/main" id="{00000000-0008-0000-0000-00008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3" name="Text Box 63">
          <a:extLst>
            <a:ext uri="{FF2B5EF4-FFF2-40B4-BE49-F238E27FC236}">
              <a16:creationId xmlns="" xmlns:a16="http://schemas.microsoft.com/office/drawing/2014/main" id="{00000000-0008-0000-0000-00008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4" name="Text Box 64">
          <a:extLst>
            <a:ext uri="{FF2B5EF4-FFF2-40B4-BE49-F238E27FC236}">
              <a16:creationId xmlns="" xmlns:a16="http://schemas.microsoft.com/office/drawing/2014/main" id="{00000000-0008-0000-0000-00008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5" name="Text Box 65">
          <a:extLst>
            <a:ext uri="{FF2B5EF4-FFF2-40B4-BE49-F238E27FC236}">
              <a16:creationId xmlns="" xmlns:a16="http://schemas.microsoft.com/office/drawing/2014/main" id="{00000000-0008-0000-0000-00008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6" name="Text Box 66">
          <a:extLst>
            <a:ext uri="{FF2B5EF4-FFF2-40B4-BE49-F238E27FC236}">
              <a16:creationId xmlns="" xmlns:a16="http://schemas.microsoft.com/office/drawing/2014/main" id="{00000000-0008-0000-0000-00009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7" name="Text Box 67">
          <a:extLst>
            <a:ext uri="{FF2B5EF4-FFF2-40B4-BE49-F238E27FC236}">
              <a16:creationId xmlns="" xmlns:a16="http://schemas.microsoft.com/office/drawing/2014/main" id="{00000000-0008-0000-0000-00009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8" name="Text Box 68">
          <a:extLst>
            <a:ext uri="{FF2B5EF4-FFF2-40B4-BE49-F238E27FC236}">
              <a16:creationId xmlns="" xmlns:a16="http://schemas.microsoft.com/office/drawing/2014/main" id="{00000000-0008-0000-0000-00009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9" name="Text Box 69">
          <a:extLst>
            <a:ext uri="{FF2B5EF4-FFF2-40B4-BE49-F238E27FC236}">
              <a16:creationId xmlns="" xmlns:a16="http://schemas.microsoft.com/office/drawing/2014/main" id="{00000000-0008-0000-0000-00009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0" name="Text Box 70">
          <a:extLst>
            <a:ext uri="{FF2B5EF4-FFF2-40B4-BE49-F238E27FC236}">
              <a16:creationId xmlns="" xmlns:a16="http://schemas.microsoft.com/office/drawing/2014/main" id="{00000000-0008-0000-0000-00009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1" name="Text Box 71">
          <a:extLst>
            <a:ext uri="{FF2B5EF4-FFF2-40B4-BE49-F238E27FC236}">
              <a16:creationId xmlns="" xmlns:a16="http://schemas.microsoft.com/office/drawing/2014/main" id="{00000000-0008-0000-0000-00009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2" name="Text Box 72">
          <a:extLst>
            <a:ext uri="{FF2B5EF4-FFF2-40B4-BE49-F238E27FC236}">
              <a16:creationId xmlns="" xmlns:a16="http://schemas.microsoft.com/office/drawing/2014/main" id="{00000000-0008-0000-0000-00009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3" name="Text Box 73">
          <a:extLst>
            <a:ext uri="{FF2B5EF4-FFF2-40B4-BE49-F238E27FC236}">
              <a16:creationId xmlns="" xmlns:a16="http://schemas.microsoft.com/office/drawing/2014/main" id="{00000000-0008-0000-0000-00009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4" name="Text Box 74">
          <a:extLst>
            <a:ext uri="{FF2B5EF4-FFF2-40B4-BE49-F238E27FC236}">
              <a16:creationId xmlns="" xmlns:a16="http://schemas.microsoft.com/office/drawing/2014/main" id="{00000000-0008-0000-0000-00009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5" name="Text Box 75">
          <a:extLst>
            <a:ext uri="{FF2B5EF4-FFF2-40B4-BE49-F238E27FC236}">
              <a16:creationId xmlns="" xmlns:a16="http://schemas.microsoft.com/office/drawing/2014/main" id="{00000000-0008-0000-0000-00009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6" name="Text Box 76">
          <a:extLst>
            <a:ext uri="{FF2B5EF4-FFF2-40B4-BE49-F238E27FC236}">
              <a16:creationId xmlns="" xmlns:a16="http://schemas.microsoft.com/office/drawing/2014/main" id="{00000000-0008-0000-0000-00009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7" name="Text Box 77">
          <a:extLst>
            <a:ext uri="{FF2B5EF4-FFF2-40B4-BE49-F238E27FC236}">
              <a16:creationId xmlns="" xmlns:a16="http://schemas.microsoft.com/office/drawing/2014/main" id="{00000000-0008-0000-0000-00009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8" name="Text Box 78">
          <a:extLst>
            <a:ext uri="{FF2B5EF4-FFF2-40B4-BE49-F238E27FC236}">
              <a16:creationId xmlns="" xmlns:a16="http://schemas.microsoft.com/office/drawing/2014/main" id="{00000000-0008-0000-0000-00009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9" name="Text Box 79">
          <a:extLst>
            <a:ext uri="{FF2B5EF4-FFF2-40B4-BE49-F238E27FC236}">
              <a16:creationId xmlns="" xmlns:a16="http://schemas.microsoft.com/office/drawing/2014/main" id="{00000000-0008-0000-0000-00009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0" name="Text Box 80">
          <a:extLst>
            <a:ext uri="{FF2B5EF4-FFF2-40B4-BE49-F238E27FC236}">
              <a16:creationId xmlns="" xmlns:a16="http://schemas.microsoft.com/office/drawing/2014/main" id="{00000000-0008-0000-0000-00009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1" name="Text Box 81">
          <a:extLst>
            <a:ext uri="{FF2B5EF4-FFF2-40B4-BE49-F238E27FC236}">
              <a16:creationId xmlns="" xmlns:a16="http://schemas.microsoft.com/office/drawing/2014/main" id="{00000000-0008-0000-0000-00009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2" name="Text Box 3079">
          <a:extLst>
            <a:ext uri="{FF2B5EF4-FFF2-40B4-BE49-F238E27FC236}">
              <a16:creationId xmlns="" xmlns:a16="http://schemas.microsoft.com/office/drawing/2014/main" id="{00000000-0008-0000-0000-0000A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3" name="Text Box 3080">
          <a:extLst>
            <a:ext uri="{FF2B5EF4-FFF2-40B4-BE49-F238E27FC236}">
              <a16:creationId xmlns="" xmlns:a16="http://schemas.microsoft.com/office/drawing/2014/main" id="{00000000-0008-0000-0000-0000A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4" name="Text Box 3081">
          <a:extLst>
            <a:ext uri="{FF2B5EF4-FFF2-40B4-BE49-F238E27FC236}">
              <a16:creationId xmlns="" xmlns:a16="http://schemas.microsoft.com/office/drawing/2014/main" id="{00000000-0008-0000-0000-0000A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5" name="Text Box 3082">
          <a:extLst>
            <a:ext uri="{FF2B5EF4-FFF2-40B4-BE49-F238E27FC236}">
              <a16:creationId xmlns="" xmlns:a16="http://schemas.microsoft.com/office/drawing/2014/main" id="{00000000-0008-0000-0000-0000A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6" name="Text Box 3083">
          <a:extLst>
            <a:ext uri="{FF2B5EF4-FFF2-40B4-BE49-F238E27FC236}">
              <a16:creationId xmlns="" xmlns:a16="http://schemas.microsoft.com/office/drawing/2014/main" id="{00000000-0008-0000-0000-0000A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7" name="Text Box 3084">
          <a:extLst>
            <a:ext uri="{FF2B5EF4-FFF2-40B4-BE49-F238E27FC236}">
              <a16:creationId xmlns="" xmlns:a16="http://schemas.microsoft.com/office/drawing/2014/main" id="{00000000-0008-0000-0000-0000A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8" name="Text Box 3085">
          <a:extLst>
            <a:ext uri="{FF2B5EF4-FFF2-40B4-BE49-F238E27FC236}">
              <a16:creationId xmlns="" xmlns:a16="http://schemas.microsoft.com/office/drawing/2014/main" id="{00000000-0008-0000-0000-0000A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9" name="Text Box 3086">
          <a:extLst>
            <a:ext uri="{FF2B5EF4-FFF2-40B4-BE49-F238E27FC236}">
              <a16:creationId xmlns="" xmlns:a16="http://schemas.microsoft.com/office/drawing/2014/main" id="{00000000-0008-0000-0000-0000A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0" name="Text Box 3087">
          <a:extLst>
            <a:ext uri="{FF2B5EF4-FFF2-40B4-BE49-F238E27FC236}">
              <a16:creationId xmlns="" xmlns:a16="http://schemas.microsoft.com/office/drawing/2014/main" id="{00000000-0008-0000-0000-0000A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1" name="Text Box 3088">
          <a:extLst>
            <a:ext uri="{FF2B5EF4-FFF2-40B4-BE49-F238E27FC236}">
              <a16:creationId xmlns="" xmlns:a16="http://schemas.microsoft.com/office/drawing/2014/main" id="{00000000-0008-0000-0000-0000A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2" name="Text Box 3089">
          <a:extLst>
            <a:ext uri="{FF2B5EF4-FFF2-40B4-BE49-F238E27FC236}">
              <a16:creationId xmlns="" xmlns:a16="http://schemas.microsoft.com/office/drawing/2014/main" id="{00000000-0008-0000-0000-0000A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3" name="Text Box 3090">
          <a:extLst>
            <a:ext uri="{FF2B5EF4-FFF2-40B4-BE49-F238E27FC236}">
              <a16:creationId xmlns="" xmlns:a16="http://schemas.microsoft.com/office/drawing/2014/main" id="{00000000-0008-0000-0000-0000A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4" name="Text Box 3091">
          <a:extLst>
            <a:ext uri="{FF2B5EF4-FFF2-40B4-BE49-F238E27FC236}">
              <a16:creationId xmlns="" xmlns:a16="http://schemas.microsoft.com/office/drawing/2014/main" id="{00000000-0008-0000-0000-0000A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5" name="Text Box 3092">
          <a:extLst>
            <a:ext uri="{FF2B5EF4-FFF2-40B4-BE49-F238E27FC236}">
              <a16:creationId xmlns="" xmlns:a16="http://schemas.microsoft.com/office/drawing/2014/main" id="{00000000-0008-0000-0000-0000A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6" name="Text Box 3093">
          <a:extLst>
            <a:ext uri="{FF2B5EF4-FFF2-40B4-BE49-F238E27FC236}">
              <a16:creationId xmlns="" xmlns:a16="http://schemas.microsoft.com/office/drawing/2014/main" id="{00000000-0008-0000-0000-0000A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7" name="Text Box 3094">
          <a:extLst>
            <a:ext uri="{FF2B5EF4-FFF2-40B4-BE49-F238E27FC236}">
              <a16:creationId xmlns="" xmlns:a16="http://schemas.microsoft.com/office/drawing/2014/main" id="{00000000-0008-0000-0000-0000A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8" name="Text Box 3095">
          <a:extLst>
            <a:ext uri="{FF2B5EF4-FFF2-40B4-BE49-F238E27FC236}">
              <a16:creationId xmlns="" xmlns:a16="http://schemas.microsoft.com/office/drawing/2014/main" id="{00000000-0008-0000-0000-0000B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9" name="Text Box 3096">
          <a:extLst>
            <a:ext uri="{FF2B5EF4-FFF2-40B4-BE49-F238E27FC236}">
              <a16:creationId xmlns="" xmlns:a16="http://schemas.microsoft.com/office/drawing/2014/main" id="{00000000-0008-0000-0000-0000B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0" name="Text Box 3097">
          <a:extLst>
            <a:ext uri="{FF2B5EF4-FFF2-40B4-BE49-F238E27FC236}">
              <a16:creationId xmlns="" xmlns:a16="http://schemas.microsoft.com/office/drawing/2014/main" id="{00000000-0008-0000-0000-0000B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1" name="Text Box 3098">
          <a:extLst>
            <a:ext uri="{FF2B5EF4-FFF2-40B4-BE49-F238E27FC236}">
              <a16:creationId xmlns="" xmlns:a16="http://schemas.microsoft.com/office/drawing/2014/main" id="{00000000-0008-0000-0000-0000B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2" name="Text Box 3099">
          <a:extLst>
            <a:ext uri="{FF2B5EF4-FFF2-40B4-BE49-F238E27FC236}">
              <a16:creationId xmlns="" xmlns:a16="http://schemas.microsoft.com/office/drawing/2014/main" id="{00000000-0008-0000-0000-0000B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3" name="Text Box 3100">
          <a:extLst>
            <a:ext uri="{FF2B5EF4-FFF2-40B4-BE49-F238E27FC236}">
              <a16:creationId xmlns="" xmlns:a16="http://schemas.microsoft.com/office/drawing/2014/main" id="{00000000-0008-0000-0000-0000B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4" name="Text Box 3101">
          <a:extLst>
            <a:ext uri="{FF2B5EF4-FFF2-40B4-BE49-F238E27FC236}">
              <a16:creationId xmlns="" xmlns:a16="http://schemas.microsoft.com/office/drawing/2014/main" id="{00000000-0008-0000-0000-0000B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255" name="Text Box 3102">
          <a:extLst>
            <a:ext uri="{FF2B5EF4-FFF2-40B4-BE49-F238E27FC236}">
              <a16:creationId xmlns="" xmlns:a16="http://schemas.microsoft.com/office/drawing/2014/main" id="{00000000-0008-0000-0000-0000B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6" name="Text Box 59">
          <a:extLst>
            <a:ext uri="{FF2B5EF4-FFF2-40B4-BE49-F238E27FC236}">
              <a16:creationId xmlns="" xmlns:a16="http://schemas.microsoft.com/office/drawing/2014/main" id="{00000000-0008-0000-0000-0000B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7" name="Text Box 60">
          <a:extLst>
            <a:ext uri="{FF2B5EF4-FFF2-40B4-BE49-F238E27FC236}">
              <a16:creationId xmlns="" xmlns:a16="http://schemas.microsoft.com/office/drawing/2014/main" id="{00000000-0008-0000-0000-0000B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8" name="Text Box 61">
          <a:extLst>
            <a:ext uri="{FF2B5EF4-FFF2-40B4-BE49-F238E27FC236}">
              <a16:creationId xmlns="" xmlns:a16="http://schemas.microsoft.com/office/drawing/2014/main" id="{00000000-0008-0000-0000-0000B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9" name="Text Box 62">
          <a:extLst>
            <a:ext uri="{FF2B5EF4-FFF2-40B4-BE49-F238E27FC236}">
              <a16:creationId xmlns="" xmlns:a16="http://schemas.microsoft.com/office/drawing/2014/main" id="{00000000-0008-0000-0000-0000B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0" name="Text Box 63">
          <a:extLst>
            <a:ext uri="{FF2B5EF4-FFF2-40B4-BE49-F238E27FC236}">
              <a16:creationId xmlns="" xmlns:a16="http://schemas.microsoft.com/office/drawing/2014/main" id="{00000000-0008-0000-0000-0000B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1" name="Text Box 64">
          <a:extLst>
            <a:ext uri="{FF2B5EF4-FFF2-40B4-BE49-F238E27FC236}">
              <a16:creationId xmlns="" xmlns:a16="http://schemas.microsoft.com/office/drawing/2014/main" id="{00000000-0008-0000-0000-0000B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2" name="Text Box 65">
          <a:extLst>
            <a:ext uri="{FF2B5EF4-FFF2-40B4-BE49-F238E27FC236}">
              <a16:creationId xmlns="" xmlns:a16="http://schemas.microsoft.com/office/drawing/2014/main" id="{00000000-0008-0000-0000-0000B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3" name="Text Box 66">
          <a:extLst>
            <a:ext uri="{FF2B5EF4-FFF2-40B4-BE49-F238E27FC236}">
              <a16:creationId xmlns="" xmlns:a16="http://schemas.microsoft.com/office/drawing/2014/main" id="{00000000-0008-0000-0000-0000B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4" name="Text Box 67">
          <a:extLst>
            <a:ext uri="{FF2B5EF4-FFF2-40B4-BE49-F238E27FC236}">
              <a16:creationId xmlns="" xmlns:a16="http://schemas.microsoft.com/office/drawing/2014/main" id="{00000000-0008-0000-0000-0000C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5" name="Text Box 68">
          <a:extLst>
            <a:ext uri="{FF2B5EF4-FFF2-40B4-BE49-F238E27FC236}">
              <a16:creationId xmlns="" xmlns:a16="http://schemas.microsoft.com/office/drawing/2014/main" id="{00000000-0008-0000-0000-0000C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6" name="Text Box 69">
          <a:extLst>
            <a:ext uri="{FF2B5EF4-FFF2-40B4-BE49-F238E27FC236}">
              <a16:creationId xmlns="" xmlns:a16="http://schemas.microsoft.com/office/drawing/2014/main" id="{00000000-0008-0000-0000-0000C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7" name="Text Box 70">
          <a:extLst>
            <a:ext uri="{FF2B5EF4-FFF2-40B4-BE49-F238E27FC236}">
              <a16:creationId xmlns="" xmlns:a16="http://schemas.microsoft.com/office/drawing/2014/main" id="{00000000-0008-0000-0000-0000C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8" name="Text Box 71">
          <a:extLst>
            <a:ext uri="{FF2B5EF4-FFF2-40B4-BE49-F238E27FC236}">
              <a16:creationId xmlns="" xmlns:a16="http://schemas.microsoft.com/office/drawing/2014/main" id="{00000000-0008-0000-0000-0000C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9" name="Text Box 72">
          <a:extLst>
            <a:ext uri="{FF2B5EF4-FFF2-40B4-BE49-F238E27FC236}">
              <a16:creationId xmlns="" xmlns:a16="http://schemas.microsoft.com/office/drawing/2014/main" id="{00000000-0008-0000-0000-0000C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0" name="Text Box 73">
          <a:extLst>
            <a:ext uri="{FF2B5EF4-FFF2-40B4-BE49-F238E27FC236}">
              <a16:creationId xmlns="" xmlns:a16="http://schemas.microsoft.com/office/drawing/2014/main" id="{00000000-0008-0000-0000-0000C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1" name="Text Box 74">
          <a:extLst>
            <a:ext uri="{FF2B5EF4-FFF2-40B4-BE49-F238E27FC236}">
              <a16:creationId xmlns="" xmlns:a16="http://schemas.microsoft.com/office/drawing/2014/main" id="{00000000-0008-0000-0000-0000C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2" name="Text Box 75">
          <a:extLst>
            <a:ext uri="{FF2B5EF4-FFF2-40B4-BE49-F238E27FC236}">
              <a16:creationId xmlns="" xmlns:a16="http://schemas.microsoft.com/office/drawing/2014/main" id="{00000000-0008-0000-0000-0000C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3" name="Text Box 76">
          <a:extLst>
            <a:ext uri="{FF2B5EF4-FFF2-40B4-BE49-F238E27FC236}">
              <a16:creationId xmlns="" xmlns:a16="http://schemas.microsoft.com/office/drawing/2014/main" id="{00000000-0008-0000-0000-0000C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4" name="Text Box 77">
          <a:extLst>
            <a:ext uri="{FF2B5EF4-FFF2-40B4-BE49-F238E27FC236}">
              <a16:creationId xmlns="" xmlns:a16="http://schemas.microsoft.com/office/drawing/2014/main" id="{00000000-0008-0000-0000-0000C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5" name="Text Box 78">
          <a:extLst>
            <a:ext uri="{FF2B5EF4-FFF2-40B4-BE49-F238E27FC236}">
              <a16:creationId xmlns="" xmlns:a16="http://schemas.microsoft.com/office/drawing/2014/main" id="{00000000-0008-0000-0000-0000C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6" name="Text Box 79">
          <a:extLst>
            <a:ext uri="{FF2B5EF4-FFF2-40B4-BE49-F238E27FC236}">
              <a16:creationId xmlns="" xmlns:a16="http://schemas.microsoft.com/office/drawing/2014/main" id="{00000000-0008-0000-0000-0000C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7" name="Text Box 80">
          <a:extLst>
            <a:ext uri="{FF2B5EF4-FFF2-40B4-BE49-F238E27FC236}">
              <a16:creationId xmlns="" xmlns:a16="http://schemas.microsoft.com/office/drawing/2014/main" id="{00000000-0008-0000-0000-0000C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8" name="Text Box 81">
          <a:extLst>
            <a:ext uri="{FF2B5EF4-FFF2-40B4-BE49-F238E27FC236}">
              <a16:creationId xmlns="" xmlns:a16="http://schemas.microsoft.com/office/drawing/2014/main" id="{00000000-0008-0000-0000-0000C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279" name="Text Box 82">
          <a:extLst>
            <a:ext uri="{FF2B5EF4-FFF2-40B4-BE49-F238E27FC236}">
              <a16:creationId xmlns="" xmlns:a16="http://schemas.microsoft.com/office/drawing/2014/main" id="{00000000-0008-0000-0000-0000C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0" name="Text Box 3079">
          <a:extLst>
            <a:ext uri="{FF2B5EF4-FFF2-40B4-BE49-F238E27FC236}">
              <a16:creationId xmlns="" xmlns:a16="http://schemas.microsoft.com/office/drawing/2014/main" id="{00000000-0008-0000-0000-0000D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1" name="Text Box 3080">
          <a:extLst>
            <a:ext uri="{FF2B5EF4-FFF2-40B4-BE49-F238E27FC236}">
              <a16:creationId xmlns="" xmlns:a16="http://schemas.microsoft.com/office/drawing/2014/main" id="{00000000-0008-0000-0000-0000D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2" name="Text Box 3081">
          <a:extLst>
            <a:ext uri="{FF2B5EF4-FFF2-40B4-BE49-F238E27FC236}">
              <a16:creationId xmlns="" xmlns:a16="http://schemas.microsoft.com/office/drawing/2014/main" id="{00000000-0008-0000-0000-0000D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3" name="Text Box 3082">
          <a:extLst>
            <a:ext uri="{FF2B5EF4-FFF2-40B4-BE49-F238E27FC236}">
              <a16:creationId xmlns="" xmlns:a16="http://schemas.microsoft.com/office/drawing/2014/main" id="{00000000-0008-0000-0000-0000D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4" name="Text Box 3083">
          <a:extLst>
            <a:ext uri="{FF2B5EF4-FFF2-40B4-BE49-F238E27FC236}">
              <a16:creationId xmlns="" xmlns:a16="http://schemas.microsoft.com/office/drawing/2014/main" id="{00000000-0008-0000-0000-0000D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5" name="Text Box 3084">
          <a:extLst>
            <a:ext uri="{FF2B5EF4-FFF2-40B4-BE49-F238E27FC236}">
              <a16:creationId xmlns="" xmlns:a16="http://schemas.microsoft.com/office/drawing/2014/main" id="{00000000-0008-0000-0000-0000D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6" name="Text Box 3085">
          <a:extLst>
            <a:ext uri="{FF2B5EF4-FFF2-40B4-BE49-F238E27FC236}">
              <a16:creationId xmlns="" xmlns:a16="http://schemas.microsoft.com/office/drawing/2014/main" id="{00000000-0008-0000-0000-0000D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7" name="Text Box 3086">
          <a:extLst>
            <a:ext uri="{FF2B5EF4-FFF2-40B4-BE49-F238E27FC236}">
              <a16:creationId xmlns="" xmlns:a16="http://schemas.microsoft.com/office/drawing/2014/main" id="{00000000-0008-0000-0000-0000D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8" name="Text Box 3087">
          <a:extLst>
            <a:ext uri="{FF2B5EF4-FFF2-40B4-BE49-F238E27FC236}">
              <a16:creationId xmlns="" xmlns:a16="http://schemas.microsoft.com/office/drawing/2014/main" id="{00000000-0008-0000-0000-0000D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9" name="Text Box 3088">
          <a:extLst>
            <a:ext uri="{FF2B5EF4-FFF2-40B4-BE49-F238E27FC236}">
              <a16:creationId xmlns="" xmlns:a16="http://schemas.microsoft.com/office/drawing/2014/main" id="{00000000-0008-0000-0000-0000D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0" name="Text Box 3089">
          <a:extLst>
            <a:ext uri="{FF2B5EF4-FFF2-40B4-BE49-F238E27FC236}">
              <a16:creationId xmlns="" xmlns:a16="http://schemas.microsoft.com/office/drawing/2014/main" id="{00000000-0008-0000-0000-0000D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1" name="Text Box 3090">
          <a:extLst>
            <a:ext uri="{FF2B5EF4-FFF2-40B4-BE49-F238E27FC236}">
              <a16:creationId xmlns="" xmlns:a16="http://schemas.microsoft.com/office/drawing/2014/main" id="{00000000-0008-0000-0000-0000D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2" name="Text Box 3091">
          <a:extLst>
            <a:ext uri="{FF2B5EF4-FFF2-40B4-BE49-F238E27FC236}">
              <a16:creationId xmlns="" xmlns:a16="http://schemas.microsoft.com/office/drawing/2014/main" id="{00000000-0008-0000-0000-0000D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3" name="Text Box 3092">
          <a:extLst>
            <a:ext uri="{FF2B5EF4-FFF2-40B4-BE49-F238E27FC236}">
              <a16:creationId xmlns="" xmlns:a16="http://schemas.microsoft.com/office/drawing/2014/main" id="{00000000-0008-0000-0000-0000D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4" name="Text Box 3093">
          <a:extLst>
            <a:ext uri="{FF2B5EF4-FFF2-40B4-BE49-F238E27FC236}">
              <a16:creationId xmlns="" xmlns:a16="http://schemas.microsoft.com/office/drawing/2014/main" id="{00000000-0008-0000-0000-0000D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5" name="Text Box 3094">
          <a:extLst>
            <a:ext uri="{FF2B5EF4-FFF2-40B4-BE49-F238E27FC236}">
              <a16:creationId xmlns="" xmlns:a16="http://schemas.microsoft.com/office/drawing/2014/main" id="{00000000-0008-0000-0000-0000D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6" name="Text Box 3095">
          <a:extLst>
            <a:ext uri="{FF2B5EF4-FFF2-40B4-BE49-F238E27FC236}">
              <a16:creationId xmlns="" xmlns:a16="http://schemas.microsoft.com/office/drawing/2014/main" id="{00000000-0008-0000-0000-0000E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7" name="Text Box 3096">
          <a:extLst>
            <a:ext uri="{FF2B5EF4-FFF2-40B4-BE49-F238E27FC236}">
              <a16:creationId xmlns="" xmlns:a16="http://schemas.microsoft.com/office/drawing/2014/main" id="{00000000-0008-0000-0000-0000E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8" name="Text Box 3097">
          <a:extLst>
            <a:ext uri="{FF2B5EF4-FFF2-40B4-BE49-F238E27FC236}">
              <a16:creationId xmlns="" xmlns:a16="http://schemas.microsoft.com/office/drawing/2014/main" id="{00000000-0008-0000-0000-0000E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9" name="Text Box 3098">
          <a:extLst>
            <a:ext uri="{FF2B5EF4-FFF2-40B4-BE49-F238E27FC236}">
              <a16:creationId xmlns="" xmlns:a16="http://schemas.microsoft.com/office/drawing/2014/main" id="{00000000-0008-0000-0000-0000E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0" name="Text Box 3099">
          <a:extLst>
            <a:ext uri="{FF2B5EF4-FFF2-40B4-BE49-F238E27FC236}">
              <a16:creationId xmlns="" xmlns:a16="http://schemas.microsoft.com/office/drawing/2014/main" id="{00000000-0008-0000-0000-0000E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1" name="Text Box 3100">
          <a:extLst>
            <a:ext uri="{FF2B5EF4-FFF2-40B4-BE49-F238E27FC236}">
              <a16:creationId xmlns="" xmlns:a16="http://schemas.microsoft.com/office/drawing/2014/main" id="{00000000-0008-0000-0000-0000E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2" name="Text Box 3101">
          <a:extLst>
            <a:ext uri="{FF2B5EF4-FFF2-40B4-BE49-F238E27FC236}">
              <a16:creationId xmlns="" xmlns:a16="http://schemas.microsoft.com/office/drawing/2014/main" id="{00000000-0008-0000-0000-0000E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03" name="Text Box 3102">
          <a:extLst>
            <a:ext uri="{FF2B5EF4-FFF2-40B4-BE49-F238E27FC236}">
              <a16:creationId xmlns="" xmlns:a16="http://schemas.microsoft.com/office/drawing/2014/main" id="{00000000-0008-0000-0000-0000E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4" name="Text Box 59">
          <a:extLst>
            <a:ext uri="{FF2B5EF4-FFF2-40B4-BE49-F238E27FC236}">
              <a16:creationId xmlns="" xmlns:a16="http://schemas.microsoft.com/office/drawing/2014/main" id="{00000000-0008-0000-0000-0000E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5" name="Text Box 60">
          <a:extLst>
            <a:ext uri="{FF2B5EF4-FFF2-40B4-BE49-F238E27FC236}">
              <a16:creationId xmlns="" xmlns:a16="http://schemas.microsoft.com/office/drawing/2014/main" id="{00000000-0008-0000-0000-0000E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6" name="Text Box 61">
          <a:extLst>
            <a:ext uri="{FF2B5EF4-FFF2-40B4-BE49-F238E27FC236}">
              <a16:creationId xmlns="" xmlns:a16="http://schemas.microsoft.com/office/drawing/2014/main" id="{00000000-0008-0000-0000-0000E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7" name="Text Box 62">
          <a:extLst>
            <a:ext uri="{FF2B5EF4-FFF2-40B4-BE49-F238E27FC236}">
              <a16:creationId xmlns="" xmlns:a16="http://schemas.microsoft.com/office/drawing/2014/main" id="{00000000-0008-0000-0000-0000E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8" name="Text Box 63">
          <a:extLst>
            <a:ext uri="{FF2B5EF4-FFF2-40B4-BE49-F238E27FC236}">
              <a16:creationId xmlns="" xmlns:a16="http://schemas.microsoft.com/office/drawing/2014/main" id="{00000000-0008-0000-0000-0000E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9" name="Text Box 64">
          <a:extLst>
            <a:ext uri="{FF2B5EF4-FFF2-40B4-BE49-F238E27FC236}">
              <a16:creationId xmlns="" xmlns:a16="http://schemas.microsoft.com/office/drawing/2014/main" id="{00000000-0008-0000-0000-0000E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0" name="Text Box 65">
          <a:extLst>
            <a:ext uri="{FF2B5EF4-FFF2-40B4-BE49-F238E27FC236}">
              <a16:creationId xmlns="" xmlns:a16="http://schemas.microsoft.com/office/drawing/2014/main" id="{00000000-0008-0000-0000-0000E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1" name="Text Box 66">
          <a:extLst>
            <a:ext uri="{FF2B5EF4-FFF2-40B4-BE49-F238E27FC236}">
              <a16:creationId xmlns="" xmlns:a16="http://schemas.microsoft.com/office/drawing/2014/main" id="{00000000-0008-0000-0000-0000E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2" name="Text Box 67">
          <a:extLst>
            <a:ext uri="{FF2B5EF4-FFF2-40B4-BE49-F238E27FC236}">
              <a16:creationId xmlns="" xmlns:a16="http://schemas.microsoft.com/office/drawing/2014/main" id="{00000000-0008-0000-0000-0000F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3" name="Text Box 68">
          <a:extLst>
            <a:ext uri="{FF2B5EF4-FFF2-40B4-BE49-F238E27FC236}">
              <a16:creationId xmlns="" xmlns:a16="http://schemas.microsoft.com/office/drawing/2014/main" id="{00000000-0008-0000-0000-0000F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4" name="Text Box 69">
          <a:extLst>
            <a:ext uri="{FF2B5EF4-FFF2-40B4-BE49-F238E27FC236}">
              <a16:creationId xmlns="" xmlns:a16="http://schemas.microsoft.com/office/drawing/2014/main" id="{00000000-0008-0000-0000-0000F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5" name="Text Box 70">
          <a:extLst>
            <a:ext uri="{FF2B5EF4-FFF2-40B4-BE49-F238E27FC236}">
              <a16:creationId xmlns="" xmlns:a16="http://schemas.microsoft.com/office/drawing/2014/main" id="{00000000-0008-0000-0000-0000F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6" name="Text Box 71">
          <a:extLst>
            <a:ext uri="{FF2B5EF4-FFF2-40B4-BE49-F238E27FC236}">
              <a16:creationId xmlns="" xmlns:a16="http://schemas.microsoft.com/office/drawing/2014/main" id="{00000000-0008-0000-0000-0000F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7" name="Text Box 72">
          <a:extLst>
            <a:ext uri="{FF2B5EF4-FFF2-40B4-BE49-F238E27FC236}">
              <a16:creationId xmlns="" xmlns:a16="http://schemas.microsoft.com/office/drawing/2014/main" id="{00000000-0008-0000-0000-0000F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8" name="Text Box 73">
          <a:extLst>
            <a:ext uri="{FF2B5EF4-FFF2-40B4-BE49-F238E27FC236}">
              <a16:creationId xmlns="" xmlns:a16="http://schemas.microsoft.com/office/drawing/2014/main" id="{00000000-0008-0000-0000-0000F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9" name="Text Box 74">
          <a:extLst>
            <a:ext uri="{FF2B5EF4-FFF2-40B4-BE49-F238E27FC236}">
              <a16:creationId xmlns="" xmlns:a16="http://schemas.microsoft.com/office/drawing/2014/main" id="{00000000-0008-0000-0000-0000F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0" name="Text Box 75">
          <a:extLst>
            <a:ext uri="{FF2B5EF4-FFF2-40B4-BE49-F238E27FC236}">
              <a16:creationId xmlns="" xmlns:a16="http://schemas.microsoft.com/office/drawing/2014/main" id="{00000000-0008-0000-0000-0000F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1" name="Text Box 76">
          <a:extLst>
            <a:ext uri="{FF2B5EF4-FFF2-40B4-BE49-F238E27FC236}">
              <a16:creationId xmlns="" xmlns:a16="http://schemas.microsoft.com/office/drawing/2014/main" id="{00000000-0008-0000-0000-0000F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2" name="Text Box 77">
          <a:extLst>
            <a:ext uri="{FF2B5EF4-FFF2-40B4-BE49-F238E27FC236}">
              <a16:creationId xmlns="" xmlns:a16="http://schemas.microsoft.com/office/drawing/2014/main" id="{00000000-0008-0000-0000-0000F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3" name="Text Box 78">
          <a:extLst>
            <a:ext uri="{FF2B5EF4-FFF2-40B4-BE49-F238E27FC236}">
              <a16:creationId xmlns="" xmlns:a16="http://schemas.microsoft.com/office/drawing/2014/main" id="{00000000-0008-0000-0000-0000F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4" name="Text Box 79">
          <a:extLst>
            <a:ext uri="{FF2B5EF4-FFF2-40B4-BE49-F238E27FC236}">
              <a16:creationId xmlns="" xmlns:a16="http://schemas.microsoft.com/office/drawing/2014/main" id="{00000000-0008-0000-0000-0000F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5" name="Text Box 80">
          <a:extLst>
            <a:ext uri="{FF2B5EF4-FFF2-40B4-BE49-F238E27FC236}">
              <a16:creationId xmlns="" xmlns:a16="http://schemas.microsoft.com/office/drawing/2014/main" id="{00000000-0008-0000-0000-0000F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6" name="Text Box 81">
          <a:extLst>
            <a:ext uri="{FF2B5EF4-FFF2-40B4-BE49-F238E27FC236}">
              <a16:creationId xmlns="" xmlns:a16="http://schemas.microsoft.com/office/drawing/2014/main" id="{00000000-0008-0000-0000-0000F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7" name="Text Box 3079">
          <a:extLst>
            <a:ext uri="{FF2B5EF4-FFF2-40B4-BE49-F238E27FC236}">
              <a16:creationId xmlns="" xmlns:a16="http://schemas.microsoft.com/office/drawing/2014/main" id="{00000000-0008-0000-0000-0000F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8" name="Text Box 3080">
          <a:extLst>
            <a:ext uri="{FF2B5EF4-FFF2-40B4-BE49-F238E27FC236}">
              <a16:creationId xmlns="" xmlns:a16="http://schemas.microsoft.com/office/drawing/2014/main" id="{00000000-0008-0000-0000-00000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9" name="Text Box 3081">
          <a:extLst>
            <a:ext uri="{FF2B5EF4-FFF2-40B4-BE49-F238E27FC236}">
              <a16:creationId xmlns="" xmlns:a16="http://schemas.microsoft.com/office/drawing/2014/main" id="{00000000-0008-0000-0000-00000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0" name="Text Box 3082">
          <a:extLst>
            <a:ext uri="{FF2B5EF4-FFF2-40B4-BE49-F238E27FC236}">
              <a16:creationId xmlns="" xmlns:a16="http://schemas.microsoft.com/office/drawing/2014/main" id="{00000000-0008-0000-0000-00000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1" name="Text Box 3083">
          <a:extLst>
            <a:ext uri="{FF2B5EF4-FFF2-40B4-BE49-F238E27FC236}">
              <a16:creationId xmlns="" xmlns:a16="http://schemas.microsoft.com/office/drawing/2014/main" id="{00000000-0008-0000-0000-00000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2" name="Text Box 3084">
          <a:extLst>
            <a:ext uri="{FF2B5EF4-FFF2-40B4-BE49-F238E27FC236}">
              <a16:creationId xmlns="" xmlns:a16="http://schemas.microsoft.com/office/drawing/2014/main" id="{00000000-0008-0000-0000-00000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3" name="Text Box 3085">
          <a:extLst>
            <a:ext uri="{FF2B5EF4-FFF2-40B4-BE49-F238E27FC236}">
              <a16:creationId xmlns="" xmlns:a16="http://schemas.microsoft.com/office/drawing/2014/main" id="{00000000-0008-0000-0000-00000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4" name="Text Box 3086">
          <a:extLst>
            <a:ext uri="{FF2B5EF4-FFF2-40B4-BE49-F238E27FC236}">
              <a16:creationId xmlns="" xmlns:a16="http://schemas.microsoft.com/office/drawing/2014/main" id="{00000000-0008-0000-0000-00000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5" name="Text Box 3087">
          <a:extLst>
            <a:ext uri="{FF2B5EF4-FFF2-40B4-BE49-F238E27FC236}">
              <a16:creationId xmlns="" xmlns:a16="http://schemas.microsoft.com/office/drawing/2014/main" id="{00000000-0008-0000-0000-00000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6" name="Text Box 3088">
          <a:extLst>
            <a:ext uri="{FF2B5EF4-FFF2-40B4-BE49-F238E27FC236}">
              <a16:creationId xmlns="" xmlns:a16="http://schemas.microsoft.com/office/drawing/2014/main" id="{00000000-0008-0000-0000-00000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7" name="Text Box 3089">
          <a:extLst>
            <a:ext uri="{FF2B5EF4-FFF2-40B4-BE49-F238E27FC236}">
              <a16:creationId xmlns="" xmlns:a16="http://schemas.microsoft.com/office/drawing/2014/main" id="{00000000-0008-0000-0000-00000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8" name="Text Box 3090">
          <a:extLst>
            <a:ext uri="{FF2B5EF4-FFF2-40B4-BE49-F238E27FC236}">
              <a16:creationId xmlns="" xmlns:a16="http://schemas.microsoft.com/office/drawing/2014/main" id="{00000000-0008-0000-0000-00000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9" name="Text Box 3091">
          <a:extLst>
            <a:ext uri="{FF2B5EF4-FFF2-40B4-BE49-F238E27FC236}">
              <a16:creationId xmlns="" xmlns:a16="http://schemas.microsoft.com/office/drawing/2014/main" id="{00000000-0008-0000-0000-00000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0" name="Text Box 3092">
          <a:extLst>
            <a:ext uri="{FF2B5EF4-FFF2-40B4-BE49-F238E27FC236}">
              <a16:creationId xmlns="" xmlns:a16="http://schemas.microsoft.com/office/drawing/2014/main" id="{00000000-0008-0000-0000-00000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1" name="Text Box 3093">
          <a:extLst>
            <a:ext uri="{FF2B5EF4-FFF2-40B4-BE49-F238E27FC236}">
              <a16:creationId xmlns="" xmlns:a16="http://schemas.microsoft.com/office/drawing/2014/main" id="{00000000-0008-0000-0000-00000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2" name="Text Box 3094">
          <a:extLst>
            <a:ext uri="{FF2B5EF4-FFF2-40B4-BE49-F238E27FC236}">
              <a16:creationId xmlns="" xmlns:a16="http://schemas.microsoft.com/office/drawing/2014/main" id="{00000000-0008-0000-0000-00000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3" name="Text Box 3095">
          <a:extLst>
            <a:ext uri="{FF2B5EF4-FFF2-40B4-BE49-F238E27FC236}">
              <a16:creationId xmlns="" xmlns:a16="http://schemas.microsoft.com/office/drawing/2014/main" id="{00000000-0008-0000-0000-00000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4" name="Text Box 3096">
          <a:extLst>
            <a:ext uri="{FF2B5EF4-FFF2-40B4-BE49-F238E27FC236}">
              <a16:creationId xmlns="" xmlns:a16="http://schemas.microsoft.com/office/drawing/2014/main" id="{00000000-0008-0000-0000-00001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5" name="Text Box 3097">
          <a:extLst>
            <a:ext uri="{FF2B5EF4-FFF2-40B4-BE49-F238E27FC236}">
              <a16:creationId xmlns="" xmlns:a16="http://schemas.microsoft.com/office/drawing/2014/main" id="{00000000-0008-0000-0000-00001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6" name="Text Box 3098">
          <a:extLst>
            <a:ext uri="{FF2B5EF4-FFF2-40B4-BE49-F238E27FC236}">
              <a16:creationId xmlns="" xmlns:a16="http://schemas.microsoft.com/office/drawing/2014/main" id="{00000000-0008-0000-0000-00001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7" name="Text Box 3099">
          <a:extLst>
            <a:ext uri="{FF2B5EF4-FFF2-40B4-BE49-F238E27FC236}">
              <a16:creationId xmlns="" xmlns:a16="http://schemas.microsoft.com/office/drawing/2014/main" id="{00000000-0008-0000-0000-00001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8" name="Text Box 3100">
          <a:extLst>
            <a:ext uri="{FF2B5EF4-FFF2-40B4-BE49-F238E27FC236}">
              <a16:creationId xmlns="" xmlns:a16="http://schemas.microsoft.com/office/drawing/2014/main" id="{00000000-0008-0000-0000-00001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9" name="Text Box 3101">
          <a:extLst>
            <a:ext uri="{FF2B5EF4-FFF2-40B4-BE49-F238E27FC236}">
              <a16:creationId xmlns="" xmlns:a16="http://schemas.microsoft.com/office/drawing/2014/main" id="{00000000-0008-0000-0000-00001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50" name="Text Box 3102">
          <a:extLst>
            <a:ext uri="{FF2B5EF4-FFF2-40B4-BE49-F238E27FC236}">
              <a16:creationId xmlns="" xmlns:a16="http://schemas.microsoft.com/office/drawing/2014/main" id="{00000000-0008-0000-0000-00001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1" name="Text Box 59">
          <a:extLst>
            <a:ext uri="{FF2B5EF4-FFF2-40B4-BE49-F238E27FC236}">
              <a16:creationId xmlns="" xmlns:a16="http://schemas.microsoft.com/office/drawing/2014/main" id="{00000000-0008-0000-0000-00001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2" name="Text Box 60">
          <a:extLst>
            <a:ext uri="{FF2B5EF4-FFF2-40B4-BE49-F238E27FC236}">
              <a16:creationId xmlns="" xmlns:a16="http://schemas.microsoft.com/office/drawing/2014/main" id="{00000000-0008-0000-0000-00001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3" name="Text Box 61">
          <a:extLst>
            <a:ext uri="{FF2B5EF4-FFF2-40B4-BE49-F238E27FC236}">
              <a16:creationId xmlns="" xmlns:a16="http://schemas.microsoft.com/office/drawing/2014/main" id="{00000000-0008-0000-0000-00001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4" name="Text Box 62">
          <a:extLst>
            <a:ext uri="{FF2B5EF4-FFF2-40B4-BE49-F238E27FC236}">
              <a16:creationId xmlns="" xmlns:a16="http://schemas.microsoft.com/office/drawing/2014/main" id="{00000000-0008-0000-0000-00001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5" name="Text Box 63">
          <a:extLst>
            <a:ext uri="{FF2B5EF4-FFF2-40B4-BE49-F238E27FC236}">
              <a16:creationId xmlns="" xmlns:a16="http://schemas.microsoft.com/office/drawing/2014/main" id="{00000000-0008-0000-0000-00001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6" name="Text Box 64">
          <a:extLst>
            <a:ext uri="{FF2B5EF4-FFF2-40B4-BE49-F238E27FC236}">
              <a16:creationId xmlns="" xmlns:a16="http://schemas.microsoft.com/office/drawing/2014/main" id="{00000000-0008-0000-0000-00001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7" name="Text Box 65">
          <a:extLst>
            <a:ext uri="{FF2B5EF4-FFF2-40B4-BE49-F238E27FC236}">
              <a16:creationId xmlns="" xmlns:a16="http://schemas.microsoft.com/office/drawing/2014/main" id="{00000000-0008-0000-0000-00001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8" name="Text Box 66">
          <a:extLst>
            <a:ext uri="{FF2B5EF4-FFF2-40B4-BE49-F238E27FC236}">
              <a16:creationId xmlns="" xmlns:a16="http://schemas.microsoft.com/office/drawing/2014/main" id="{00000000-0008-0000-0000-00001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9" name="Text Box 67">
          <a:extLst>
            <a:ext uri="{FF2B5EF4-FFF2-40B4-BE49-F238E27FC236}">
              <a16:creationId xmlns="" xmlns:a16="http://schemas.microsoft.com/office/drawing/2014/main" id="{00000000-0008-0000-0000-00001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0" name="Text Box 68">
          <a:extLst>
            <a:ext uri="{FF2B5EF4-FFF2-40B4-BE49-F238E27FC236}">
              <a16:creationId xmlns="" xmlns:a16="http://schemas.microsoft.com/office/drawing/2014/main" id="{00000000-0008-0000-0000-00002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1" name="Text Box 69">
          <a:extLst>
            <a:ext uri="{FF2B5EF4-FFF2-40B4-BE49-F238E27FC236}">
              <a16:creationId xmlns="" xmlns:a16="http://schemas.microsoft.com/office/drawing/2014/main" id="{00000000-0008-0000-0000-00002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2" name="Text Box 70">
          <a:extLst>
            <a:ext uri="{FF2B5EF4-FFF2-40B4-BE49-F238E27FC236}">
              <a16:creationId xmlns="" xmlns:a16="http://schemas.microsoft.com/office/drawing/2014/main" id="{00000000-0008-0000-0000-00002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3" name="Text Box 71">
          <a:extLst>
            <a:ext uri="{FF2B5EF4-FFF2-40B4-BE49-F238E27FC236}">
              <a16:creationId xmlns="" xmlns:a16="http://schemas.microsoft.com/office/drawing/2014/main" id="{00000000-0008-0000-0000-00002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4" name="Text Box 72">
          <a:extLst>
            <a:ext uri="{FF2B5EF4-FFF2-40B4-BE49-F238E27FC236}">
              <a16:creationId xmlns="" xmlns:a16="http://schemas.microsoft.com/office/drawing/2014/main" id="{00000000-0008-0000-0000-00002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5" name="Text Box 73">
          <a:extLst>
            <a:ext uri="{FF2B5EF4-FFF2-40B4-BE49-F238E27FC236}">
              <a16:creationId xmlns="" xmlns:a16="http://schemas.microsoft.com/office/drawing/2014/main" id="{00000000-0008-0000-0000-00002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6" name="Text Box 74">
          <a:extLst>
            <a:ext uri="{FF2B5EF4-FFF2-40B4-BE49-F238E27FC236}">
              <a16:creationId xmlns="" xmlns:a16="http://schemas.microsoft.com/office/drawing/2014/main" id="{00000000-0008-0000-0000-00002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7" name="Text Box 75">
          <a:extLst>
            <a:ext uri="{FF2B5EF4-FFF2-40B4-BE49-F238E27FC236}">
              <a16:creationId xmlns="" xmlns:a16="http://schemas.microsoft.com/office/drawing/2014/main" id="{00000000-0008-0000-0000-00002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8" name="Text Box 76">
          <a:extLst>
            <a:ext uri="{FF2B5EF4-FFF2-40B4-BE49-F238E27FC236}">
              <a16:creationId xmlns="" xmlns:a16="http://schemas.microsoft.com/office/drawing/2014/main" id="{00000000-0008-0000-0000-00002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9" name="Text Box 77">
          <a:extLst>
            <a:ext uri="{FF2B5EF4-FFF2-40B4-BE49-F238E27FC236}">
              <a16:creationId xmlns="" xmlns:a16="http://schemas.microsoft.com/office/drawing/2014/main" id="{00000000-0008-0000-0000-00002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0" name="Text Box 78">
          <a:extLst>
            <a:ext uri="{FF2B5EF4-FFF2-40B4-BE49-F238E27FC236}">
              <a16:creationId xmlns="" xmlns:a16="http://schemas.microsoft.com/office/drawing/2014/main" id="{00000000-0008-0000-0000-00002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1" name="Text Box 79">
          <a:extLst>
            <a:ext uri="{FF2B5EF4-FFF2-40B4-BE49-F238E27FC236}">
              <a16:creationId xmlns="" xmlns:a16="http://schemas.microsoft.com/office/drawing/2014/main" id="{00000000-0008-0000-0000-00002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2" name="Text Box 80">
          <a:extLst>
            <a:ext uri="{FF2B5EF4-FFF2-40B4-BE49-F238E27FC236}">
              <a16:creationId xmlns="" xmlns:a16="http://schemas.microsoft.com/office/drawing/2014/main" id="{00000000-0008-0000-0000-00002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3" name="Text Box 81">
          <a:extLst>
            <a:ext uri="{FF2B5EF4-FFF2-40B4-BE49-F238E27FC236}">
              <a16:creationId xmlns="" xmlns:a16="http://schemas.microsoft.com/office/drawing/2014/main" id="{00000000-0008-0000-0000-00002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374" name="Text Box 82">
          <a:extLst>
            <a:ext uri="{FF2B5EF4-FFF2-40B4-BE49-F238E27FC236}">
              <a16:creationId xmlns="" xmlns:a16="http://schemas.microsoft.com/office/drawing/2014/main" id="{00000000-0008-0000-0000-00002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5" name="Text Box 3079">
          <a:extLst>
            <a:ext uri="{FF2B5EF4-FFF2-40B4-BE49-F238E27FC236}">
              <a16:creationId xmlns="" xmlns:a16="http://schemas.microsoft.com/office/drawing/2014/main" id="{00000000-0008-0000-0000-00002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6" name="Text Box 3080">
          <a:extLst>
            <a:ext uri="{FF2B5EF4-FFF2-40B4-BE49-F238E27FC236}">
              <a16:creationId xmlns="" xmlns:a16="http://schemas.microsoft.com/office/drawing/2014/main" id="{00000000-0008-0000-0000-00003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7" name="Text Box 3081">
          <a:extLst>
            <a:ext uri="{FF2B5EF4-FFF2-40B4-BE49-F238E27FC236}">
              <a16:creationId xmlns="" xmlns:a16="http://schemas.microsoft.com/office/drawing/2014/main" id="{00000000-0008-0000-0000-00003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8" name="Text Box 3082">
          <a:extLst>
            <a:ext uri="{FF2B5EF4-FFF2-40B4-BE49-F238E27FC236}">
              <a16:creationId xmlns="" xmlns:a16="http://schemas.microsoft.com/office/drawing/2014/main" id="{00000000-0008-0000-0000-00003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9" name="Text Box 3083">
          <a:extLst>
            <a:ext uri="{FF2B5EF4-FFF2-40B4-BE49-F238E27FC236}">
              <a16:creationId xmlns="" xmlns:a16="http://schemas.microsoft.com/office/drawing/2014/main" id="{00000000-0008-0000-0000-00003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0" name="Text Box 3084">
          <a:extLst>
            <a:ext uri="{FF2B5EF4-FFF2-40B4-BE49-F238E27FC236}">
              <a16:creationId xmlns="" xmlns:a16="http://schemas.microsoft.com/office/drawing/2014/main" id="{00000000-0008-0000-0000-00003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1" name="Text Box 3085">
          <a:extLst>
            <a:ext uri="{FF2B5EF4-FFF2-40B4-BE49-F238E27FC236}">
              <a16:creationId xmlns="" xmlns:a16="http://schemas.microsoft.com/office/drawing/2014/main" id="{00000000-0008-0000-0000-00003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2" name="Text Box 3086">
          <a:extLst>
            <a:ext uri="{FF2B5EF4-FFF2-40B4-BE49-F238E27FC236}">
              <a16:creationId xmlns="" xmlns:a16="http://schemas.microsoft.com/office/drawing/2014/main" id="{00000000-0008-0000-0000-00003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3" name="Text Box 3087">
          <a:extLst>
            <a:ext uri="{FF2B5EF4-FFF2-40B4-BE49-F238E27FC236}">
              <a16:creationId xmlns="" xmlns:a16="http://schemas.microsoft.com/office/drawing/2014/main" id="{00000000-0008-0000-0000-00003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4" name="Text Box 3088">
          <a:extLst>
            <a:ext uri="{FF2B5EF4-FFF2-40B4-BE49-F238E27FC236}">
              <a16:creationId xmlns="" xmlns:a16="http://schemas.microsoft.com/office/drawing/2014/main" id="{00000000-0008-0000-0000-00003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5" name="Text Box 3089">
          <a:extLst>
            <a:ext uri="{FF2B5EF4-FFF2-40B4-BE49-F238E27FC236}">
              <a16:creationId xmlns="" xmlns:a16="http://schemas.microsoft.com/office/drawing/2014/main" id="{00000000-0008-0000-0000-00003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6" name="Text Box 3090">
          <a:extLst>
            <a:ext uri="{FF2B5EF4-FFF2-40B4-BE49-F238E27FC236}">
              <a16:creationId xmlns="" xmlns:a16="http://schemas.microsoft.com/office/drawing/2014/main" id="{00000000-0008-0000-0000-00003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7" name="Text Box 3091">
          <a:extLst>
            <a:ext uri="{FF2B5EF4-FFF2-40B4-BE49-F238E27FC236}">
              <a16:creationId xmlns="" xmlns:a16="http://schemas.microsoft.com/office/drawing/2014/main" id="{00000000-0008-0000-0000-00003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8" name="Text Box 3092">
          <a:extLst>
            <a:ext uri="{FF2B5EF4-FFF2-40B4-BE49-F238E27FC236}">
              <a16:creationId xmlns="" xmlns:a16="http://schemas.microsoft.com/office/drawing/2014/main" id="{00000000-0008-0000-0000-00003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9" name="Text Box 3093">
          <a:extLst>
            <a:ext uri="{FF2B5EF4-FFF2-40B4-BE49-F238E27FC236}">
              <a16:creationId xmlns="" xmlns:a16="http://schemas.microsoft.com/office/drawing/2014/main" id="{00000000-0008-0000-0000-00003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0" name="Text Box 3094">
          <a:extLst>
            <a:ext uri="{FF2B5EF4-FFF2-40B4-BE49-F238E27FC236}">
              <a16:creationId xmlns="" xmlns:a16="http://schemas.microsoft.com/office/drawing/2014/main" id="{00000000-0008-0000-0000-00003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1" name="Text Box 3095">
          <a:extLst>
            <a:ext uri="{FF2B5EF4-FFF2-40B4-BE49-F238E27FC236}">
              <a16:creationId xmlns="" xmlns:a16="http://schemas.microsoft.com/office/drawing/2014/main" id="{00000000-0008-0000-0000-00003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2" name="Text Box 3096">
          <a:extLst>
            <a:ext uri="{FF2B5EF4-FFF2-40B4-BE49-F238E27FC236}">
              <a16:creationId xmlns="" xmlns:a16="http://schemas.microsoft.com/office/drawing/2014/main" id="{00000000-0008-0000-0000-00004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3" name="Text Box 3097">
          <a:extLst>
            <a:ext uri="{FF2B5EF4-FFF2-40B4-BE49-F238E27FC236}">
              <a16:creationId xmlns="" xmlns:a16="http://schemas.microsoft.com/office/drawing/2014/main" id="{00000000-0008-0000-0000-00004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4" name="Text Box 3098">
          <a:extLst>
            <a:ext uri="{FF2B5EF4-FFF2-40B4-BE49-F238E27FC236}">
              <a16:creationId xmlns="" xmlns:a16="http://schemas.microsoft.com/office/drawing/2014/main" id="{00000000-0008-0000-0000-00004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5" name="Text Box 3099">
          <a:extLst>
            <a:ext uri="{FF2B5EF4-FFF2-40B4-BE49-F238E27FC236}">
              <a16:creationId xmlns="" xmlns:a16="http://schemas.microsoft.com/office/drawing/2014/main" id="{00000000-0008-0000-0000-00004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6" name="Text Box 3100">
          <a:extLst>
            <a:ext uri="{FF2B5EF4-FFF2-40B4-BE49-F238E27FC236}">
              <a16:creationId xmlns="" xmlns:a16="http://schemas.microsoft.com/office/drawing/2014/main" id="{00000000-0008-0000-0000-00004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7" name="Text Box 3101">
          <a:extLst>
            <a:ext uri="{FF2B5EF4-FFF2-40B4-BE49-F238E27FC236}">
              <a16:creationId xmlns="" xmlns:a16="http://schemas.microsoft.com/office/drawing/2014/main" id="{00000000-0008-0000-0000-00004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98" name="Text Box 3102">
          <a:extLst>
            <a:ext uri="{FF2B5EF4-FFF2-40B4-BE49-F238E27FC236}">
              <a16:creationId xmlns="" xmlns:a16="http://schemas.microsoft.com/office/drawing/2014/main" id="{00000000-0008-0000-0000-00004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99" name="Text Box 59">
          <a:extLst>
            <a:ext uri="{FF2B5EF4-FFF2-40B4-BE49-F238E27FC236}">
              <a16:creationId xmlns="" xmlns:a16="http://schemas.microsoft.com/office/drawing/2014/main" id="{00000000-0008-0000-0000-00004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0" name="Text Box 60">
          <a:extLst>
            <a:ext uri="{FF2B5EF4-FFF2-40B4-BE49-F238E27FC236}">
              <a16:creationId xmlns="" xmlns:a16="http://schemas.microsoft.com/office/drawing/2014/main" id="{00000000-0008-0000-0000-00004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1" name="Text Box 61">
          <a:extLst>
            <a:ext uri="{FF2B5EF4-FFF2-40B4-BE49-F238E27FC236}">
              <a16:creationId xmlns="" xmlns:a16="http://schemas.microsoft.com/office/drawing/2014/main" id="{00000000-0008-0000-0000-00004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2" name="Text Box 62">
          <a:extLst>
            <a:ext uri="{FF2B5EF4-FFF2-40B4-BE49-F238E27FC236}">
              <a16:creationId xmlns="" xmlns:a16="http://schemas.microsoft.com/office/drawing/2014/main" id="{00000000-0008-0000-0000-00004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3" name="Text Box 63">
          <a:extLst>
            <a:ext uri="{FF2B5EF4-FFF2-40B4-BE49-F238E27FC236}">
              <a16:creationId xmlns="" xmlns:a16="http://schemas.microsoft.com/office/drawing/2014/main" id="{00000000-0008-0000-0000-00004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4" name="Text Box 64">
          <a:extLst>
            <a:ext uri="{FF2B5EF4-FFF2-40B4-BE49-F238E27FC236}">
              <a16:creationId xmlns="" xmlns:a16="http://schemas.microsoft.com/office/drawing/2014/main" id="{00000000-0008-0000-0000-00004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5" name="Text Box 65">
          <a:extLst>
            <a:ext uri="{FF2B5EF4-FFF2-40B4-BE49-F238E27FC236}">
              <a16:creationId xmlns="" xmlns:a16="http://schemas.microsoft.com/office/drawing/2014/main" id="{00000000-0008-0000-0000-00004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6" name="Text Box 66">
          <a:extLst>
            <a:ext uri="{FF2B5EF4-FFF2-40B4-BE49-F238E27FC236}">
              <a16:creationId xmlns="" xmlns:a16="http://schemas.microsoft.com/office/drawing/2014/main" id="{00000000-0008-0000-0000-00004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7" name="Text Box 67">
          <a:extLst>
            <a:ext uri="{FF2B5EF4-FFF2-40B4-BE49-F238E27FC236}">
              <a16:creationId xmlns="" xmlns:a16="http://schemas.microsoft.com/office/drawing/2014/main" id="{00000000-0008-0000-0000-00004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8" name="Text Box 68">
          <a:extLst>
            <a:ext uri="{FF2B5EF4-FFF2-40B4-BE49-F238E27FC236}">
              <a16:creationId xmlns="" xmlns:a16="http://schemas.microsoft.com/office/drawing/2014/main" id="{00000000-0008-0000-0000-00005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9" name="Text Box 69">
          <a:extLst>
            <a:ext uri="{FF2B5EF4-FFF2-40B4-BE49-F238E27FC236}">
              <a16:creationId xmlns="" xmlns:a16="http://schemas.microsoft.com/office/drawing/2014/main" id="{00000000-0008-0000-0000-00005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0" name="Text Box 70">
          <a:extLst>
            <a:ext uri="{FF2B5EF4-FFF2-40B4-BE49-F238E27FC236}">
              <a16:creationId xmlns="" xmlns:a16="http://schemas.microsoft.com/office/drawing/2014/main" id="{00000000-0008-0000-0000-00005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1" name="Text Box 71">
          <a:extLst>
            <a:ext uri="{FF2B5EF4-FFF2-40B4-BE49-F238E27FC236}">
              <a16:creationId xmlns="" xmlns:a16="http://schemas.microsoft.com/office/drawing/2014/main" id="{00000000-0008-0000-0000-00005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2" name="Text Box 72">
          <a:extLst>
            <a:ext uri="{FF2B5EF4-FFF2-40B4-BE49-F238E27FC236}">
              <a16:creationId xmlns="" xmlns:a16="http://schemas.microsoft.com/office/drawing/2014/main" id="{00000000-0008-0000-0000-00005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3" name="Text Box 73">
          <a:extLst>
            <a:ext uri="{FF2B5EF4-FFF2-40B4-BE49-F238E27FC236}">
              <a16:creationId xmlns="" xmlns:a16="http://schemas.microsoft.com/office/drawing/2014/main" id="{00000000-0008-0000-0000-00005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4" name="Text Box 74">
          <a:extLst>
            <a:ext uri="{FF2B5EF4-FFF2-40B4-BE49-F238E27FC236}">
              <a16:creationId xmlns="" xmlns:a16="http://schemas.microsoft.com/office/drawing/2014/main" id="{00000000-0008-0000-0000-00005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5" name="Text Box 75">
          <a:extLst>
            <a:ext uri="{FF2B5EF4-FFF2-40B4-BE49-F238E27FC236}">
              <a16:creationId xmlns="" xmlns:a16="http://schemas.microsoft.com/office/drawing/2014/main" id="{00000000-0008-0000-0000-00005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6" name="Text Box 76">
          <a:extLst>
            <a:ext uri="{FF2B5EF4-FFF2-40B4-BE49-F238E27FC236}">
              <a16:creationId xmlns="" xmlns:a16="http://schemas.microsoft.com/office/drawing/2014/main" id="{00000000-0008-0000-0000-00005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7" name="Text Box 77">
          <a:extLst>
            <a:ext uri="{FF2B5EF4-FFF2-40B4-BE49-F238E27FC236}">
              <a16:creationId xmlns="" xmlns:a16="http://schemas.microsoft.com/office/drawing/2014/main" id="{00000000-0008-0000-0000-00005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8" name="Text Box 78">
          <a:extLst>
            <a:ext uri="{FF2B5EF4-FFF2-40B4-BE49-F238E27FC236}">
              <a16:creationId xmlns="" xmlns:a16="http://schemas.microsoft.com/office/drawing/2014/main" id="{00000000-0008-0000-0000-00005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9" name="Text Box 79">
          <a:extLst>
            <a:ext uri="{FF2B5EF4-FFF2-40B4-BE49-F238E27FC236}">
              <a16:creationId xmlns="" xmlns:a16="http://schemas.microsoft.com/office/drawing/2014/main" id="{00000000-0008-0000-0000-00005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20" name="Text Box 80">
          <a:extLst>
            <a:ext uri="{FF2B5EF4-FFF2-40B4-BE49-F238E27FC236}">
              <a16:creationId xmlns="" xmlns:a16="http://schemas.microsoft.com/office/drawing/2014/main" id="{00000000-0008-0000-0000-00005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21" name="Text Box 81">
          <a:extLst>
            <a:ext uri="{FF2B5EF4-FFF2-40B4-BE49-F238E27FC236}">
              <a16:creationId xmlns="" xmlns:a16="http://schemas.microsoft.com/office/drawing/2014/main" id="{00000000-0008-0000-0000-00005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2" name="Text Box 3079">
          <a:extLst>
            <a:ext uri="{FF2B5EF4-FFF2-40B4-BE49-F238E27FC236}">
              <a16:creationId xmlns="" xmlns:a16="http://schemas.microsoft.com/office/drawing/2014/main" id="{00000000-0008-0000-0000-00005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3" name="Text Box 3080">
          <a:extLst>
            <a:ext uri="{FF2B5EF4-FFF2-40B4-BE49-F238E27FC236}">
              <a16:creationId xmlns="" xmlns:a16="http://schemas.microsoft.com/office/drawing/2014/main" id="{00000000-0008-0000-0000-00005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4" name="Text Box 3081">
          <a:extLst>
            <a:ext uri="{FF2B5EF4-FFF2-40B4-BE49-F238E27FC236}">
              <a16:creationId xmlns="" xmlns:a16="http://schemas.microsoft.com/office/drawing/2014/main" id="{00000000-0008-0000-0000-00006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5" name="Text Box 3082">
          <a:extLst>
            <a:ext uri="{FF2B5EF4-FFF2-40B4-BE49-F238E27FC236}">
              <a16:creationId xmlns="" xmlns:a16="http://schemas.microsoft.com/office/drawing/2014/main" id="{00000000-0008-0000-0000-00006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6" name="Text Box 3083">
          <a:extLst>
            <a:ext uri="{FF2B5EF4-FFF2-40B4-BE49-F238E27FC236}">
              <a16:creationId xmlns="" xmlns:a16="http://schemas.microsoft.com/office/drawing/2014/main" id="{00000000-0008-0000-0000-00006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7" name="Text Box 3084">
          <a:extLst>
            <a:ext uri="{FF2B5EF4-FFF2-40B4-BE49-F238E27FC236}">
              <a16:creationId xmlns="" xmlns:a16="http://schemas.microsoft.com/office/drawing/2014/main" id="{00000000-0008-0000-0000-00006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8" name="Text Box 3085">
          <a:extLst>
            <a:ext uri="{FF2B5EF4-FFF2-40B4-BE49-F238E27FC236}">
              <a16:creationId xmlns="" xmlns:a16="http://schemas.microsoft.com/office/drawing/2014/main" id="{00000000-0008-0000-0000-00006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9" name="Text Box 3086">
          <a:extLst>
            <a:ext uri="{FF2B5EF4-FFF2-40B4-BE49-F238E27FC236}">
              <a16:creationId xmlns="" xmlns:a16="http://schemas.microsoft.com/office/drawing/2014/main" id="{00000000-0008-0000-0000-00006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0" name="Text Box 3087">
          <a:extLst>
            <a:ext uri="{FF2B5EF4-FFF2-40B4-BE49-F238E27FC236}">
              <a16:creationId xmlns="" xmlns:a16="http://schemas.microsoft.com/office/drawing/2014/main" id="{00000000-0008-0000-0000-00006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1" name="Text Box 3088">
          <a:extLst>
            <a:ext uri="{FF2B5EF4-FFF2-40B4-BE49-F238E27FC236}">
              <a16:creationId xmlns="" xmlns:a16="http://schemas.microsoft.com/office/drawing/2014/main" id="{00000000-0008-0000-0000-00006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2" name="Text Box 3089">
          <a:extLst>
            <a:ext uri="{FF2B5EF4-FFF2-40B4-BE49-F238E27FC236}">
              <a16:creationId xmlns="" xmlns:a16="http://schemas.microsoft.com/office/drawing/2014/main" id="{00000000-0008-0000-0000-00006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3" name="Text Box 3090">
          <a:extLst>
            <a:ext uri="{FF2B5EF4-FFF2-40B4-BE49-F238E27FC236}">
              <a16:creationId xmlns="" xmlns:a16="http://schemas.microsoft.com/office/drawing/2014/main" id="{00000000-0008-0000-0000-00006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4" name="Text Box 3091">
          <a:extLst>
            <a:ext uri="{FF2B5EF4-FFF2-40B4-BE49-F238E27FC236}">
              <a16:creationId xmlns="" xmlns:a16="http://schemas.microsoft.com/office/drawing/2014/main" id="{00000000-0008-0000-0000-00006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5" name="Text Box 3092">
          <a:extLst>
            <a:ext uri="{FF2B5EF4-FFF2-40B4-BE49-F238E27FC236}">
              <a16:creationId xmlns="" xmlns:a16="http://schemas.microsoft.com/office/drawing/2014/main" id="{00000000-0008-0000-0000-00006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6" name="Text Box 3093">
          <a:extLst>
            <a:ext uri="{FF2B5EF4-FFF2-40B4-BE49-F238E27FC236}">
              <a16:creationId xmlns="" xmlns:a16="http://schemas.microsoft.com/office/drawing/2014/main" id="{00000000-0008-0000-0000-00006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7" name="Text Box 3094">
          <a:extLst>
            <a:ext uri="{FF2B5EF4-FFF2-40B4-BE49-F238E27FC236}">
              <a16:creationId xmlns="" xmlns:a16="http://schemas.microsoft.com/office/drawing/2014/main" id="{00000000-0008-0000-0000-00006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8" name="Text Box 3095">
          <a:extLst>
            <a:ext uri="{FF2B5EF4-FFF2-40B4-BE49-F238E27FC236}">
              <a16:creationId xmlns="" xmlns:a16="http://schemas.microsoft.com/office/drawing/2014/main" id="{00000000-0008-0000-0000-00006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9" name="Text Box 3096">
          <a:extLst>
            <a:ext uri="{FF2B5EF4-FFF2-40B4-BE49-F238E27FC236}">
              <a16:creationId xmlns="" xmlns:a16="http://schemas.microsoft.com/office/drawing/2014/main" id="{00000000-0008-0000-0000-00006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0" name="Text Box 3097">
          <a:extLst>
            <a:ext uri="{FF2B5EF4-FFF2-40B4-BE49-F238E27FC236}">
              <a16:creationId xmlns="" xmlns:a16="http://schemas.microsoft.com/office/drawing/2014/main" id="{00000000-0008-0000-0000-00007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1" name="Text Box 3098">
          <a:extLst>
            <a:ext uri="{FF2B5EF4-FFF2-40B4-BE49-F238E27FC236}">
              <a16:creationId xmlns="" xmlns:a16="http://schemas.microsoft.com/office/drawing/2014/main" id="{00000000-0008-0000-0000-00007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2" name="Text Box 3099">
          <a:extLst>
            <a:ext uri="{FF2B5EF4-FFF2-40B4-BE49-F238E27FC236}">
              <a16:creationId xmlns="" xmlns:a16="http://schemas.microsoft.com/office/drawing/2014/main" id="{00000000-0008-0000-0000-00007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3" name="Text Box 3100">
          <a:extLst>
            <a:ext uri="{FF2B5EF4-FFF2-40B4-BE49-F238E27FC236}">
              <a16:creationId xmlns="" xmlns:a16="http://schemas.microsoft.com/office/drawing/2014/main" id="{00000000-0008-0000-0000-00007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4" name="Text Box 3101">
          <a:extLst>
            <a:ext uri="{FF2B5EF4-FFF2-40B4-BE49-F238E27FC236}">
              <a16:creationId xmlns="" xmlns:a16="http://schemas.microsoft.com/office/drawing/2014/main" id="{00000000-0008-0000-0000-00007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445" name="Text Box 3102">
          <a:extLst>
            <a:ext uri="{FF2B5EF4-FFF2-40B4-BE49-F238E27FC236}">
              <a16:creationId xmlns="" xmlns:a16="http://schemas.microsoft.com/office/drawing/2014/main" id="{00000000-0008-0000-0000-00007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6" name="Text Box 59">
          <a:extLst>
            <a:ext uri="{FF2B5EF4-FFF2-40B4-BE49-F238E27FC236}">
              <a16:creationId xmlns="" xmlns:a16="http://schemas.microsoft.com/office/drawing/2014/main" id="{00000000-0008-0000-0000-00007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7" name="Text Box 60">
          <a:extLst>
            <a:ext uri="{FF2B5EF4-FFF2-40B4-BE49-F238E27FC236}">
              <a16:creationId xmlns="" xmlns:a16="http://schemas.microsoft.com/office/drawing/2014/main" id="{00000000-0008-0000-0000-00007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8" name="Text Box 61">
          <a:extLst>
            <a:ext uri="{FF2B5EF4-FFF2-40B4-BE49-F238E27FC236}">
              <a16:creationId xmlns="" xmlns:a16="http://schemas.microsoft.com/office/drawing/2014/main" id="{00000000-0008-0000-0000-00007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9" name="Text Box 62">
          <a:extLst>
            <a:ext uri="{FF2B5EF4-FFF2-40B4-BE49-F238E27FC236}">
              <a16:creationId xmlns="" xmlns:a16="http://schemas.microsoft.com/office/drawing/2014/main" id="{00000000-0008-0000-0000-00007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0" name="Text Box 63">
          <a:extLst>
            <a:ext uri="{FF2B5EF4-FFF2-40B4-BE49-F238E27FC236}">
              <a16:creationId xmlns="" xmlns:a16="http://schemas.microsoft.com/office/drawing/2014/main" id="{00000000-0008-0000-0000-00007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1" name="Text Box 64">
          <a:extLst>
            <a:ext uri="{FF2B5EF4-FFF2-40B4-BE49-F238E27FC236}">
              <a16:creationId xmlns="" xmlns:a16="http://schemas.microsoft.com/office/drawing/2014/main" id="{00000000-0008-0000-0000-00007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2" name="Text Box 65">
          <a:extLst>
            <a:ext uri="{FF2B5EF4-FFF2-40B4-BE49-F238E27FC236}">
              <a16:creationId xmlns="" xmlns:a16="http://schemas.microsoft.com/office/drawing/2014/main" id="{00000000-0008-0000-0000-00007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3" name="Text Box 66">
          <a:extLst>
            <a:ext uri="{FF2B5EF4-FFF2-40B4-BE49-F238E27FC236}">
              <a16:creationId xmlns="" xmlns:a16="http://schemas.microsoft.com/office/drawing/2014/main" id="{00000000-0008-0000-0000-00007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4" name="Text Box 67">
          <a:extLst>
            <a:ext uri="{FF2B5EF4-FFF2-40B4-BE49-F238E27FC236}">
              <a16:creationId xmlns="" xmlns:a16="http://schemas.microsoft.com/office/drawing/2014/main" id="{00000000-0008-0000-0000-00007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5" name="Text Box 68">
          <a:extLst>
            <a:ext uri="{FF2B5EF4-FFF2-40B4-BE49-F238E27FC236}">
              <a16:creationId xmlns="" xmlns:a16="http://schemas.microsoft.com/office/drawing/2014/main" id="{00000000-0008-0000-0000-00007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6" name="Text Box 69">
          <a:extLst>
            <a:ext uri="{FF2B5EF4-FFF2-40B4-BE49-F238E27FC236}">
              <a16:creationId xmlns="" xmlns:a16="http://schemas.microsoft.com/office/drawing/2014/main" id="{00000000-0008-0000-0000-00008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7" name="Text Box 70">
          <a:extLst>
            <a:ext uri="{FF2B5EF4-FFF2-40B4-BE49-F238E27FC236}">
              <a16:creationId xmlns="" xmlns:a16="http://schemas.microsoft.com/office/drawing/2014/main" id="{00000000-0008-0000-0000-00008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8" name="Text Box 71">
          <a:extLst>
            <a:ext uri="{FF2B5EF4-FFF2-40B4-BE49-F238E27FC236}">
              <a16:creationId xmlns="" xmlns:a16="http://schemas.microsoft.com/office/drawing/2014/main" id="{00000000-0008-0000-0000-00008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9" name="Text Box 72">
          <a:extLst>
            <a:ext uri="{FF2B5EF4-FFF2-40B4-BE49-F238E27FC236}">
              <a16:creationId xmlns="" xmlns:a16="http://schemas.microsoft.com/office/drawing/2014/main" id="{00000000-0008-0000-0000-00008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0" name="Text Box 73">
          <a:extLst>
            <a:ext uri="{FF2B5EF4-FFF2-40B4-BE49-F238E27FC236}">
              <a16:creationId xmlns="" xmlns:a16="http://schemas.microsoft.com/office/drawing/2014/main" id="{00000000-0008-0000-0000-00008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1" name="Text Box 74">
          <a:extLst>
            <a:ext uri="{FF2B5EF4-FFF2-40B4-BE49-F238E27FC236}">
              <a16:creationId xmlns="" xmlns:a16="http://schemas.microsoft.com/office/drawing/2014/main" id="{00000000-0008-0000-0000-00008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2" name="Text Box 75">
          <a:extLst>
            <a:ext uri="{FF2B5EF4-FFF2-40B4-BE49-F238E27FC236}">
              <a16:creationId xmlns="" xmlns:a16="http://schemas.microsoft.com/office/drawing/2014/main" id="{00000000-0008-0000-0000-00008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3" name="Text Box 76">
          <a:extLst>
            <a:ext uri="{FF2B5EF4-FFF2-40B4-BE49-F238E27FC236}">
              <a16:creationId xmlns="" xmlns:a16="http://schemas.microsoft.com/office/drawing/2014/main" id="{00000000-0008-0000-0000-00008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4" name="Text Box 77">
          <a:extLst>
            <a:ext uri="{FF2B5EF4-FFF2-40B4-BE49-F238E27FC236}">
              <a16:creationId xmlns="" xmlns:a16="http://schemas.microsoft.com/office/drawing/2014/main" id="{00000000-0008-0000-0000-00008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5" name="Text Box 78">
          <a:extLst>
            <a:ext uri="{FF2B5EF4-FFF2-40B4-BE49-F238E27FC236}">
              <a16:creationId xmlns="" xmlns:a16="http://schemas.microsoft.com/office/drawing/2014/main" id="{00000000-0008-0000-0000-00008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6" name="Text Box 79">
          <a:extLst>
            <a:ext uri="{FF2B5EF4-FFF2-40B4-BE49-F238E27FC236}">
              <a16:creationId xmlns="" xmlns:a16="http://schemas.microsoft.com/office/drawing/2014/main" id="{00000000-0008-0000-0000-00008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7" name="Text Box 80">
          <a:extLst>
            <a:ext uri="{FF2B5EF4-FFF2-40B4-BE49-F238E27FC236}">
              <a16:creationId xmlns="" xmlns:a16="http://schemas.microsoft.com/office/drawing/2014/main" id="{00000000-0008-0000-0000-00008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8" name="Text Box 81">
          <a:extLst>
            <a:ext uri="{FF2B5EF4-FFF2-40B4-BE49-F238E27FC236}">
              <a16:creationId xmlns="" xmlns:a16="http://schemas.microsoft.com/office/drawing/2014/main" id="{00000000-0008-0000-0000-00008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469" name="Text Box 82">
          <a:extLst>
            <a:ext uri="{FF2B5EF4-FFF2-40B4-BE49-F238E27FC236}">
              <a16:creationId xmlns="" xmlns:a16="http://schemas.microsoft.com/office/drawing/2014/main" id="{00000000-0008-0000-0000-00008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0" name="Text Box 3079">
          <a:extLst>
            <a:ext uri="{FF2B5EF4-FFF2-40B4-BE49-F238E27FC236}">
              <a16:creationId xmlns="" xmlns:a16="http://schemas.microsoft.com/office/drawing/2014/main" id="{00000000-0008-0000-0000-00008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1" name="Text Box 3080">
          <a:extLst>
            <a:ext uri="{FF2B5EF4-FFF2-40B4-BE49-F238E27FC236}">
              <a16:creationId xmlns="" xmlns:a16="http://schemas.microsoft.com/office/drawing/2014/main" id="{00000000-0008-0000-0000-00008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2" name="Text Box 3081">
          <a:extLst>
            <a:ext uri="{FF2B5EF4-FFF2-40B4-BE49-F238E27FC236}">
              <a16:creationId xmlns="" xmlns:a16="http://schemas.microsoft.com/office/drawing/2014/main" id="{00000000-0008-0000-0000-00009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3" name="Text Box 3082">
          <a:extLst>
            <a:ext uri="{FF2B5EF4-FFF2-40B4-BE49-F238E27FC236}">
              <a16:creationId xmlns="" xmlns:a16="http://schemas.microsoft.com/office/drawing/2014/main" id="{00000000-0008-0000-0000-00009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4" name="Text Box 3083">
          <a:extLst>
            <a:ext uri="{FF2B5EF4-FFF2-40B4-BE49-F238E27FC236}">
              <a16:creationId xmlns="" xmlns:a16="http://schemas.microsoft.com/office/drawing/2014/main" id="{00000000-0008-0000-0000-00009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5" name="Text Box 3084">
          <a:extLst>
            <a:ext uri="{FF2B5EF4-FFF2-40B4-BE49-F238E27FC236}">
              <a16:creationId xmlns="" xmlns:a16="http://schemas.microsoft.com/office/drawing/2014/main" id="{00000000-0008-0000-0000-00009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6" name="Text Box 3085">
          <a:extLst>
            <a:ext uri="{FF2B5EF4-FFF2-40B4-BE49-F238E27FC236}">
              <a16:creationId xmlns="" xmlns:a16="http://schemas.microsoft.com/office/drawing/2014/main" id="{00000000-0008-0000-0000-00009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7" name="Text Box 3086">
          <a:extLst>
            <a:ext uri="{FF2B5EF4-FFF2-40B4-BE49-F238E27FC236}">
              <a16:creationId xmlns="" xmlns:a16="http://schemas.microsoft.com/office/drawing/2014/main" id="{00000000-0008-0000-0000-00009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8" name="Text Box 3087">
          <a:extLst>
            <a:ext uri="{FF2B5EF4-FFF2-40B4-BE49-F238E27FC236}">
              <a16:creationId xmlns="" xmlns:a16="http://schemas.microsoft.com/office/drawing/2014/main" id="{00000000-0008-0000-0000-00009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9" name="Text Box 3088">
          <a:extLst>
            <a:ext uri="{FF2B5EF4-FFF2-40B4-BE49-F238E27FC236}">
              <a16:creationId xmlns="" xmlns:a16="http://schemas.microsoft.com/office/drawing/2014/main" id="{00000000-0008-0000-0000-00009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0" name="Text Box 3089">
          <a:extLst>
            <a:ext uri="{FF2B5EF4-FFF2-40B4-BE49-F238E27FC236}">
              <a16:creationId xmlns="" xmlns:a16="http://schemas.microsoft.com/office/drawing/2014/main" id="{00000000-0008-0000-0000-00009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1" name="Text Box 3090">
          <a:extLst>
            <a:ext uri="{FF2B5EF4-FFF2-40B4-BE49-F238E27FC236}">
              <a16:creationId xmlns="" xmlns:a16="http://schemas.microsoft.com/office/drawing/2014/main" id="{00000000-0008-0000-0000-00009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2" name="Text Box 3091">
          <a:extLst>
            <a:ext uri="{FF2B5EF4-FFF2-40B4-BE49-F238E27FC236}">
              <a16:creationId xmlns="" xmlns:a16="http://schemas.microsoft.com/office/drawing/2014/main" id="{00000000-0008-0000-0000-00009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3" name="Text Box 3092">
          <a:extLst>
            <a:ext uri="{FF2B5EF4-FFF2-40B4-BE49-F238E27FC236}">
              <a16:creationId xmlns="" xmlns:a16="http://schemas.microsoft.com/office/drawing/2014/main" id="{00000000-0008-0000-0000-00009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4" name="Text Box 3093">
          <a:extLst>
            <a:ext uri="{FF2B5EF4-FFF2-40B4-BE49-F238E27FC236}">
              <a16:creationId xmlns="" xmlns:a16="http://schemas.microsoft.com/office/drawing/2014/main" id="{00000000-0008-0000-0000-00009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5" name="Text Box 3094">
          <a:extLst>
            <a:ext uri="{FF2B5EF4-FFF2-40B4-BE49-F238E27FC236}">
              <a16:creationId xmlns="" xmlns:a16="http://schemas.microsoft.com/office/drawing/2014/main" id="{00000000-0008-0000-0000-00009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6" name="Text Box 3095">
          <a:extLst>
            <a:ext uri="{FF2B5EF4-FFF2-40B4-BE49-F238E27FC236}">
              <a16:creationId xmlns="" xmlns:a16="http://schemas.microsoft.com/office/drawing/2014/main" id="{00000000-0008-0000-0000-00009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7" name="Text Box 3096">
          <a:extLst>
            <a:ext uri="{FF2B5EF4-FFF2-40B4-BE49-F238E27FC236}">
              <a16:creationId xmlns="" xmlns:a16="http://schemas.microsoft.com/office/drawing/2014/main" id="{00000000-0008-0000-0000-00009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8" name="Text Box 3097">
          <a:extLst>
            <a:ext uri="{FF2B5EF4-FFF2-40B4-BE49-F238E27FC236}">
              <a16:creationId xmlns="" xmlns:a16="http://schemas.microsoft.com/office/drawing/2014/main" id="{00000000-0008-0000-0000-0000A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9" name="Text Box 3098">
          <a:extLst>
            <a:ext uri="{FF2B5EF4-FFF2-40B4-BE49-F238E27FC236}">
              <a16:creationId xmlns="" xmlns:a16="http://schemas.microsoft.com/office/drawing/2014/main" id="{00000000-0008-0000-0000-0000A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0" name="Text Box 3099">
          <a:extLst>
            <a:ext uri="{FF2B5EF4-FFF2-40B4-BE49-F238E27FC236}">
              <a16:creationId xmlns="" xmlns:a16="http://schemas.microsoft.com/office/drawing/2014/main" id="{00000000-0008-0000-0000-0000A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1" name="Text Box 3100">
          <a:extLst>
            <a:ext uri="{FF2B5EF4-FFF2-40B4-BE49-F238E27FC236}">
              <a16:creationId xmlns="" xmlns:a16="http://schemas.microsoft.com/office/drawing/2014/main" id="{00000000-0008-0000-0000-0000A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2" name="Text Box 3101">
          <a:extLst>
            <a:ext uri="{FF2B5EF4-FFF2-40B4-BE49-F238E27FC236}">
              <a16:creationId xmlns="" xmlns:a16="http://schemas.microsoft.com/office/drawing/2014/main" id="{00000000-0008-0000-0000-0000A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493" name="Text Box 3102">
          <a:extLst>
            <a:ext uri="{FF2B5EF4-FFF2-40B4-BE49-F238E27FC236}">
              <a16:creationId xmlns="" xmlns:a16="http://schemas.microsoft.com/office/drawing/2014/main" id="{00000000-0008-0000-0000-0000A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4" name="Text Box 59">
          <a:extLst>
            <a:ext uri="{FF2B5EF4-FFF2-40B4-BE49-F238E27FC236}">
              <a16:creationId xmlns="" xmlns:a16="http://schemas.microsoft.com/office/drawing/2014/main" id="{00000000-0008-0000-0000-0000A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5" name="Text Box 60">
          <a:extLst>
            <a:ext uri="{FF2B5EF4-FFF2-40B4-BE49-F238E27FC236}">
              <a16:creationId xmlns="" xmlns:a16="http://schemas.microsoft.com/office/drawing/2014/main" id="{00000000-0008-0000-0000-0000A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6" name="Text Box 61">
          <a:extLst>
            <a:ext uri="{FF2B5EF4-FFF2-40B4-BE49-F238E27FC236}">
              <a16:creationId xmlns="" xmlns:a16="http://schemas.microsoft.com/office/drawing/2014/main" id="{00000000-0008-0000-0000-0000A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7" name="Text Box 62">
          <a:extLst>
            <a:ext uri="{FF2B5EF4-FFF2-40B4-BE49-F238E27FC236}">
              <a16:creationId xmlns="" xmlns:a16="http://schemas.microsoft.com/office/drawing/2014/main" id="{00000000-0008-0000-0000-0000A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8" name="Text Box 63">
          <a:extLst>
            <a:ext uri="{FF2B5EF4-FFF2-40B4-BE49-F238E27FC236}">
              <a16:creationId xmlns="" xmlns:a16="http://schemas.microsoft.com/office/drawing/2014/main" id="{00000000-0008-0000-0000-0000A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9" name="Text Box 64">
          <a:extLst>
            <a:ext uri="{FF2B5EF4-FFF2-40B4-BE49-F238E27FC236}">
              <a16:creationId xmlns="" xmlns:a16="http://schemas.microsoft.com/office/drawing/2014/main" id="{00000000-0008-0000-0000-0000A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0" name="Text Box 65">
          <a:extLst>
            <a:ext uri="{FF2B5EF4-FFF2-40B4-BE49-F238E27FC236}">
              <a16:creationId xmlns="" xmlns:a16="http://schemas.microsoft.com/office/drawing/2014/main" id="{00000000-0008-0000-0000-0000A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1" name="Text Box 66">
          <a:extLst>
            <a:ext uri="{FF2B5EF4-FFF2-40B4-BE49-F238E27FC236}">
              <a16:creationId xmlns="" xmlns:a16="http://schemas.microsoft.com/office/drawing/2014/main" id="{00000000-0008-0000-0000-0000A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2" name="Text Box 67">
          <a:extLst>
            <a:ext uri="{FF2B5EF4-FFF2-40B4-BE49-F238E27FC236}">
              <a16:creationId xmlns="" xmlns:a16="http://schemas.microsoft.com/office/drawing/2014/main" id="{00000000-0008-0000-0000-0000A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3" name="Text Box 68">
          <a:extLst>
            <a:ext uri="{FF2B5EF4-FFF2-40B4-BE49-F238E27FC236}">
              <a16:creationId xmlns="" xmlns:a16="http://schemas.microsoft.com/office/drawing/2014/main" id="{00000000-0008-0000-0000-0000A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4" name="Text Box 69">
          <a:extLst>
            <a:ext uri="{FF2B5EF4-FFF2-40B4-BE49-F238E27FC236}">
              <a16:creationId xmlns="" xmlns:a16="http://schemas.microsoft.com/office/drawing/2014/main" id="{00000000-0008-0000-0000-0000B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5" name="Text Box 70">
          <a:extLst>
            <a:ext uri="{FF2B5EF4-FFF2-40B4-BE49-F238E27FC236}">
              <a16:creationId xmlns="" xmlns:a16="http://schemas.microsoft.com/office/drawing/2014/main" id="{00000000-0008-0000-0000-0000B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6" name="Text Box 71">
          <a:extLst>
            <a:ext uri="{FF2B5EF4-FFF2-40B4-BE49-F238E27FC236}">
              <a16:creationId xmlns="" xmlns:a16="http://schemas.microsoft.com/office/drawing/2014/main" id="{00000000-0008-0000-0000-0000B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7" name="Text Box 72">
          <a:extLst>
            <a:ext uri="{FF2B5EF4-FFF2-40B4-BE49-F238E27FC236}">
              <a16:creationId xmlns="" xmlns:a16="http://schemas.microsoft.com/office/drawing/2014/main" id="{00000000-0008-0000-0000-0000B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8" name="Text Box 73">
          <a:extLst>
            <a:ext uri="{FF2B5EF4-FFF2-40B4-BE49-F238E27FC236}">
              <a16:creationId xmlns="" xmlns:a16="http://schemas.microsoft.com/office/drawing/2014/main" id="{00000000-0008-0000-0000-0000B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9" name="Text Box 74">
          <a:extLst>
            <a:ext uri="{FF2B5EF4-FFF2-40B4-BE49-F238E27FC236}">
              <a16:creationId xmlns="" xmlns:a16="http://schemas.microsoft.com/office/drawing/2014/main" id="{00000000-0008-0000-0000-0000B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0" name="Text Box 75">
          <a:extLst>
            <a:ext uri="{FF2B5EF4-FFF2-40B4-BE49-F238E27FC236}">
              <a16:creationId xmlns="" xmlns:a16="http://schemas.microsoft.com/office/drawing/2014/main" id="{00000000-0008-0000-0000-0000B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1" name="Text Box 76">
          <a:extLst>
            <a:ext uri="{FF2B5EF4-FFF2-40B4-BE49-F238E27FC236}">
              <a16:creationId xmlns="" xmlns:a16="http://schemas.microsoft.com/office/drawing/2014/main" id="{00000000-0008-0000-0000-0000B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2" name="Text Box 77">
          <a:extLst>
            <a:ext uri="{FF2B5EF4-FFF2-40B4-BE49-F238E27FC236}">
              <a16:creationId xmlns="" xmlns:a16="http://schemas.microsoft.com/office/drawing/2014/main" id="{00000000-0008-0000-0000-0000B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3" name="Text Box 78">
          <a:extLst>
            <a:ext uri="{FF2B5EF4-FFF2-40B4-BE49-F238E27FC236}">
              <a16:creationId xmlns="" xmlns:a16="http://schemas.microsoft.com/office/drawing/2014/main" id="{00000000-0008-0000-0000-0000B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4" name="Text Box 79">
          <a:extLst>
            <a:ext uri="{FF2B5EF4-FFF2-40B4-BE49-F238E27FC236}">
              <a16:creationId xmlns="" xmlns:a16="http://schemas.microsoft.com/office/drawing/2014/main" id="{00000000-0008-0000-0000-0000B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5" name="Text Box 80">
          <a:extLst>
            <a:ext uri="{FF2B5EF4-FFF2-40B4-BE49-F238E27FC236}">
              <a16:creationId xmlns="" xmlns:a16="http://schemas.microsoft.com/office/drawing/2014/main" id="{00000000-0008-0000-0000-0000B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6" name="Text Box 81">
          <a:extLst>
            <a:ext uri="{FF2B5EF4-FFF2-40B4-BE49-F238E27FC236}">
              <a16:creationId xmlns="" xmlns:a16="http://schemas.microsoft.com/office/drawing/2014/main" id="{00000000-0008-0000-0000-0000B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7" name="Text Box 3079">
          <a:extLst>
            <a:ext uri="{FF2B5EF4-FFF2-40B4-BE49-F238E27FC236}">
              <a16:creationId xmlns="" xmlns:a16="http://schemas.microsoft.com/office/drawing/2014/main" id="{00000000-0008-0000-0000-0000B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8" name="Text Box 3080">
          <a:extLst>
            <a:ext uri="{FF2B5EF4-FFF2-40B4-BE49-F238E27FC236}">
              <a16:creationId xmlns="" xmlns:a16="http://schemas.microsoft.com/office/drawing/2014/main" id="{00000000-0008-0000-0000-0000B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9" name="Text Box 3081">
          <a:extLst>
            <a:ext uri="{FF2B5EF4-FFF2-40B4-BE49-F238E27FC236}">
              <a16:creationId xmlns="" xmlns:a16="http://schemas.microsoft.com/office/drawing/2014/main" id="{00000000-0008-0000-0000-0000B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0" name="Text Box 3082">
          <a:extLst>
            <a:ext uri="{FF2B5EF4-FFF2-40B4-BE49-F238E27FC236}">
              <a16:creationId xmlns="" xmlns:a16="http://schemas.microsoft.com/office/drawing/2014/main" id="{00000000-0008-0000-0000-0000C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1" name="Text Box 3083">
          <a:extLst>
            <a:ext uri="{FF2B5EF4-FFF2-40B4-BE49-F238E27FC236}">
              <a16:creationId xmlns="" xmlns:a16="http://schemas.microsoft.com/office/drawing/2014/main" id="{00000000-0008-0000-0000-0000C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2" name="Text Box 3084">
          <a:extLst>
            <a:ext uri="{FF2B5EF4-FFF2-40B4-BE49-F238E27FC236}">
              <a16:creationId xmlns="" xmlns:a16="http://schemas.microsoft.com/office/drawing/2014/main" id="{00000000-0008-0000-0000-0000C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3" name="Text Box 3085">
          <a:extLst>
            <a:ext uri="{FF2B5EF4-FFF2-40B4-BE49-F238E27FC236}">
              <a16:creationId xmlns="" xmlns:a16="http://schemas.microsoft.com/office/drawing/2014/main" id="{00000000-0008-0000-0000-0000C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4" name="Text Box 3086">
          <a:extLst>
            <a:ext uri="{FF2B5EF4-FFF2-40B4-BE49-F238E27FC236}">
              <a16:creationId xmlns="" xmlns:a16="http://schemas.microsoft.com/office/drawing/2014/main" id="{00000000-0008-0000-0000-0000C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5" name="Text Box 3087">
          <a:extLst>
            <a:ext uri="{FF2B5EF4-FFF2-40B4-BE49-F238E27FC236}">
              <a16:creationId xmlns="" xmlns:a16="http://schemas.microsoft.com/office/drawing/2014/main" id="{00000000-0008-0000-0000-0000C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6" name="Text Box 3088">
          <a:extLst>
            <a:ext uri="{FF2B5EF4-FFF2-40B4-BE49-F238E27FC236}">
              <a16:creationId xmlns="" xmlns:a16="http://schemas.microsoft.com/office/drawing/2014/main" id="{00000000-0008-0000-0000-0000C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7" name="Text Box 3089">
          <a:extLst>
            <a:ext uri="{FF2B5EF4-FFF2-40B4-BE49-F238E27FC236}">
              <a16:creationId xmlns="" xmlns:a16="http://schemas.microsoft.com/office/drawing/2014/main" id="{00000000-0008-0000-0000-0000C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8" name="Text Box 3090">
          <a:extLst>
            <a:ext uri="{FF2B5EF4-FFF2-40B4-BE49-F238E27FC236}">
              <a16:creationId xmlns="" xmlns:a16="http://schemas.microsoft.com/office/drawing/2014/main" id="{00000000-0008-0000-0000-0000C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9" name="Text Box 3091">
          <a:extLst>
            <a:ext uri="{FF2B5EF4-FFF2-40B4-BE49-F238E27FC236}">
              <a16:creationId xmlns="" xmlns:a16="http://schemas.microsoft.com/office/drawing/2014/main" id="{00000000-0008-0000-0000-0000C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0" name="Text Box 3092">
          <a:extLst>
            <a:ext uri="{FF2B5EF4-FFF2-40B4-BE49-F238E27FC236}">
              <a16:creationId xmlns="" xmlns:a16="http://schemas.microsoft.com/office/drawing/2014/main" id="{00000000-0008-0000-0000-0000C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1" name="Text Box 3093">
          <a:extLst>
            <a:ext uri="{FF2B5EF4-FFF2-40B4-BE49-F238E27FC236}">
              <a16:creationId xmlns="" xmlns:a16="http://schemas.microsoft.com/office/drawing/2014/main" id="{00000000-0008-0000-0000-0000C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2" name="Text Box 3094">
          <a:extLst>
            <a:ext uri="{FF2B5EF4-FFF2-40B4-BE49-F238E27FC236}">
              <a16:creationId xmlns="" xmlns:a16="http://schemas.microsoft.com/office/drawing/2014/main" id="{00000000-0008-0000-0000-0000C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3" name="Text Box 3095">
          <a:extLst>
            <a:ext uri="{FF2B5EF4-FFF2-40B4-BE49-F238E27FC236}">
              <a16:creationId xmlns="" xmlns:a16="http://schemas.microsoft.com/office/drawing/2014/main" id="{00000000-0008-0000-0000-0000C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4" name="Text Box 3096">
          <a:extLst>
            <a:ext uri="{FF2B5EF4-FFF2-40B4-BE49-F238E27FC236}">
              <a16:creationId xmlns="" xmlns:a16="http://schemas.microsoft.com/office/drawing/2014/main" id="{00000000-0008-0000-0000-0000C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5" name="Text Box 3097">
          <a:extLst>
            <a:ext uri="{FF2B5EF4-FFF2-40B4-BE49-F238E27FC236}">
              <a16:creationId xmlns="" xmlns:a16="http://schemas.microsoft.com/office/drawing/2014/main" id="{00000000-0008-0000-0000-0000C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6" name="Text Box 3098">
          <a:extLst>
            <a:ext uri="{FF2B5EF4-FFF2-40B4-BE49-F238E27FC236}">
              <a16:creationId xmlns="" xmlns:a16="http://schemas.microsoft.com/office/drawing/2014/main" id="{00000000-0008-0000-0000-0000D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7" name="Text Box 3099">
          <a:extLst>
            <a:ext uri="{FF2B5EF4-FFF2-40B4-BE49-F238E27FC236}">
              <a16:creationId xmlns="" xmlns:a16="http://schemas.microsoft.com/office/drawing/2014/main" id="{00000000-0008-0000-0000-0000D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8" name="Text Box 3100">
          <a:extLst>
            <a:ext uri="{FF2B5EF4-FFF2-40B4-BE49-F238E27FC236}">
              <a16:creationId xmlns="" xmlns:a16="http://schemas.microsoft.com/office/drawing/2014/main" id="{00000000-0008-0000-0000-0000D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9" name="Text Box 3101">
          <a:extLst>
            <a:ext uri="{FF2B5EF4-FFF2-40B4-BE49-F238E27FC236}">
              <a16:creationId xmlns="" xmlns:a16="http://schemas.microsoft.com/office/drawing/2014/main" id="{00000000-0008-0000-0000-0000D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40" name="Text Box 3102">
          <a:extLst>
            <a:ext uri="{FF2B5EF4-FFF2-40B4-BE49-F238E27FC236}">
              <a16:creationId xmlns="" xmlns:a16="http://schemas.microsoft.com/office/drawing/2014/main" id="{00000000-0008-0000-0000-0000D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1" name="Text Box 59">
          <a:extLst>
            <a:ext uri="{FF2B5EF4-FFF2-40B4-BE49-F238E27FC236}">
              <a16:creationId xmlns="" xmlns:a16="http://schemas.microsoft.com/office/drawing/2014/main" id="{00000000-0008-0000-0000-0000D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2" name="Text Box 60">
          <a:extLst>
            <a:ext uri="{FF2B5EF4-FFF2-40B4-BE49-F238E27FC236}">
              <a16:creationId xmlns="" xmlns:a16="http://schemas.microsoft.com/office/drawing/2014/main" id="{00000000-0008-0000-0000-0000D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3" name="Text Box 61">
          <a:extLst>
            <a:ext uri="{FF2B5EF4-FFF2-40B4-BE49-F238E27FC236}">
              <a16:creationId xmlns="" xmlns:a16="http://schemas.microsoft.com/office/drawing/2014/main" id="{00000000-0008-0000-0000-0000D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4" name="Text Box 62">
          <a:extLst>
            <a:ext uri="{FF2B5EF4-FFF2-40B4-BE49-F238E27FC236}">
              <a16:creationId xmlns="" xmlns:a16="http://schemas.microsoft.com/office/drawing/2014/main" id="{00000000-0008-0000-0000-0000D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5" name="Text Box 63">
          <a:extLst>
            <a:ext uri="{FF2B5EF4-FFF2-40B4-BE49-F238E27FC236}">
              <a16:creationId xmlns="" xmlns:a16="http://schemas.microsoft.com/office/drawing/2014/main" id="{00000000-0008-0000-0000-0000D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6" name="Text Box 64">
          <a:extLst>
            <a:ext uri="{FF2B5EF4-FFF2-40B4-BE49-F238E27FC236}">
              <a16:creationId xmlns="" xmlns:a16="http://schemas.microsoft.com/office/drawing/2014/main" id="{00000000-0008-0000-0000-0000D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7" name="Text Box 65">
          <a:extLst>
            <a:ext uri="{FF2B5EF4-FFF2-40B4-BE49-F238E27FC236}">
              <a16:creationId xmlns="" xmlns:a16="http://schemas.microsoft.com/office/drawing/2014/main" id="{00000000-0008-0000-0000-0000D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8" name="Text Box 66">
          <a:extLst>
            <a:ext uri="{FF2B5EF4-FFF2-40B4-BE49-F238E27FC236}">
              <a16:creationId xmlns="" xmlns:a16="http://schemas.microsoft.com/office/drawing/2014/main" id="{00000000-0008-0000-0000-0000D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9" name="Text Box 67">
          <a:extLst>
            <a:ext uri="{FF2B5EF4-FFF2-40B4-BE49-F238E27FC236}">
              <a16:creationId xmlns="" xmlns:a16="http://schemas.microsoft.com/office/drawing/2014/main" id="{00000000-0008-0000-0000-0000D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0" name="Text Box 68">
          <a:extLst>
            <a:ext uri="{FF2B5EF4-FFF2-40B4-BE49-F238E27FC236}">
              <a16:creationId xmlns="" xmlns:a16="http://schemas.microsoft.com/office/drawing/2014/main" id="{00000000-0008-0000-0000-0000D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1" name="Text Box 69">
          <a:extLst>
            <a:ext uri="{FF2B5EF4-FFF2-40B4-BE49-F238E27FC236}">
              <a16:creationId xmlns="" xmlns:a16="http://schemas.microsoft.com/office/drawing/2014/main" id="{00000000-0008-0000-0000-0000D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2" name="Text Box 70">
          <a:extLst>
            <a:ext uri="{FF2B5EF4-FFF2-40B4-BE49-F238E27FC236}">
              <a16:creationId xmlns="" xmlns:a16="http://schemas.microsoft.com/office/drawing/2014/main" id="{00000000-0008-0000-0000-0000E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3" name="Text Box 71">
          <a:extLst>
            <a:ext uri="{FF2B5EF4-FFF2-40B4-BE49-F238E27FC236}">
              <a16:creationId xmlns="" xmlns:a16="http://schemas.microsoft.com/office/drawing/2014/main" id="{00000000-0008-0000-0000-0000E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4" name="Text Box 72">
          <a:extLst>
            <a:ext uri="{FF2B5EF4-FFF2-40B4-BE49-F238E27FC236}">
              <a16:creationId xmlns="" xmlns:a16="http://schemas.microsoft.com/office/drawing/2014/main" id="{00000000-0008-0000-0000-0000E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5" name="Text Box 73">
          <a:extLst>
            <a:ext uri="{FF2B5EF4-FFF2-40B4-BE49-F238E27FC236}">
              <a16:creationId xmlns="" xmlns:a16="http://schemas.microsoft.com/office/drawing/2014/main" id="{00000000-0008-0000-0000-0000E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6" name="Text Box 74">
          <a:extLst>
            <a:ext uri="{FF2B5EF4-FFF2-40B4-BE49-F238E27FC236}">
              <a16:creationId xmlns="" xmlns:a16="http://schemas.microsoft.com/office/drawing/2014/main" id="{00000000-0008-0000-0000-0000E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7" name="Text Box 75">
          <a:extLst>
            <a:ext uri="{FF2B5EF4-FFF2-40B4-BE49-F238E27FC236}">
              <a16:creationId xmlns="" xmlns:a16="http://schemas.microsoft.com/office/drawing/2014/main" id="{00000000-0008-0000-0000-0000E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8" name="Text Box 76">
          <a:extLst>
            <a:ext uri="{FF2B5EF4-FFF2-40B4-BE49-F238E27FC236}">
              <a16:creationId xmlns="" xmlns:a16="http://schemas.microsoft.com/office/drawing/2014/main" id="{00000000-0008-0000-0000-0000E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9" name="Text Box 77">
          <a:extLst>
            <a:ext uri="{FF2B5EF4-FFF2-40B4-BE49-F238E27FC236}">
              <a16:creationId xmlns="" xmlns:a16="http://schemas.microsoft.com/office/drawing/2014/main" id="{00000000-0008-0000-0000-0000E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0" name="Text Box 78">
          <a:extLst>
            <a:ext uri="{FF2B5EF4-FFF2-40B4-BE49-F238E27FC236}">
              <a16:creationId xmlns="" xmlns:a16="http://schemas.microsoft.com/office/drawing/2014/main" id="{00000000-0008-0000-0000-0000E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1" name="Text Box 79">
          <a:extLst>
            <a:ext uri="{FF2B5EF4-FFF2-40B4-BE49-F238E27FC236}">
              <a16:creationId xmlns="" xmlns:a16="http://schemas.microsoft.com/office/drawing/2014/main" id="{00000000-0008-0000-0000-0000E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2" name="Text Box 80">
          <a:extLst>
            <a:ext uri="{FF2B5EF4-FFF2-40B4-BE49-F238E27FC236}">
              <a16:creationId xmlns="" xmlns:a16="http://schemas.microsoft.com/office/drawing/2014/main" id="{00000000-0008-0000-0000-0000E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3" name="Text Box 81">
          <a:extLst>
            <a:ext uri="{FF2B5EF4-FFF2-40B4-BE49-F238E27FC236}">
              <a16:creationId xmlns="" xmlns:a16="http://schemas.microsoft.com/office/drawing/2014/main" id="{00000000-0008-0000-0000-0000E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564" name="Text Box 82">
          <a:extLst>
            <a:ext uri="{FF2B5EF4-FFF2-40B4-BE49-F238E27FC236}">
              <a16:creationId xmlns="" xmlns:a16="http://schemas.microsoft.com/office/drawing/2014/main" id="{00000000-0008-0000-0000-0000E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5" name="Text Box 3079">
          <a:extLst>
            <a:ext uri="{FF2B5EF4-FFF2-40B4-BE49-F238E27FC236}">
              <a16:creationId xmlns="" xmlns:a16="http://schemas.microsoft.com/office/drawing/2014/main" id="{00000000-0008-0000-0000-0000E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6" name="Text Box 3080">
          <a:extLst>
            <a:ext uri="{FF2B5EF4-FFF2-40B4-BE49-F238E27FC236}">
              <a16:creationId xmlns="" xmlns:a16="http://schemas.microsoft.com/office/drawing/2014/main" id="{00000000-0008-0000-0000-0000E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7" name="Text Box 3081">
          <a:extLst>
            <a:ext uri="{FF2B5EF4-FFF2-40B4-BE49-F238E27FC236}">
              <a16:creationId xmlns="" xmlns:a16="http://schemas.microsoft.com/office/drawing/2014/main" id="{00000000-0008-0000-0000-0000E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8" name="Text Box 3082">
          <a:extLst>
            <a:ext uri="{FF2B5EF4-FFF2-40B4-BE49-F238E27FC236}">
              <a16:creationId xmlns="" xmlns:a16="http://schemas.microsoft.com/office/drawing/2014/main" id="{00000000-0008-0000-0000-0000F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9" name="Text Box 3083">
          <a:extLst>
            <a:ext uri="{FF2B5EF4-FFF2-40B4-BE49-F238E27FC236}">
              <a16:creationId xmlns="" xmlns:a16="http://schemas.microsoft.com/office/drawing/2014/main" id="{00000000-0008-0000-0000-0000F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0" name="Text Box 3084">
          <a:extLst>
            <a:ext uri="{FF2B5EF4-FFF2-40B4-BE49-F238E27FC236}">
              <a16:creationId xmlns="" xmlns:a16="http://schemas.microsoft.com/office/drawing/2014/main" id="{00000000-0008-0000-0000-0000F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1" name="Text Box 3085">
          <a:extLst>
            <a:ext uri="{FF2B5EF4-FFF2-40B4-BE49-F238E27FC236}">
              <a16:creationId xmlns="" xmlns:a16="http://schemas.microsoft.com/office/drawing/2014/main" id="{00000000-0008-0000-0000-0000F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2" name="Text Box 3086">
          <a:extLst>
            <a:ext uri="{FF2B5EF4-FFF2-40B4-BE49-F238E27FC236}">
              <a16:creationId xmlns="" xmlns:a16="http://schemas.microsoft.com/office/drawing/2014/main" id="{00000000-0008-0000-0000-0000F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3" name="Text Box 3087">
          <a:extLst>
            <a:ext uri="{FF2B5EF4-FFF2-40B4-BE49-F238E27FC236}">
              <a16:creationId xmlns="" xmlns:a16="http://schemas.microsoft.com/office/drawing/2014/main" id="{00000000-0008-0000-0000-0000F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4" name="Text Box 3088">
          <a:extLst>
            <a:ext uri="{FF2B5EF4-FFF2-40B4-BE49-F238E27FC236}">
              <a16:creationId xmlns="" xmlns:a16="http://schemas.microsoft.com/office/drawing/2014/main" id="{00000000-0008-0000-0000-0000F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5" name="Text Box 3089">
          <a:extLst>
            <a:ext uri="{FF2B5EF4-FFF2-40B4-BE49-F238E27FC236}">
              <a16:creationId xmlns="" xmlns:a16="http://schemas.microsoft.com/office/drawing/2014/main" id="{00000000-0008-0000-0000-0000F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6" name="Text Box 3090">
          <a:extLst>
            <a:ext uri="{FF2B5EF4-FFF2-40B4-BE49-F238E27FC236}">
              <a16:creationId xmlns="" xmlns:a16="http://schemas.microsoft.com/office/drawing/2014/main" id="{00000000-0008-0000-0000-0000F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7" name="Text Box 3091">
          <a:extLst>
            <a:ext uri="{FF2B5EF4-FFF2-40B4-BE49-F238E27FC236}">
              <a16:creationId xmlns="" xmlns:a16="http://schemas.microsoft.com/office/drawing/2014/main" id="{00000000-0008-0000-0000-0000F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8" name="Text Box 3092">
          <a:extLst>
            <a:ext uri="{FF2B5EF4-FFF2-40B4-BE49-F238E27FC236}">
              <a16:creationId xmlns="" xmlns:a16="http://schemas.microsoft.com/office/drawing/2014/main" id="{00000000-0008-0000-0000-0000F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9" name="Text Box 3093">
          <a:extLst>
            <a:ext uri="{FF2B5EF4-FFF2-40B4-BE49-F238E27FC236}">
              <a16:creationId xmlns="" xmlns:a16="http://schemas.microsoft.com/office/drawing/2014/main" id="{00000000-0008-0000-0000-0000F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0" name="Text Box 3094">
          <a:extLst>
            <a:ext uri="{FF2B5EF4-FFF2-40B4-BE49-F238E27FC236}">
              <a16:creationId xmlns="" xmlns:a16="http://schemas.microsoft.com/office/drawing/2014/main" id="{00000000-0008-0000-0000-0000F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1" name="Text Box 3095">
          <a:extLst>
            <a:ext uri="{FF2B5EF4-FFF2-40B4-BE49-F238E27FC236}">
              <a16:creationId xmlns="" xmlns:a16="http://schemas.microsoft.com/office/drawing/2014/main" id="{00000000-0008-0000-0000-0000F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2" name="Text Box 3096">
          <a:extLst>
            <a:ext uri="{FF2B5EF4-FFF2-40B4-BE49-F238E27FC236}">
              <a16:creationId xmlns="" xmlns:a16="http://schemas.microsoft.com/office/drawing/2014/main" id="{00000000-0008-0000-0000-0000F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3" name="Text Box 3097">
          <a:extLst>
            <a:ext uri="{FF2B5EF4-FFF2-40B4-BE49-F238E27FC236}">
              <a16:creationId xmlns="" xmlns:a16="http://schemas.microsoft.com/office/drawing/2014/main" id="{00000000-0008-0000-0000-0000F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4" name="Text Box 3098">
          <a:extLst>
            <a:ext uri="{FF2B5EF4-FFF2-40B4-BE49-F238E27FC236}">
              <a16:creationId xmlns="" xmlns:a16="http://schemas.microsoft.com/office/drawing/2014/main" id="{00000000-0008-0000-0000-00000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5" name="Text Box 3099">
          <a:extLst>
            <a:ext uri="{FF2B5EF4-FFF2-40B4-BE49-F238E27FC236}">
              <a16:creationId xmlns="" xmlns:a16="http://schemas.microsoft.com/office/drawing/2014/main" id="{00000000-0008-0000-0000-00000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6" name="Text Box 3100">
          <a:extLst>
            <a:ext uri="{FF2B5EF4-FFF2-40B4-BE49-F238E27FC236}">
              <a16:creationId xmlns="" xmlns:a16="http://schemas.microsoft.com/office/drawing/2014/main" id="{00000000-0008-0000-0000-00000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7" name="Text Box 3101">
          <a:extLst>
            <a:ext uri="{FF2B5EF4-FFF2-40B4-BE49-F238E27FC236}">
              <a16:creationId xmlns="" xmlns:a16="http://schemas.microsoft.com/office/drawing/2014/main" id="{00000000-0008-0000-0000-00000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88" name="Text Box 3102">
          <a:extLst>
            <a:ext uri="{FF2B5EF4-FFF2-40B4-BE49-F238E27FC236}">
              <a16:creationId xmlns="" xmlns:a16="http://schemas.microsoft.com/office/drawing/2014/main" id="{00000000-0008-0000-0000-00000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89" name="Text Box 59">
          <a:extLst>
            <a:ext uri="{FF2B5EF4-FFF2-40B4-BE49-F238E27FC236}">
              <a16:creationId xmlns="" xmlns:a16="http://schemas.microsoft.com/office/drawing/2014/main" id="{00000000-0008-0000-0000-00000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0" name="Text Box 60">
          <a:extLst>
            <a:ext uri="{FF2B5EF4-FFF2-40B4-BE49-F238E27FC236}">
              <a16:creationId xmlns="" xmlns:a16="http://schemas.microsoft.com/office/drawing/2014/main" id="{00000000-0008-0000-0000-00000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1" name="Text Box 61">
          <a:extLst>
            <a:ext uri="{FF2B5EF4-FFF2-40B4-BE49-F238E27FC236}">
              <a16:creationId xmlns="" xmlns:a16="http://schemas.microsoft.com/office/drawing/2014/main" id="{00000000-0008-0000-0000-00000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2" name="Text Box 62">
          <a:extLst>
            <a:ext uri="{FF2B5EF4-FFF2-40B4-BE49-F238E27FC236}">
              <a16:creationId xmlns="" xmlns:a16="http://schemas.microsoft.com/office/drawing/2014/main" id="{00000000-0008-0000-0000-00000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3" name="Text Box 63">
          <a:extLst>
            <a:ext uri="{FF2B5EF4-FFF2-40B4-BE49-F238E27FC236}">
              <a16:creationId xmlns="" xmlns:a16="http://schemas.microsoft.com/office/drawing/2014/main" id="{00000000-0008-0000-0000-00000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4" name="Text Box 64">
          <a:extLst>
            <a:ext uri="{FF2B5EF4-FFF2-40B4-BE49-F238E27FC236}">
              <a16:creationId xmlns="" xmlns:a16="http://schemas.microsoft.com/office/drawing/2014/main" id="{00000000-0008-0000-0000-00000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5" name="Text Box 65">
          <a:extLst>
            <a:ext uri="{FF2B5EF4-FFF2-40B4-BE49-F238E27FC236}">
              <a16:creationId xmlns="" xmlns:a16="http://schemas.microsoft.com/office/drawing/2014/main" id="{00000000-0008-0000-0000-00000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6" name="Text Box 66">
          <a:extLst>
            <a:ext uri="{FF2B5EF4-FFF2-40B4-BE49-F238E27FC236}">
              <a16:creationId xmlns="" xmlns:a16="http://schemas.microsoft.com/office/drawing/2014/main" id="{00000000-0008-0000-0000-00000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7" name="Text Box 67">
          <a:extLst>
            <a:ext uri="{FF2B5EF4-FFF2-40B4-BE49-F238E27FC236}">
              <a16:creationId xmlns="" xmlns:a16="http://schemas.microsoft.com/office/drawing/2014/main" id="{00000000-0008-0000-0000-00000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8" name="Text Box 68">
          <a:extLst>
            <a:ext uri="{FF2B5EF4-FFF2-40B4-BE49-F238E27FC236}">
              <a16:creationId xmlns="" xmlns:a16="http://schemas.microsoft.com/office/drawing/2014/main" id="{00000000-0008-0000-0000-00000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9" name="Text Box 69">
          <a:extLst>
            <a:ext uri="{FF2B5EF4-FFF2-40B4-BE49-F238E27FC236}">
              <a16:creationId xmlns="" xmlns:a16="http://schemas.microsoft.com/office/drawing/2014/main" id="{00000000-0008-0000-0000-00000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0" name="Text Box 70">
          <a:extLst>
            <a:ext uri="{FF2B5EF4-FFF2-40B4-BE49-F238E27FC236}">
              <a16:creationId xmlns="" xmlns:a16="http://schemas.microsoft.com/office/drawing/2014/main" id="{00000000-0008-0000-0000-00001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1" name="Text Box 71">
          <a:extLst>
            <a:ext uri="{FF2B5EF4-FFF2-40B4-BE49-F238E27FC236}">
              <a16:creationId xmlns="" xmlns:a16="http://schemas.microsoft.com/office/drawing/2014/main" id="{00000000-0008-0000-0000-00001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2" name="Text Box 72">
          <a:extLst>
            <a:ext uri="{FF2B5EF4-FFF2-40B4-BE49-F238E27FC236}">
              <a16:creationId xmlns="" xmlns:a16="http://schemas.microsoft.com/office/drawing/2014/main" id="{00000000-0008-0000-0000-00001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3" name="Text Box 73">
          <a:extLst>
            <a:ext uri="{FF2B5EF4-FFF2-40B4-BE49-F238E27FC236}">
              <a16:creationId xmlns="" xmlns:a16="http://schemas.microsoft.com/office/drawing/2014/main" id="{00000000-0008-0000-0000-00001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4" name="Text Box 74">
          <a:extLst>
            <a:ext uri="{FF2B5EF4-FFF2-40B4-BE49-F238E27FC236}">
              <a16:creationId xmlns="" xmlns:a16="http://schemas.microsoft.com/office/drawing/2014/main" id="{00000000-0008-0000-0000-00001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5" name="Text Box 75">
          <a:extLst>
            <a:ext uri="{FF2B5EF4-FFF2-40B4-BE49-F238E27FC236}">
              <a16:creationId xmlns="" xmlns:a16="http://schemas.microsoft.com/office/drawing/2014/main" id="{00000000-0008-0000-0000-00001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6" name="Text Box 76">
          <a:extLst>
            <a:ext uri="{FF2B5EF4-FFF2-40B4-BE49-F238E27FC236}">
              <a16:creationId xmlns="" xmlns:a16="http://schemas.microsoft.com/office/drawing/2014/main" id="{00000000-0008-0000-0000-00001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7" name="Text Box 77">
          <a:extLst>
            <a:ext uri="{FF2B5EF4-FFF2-40B4-BE49-F238E27FC236}">
              <a16:creationId xmlns="" xmlns:a16="http://schemas.microsoft.com/office/drawing/2014/main" id="{00000000-0008-0000-0000-00001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8" name="Text Box 78">
          <a:extLst>
            <a:ext uri="{FF2B5EF4-FFF2-40B4-BE49-F238E27FC236}">
              <a16:creationId xmlns="" xmlns:a16="http://schemas.microsoft.com/office/drawing/2014/main" id="{00000000-0008-0000-0000-00001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9" name="Text Box 79">
          <a:extLst>
            <a:ext uri="{FF2B5EF4-FFF2-40B4-BE49-F238E27FC236}">
              <a16:creationId xmlns="" xmlns:a16="http://schemas.microsoft.com/office/drawing/2014/main" id="{00000000-0008-0000-0000-00001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0" name="Text Box 80">
          <a:extLst>
            <a:ext uri="{FF2B5EF4-FFF2-40B4-BE49-F238E27FC236}">
              <a16:creationId xmlns="" xmlns:a16="http://schemas.microsoft.com/office/drawing/2014/main" id="{00000000-0008-0000-0000-00001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1" name="Text Box 81">
          <a:extLst>
            <a:ext uri="{FF2B5EF4-FFF2-40B4-BE49-F238E27FC236}">
              <a16:creationId xmlns="" xmlns:a16="http://schemas.microsoft.com/office/drawing/2014/main" id="{00000000-0008-0000-0000-00001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2" name="Text Box 3079">
          <a:extLst>
            <a:ext uri="{FF2B5EF4-FFF2-40B4-BE49-F238E27FC236}">
              <a16:creationId xmlns="" xmlns:a16="http://schemas.microsoft.com/office/drawing/2014/main" id="{00000000-0008-0000-0000-00001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3" name="Text Box 3080">
          <a:extLst>
            <a:ext uri="{FF2B5EF4-FFF2-40B4-BE49-F238E27FC236}">
              <a16:creationId xmlns="" xmlns:a16="http://schemas.microsoft.com/office/drawing/2014/main" id="{00000000-0008-0000-0000-00001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4" name="Text Box 3081">
          <a:extLst>
            <a:ext uri="{FF2B5EF4-FFF2-40B4-BE49-F238E27FC236}">
              <a16:creationId xmlns="" xmlns:a16="http://schemas.microsoft.com/office/drawing/2014/main" id="{00000000-0008-0000-0000-00001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5" name="Text Box 3082">
          <a:extLst>
            <a:ext uri="{FF2B5EF4-FFF2-40B4-BE49-F238E27FC236}">
              <a16:creationId xmlns="" xmlns:a16="http://schemas.microsoft.com/office/drawing/2014/main" id="{00000000-0008-0000-0000-00001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6" name="Text Box 3083">
          <a:extLst>
            <a:ext uri="{FF2B5EF4-FFF2-40B4-BE49-F238E27FC236}">
              <a16:creationId xmlns="" xmlns:a16="http://schemas.microsoft.com/office/drawing/2014/main" id="{00000000-0008-0000-0000-00002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7" name="Text Box 3084">
          <a:extLst>
            <a:ext uri="{FF2B5EF4-FFF2-40B4-BE49-F238E27FC236}">
              <a16:creationId xmlns="" xmlns:a16="http://schemas.microsoft.com/office/drawing/2014/main" id="{00000000-0008-0000-0000-00002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8" name="Text Box 3085">
          <a:extLst>
            <a:ext uri="{FF2B5EF4-FFF2-40B4-BE49-F238E27FC236}">
              <a16:creationId xmlns="" xmlns:a16="http://schemas.microsoft.com/office/drawing/2014/main" id="{00000000-0008-0000-0000-00002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9" name="Text Box 3086">
          <a:extLst>
            <a:ext uri="{FF2B5EF4-FFF2-40B4-BE49-F238E27FC236}">
              <a16:creationId xmlns="" xmlns:a16="http://schemas.microsoft.com/office/drawing/2014/main" id="{00000000-0008-0000-0000-00002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0" name="Text Box 3087">
          <a:extLst>
            <a:ext uri="{FF2B5EF4-FFF2-40B4-BE49-F238E27FC236}">
              <a16:creationId xmlns="" xmlns:a16="http://schemas.microsoft.com/office/drawing/2014/main" id="{00000000-0008-0000-0000-00002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1" name="Text Box 3088">
          <a:extLst>
            <a:ext uri="{FF2B5EF4-FFF2-40B4-BE49-F238E27FC236}">
              <a16:creationId xmlns="" xmlns:a16="http://schemas.microsoft.com/office/drawing/2014/main" id="{00000000-0008-0000-0000-00002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2" name="Text Box 3089">
          <a:extLst>
            <a:ext uri="{FF2B5EF4-FFF2-40B4-BE49-F238E27FC236}">
              <a16:creationId xmlns="" xmlns:a16="http://schemas.microsoft.com/office/drawing/2014/main" id="{00000000-0008-0000-0000-00002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3" name="Text Box 3090">
          <a:extLst>
            <a:ext uri="{FF2B5EF4-FFF2-40B4-BE49-F238E27FC236}">
              <a16:creationId xmlns="" xmlns:a16="http://schemas.microsoft.com/office/drawing/2014/main" id="{00000000-0008-0000-0000-00002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4" name="Text Box 3091">
          <a:extLst>
            <a:ext uri="{FF2B5EF4-FFF2-40B4-BE49-F238E27FC236}">
              <a16:creationId xmlns="" xmlns:a16="http://schemas.microsoft.com/office/drawing/2014/main" id="{00000000-0008-0000-0000-00002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5" name="Text Box 3092">
          <a:extLst>
            <a:ext uri="{FF2B5EF4-FFF2-40B4-BE49-F238E27FC236}">
              <a16:creationId xmlns="" xmlns:a16="http://schemas.microsoft.com/office/drawing/2014/main" id="{00000000-0008-0000-0000-00002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6" name="Text Box 3093">
          <a:extLst>
            <a:ext uri="{FF2B5EF4-FFF2-40B4-BE49-F238E27FC236}">
              <a16:creationId xmlns="" xmlns:a16="http://schemas.microsoft.com/office/drawing/2014/main" id="{00000000-0008-0000-0000-00002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7" name="Text Box 3094">
          <a:extLst>
            <a:ext uri="{FF2B5EF4-FFF2-40B4-BE49-F238E27FC236}">
              <a16:creationId xmlns="" xmlns:a16="http://schemas.microsoft.com/office/drawing/2014/main" id="{00000000-0008-0000-0000-00002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8" name="Text Box 3095">
          <a:extLst>
            <a:ext uri="{FF2B5EF4-FFF2-40B4-BE49-F238E27FC236}">
              <a16:creationId xmlns="" xmlns:a16="http://schemas.microsoft.com/office/drawing/2014/main" id="{00000000-0008-0000-0000-00002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9" name="Text Box 3096">
          <a:extLst>
            <a:ext uri="{FF2B5EF4-FFF2-40B4-BE49-F238E27FC236}">
              <a16:creationId xmlns="" xmlns:a16="http://schemas.microsoft.com/office/drawing/2014/main" id="{00000000-0008-0000-0000-00002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0" name="Text Box 3097">
          <a:extLst>
            <a:ext uri="{FF2B5EF4-FFF2-40B4-BE49-F238E27FC236}">
              <a16:creationId xmlns="" xmlns:a16="http://schemas.microsoft.com/office/drawing/2014/main" id="{00000000-0008-0000-0000-00002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1" name="Text Box 3098">
          <a:extLst>
            <a:ext uri="{FF2B5EF4-FFF2-40B4-BE49-F238E27FC236}">
              <a16:creationId xmlns="" xmlns:a16="http://schemas.microsoft.com/office/drawing/2014/main" id="{00000000-0008-0000-0000-00002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2" name="Text Box 3099">
          <a:extLst>
            <a:ext uri="{FF2B5EF4-FFF2-40B4-BE49-F238E27FC236}">
              <a16:creationId xmlns="" xmlns:a16="http://schemas.microsoft.com/office/drawing/2014/main" id="{00000000-0008-0000-0000-00003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3" name="Text Box 3100">
          <a:extLst>
            <a:ext uri="{FF2B5EF4-FFF2-40B4-BE49-F238E27FC236}">
              <a16:creationId xmlns="" xmlns:a16="http://schemas.microsoft.com/office/drawing/2014/main" id="{00000000-0008-0000-0000-00003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4" name="Text Box 3101">
          <a:extLst>
            <a:ext uri="{FF2B5EF4-FFF2-40B4-BE49-F238E27FC236}">
              <a16:creationId xmlns="" xmlns:a16="http://schemas.microsoft.com/office/drawing/2014/main" id="{00000000-0008-0000-0000-00003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635" name="Text Box 3102">
          <a:extLst>
            <a:ext uri="{FF2B5EF4-FFF2-40B4-BE49-F238E27FC236}">
              <a16:creationId xmlns="" xmlns:a16="http://schemas.microsoft.com/office/drawing/2014/main" id="{00000000-0008-0000-0000-00003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6" name="Text Box 59">
          <a:extLst>
            <a:ext uri="{FF2B5EF4-FFF2-40B4-BE49-F238E27FC236}">
              <a16:creationId xmlns="" xmlns:a16="http://schemas.microsoft.com/office/drawing/2014/main" id="{00000000-0008-0000-0000-00003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7" name="Text Box 60">
          <a:extLst>
            <a:ext uri="{FF2B5EF4-FFF2-40B4-BE49-F238E27FC236}">
              <a16:creationId xmlns="" xmlns:a16="http://schemas.microsoft.com/office/drawing/2014/main" id="{00000000-0008-0000-0000-00003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8" name="Text Box 61">
          <a:extLst>
            <a:ext uri="{FF2B5EF4-FFF2-40B4-BE49-F238E27FC236}">
              <a16:creationId xmlns="" xmlns:a16="http://schemas.microsoft.com/office/drawing/2014/main" id="{00000000-0008-0000-0000-00003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9" name="Text Box 62">
          <a:extLst>
            <a:ext uri="{FF2B5EF4-FFF2-40B4-BE49-F238E27FC236}">
              <a16:creationId xmlns="" xmlns:a16="http://schemas.microsoft.com/office/drawing/2014/main" id="{00000000-0008-0000-0000-00003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0" name="Text Box 63">
          <a:extLst>
            <a:ext uri="{FF2B5EF4-FFF2-40B4-BE49-F238E27FC236}">
              <a16:creationId xmlns="" xmlns:a16="http://schemas.microsoft.com/office/drawing/2014/main" id="{00000000-0008-0000-0000-00003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1" name="Text Box 64">
          <a:extLst>
            <a:ext uri="{FF2B5EF4-FFF2-40B4-BE49-F238E27FC236}">
              <a16:creationId xmlns="" xmlns:a16="http://schemas.microsoft.com/office/drawing/2014/main" id="{00000000-0008-0000-0000-00003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2" name="Text Box 65">
          <a:extLst>
            <a:ext uri="{FF2B5EF4-FFF2-40B4-BE49-F238E27FC236}">
              <a16:creationId xmlns="" xmlns:a16="http://schemas.microsoft.com/office/drawing/2014/main" id="{00000000-0008-0000-0000-00003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3" name="Text Box 66">
          <a:extLst>
            <a:ext uri="{FF2B5EF4-FFF2-40B4-BE49-F238E27FC236}">
              <a16:creationId xmlns="" xmlns:a16="http://schemas.microsoft.com/office/drawing/2014/main" id="{00000000-0008-0000-0000-00003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4" name="Text Box 67">
          <a:extLst>
            <a:ext uri="{FF2B5EF4-FFF2-40B4-BE49-F238E27FC236}">
              <a16:creationId xmlns="" xmlns:a16="http://schemas.microsoft.com/office/drawing/2014/main" id="{00000000-0008-0000-0000-00003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5" name="Text Box 68">
          <a:extLst>
            <a:ext uri="{FF2B5EF4-FFF2-40B4-BE49-F238E27FC236}">
              <a16:creationId xmlns="" xmlns:a16="http://schemas.microsoft.com/office/drawing/2014/main" id="{00000000-0008-0000-0000-00003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6" name="Text Box 69">
          <a:extLst>
            <a:ext uri="{FF2B5EF4-FFF2-40B4-BE49-F238E27FC236}">
              <a16:creationId xmlns="" xmlns:a16="http://schemas.microsoft.com/office/drawing/2014/main" id="{00000000-0008-0000-0000-00003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7" name="Text Box 70">
          <a:extLst>
            <a:ext uri="{FF2B5EF4-FFF2-40B4-BE49-F238E27FC236}">
              <a16:creationId xmlns="" xmlns:a16="http://schemas.microsoft.com/office/drawing/2014/main" id="{00000000-0008-0000-0000-00003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8" name="Text Box 71">
          <a:extLst>
            <a:ext uri="{FF2B5EF4-FFF2-40B4-BE49-F238E27FC236}">
              <a16:creationId xmlns="" xmlns:a16="http://schemas.microsoft.com/office/drawing/2014/main" id="{00000000-0008-0000-0000-00004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9" name="Text Box 72">
          <a:extLst>
            <a:ext uri="{FF2B5EF4-FFF2-40B4-BE49-F238E27FC236}">
              <a16:creationId xmlns="" xmlns:a16="http://schemas.microsoft.com/office/drawing/2014/main" id="{00000000-0008-0000-0000-00004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0" name="Text Box 73">
          <a:extLst>
            <a:ext uri="{FF2B5EF4-FFF2-40B4-BE49-F238E27FC236}">
              <a16:creationId xmlns="" xmlns:a16="http://schemas.microsoft.com/office/drawing/2014/main" id="{00000000-0008-0000-0000-00004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1" name="Text Box 74">
          <a:extLst>
            <a:ext uri="{FF2B5EF4-FFF2-40B4-BE49-F238E27FC236}">
              <a16:creationId xmlns="" xmlns:a16="http://schemas.microsoft.com/office/drawing/2014/main" id="{00000000-0008-0000-0000-00004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2" name="Text Box 75">
          <a:extLst>
            <a:ext uri="{FF2B5EF4-FFF2-40B4-BE49-F238E27FC236}">
              <a16:creationId xmlns="" xmlns:a16="http://schemas.microsoft.com/office/drawing/2014/main" id="{00000000-0008-0000-0000-00004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3" name="Text Box 76">
          <a:extLst>
            <a:ext uri="{FF2B5EF4-FFF2-40B4-BE49-F238E27FC236}">
              <a16:creationId xmlns="" xmlns:a16="http://schemas.microsoft.com/office/drawing/2014/main" id="{00000000-0008-0000-0000-00004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4" name="Text Box 77">
          <a:extLst>
            <a:ext uri="{FF2B5EF4-FFF2-40B4-BE49-F238E27FC236}">
              <a16:creationId xmlns="" xmlns:a16="http://schemas.microsoft.com/office/drawing/2014/main" id="{00000000-0008-0000-0000-00004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5" name="Text Box 78">
          <a:extLst>
            <a:ext uri="{FF2B5EF4-FFF2-40B4-BE49-F238E27FC236}">
              <a16:creationId xmlns="" xmlns:a16="http://schemas.microsoft.com/office/drawing/2014/main" id="{00000000-0008-0000-0000-00004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6" name="Text Box 79">
          <a:extLst>
            <a:ext uri="{FF2B5EF4-FFF2-40B4-BE49-F238E27FC236}">
              <a16:creationId xmlns="" xmlns:a16="http://schemas.microsoft.com/office/drawing/2014/main" id="{00000000-0008-0000-0000-00004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7" name="Text Box 80">
          <a:extLst>
            <a:ext uri="{FF2B5EF4-FFF2-40B4-BE49-F238E27FC236}">
              <a16:creationId xmlns="" xmlns:a16="http://schemas.microsoft.com/office/drawing/2014/main" id="{00000000-0008-0000-0000-00004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8" name="Text Box 81">
          <a:extLst>
            <a:ext uri="{FF2B5EF4-FFF2-40B4-BE49-F238E27FC236}">
              <a16:creationId xmlns="" xmlns:a16="http://schemas.microsoft.com/office/drawing/2014/main" id="{00000000-0008-0000-0000-00004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659" name="Text Box 82">
          <a:extLst>
            <a:ext uri="{FF2B5EF4-FFF2-40B4-BE49-F238E27FC236}">
              <a16:creationId xmlns="" xmlns:a16="http://schemas.microsoft.com/office/drawing/2014/main" id="{00000000-0008-0000-0000-00004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0" name="Text Box 3079">
          <a:extLst>
            <a:ext uri="{FF2B5EF4-FFF2-40B4-BE49-F238E27FC236}">
              <a16:creationId xmlns="" xmlns:a16="http://schemas.microsoft.com/office/drawing/2014/main" id="{00000000-0008-0000-0000-00004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1" name="Text Box 3080">
          <a:extLst>
            <a:ext uri="{FF2B5EF4-FFF2-40B4-BE49-F238E27FC236}">
              <a16:creationId xmlns="" xmlns:a16="http://schemas.microsoft.com/office/drawing/2014/main" id="{00000000-0008-0000-0000-00004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2" name="Text Box 3081">
          <a:extLst>
            <a:ext uri="{FF2B5EF4-FFF2-40B4-BE49-F238E27FC236}">
              <a16:creationId xmlns="" xmlns:a16="http://schemas.microsoft.com/office/drawing/2014/main" id="{00000000-0008-0000-0000-00004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3" name="Text Box 3082">
          <a:extLst>
            <a:ext uri="{FF2B5EF4-FFF2-40B4-BE49-F238E27FC236}">
              <a16:creationId xmlns="" xmlns:a16="http://schemas.microsoft.com/office/drawing/2014/main" id="{00000000-0008-0000-0000-00004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4" name="Text Box 3083">
          <a:extLst>
            <a:ext uri="{FF2B5EF4-FFF2-40B4-BE49-F238E27FC236}">
              <a16:creationId xmlns="" xmlns:a16="http://schemas.microsoft.com/office/drawing/2014/main" id="{00000000-0008-0000-0000-00005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5" name="Text Box 3084">
          <a:extLst>
            <a:ext uri="{FF2B5EF4-FFF2-40B4-BE49-F238E27FC236}">
              <a16:creationId xmlns="" xmlns:a16="http://schemas.microsoft.com/office/drawing/2014/main" id="{00000000-0008-0000-0000-00005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6" name="Text Box 3085">
          <a:extLst>
            <a:ext uri="{FF2B5EF4-FFF2-40B4-BE49-F238E27FC236}">
              <a16:creationId xmlns="" xmlns:a16="http://schemas.microsoft.com/office/drawing/2014/main" id="{00000000-0008-0000-0000-00005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7" name="Text Box 3086">
          <a:extLst>
            <a:ext uri="{FF2B5EF4-FFF2-40B4-BE49-F238E27FC236}">
              <a16:creationId xmlns="" xmlns:a16="http://schemas.microsoft.com/office/drawing/2014/main" id="{00000000-0008-0000-0000-00005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8" name="Text Box 3087">
          <a:extLst>
            <a:ext uri="{FF2B5EF4-FFF2-40B4-BE49-F238E27FC236}">
              <a16:creationId xmlns="" xmlns:a16="http://schemas.microsoft.com/office/drawing/2014/main" id="{00000000-0008-0000-0000-00005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9" name="Text Box 3088">
          <a:extLst>
            <a:ext uri="{FF2B5EF4-FFF2-40B4-BE49-F238E27FC236}">
              <a16:creationId xmlns="" xmlns:a16="http://schemas.microsoft.com/office/drawing/2014/main" id="{00000000-0008-0000-0000-00005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0" name="Text Box 3089">
          <a:extLst>
            <a:ext uri="{FF2B5EF4-FFF2-40B4-BE49-F238E27FC236}">
              <a16:creationId xmlns="" xmlns:a16="http://schemas.microsoft.com/office/drawing/2014/main" id="{00000000-0008-0000-0000-00005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1" name="Text Box 3090">
          <a:extLst>
            <a:ext uri="{FF2B5EF4-FFF2-40B4-BE49-F238E27FC236}">
              <a16:creationId xmlns="" xmlns:a16="http://schemas.microsoft.com/office/drawing/2014/main" id="{00000000-0008-0000-0000-00005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2" name="Text Box 3091">
          <a:extLst>
            <a:ext uri="{FF2B5EF4-FFF2-40B4-BE49-F238E27FC236}">
              <a16:creationId xmlns="" xmlns:a16="http://schemas.microsoft.com/office/drawing/2014/main" id="{00000000-0008-0000-0000-00005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3" name="Text Box 3092">
          <a:extLst>
            <a:ext uri="{FF2B5EF4-FFF2-40B4-BE49-F238E27FC236}">
              <a16:creationId xmlns="" xmlns:a16="http://schemas.microsoft.com/office/drawing/2014/main" id="{00000000-0008-0000-0000-00005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4" name="Text Box 3093">
          <a:extLst>
            <a:ext uri="{FF2B5EF4-FFF2-40B4-BE49-F238E27FC236}">
              <a16:creationId xmlns="" xmlns:a16="http://schemas.microsoft.com/office/drawing/2014/main" id="{00000000-0008-0000-0000-00005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5" name="Text Box 3094">
          <a:extLst>
            <a:ext uri="{FF2B5EF4-FFF2-40B4-BE49-F238E27FC236}">
              <a16:creationId xmlns="" xmlns:a16="http://schemas.microsoft.com/office/drawing/2014/main" id="{00000000-0008-0000-0000-00005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6" name="Text Box 3095">
          <a:extLst>
            <a:ext uri="{FF2B5EF4-FFF2-40B4-BE49-F238E27FC236}">
              <a16:creationId xmlns="" xmlns:a16="http://schemas.microsoft.com/office/drawing/2014/main" id="{00000000-0008-0000-0000-00005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7" name="Text Box 3096">
          <a:extLst>
            <a:ext uri="{FF2B5EF4-FFF2-40B4-BE49-F238E27FC236}">
              <a16:creationId xmlns="" xmlns:a16="http://schemas.microsoft.com/office/drawing/2014/main" id="{00000000-0008-0000-0000-00005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8" name="Text Box 3097">
          <a:extLst>
            <a:ext uri="{FF2B5EF4-FFF2-40B4-BE49-F238E27FC236}">
              <a16:creationId xmlns="" xmlns:a16="http://schemas.microsoft.com/office/drawing/2014/main" id="{00000000-0008-0000-0000-00005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9" name="Text Box 3098">
          <a:extLst>
            <a:ext uri="{FF2B5EF4-FFF2-40B4-BE49-F238E27FC236}">
              <a16:creationId xmlns="" xmlns:a16="http://schemas.microsoft.com/office/drawing/2014/main" id="{00000000-0008-0000-0000-00005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0" name="Text Box 3099">
          <a:extLst>
            <a:ext uri="{FF2B5EF4-FFF2-40B4-BE49-F238E27FC236}">
              <a16:creationId xmlns="" xmlns:a16="http://schemas.microsoft.com/office/drawing/2014/main" id="{00000000-0008-0000-0000-00006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1" name="Text Box 3100">
          <a:extLst>
            <a:ext uri="{FF2B5EF4-FFF2-40B4-BE49-F238E27FC236}">
              <a16:creationId xmlns="" xmlns:a16="http://schemas.microsoft.com/office/drawing/2014/main" id="{00000000-0008-0000-0000-00006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2" name="Text Box 3101">
          <a:extLst>
            <a:ext uri="{FF2B5EF4-FFF2-40B4-BE49-F238E27FC236}">
              <a16:creationId xmlns="" xmlns:a16="http://schemas.microsoft.com/office/drawing/2014/main" id="{00000000-0008-0000-0000-00006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683" name="Text Box 3102">
          <a:extLst>
            <a:ext uri="{FF2B5EF4-FFF2-40B4-BE49-F238E27FC236}">
              <a16:creationId xmlns="" xmlns:a16="http://schemas.microsoft.com/office/drawing/2014/main" id="{00000000-0008-0000-0000-00006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4" name="Text Box 59">
          <a:extLst>
            <a:ext uri="{FF2B5EF4-FFF2-40B4-BE49-F238E27FC236}">
              <a16:creationId xmlns="" xmlns:a16="http://schemas.microsoft.com/office/drawing/2014/main" id="{00000000-0008-0000-0000-00006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5" name="Text Box 60">
          <a:extLst>
            <a:ext uri="{FF2B5EF4-FFF2-40B4-BE49-F238E27FC236}">
              <a16:creationId xmlns="" xmlns:a16="http://schemas.microsoft.com/office/drawing/2014/main" id="{00000000-0008-0000-0000-00006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6" name="Text Box 61">
          <a:extLst>
            <a:ext uri="{FF2B5EF4-FFF2-40B4-BE49-F238E27FC236}">
              <a16:creationId xmlns="" xmlns:a16="http://schemas.microsoft.com/office/drawing/2014/main" id="{00000000-0008-0000-0000-00006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7" name="Text Box 62">
          <a:extLst>
            <a:ext uri="{FF2B5EF4-FFF2-40B4-BE49-F238E27FC236}">
              <a16:creationId xmlns="" xmlns:a16="http://schemas.microsoft.com/office/drawing/2014/main" id="{00000000-0008-0000-0000-00006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8" name="Text Box 63">
          <a:extLst>
            <a:ext uri="{FF2B5EF4-FFF2-40B4-BE49-F238E27FC236}">
              <a16:creationId xmlns="" xmlns:a16="http://schemas.microsoft.com/office/drawing/2014/main" id="{00000000-0008-0000-0000-00006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9" name="Text Box 64">
          <a:extLst>
            <a:ext uri="{FF2B5EF4-FFF2-40B4-BE49-F238E27FC236}">
              <a16:creationId xmlns="" xmlns:a16="http://schemas.microsoft.com/office/drawing/2014/main" id="{00000000-0008-0000-0000-00006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0" name="Text Box 65">
          <a:extLst>
            <a:ext uri="{FF2B5EF4-FFF2-40B4-BE49-F238E27FC236}">
              <a16:creationId xmlns="" xmlns:a16="http://schemas.microsoft.com/office/drawing/2014/main" id="{00000000-0008-0000-0000-00006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1" name="Text Box 66">
          <a:extLst>
            <a:ext uri="{FF2B5EF4-FFF2-40B4-BE49-F238E27FC236}">
              <a16:creationId xmlns="" xmlns:a16="http://schemas.microsoft.com/office/drawing/2014/main" id="{00000000-0008-0000-0000-00006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2" name="Text Box 67">
          <a:extLst>
            <a:ext uri="{FF2B5EF4-FFF2-40B4-BE49-F238E27FC236}">
              <a16:creationId xmlns="" xmlns:a16="http://schemas.microsoft.com/office/drawing/2014/main" id="{00000000-0008-0000-0000-00006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3" name="Text Box 68">
          <a:extLst>
            <a:ext uri="{FF2B5EF4-FFF2-40B4-BE49-F238E27FC236}">
              <a16:creationId xmlns="" xmlns:a16="http://schemas.microsoft.com/office/drawing/2014/main" id="{00000000-0008-0000-0000-00006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4" name="Text Box 69">
          <a:extLst>
            <a:ext uri="{FF2B5EF4-FFF2-40B4-BE49-F238E27FC236}">
              <a16:creationId xmlns="" xmlns:a16="http://schemas.microsoft.com/office/drawing/2014/main" id="{00000000-0008-0000-0000-00006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5" name="Text Box 70">
          <a:extLst>
            <a:ext uri="{FF2B5EF4-FFF2-40B4-BE49-F238E27FC236}">
              <a16:creationId xmlns="" xmlns:a16="http://schemas.microsoft.com/office/drawing/2014/main" id="{00000000-0008-0000-0000-00006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6" name="Text Box 71">
          <a:extLst>
            <a:ext uri="{FF2B5EF4-FFF2-40B4-BE49-F238E27FC236}">
              <a16:creationId xmlns="" xmlns:a16="http://schemas.microsoft.com/office/drawing/2014/main" id="{00000000-0008-0000-0000-00007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7" name="Text Box 72">
          <a:extLst>
            <a:ext uri="{FF2B5EF4-FFF2-40B4-BE49-F238E27FC236}">
              <a16:creationId xmlns="" xmlns:a16="http://schemas.microsoft.com/office/drawing/2014/main" id="{00000000-0008-0000-0000-00007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8" name="Text Box 73">
          <a:extLst>
            <a:ext uri="{FF2B5EF4-FFF2-40B4-BE49-F238E27FC236}">
              <a16:creationId xmlns="" xmlns:a16="http://schemas.microsoft.com/office/drawing/2014/main" id="{00000000-0008-0000-0000-00007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9" name="Text Box 74">
          <a:extLst>
            <a:ext uri="{FF2B5EF4-FFF2-40B4-BE49-F238E27FC236}">
              <a16:creationId xmlns="" xmlns:a16="http://schemas.microsoft.com/office/drawing/2014/main" id="{00000000-0008-0000-0000-00007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0" name="Text Box 75">
          <a:extLst>
            <a:ext uri="{FF2B5EF4-FFF2-40B4-BE49-F238E27FC236}">
              <a16:creationId xmlns="" xmlns:a16="http://schemas.microsoft.com/office/drawing/2014/main" id="{00000000-0008-0000-0000-00007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1" name="Text Box 76">
          <a:extLst>
            <a:ext uri="{FF2B5EF4-FFF2-40B4-BE49-F238E27FC236}">
              <a16:creationId xmlns="" xmlns:a16="http://schemas.microsoft.com/office/drawing/2014/main" id="{00000000-0008-0000-0000-00007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2" name="Text Box 77">
          <a:extLst>
            <a:ext uri="{FF2B5EF4-FFF2-40B4-BE49-F238E27FC236}">
              <a16:creationId xmlns="" xmlns:a16="http://schemas.microsoft.com/office/drawing/2014/main" id="{00000000-0008-0000-0000-00007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3" name="Text Box 78">
          <a:extLst>
            <a:ext uri="{FF2B5EF4-FFF2-40B4-BE49-F238E27FC236}">
              <a16:creationId xmlns="" xmlns:a16="http://schemas.microsoft.com/office/drawing/2014/main" id="{00000000-0008-0000-0000-00007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4" name="Text Box 79">
          <a:extLst>
            <a:ext uri="{FF2B5EF4-FFF2-40B4-BE49-F238E27FC236}">
              <a16:creationId xmlns="" xmlns:a16="http://schemas.microsoft.com/office/drawing/2014/main" id="{00000000-0008-0000-0000-00007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5" name="Text Box 80">
          <a:extLst>
            <a:ext uri="{FF2B5EF4-FFF2-40B4-BE49-F238E27FC236}">
              <a16:creationId xmlns="" xmlns:a16="http://schemas.microsoft.com/office/drawing/2014/main" id="{00000000-0008-0000-0000-00007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6" name="Text Box 81">
          <a:extLst>
            <a:ext uri="{FF2B5EF4-FFF2-40B4-BE49-F238E27FC236}">
              <a16:creationId xmlns="" xmlns:a16="http://schemas.microsoft.com/office/drawing/2014/main" id="{00000000-0008-0000-0000-00007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7" name="Text Box 3079">
          <a:extLst>
            <a:ext uri="{FF2B5EF4-FFF2-40B4-BE49-F238E27FC236}">
              <a16:creationId xmlns="" xmlns:a16="http://schemas.microsoft.com/office/drawing/2014/main" id="{00000000-0008-0000-0000-00007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8" name="Text Box 3080">
          <a:extLst>
            <a:ext uri="{FF2B5EF4-FFF2-40B4-BE49-F238E27FC236}">
              <a16:creationId xmlns="" xmlns:a16="http://schemas.microsoft.com/office/drawing/2014/main" id="{00000000-0008-0000-0000-00007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9" name="Text Box 3081">
          <a:extLst>
            <a:ext uri="{FF2B5EF4-FFF2-40B4-BE49-F238E27FC236}">
              <a16:creationId xmlns="" xmlns:a16="http://schemas.microsoft.com/office/drawing/2014/main" id="{00000000-0008-0000-0000-00007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0" name="Text Box 3082">
          <a:extLst>
            <a:ext uri="{FF2B5EF4-FFF2-40B4-BE49-F238E27FC236}">
              <a16:creationId xmlns="" xmlns:a16="http://schemas.microsoft.com/office/drawing/2014/main" id="{00000000-0008-0000-0000-00007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1" name="Text Box 3083">
          <a:extLst>
            <a:ext uri="{FF2B5EF4-FFF2-40B4-BE49-F238E27FC236}">
              <a16:creationId xmlns="" xmlns:a16="http://schemas.microsoft.com/office/drawing/2014/main" id="{00000000-0008-0000-0000-00007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2" name="Text Box 3084">
          <a:extLst>
            <a:ext uri="{FF2B5EF4-FFF2-40B4-BE49-F238E27FC236}">
              <a16:creationId xmlns="" xmlns:a16="http://schemas.microsoft.com/office/drawing/2014/main" id="{00000000-0008-0000-0000-00008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3" name="Text Box 3085">
          <a:extLst>
            <a:ext uri="{FF2B5EF4-FFF2-40B4-BE49-F238E27FC236}">
              <a16:creationId xmlns="" xmlns:a16="http://schemas.microsoft.com/office/drawing/2014/main" id="{00000000-0008-0000-0000-00008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4" name="Text Box 3086">
          <a:extLst>
            <a:ext uri="{FF2B5EF4-FFF2-40B4-BE49-F238E27FC236}">
              <a16:creationId xmlns="" xmlns:a16="http://schemas.microsoft.com/office/drawing/2014/main" id="{00000000-0008-0000-0000-00008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5" name="Text Box 3087">
          <a:extLst>
            <a:ext uri="{FF2B5EF4-FFF2-40B4-BE49-F238E27FC236}">
              <a16:creationId xmlns="" xmlns:a16="http://schemas.microsoft.com/office/drawing/2014/main" id="{00000000-0008-0000-0000-00008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6" name="Text Box 3088">
          <a:extLst>
            <a:ext uri="{FF2B5EF4-FFF2-40B4-BE49-F238E27FC236}">
              <a16:creationId xmlns="" xmlns:a16="http://schemas.microsoft.com/office/drawing/2014/main" id="{00000000-0008-0000-0000-00008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7" name="Text Box 3089">
          <a:extLst>
            <a:ext uri="{FF2B5EF4-FFF2-40B4-BE49-F238E27FC236}">
              <a16:creationId xmlns="" xmlns:a16="http://schemas.microsoft.com/office/drawing/2014/main" id="{00000000-0008-0000-0000-00008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8" name="Text Box 3090">
          <a:extLst>
            <a:ext uri="{FF2B5EF4-FFF2-40B4-BE49-F238E27FC236}">
              <a16:creationId xmlns="" xmlns:a16="http://schemas.microsoft.com/office/drawing/2014/main" id="{00000000-0008-0000-0000-00008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9" name="Text Box 3091">
          <a:extLst>
            <a:ext uri="{FF2B5EF4-FFF2-40B4-BE49-F238E27FC236}">
              <a16:creationId xmlns="" xmlns:a16="http://schemas.microsoft.com/office/drawing/2014/main" id="{00000000-0008-0000-0000-00008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0" name="Text Box 3092">
          <a:extLst>
            <a:ext uri="{FF2B5EF4-FFF2-40B4-BE49-F238E27FC236}">
              <a16:creationId xmlns="" xmlns:a16="http://schemas.microsoft.com/office/drawing/2014/main" id="{00000000-0008-0000-0000-00008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1" name="Text Box 3093">
          <a:extLst>
            <a:ext uri="{FF2B5EF4-FFF2-40B4-BE49-F238E27FC236}">
              <a16:creationId xmlns="" xmlns:a16="http://schemas.microsoft.com/office/drawing/2014/main" id="{00000000-0008-0000-0000-00008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2" name="Text Box 3094">
          <a:extLst>
            <a:ext uri="{FF2B5EF4-FFF2-40B4-BE49-F238E27FC236}">
              <a16:creationId xmlns="" xmlns:a16="http://schemas.microsoft.com/office/drawing/2014/main" id="{00000000-0008-0000-0000-00008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3" name="Text Box 3095">
          <a:extLst>
            <a:ext uri="{FF2B5EF4-FFF2-40B4-BE49-F238E27FC236}">
              <a16:creationId xmlns="" xmlns:a16="http://schemas.microsoft.com/office/drawing/2014/main" id="{00000000-0008-0000-0000-00008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4" name="Text Box 3096">
          <a:extLst>
            <a:ext uri="{FF2B5EF4-FFF2-40B4-BE49-F238E27FC236}">
              <a16:creationId xmlns="" xmlns:a16="http://schemas.microsoft.com/office/drawing/2014/main" id="{00000000-0008-0000-0000-00008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5" name="Text Box 3097">
          <a:extLst>
            <a:ext uri="{FF2B5EF4-FFF2-40B4-BE49-F238E27FC236}">
              <a16:creationId xmlns="" xmlns:a16="http://schemas.microsoft.com/office/drawing/2014/main" id="{00000000-0008-0000-0000-00008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6" name="Text Box 3098">
          <a:extLst>
            <a:ext uri="{FF2B5EF4-FFF2-40B4-BE49-F238E27FC236}">
              <a16:creationId xmlns="" xmlns:a16="http://schemas.microsoft.com/office/drawing/2014/main" id="{00000000-0008-0000-0000-00008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7" name="Text Box 3099">
          <a:extLst>
            <a:ext uri="{FF2B5EF4-FFF2-40B4-BE49-F238E27FC236}">
              <a16:creationId xmlns="" xmlns:a16="http://schemas.microsoft.com/office/drawing/2014/main" id="{00000000-0008-0000-0000-00008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8" name="Text Box 3100">
          <a:extLst>
            <a:ext uri="{FF2B5EF4-FFF2-40B4-BE49-F238E27FC236}">
              <a16:creationId xmlns="" xmlns:a16="http://schemas.microsoft.com/office/drawing/2014/main" id="{00000000-0008-0000-0000-00009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9" name="Text Box 3101">
          <a:extLst>
            <a:ext uri="{FF2B5EF4-FFF2-40B4-BE49-F238E27FC236}">
              <a16:creationId xmlns="" xmlns:a16="http://schemas.microsoft.com/office/drawing/2014/main" id="{00000000-0008-0000-0000-00009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730" name="Text Box 3102">
          <a:extLst>
            <a:ext uri="{FF2B5EF4-FFF2-40B4-BE49-F238E27FC236}">
              <a16:creationId xmlns="" xmlns:a16="http://schemas.microsoft.com/office/drawing/2014/main" id="{00000000-0008-0000-0000-00009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1" name="Text Box 59">
          <a:extLst>
            <a:ext uri="{FF2B5EF4-FFF2-40B4-BE49-F238E27FC236}">
              <a16:creationId xmlns="" xmlns:a16="http://schemas.microsoft.com/office/drawing/2014/main" id="{00000000-0008-0000-0000-00009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2" name="Text Box 60">
          <a:extLst>
            <a:ext uri="{FF2B5EF4-FFF2-40B4-BE49-F238E27FC236}">
              <a16:creationId xmlns="" xmlns:a16="http://schemas.microsoft.com/office/drawing/2014/main" id="{00000000-0008-0000-0000-00009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3" name="Text Box 61">
          <a:extLst>
            <a:ext uri="{FF2B5EF4-FFF2-40B4-BE49-F238E27FC236}">
              <a16:creationId xmlns="" xmlns:a16="http://schemas.microsoft.com/office/drawing/2014/main" id="{00000000-0008-0000-0000-00009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4" name="Text Box 62">
          <a:extLst>
            <a:ext uri="{FF2B5EF4-FFF2-40B4-BE49-F238E27FC236}">
              <a16:creationId xmlns="" xmlns:a16="http://schemas.microsoft.com/office/drawing/2014/main" id="{00000000-0008-0000-0000-00009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5" name="Text Box 63">
          <a:extLst>
            <a:ext uri="{FF2B5EF4-FFF2-40B4-BE49-F238E27FC236}">
              <a16:creationId xmlns="" xmlns:a16="http://schemas.microsoft.com/office/drawing/2014/main" id="{00000000-0008-0000-0000-00009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6" name="Text Box 64">
          <a:extLst>
            <a:ext uri="{FF2B5EF4-FFF2-40B4-BE49-F238E27FC236}">
              <a16:creationId xmlns="" xmlns:a16="http://schemas.microsoft.com/office/drawing/2014/main" id="{00000000-0008-0000-0000-00009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7" name="Text Box 65">
          <a:extLst>
            <a:ext uri="{FF2B5EF4-FFF2-40B4-BE49-F238E27FC236}">
              <a16:creationId xmlns="" xmlns:a16="http://schemas.microsoft.com/office/drawing/2014/main" id="{00000000-0008-0000-0000-00009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8" name="Text Box 66">
          <a:extLst>
            <a:ext uri="{FF2B5EF4-FFF2-40B4-BE49-F238E27FC236}">
              <a16:creationId xmlns="" xmlns:a16="http://schemas.microsoft.com/office/drawing/2014/main" id="{00000000-0008-0000-0000-00009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9" name="Text Box 67">
          <a:extLst>
            <a:ext uri="{FF2B5EF4-FFF2-40B4-BE49-F238E27FC236}">
              <a16:creationId xmlns="" xmlns:a16="http://schemas.microsoft.com/office/drawing/2014/main" id="{00000000-0008-0000-0000-00009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0" name="Text Box 68">
          <a:extLst>
            <a:ext uri="{FF2B5EF4-FFF2-40B4-BE49-F238E27FC236}">
              <a16:creationId xmlns="" xmlns:a16="http://schemas.microsoft.com/office/drawing/2014/main" id="{00000000-0008-0000-0000-00009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1" name="Text Box 69">
          <a:extLst>
            <a:ext uri="{FF2B5EF4-FFF2-40B4-BE49-F238E27FC236}">
              <a16:creationId xmlns="" xmlns:a16="http://schemas.microsoft.com/office/drawing/2014/main" id="{00000000-0008-0000-0000-00009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2" name="Text Box 70">
          <a:extLst>
            <a:ext uri="{FF2B5EF4-FFF2-40B4-BE49-F238E27FC236}">
              <a16:creationId xmlns="" xmlns:a16="http://schemas.microsoft.com/office/drawing/2014/main" id="{00000000-0008-0000-0000-00009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3" name="Text Box 71">
          <a:extLst>
            <a:ext uri="{FF2B5EF4-FFF2-40B4-BE49-F238E27FC236}">
              <a16:creationId xmlns="" xmlns:a16="http://schemas.microsoft.com/office/drawing/2014/main" id="{00000000-0008-0000-0000-00009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4" name="Text Box 72">
          <a:extLst>
            <a:ext uri="{FF2B5EF4-FFF2-40B4-BE49-F238E27FC236}">
              <a16:creationId xmlns="" xmlns:a16="http://schemas.microsoft.com/office/drawing/2014/main" id="{00000000-0008-0000-0000-0000A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5" name="Text Box 73">
          <a:extLst>
            <a:ext uri="{FF2B5EF4-FFF2-40B4-BE49-F238E27FC236}">
              <a16:creationId xmlns="" xmlns:a16="http://schemas.microsoft.com/office/drawing/2014/main" id="{00000000-0008-0000-0000-0000A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6" name="Text Box 74">
          <a:extLst>
            <a:ext uri="{FF2B5EF4-FFF2-40B4-BE49-F238E27FC236}">
              <a16:creationId xmlns="" xmlns:a16="http://schemas.microsoft.com/office/drawing/2014/main" id="{00000000-0008-0000-0000-0000A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7" name="Text Box 75">
          <a:extLst>
            <a:ext uri="{FF2B5EF4-FFF2-40B4-BE49-F238E27FC236}">
              <a16:creationId xmlns="" xmlns:a16="http://schemas.microsoft.com/office/drawing/2014/main" id="{00000000-0008-0000-0000-0000A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8" name="Text Box 76">
          <a:extLst>
            <a:ext uri="{FF2B5EF4-FFF2-40B4-BE49-F238E27FC236}">
              <a16:creationId xmlns="" xmlns:a16="http://schemas.microsoft.com/office/drawing/2014/main" id="{00000000-0008-0000-0000-0000A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9" name="Text Box 77">
          <a:extLst>
            <a:ext uri="{FF2B5EF4-FFF2-40B4-BE49-F238E27FC236}">
              <a16:creationId xmlns="" xmlns:a16="http://schemas.microsoft.com/office/drawing/2014/main" id="{00000000-0008-0000-0000-0000A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0" name="Text Box 78">
          <a:extLst>
            <a:ext uri="{FF2B5EF4-FFF2-40B4-BE49-F238E27FC236}">
              <a16:creationId xmlns="" xmlns:a16="http://schemas.microsoft.com/office/drawing/2014/main" id="{00000000-0008-0000-0000-0000A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1" name="Text Box 79">
          <a:extLst>
            <a:ext uri="{FF2B5EF4-FFF2-40B4-BE49-F238E27FC236}">
              <a16:creationId xmlns="" xmlns:a16="http://schemas.microsoft.com/office/drawing/2014/main" id="{00000000-0008-0000-0000-0000A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2" name="Text Box 80">
          <a:extLst>
            <a:ext uri="{FF2B5EF4-FFF2-40B4-BE49-F238E27FC236}">
              <a16:creationId xmlns="" xmlns:a16="http://schemas.microsoft.com/office/drawing/2014/main" id="{00000000-0008-0000-0000-0000A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3" name="Text Box 81">
          <a:extLst>
            <a:ext uri="{FF2B5EF4-FFF2-40B4-BE49-F238E27FC236}">
              <a16:creationId xmlns="" xmlns:a16="http://schemas.microsoft.com/office/drawing/2014/main" id="{00000000-0008-0000-0000-0000A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754" name="Text Box 82">
          <a:extLst>
            <a:ext uri="{FF2B5EF4-FFF2-40B4-BE49-F238E27FC236}">
              <a16:creationId xmlns="" xmlns:a16="http://schemas.microsoft.com/office/drawing/2014/main" id="{00000000-0008-0000-0000-0000A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5" name="Text Box 3079">
          <a:extLst>
            <a:ext uri="{FF2B5EF4-FFF2-40B4-BE49-F238E27FC236}">
              <a16:creationId xmlns="" xmlns:a16="http://schemas.microsoft.com/office/drawing/2014/main" id="{00000000-0008-0000-0000-0000A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6" name="Text Box 3080">
          <a:extLst>
            <a:ext uri="{FF2B5EF4-FFF2-40B4-BE49-F238E27FC236}">
              <a16:creationId xmlns="" xmlns:a16="http://schemas.microsoft.com/office/drawing/2014/main" id="{00000000-0008-0000-0000-0000A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7" name="Text Box 3081">
          <a:extLst>
            <a:ext uri="{FF2B5EF4-FFF2-40B4-BE49-F238E27FC236}">
              <a16:creationId xmlns="" xmlns:a16="http://schemas.microsoft.com/office/drawing/2014/main" id="{00000000-0008-0000-0000-0000A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8" name="Text Box 3082">
          <a:extLst>
            <a:ext uri="{FF2B5EF4-FFF2-40B4-BE49-F238E27FC236}">
              <a16:creationId xmlns="" xmlns:a16="http://schemas.microsoft.com/office/drawing/2014/main" id="{00000000-0008-0000-0000-0000A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9" name="Text Box 3083">
          <a:extLst>
            <a:ext uri="{FF2B5EF4-FFF2-40B4-BE49-F238E27FC236}">
              <a16:creationId xmlns="" xmlns:a16="http://schemas.microsoft.com/office/drawing/2014/main" id="{00000000-0008-0000-0000-0000A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0" name="Text Box 3084">
          <a:extLst>
            <a:ext uri="{FF2B5EF4-FFF2-40B4-BE49-F238E27FC236}">
              <a16:creationId xmlns="" xmlns:a16="http://schemas.microsoft.com/office/drawing/2014/main" id="{00000000-0008-0000-0000-0000B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1" name="Text Box 3085">
          <a:extLst>
            <a:ext uri="{FF2B5EF4-FFF2-40B4-BE49-F238E27FC236}">
              <a16:creationId xmlns="" xmlns:a16="http://schemas.microsoft.com/office/drawing/2014/main" id="{00000000-0008-0000-0000-0000B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2" name="Text Box 3086">
          <a:extLst>
            <a:ext uri="{FF2B5EF4-FFF2-40B4-BE49-F238E27FC236}">
              <a16:creationId xmlns="" xmlns:a16="http://schemas.microsoft.com/office/drawing/2014/main" id="{00000000-0008-0000-0000-0000B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3" name="Text Box 3087">
          <a:extLst>
            <a:ext uri="{FF2B5EF4-FFF2-40B4-BE49-F238E27FC236}">
              <a16:creationId xmlns="" xmlns:a16="http://schemas.microsoft.com/office/drawing/2014/main" id="{00000000-0008-0000-0000-0000B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4" name="Text Box 3088">
          <a:extLst>
            <a:ext uri="{FF2B5EF4-FFF2-40B4-BE49-F238E27FC236}">
              <a16:creationId xmlns="" xmlns:a16="http://schemas.microsoft.com/office/drawing/2014/main" id="{00000000-0008-0000-0000-0000B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5" name="Text Box 3089">
          <a:extLst>
            <a:ext uri="{FF2B5EF4-FFF2-40B4-BE49-F238E27FC236}">
              <a16:creationId xmlns="" xmlns:a16="http://schemas.microsoft.com/office/drawing/2014/main" id="{00000000-0008-0000-0000-0000B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6" name="Text Box 3090">
          <a:extLst>
            <a:ext uri="{FF2B5EF4-FFF2-40B4-BE49-F238E27FC236}">
              <a16:creationId xmlns="" xmlns:a16="http://schemas.microsoft.com/office/drawing/2014/main" id="{00000000-0008-0000-0000-0000B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7" name="Text Box 3091">
          <a:extLst>
            <a:ext uri="{FF2B5EF4-FFF2-40B4-BE49-F238E27FC236}">
              <a16:creationId xmlns="" xmlns:a16="http://schemas.microsoft.com/office/drawing/2014/main" id="{00000000-0008-0000-0000-0000B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8" name="Text Box 3092">
          <a:extLst>
            <a:ext uri="{FF2B5EF4-FFF2-40B4-BE49-F238E27FC236}">
              <a16:creationId xmlns="" xmlns:a16="http://schemas.microsoft.com/office/drawing/2014/main" id="{00000000-0008-0000-0000-0000B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9" name="Text Box 3093">
          <a:extLst>
            <a:ext uri="{FF2B5EF4-FFF2-40B4-BE49-F238E27FC236}">
              <a16:creationId xmlns="" xmlns:a16="http://schemas.microsoft.com/office/drawing/2014/main" id="{00000000-0008-0000-0000-0000B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0" name="Text Box 3094">
          <a:extLst>
            <a:ext uri="{FF2B5EF4-FFF2-40B4-BE49-F238E27FC236}">
              <a16:creationId xmlns="" xmlns:a16="http://schemas.microsoft.com/office/drawing/2014/main" id="{00000000-0008-0000-0000-0000B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1" name="Text Box 3095">
          <a:extLst>
            <a:ext uri="{FF2B5EF4-FFF2-40B4-BE49-F238E27FC236}">
              <a16:creationId xmlns="" xmlns:a16="http://schemas.microsoft.com/office/drawing/2014/main" id="{00000000-0008-0000-0000-0000B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2" name="Text Box 3096">
          <a:extLst>
            <a:ext uri="{FF2B5EF4-FFF2-40B4-BE49-F238E27FC236}">
              <a16:creationId xmlns="" xmlns:a16="http://schemas.microsoft.com/office/drawing/2014/main" id="{00000000-0008-0000-0000-0000B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3" name="Text Box 3097">
          <a:extLst>
            <a:ext uri="{FF2B5EF4-FFF2-40B4-BE49-F238E27FC236}">
              <a16:creationId xmlns="" xmlns:a16="http://schemas.microsoft.com/office/drawing/2014/main" id="{00000000-0008-0000-0000-0000B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4" name="Text Box 3098">
          <a:extLst>
            <a:ext uri="{FF2B5EF4-FFF2-40B4-BE49-F238E27FC236}">
              <a16:creationId xmlns="" xmlns:a16="http://schemas.microsoft.com/office/drawing/2014/main" id="{00000000-0008-0000-0000-0000B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5" name="Text Box 3099">
          <a:extLst>
            <a:ext uri="{FF2B5EF4-FFF2-40B4-BE49-F238E27FC236}">
              <a16:creationId xmlns="" xmlns:a16="http://schemas.microsoft.com/office/drawing/2014/main" id="{00000000-0008-0000-0000-0000B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6" name="Text Box 3100">
          <a:extLst>
            <a:ext uri="{FF2B5EF4-FFF2-40B4-BE49-F238E27FC236}">
              <a16:creationId xmlns="" xmlns:a16="http://schemas.microsoft.com/office/drawing/2014/main" id="{00000000-0008-0000-0000-0000C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7" name="Text Box 3101">
          <a:extLst>
            <a:ext uri="{FF2B5EF4-FFF2-40B4-BE49-F238E27FC236}">
              <a16:creationId xmlns="" xmlns:a16="http://schemas.microsoft.com/office/drawing/2014/main" id="{00000000-0008-0000-0000-0000C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778" name="Text Box 3102">
          <a:extLst>
            <a:ext uri="{FF2B5EF4-FFF2-40B4-BE49-F238E27FC236}">
              <a16:creationId xmlns="" xmlns:a16="http://schemas.microsoft.com/office/drawing/2014/main" id="{00000000-0008-0000-0000-0000C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79" name="Text Box 59">
          <a:extLst>
            <a:ext uri="{FF2B5EF4-FFF2-40B4-BE49-F238E27FC236}">
              <a16:creationId xmlns="" xmlns:a16="http://schemas.microsoft.com/office/drawing/2014/main" id="{00000000-0008-0000-0000-0000C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0" name="Text Box 60">
          <a:extLst>
            <a:ext uri="{FF2B5EF4-FFF2-40B4-BE49-F238E27FC236}">
              <a16:creationId xmlns="" xmlns:a16="http://schemas.microsoft.com/office/drawing/2014/main" id="{00000000-0008-0000-0000-0000C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1" name="Text Box 61">
          <a:extLst>
            <a:ext uri="{FF2B5EF4-FFF2-40B4-BE49-F238E27FC236}">
              <a16:creationId xmlns="" xmlns:a16="http://schemas.microsoft.com/office/drawing/2014/main" id="{00000000-0008-0000-0000-0000C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2" name="Text Box 62">
          <a:extLst>
            <a:ext uri="{FF2B5EF4-FFF2-40B4-BE49-F238E27FC236}">
              <a16:creationId xmlns="" xmlns:a16="http://schemas.microsoft.com/office/drawing/2014/main" id="{00000000-0008-0000-0000-0000C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3" name="Text Box 63">
          <a:extLst>
            <a:ext uri="{FF2B5EF4-FFF2-40B4-BE49-F238E27FC236}">
              <a16:creationId xmlns="" xmlns:a16="http://schemas.microsoft.com/office/drawing/2014/main" id="{00000000-0008-0000-0000-0000C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4" name="Text Box 64">
          <a:extLst>
            <a:ext uri="{FF2B5EF4-FFF2-40B4-BE49-F238E27FC236}">
              <a16:creationId xmlns="" xmlns:a16="http://schemas.microsoft.com/office/drawing/2014/main" id="{00000000-0008-0000-0000-0000C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5" name="Text Box 65">
          <a:extLst>
            <a:ext uri="{FF2B5EF4-FFF2-40B4-BE49-F238E27FC236}">
              <a16:creationId xmlns="" xmlns:a16="http://schemas.microsoft.com/office/drawing/2014/main" id="{00000000-0008-0000-0000-0000C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6" name="Text Box 66">
          <a:extLst>
            <a:ext uri="{FF2B5EF4-FFF2-40B4-BE49-F238E27FC236}">
              <a16:creationId xmlns="" xmlns:a16="http://schemas.microsoft.com/office/drawing/2014/main" id="{00000000-0008-0000-0000-0000C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7" name="Text Box 67">
          <a:extLst>
            <a:ext uri="{FF2B5EF4-FFF2-40B4-BE49-F238E27FC236}">
              <a16:creationId xmlns="" xmlns:a16="http://schemas.microsoft.com/office/drawing/2014/main" id="{00000000-0008-0000-0000-0000C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8" name="Text Box 68">
          <a:extLst>
            <a:ext uri="{FF2B5EF4-FFF2-40B4-BE49-F238E27FC236}">
              <a16:creationId xmlns="" xmlns:a16="http://schemas.microsoft.com/office/drawing/2014/main" id="{00000000-0008-0000-0000-0000C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9" name="Text Box 69">
          <a:extLst>
            <a:ext uri="{FF2B5EF4-FFF2-40B4-BE49-F238E27FC236}">
              <a16:creationId xmlns="" xmlns:a16="http://schemas.microsoft.com/office/drawing/2014/main" id="{00000000-0008-0000-0000-0000C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0" name="Text Box 70">
          <a:extLst>
            <a:ext uri="{FF2B5EF4-FFF2-40B4-BE49-F238E27FC236}">
              <a16:creationId xmlns="" xmlns:a16="http://schemas.microsoft.com/office/drawing/2014/main" id="{00000000-0008-0000-0000-0000C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1" name="Text Box 71">
          <a:extLst>
            <a:ext uri="{FF2B5EF4-FFF2-40B4-BE49-F238E27FC236}">
              <a16:creationId xmlns="" xmlns:a16="http://schemas.microsoft.com/office/drawing/2014/main" id="{00000000-0008-0000-0000-0000C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2" name="Text Box 72">
          <a:extLst>
            <a:ext uri="{FF2B5EF4-FFF2-40B4-BE49-F238E27FC236}">
              <a16:creationId xmlns="" xmlns:a16="http://schemas.microsoft.com/office/drawing/2014/main" id="{00000000-0008-0000-0000-0000D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3" name="Text Box 73">
          <a:extLst>
            <a:ext uri="{FF2B5EF4-FFF2-40B4-BE49-F238E27FC236}">
              <a16:creationId xmlns="" xmlns:a16="http://schemas.microsoft.com/office/drawing/2014/main" id="{00000000-0008-0000-0000-0000D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4" name="Text Box 74">
          <a:extLst>
            <a:ext uri="{FF2B5EF4-FFF2-40B4-BE49-F238E27FC236}">
              <a16:creationId xmlns="" xmlns:a16="http://schemas.microsoft.com/office/drawing/2014/main" id="{00000000-0008-0000-0000-0000D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5" name="Text Box 75">
          <a:extLst>
            <a:ext uri="{FF2B5EF4-FFF2-40B4-BE49-F238E27FC236}">
              <a16:creationId xmlns="" xmlns:a16="http://schemas.microsoft.com/office/drawing/2014/main" id="{00000000-0008-0000-0000-0000D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6" name="Text Box 76">
          <a:extLst>
            <a:ext uri="{FF2B5EF4-FFF2-40B4-BE49-F238E27FC236}">
              <a16:creationId xmlns="" xmlns:a16="http://schemas.microsoft.com/office/drawing/2014/main" id="{00000000-0008-0000-0000-0000D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7" name="Text Box 77">
          <a:extLst>
            <a:ext uri="{FF2B5EF4-FFF2-40B4-BE49-F238E27FC236}">
              <a16:creationId xmlns="" xmlns:a16="http://schemas.microsoft.com/office/drawing/2014/main" id="{00000000-0008-0000-0000-0000D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8" name="Text Box 78">
          <a:extLst>
            <a:ext uri="{FF2B5EF4-FFF2-40B4-BE49-F238E27FC236}">
              <a16:creationId xmlns="" xmlns:a16="http://schemas.microsoft.com/office/drawing/2014/main" id="{00000000-0008-0000-0000-0000D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9" name="Text Box 79">
          <a:extLst>
            <a:ext uri="{FF2B5EF4-FFF2-40B4-BE49-F238E27FC236}">
              <a16:creationId xmlns="" xmlns:a16="http://schemas.microsoft.com/office/drawing/2014/main" id="{00000000-0008-0000-0000-0000D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0" name="Text Box 80">
          <a:extLst>
            <a:ext uri="{FF2B5EF4-FFF2-40B4-BE49-F238E27FC236}">
              <a16:creationId xmlns="" xmlns:a16="http://schemas.microsoft.com/office/drawing/2014/main" id="{00000000-0008-0000-0000-0000D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1" name="Text Box 81">
          <a:extLst>
            <a:ext uri="{FF2B5EF4-FFF2-40B4-BE49-F238E27FC236}">
              <a16:creationId xmlns="" xmlns:a16="http://schemas.microsoft.com/office/drawing/2014/main" id="{00000000-0008-0000-0000-0000D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2" name="Text Box 3079">
          <a:extLst>
            <a:ext uri="{FF2B5EF4-FFF2-40B4-BE49-F238E27FC236}">
              <a16:creationId xmlns="" xmlns:a16="http://schemas.microsoft.com/office/drawing/2014/main" id="{00000000-0008-0000-0000-0000D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3" name="Text Box 3080">
          <a:extLst>
            <a:ext uri="{FF2B5EF4-FFF2-40B4-BE49-F238E27FC236}">
              <a16:creationId xmlns="" xmlns:a16="http://schemas.microsoft.com/office/drawing/2014/main" id="{00000000-0008-0000-0000-0000D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4" name="Text Box 3081">
          <a:extLst>
            <a:ext uri="{FF2B5EF4-FFF2-40B4-BE49-F238E27FC236}">
              <a16:creationId xmlns="" xmlns:a16="http://schemas.microsoft.com/office/drawing/2014/main" id="{00000000-0008-0000-0000-0000D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5" name="Text Box 3082">
          <a:extLst>
            <a:ext uri="{FF2B5EF4-FFF2-40B4-BE49-F238E27FC236}">
              <a16:creationId xmlns="" xmlns:a16="http://schemas.microsoft.com/office/drawing/2014/main" id="{00000000-0008-0000-0000-0000D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6" name="Text Box 3083">
          <a:extLst>
            <a:ext uri="{FF2B5EF4-FFF2-40B4-BE49-F238E27FC236}">
              <a16:creationId xmlns="" xmlns:a16="http://schemas.microsoft.com/office/drawing/2014/main" id="{00000000-0008-0000-0000-0000D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7" name="Text Box 3084">
          <a:extLst>
            <a:ext uri="{FF2B5EF4-FFF2-40B4-BE49-F238E27FC236}">
              <a16:creationId xmlns="" xmlns:a16="http://schemas.microsoft.com/office/drawing/2014/main" id="{00000000-0008-0000-0000-0000D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8" name="Text Box 3085">
          <a:extLst>
            <a:ext uri="{FF2B5EF4-FFF2-40B4-BE49-F238E27FC236}">
              <a16:creationId xmlns="" xmlns:a16="http://schemas.microsoft.com/office/drawing/2014/main" id="{00000000-0008-0000-0000-0000E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9" name="Text Box 3086">
          <a:extLst>
            <a:ext uri="{FF2B5EF4-FFF2-40B4-BE49-F238E27FC236}">
              <a16:creationId xmlns="" xmlns:a16="http://schemas.microsoft.com/office/drawing/2014/main" id="{00000000-0008-0000-0000-0000E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0" name="Text Box 3087">
          <a:extLst>
            <a:ext uri="{FF2B5EF4-FFF2-40B4-BE49-F238E27FC236}">
              <a16:creationId xmlns="" xmlns:a16="http://schemas.microsoft.com/office/drawing/2014/main" id="{00000000-0008-0000-0000-0000E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1" name="Text Box 3088">
          <a:extLst>
            <a:ext uri="{FF2B5EF4-FFF2-40B4-BE49-F238E27FC236}">
              <a16:creationId xmlns="" xmlns:a16="http://schemas.microsoft.com/office/drawing/2014/main" id="{00000000-0008-0000-0000-0000E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2" name="Text Box 3089">
          <a:extLst>
            <a:ext uri="{FF2B5EF4-FFF2-40B4-BE49-F238E27FC236}">
              <a16:creationId xmlns="" xmlns:a16="http://schemas.microsoft.com/office/drawing/2014/main" id="{00000000-0008-0000-0000-0000E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3" name="Text Box 3090">
          <a:extLst>
            <a:ext uri="{FF2B5EF4-FFF2-40B4-BE49-F238E27FC236}">
              <a16:creationId xmlns="" xmlns:a16="http://schemas.microsoft.com/office/drawing/2014/main" id="{00000000-0008-0000-0000-0000E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4" name="Text Box 3091">
          <a:extLst>
            <a:ext uri="{FF2B5EF4-FFF2-40B4-BE49-F238E27FC236}">
              <a16:creationId xmlns="" xmlns:a16="http://schemas.microsoft.com/office/drawing/2014/main" id="{00000000-0008-0000-0000-0000E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5" name="Text Box 3092">
          <a:extLst>
            <a:ext uri="{FF2B5EF4-FFF2-40B4-BE49-F238E27FC236}">
              <a16:creationId xmlns="" xmlns:a16="http://schemas.microsoft.com/office/drawing/2014/main" id="{00000000-0008-0000-0000-0000E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6" name="Text Box 3093">
          <a:extLst>
            <a:ext uri="{FF2B5EF4-FFF2-40B4-BE49-F238E27FC236}">
              <a16:creationId xmlns="" xmlns:a16="http://schemas.microsoft.com/office/drawing/2014/main" id="{00000000-0008-0000-0000-0000E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7" name="Text Box 3094">
          <a:extLst>
            <a:ext uri="{FF2B5EF4-FFF2-40B4-BE49-F238E27FC236}">
              <a16:creationId xmlns="" xmlns:a16="http://schemas.microsoft.com/office/drawing/2014/main" id="{00000000-0008-0000-0000-0000E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8" name="Text Box 3095">
          <a:extLst>
            <a:ext uri="{FF2B5EF4-FFF2-40B4-BE49-F238E27FC236}">
              <a16:creationId xmlns="" xmlns:a16="http://schemas.microsoft.com/office/drawing/2014/main" id="{00000000-0008-0000-0000-0000E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9" name="Text Box 3096">
          <a:extLst>
            <a:ext uri="{FF2B5EF4-FFF2-40B4-BE49-F238E27FC236}">
              <a16:creationId xmlns="" xmlns:a16="http://schemas.microsoft.com/office/drawing/2014/main" id="{00000000-0008-0000-0000-0000E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0" name="Text Box 3097">
          <a:extLst>
            <a:ext uri="{FF2B5EF4-FFF2-40B4-BE49-F238E27FC236}">
              <a16:creationId xmlns="" xmlns:a16="http://schemas.microsoft.com/office/drawing/2014/main" id="{00000000-0008-0000-0000-0000E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1" name="Text Box 3098">
          <a:extLst>
            <a:ext uri="{FF2B5EF4-FFF2-40B4-BE49-F238E27FC236}">
              <a16:creationId xmlns="" xmlns:a16="http://schemas.microsoft.com/office/drawing/2014/main" id="{00000000-0008-0000-0000-0000E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2" name="Text Box 3099">
          <a:extLst>
            <a:ext uri="{FF2B5EF4-FFF2-40B4-BE49-F238E27FC236}">
              <a16:creationId xmlns="" xmlns:a16="http://schemas.microsoft.com/office/drawing/2014/main" id="{00000000-0008-0000-0000-0000E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3" name="Text Box 3100">
          <a:extLst>
            <a:ext uri="{FF2B5EF4-FFF2-40B4-BE49-F238E27FC236}">
              <a16:creationId xmlns="" xmlns:a16="http://schemas.microsoft.com/office/drawing/2014/main" id="{00000000-0008-0000-0000-0000E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4" name="Text Box 3101">
          <a:extLst>
            <a:ext uri="{FF2B5EF4-FFF2-40B4-BE49-F238E27FC236}">
              <a16:creationId xmlns="" xmlns:a16="http://schemas.microsoft.com/office/drawing/2014/main" id="{00000000-0008-0000-0000-0000F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825" name="Text Box 3102">
          <a:extLst>
            <a:ext uri="{FF2B5EF4-FFF2-40B4-BE49-F238E27FC236}">
              <a16:creationId xmlns="" xmlns:a16="http://schemas.microsoft.com/office/drawing/2014/main" id="{00000000-0008-0000-0000-0000F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6" name="Text Box 59">
          <a:extLst>
            <a:ext uri="{FF2B5EF4-FFF2-40B4-BE49-F238E27FC236}">
              <a16:creationId xmlns="" xmlns:a16="http://schemas.microsoft.com/office/drawing/2014/main" id="{00000000-0008-0000-0000-0000F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7" name="Text Box 60">
          <a:extLst>
            <a:ext uri="{FF2B5EF4-FFF2-40B4-BE49-F238E27FC236}">
              <a16:creationId xmlns="" xmlns:a16="http://schemas.microsoft.com/office/drawing/2014/main" id="{00000000-0008-0000-0000-0000F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8" name="Text Box 61">
          <a:extLst>
            <a:ext uri="{FF2B5EF4-FFF2-40B4-BE49-F238E27FC236}">
              <a16:creationId xmlns="" xmlns:a16="http://schemas.microsoft.com/office/drawing/2014/main" id="{00000000-0008-0000-0000-0000F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9" name="Text Box 62">
          <a:extLst>
            <a:ext uri="{FF2B5EF4-FFF2-40B4-BE49-F238E27FC236}">
              <a16:creationId xmlns="" xmlns:a16="http://schemas.microsoft.com/office/drawing/2014/main" id="{00000000-0008-0000-0000-0000F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0" name="Text Box 63">
          <a:extLst>
            <a:ext uri="{FF2B5EF4-FFF2-40B4-BE49-F238E27FC236}">
              <a16:creationId xmlns="" xmlns:a16="http://schemas.microsoft.com/office/drawing/2014/main" id="{00000000-0008-0000-0000-0000F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1" name="Text Box 64">
          <a:extLst>
            <a:ext uri="{FF2B5EF4-FFF2-40B4-BE49-F238E27FC236}">
              <a16:creationId xmlns="" xmlns:a16="http://schemas.microsoft.com/office/drawing/2014/main" id="{00000000-0008-0000-0000-0000F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2" name="Text Box 65">
          <a:extLst>
            <a:ext uri="{FF2B5EF4-FFF2-40B4-BE49-F238E27FC236}">
              <a16:creationId xmlns="" xmlns:a16="http://schemas.microsoft.com/office/drawing/2014/main" id="{00000000-0008-0000-0000-0000F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3" name="Text Box 66">
          <a:extLst>
            <a:ext uri="{FF2B5EF4-FFF2-40B4-BE49-F238E27FC236}">
              <a16:creationId xmlns="" xmlns:a16="http://schemas.microsoft.com/office/drawing/2014/main" id="{00000000-0008-0000-0000-0000F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4" name="Text Box 67">
          <a:extLst>
            <a:ext uri="{FF2B5EF4-FFF2-40B4-BE49-F238E27FC236}">
              <a16:creationId xmlns="" xmlns:a16="http://schemas.microsoft.com/office/drawing/2014/main" id="{00000000-0008-0000-0000-0000F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5" name="Text Box 68">
          <a:extLst>
            <a:ext uri="{FF2B5EF4-FFF2-40B4-BE49-F238E27FC236}">
              <a16:creationId xmlns="" xmlns:a16="http://schemas.microsoft.com/office/drawing/2014/main" id="{00000000-0008-0000-0000-0000F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6" name="Text Box 69">
          <a:extLst>
            <a:ext uri="{FF2B5EF4-FFF2-40B4-BE49-F238E27FC236}">
              <a16:creationId xmlns="" xmlns:a16="http://schemas.microsoft.com/office/drawing/2014/main" id="{00000000-0008-0000-0000-0000F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7" name="Text Box 70">
          <a:extLst>
            <a:ext uri="{FF2B5EF4-FFF2-40B4-BE49-F238E27FC236}">
              <a16:creationId xmlns="" xmlns:a16="http://schemas.microsoft.com/office/drawing/2014/main" id="{00000000-0008-0000-0000-0000F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8" name="Text Box 71">
          <a:extLst>
            <a:ext uri="{FF2B5EF4-FFF2-40B4-BE49-F238E27FC236}">
              <a16:creationId xmlns="" xmlns:a16="http://schemas.microsoft.com/office/drawing/2014/main" id="{00000000-0008-0000-0000-0000F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9" name="Text Box 72">
          <a:extLst>
            <a:ext uri="{FF2B5EF4-FFF2-40B4-BE49-F238E27FC236}">
              <a16:creationId xmlns="" xmlns:a16="http://schemas.microsoft.com/office/drawing/2014/main" id="{00000000-0008-0000-0000-0000F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0" name="Text Box 73">
          <a:extLst>
            <a:ext uri="{FF2B5EF4-FFF2-40B4-BE49-F238E27FC236}">
              <a16:creationId xmlns="" xmlns:a16="http://schemas.microsoft.com/office/drawing/2014/main" id="{00000000-0008-0000-0000-00000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1" name="Text Box 74">
          <a:extLst>
            <a:ext uri="{FF2B5EF4-FFF2-40B4-BE49-F238E27FC236}">
              <a16:creationId xmlns="" xmlns:a16="http://schemas.microsoft.com/office/drawing/2014/main" id="{00000000-0008-0000-0000-00000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2" name="Text Box 75">
          <a:extLst>
            <a:ext uri="{FF2B5EF4-FFF2-40B4-BE49-F238E27FC236}">
              <a16:creationId xmlns="" xmlns:a16="http://schemas.microsoft.com/office/drawing/2014/main" id="{00000000-0008-0000-0000-00000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3" name="Text Box 76">
          <a:extLst>
            <a:ext uri="{FF2B5EF4-FFF2-40B4-BE49-F238E27FC236}">
              <a16:creationId xmlns="" xmlns:a16="http://schemas.microsoft.com/office/drawing/2014/main" id="{00000000-0008-0000-0000-00000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4" name="Text Box 77">
          <a:extLst>
            <a:ext uri="{FF2B5EF4-FFF2-40B4-BE49-F238E27FC236}">
              <a16:creationId xmlns="" xmlns:a16="http://schemas.microsoft.com/office/drawing/2014/main" id="{00000000-0008-0000-0000-00000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5" name="Text Box 78">
          <a:extLst>
            <a:ext uri="{FF2B5EF4-FFF2-40B4-BE49-F238E27FC236}">
              <a16:creationId xmlns="" xmlns:a16="http://schemas.microsoft.com/office/drawing/2014/main" id="{00000000-0008-0000-0000-00000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6" name="Text Box 79">
          <a:extLst>
            <a:ext uri="{FF2B5EF4-FFF2-40B4-BE49-F238E27FC236}">
              <a16:creationId xmlns="" xmlns:a16="http://schemas.microsoft.com/office/drawing/2014/main" id="{00000000-0008-0000-0000-00000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7" name="Text Box 80">
          <a:extLst>
            <a:ext uri="{FF2B5EF4-FFF2-40B4-BE49-F238E27FC236}">
              <a16:creationId xmlns="" xmlns:a16="http://schemas.microsoft.com/office/drawing/2014/main" id="{00000000-0008-0000-0000-00000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8" name="Text Box 81">
          <a:extLst>
            <a:ext uri="{FF2B5EF4-FFF2-40B4-BE49-F238E27FC236}">
              <a16:creationId xmlns="" xmlns:a16="http://schemas.microsoft.com/office/drawing/2014/main" id="{00000000-0008-0000-0000-00000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849" name="Text Box 82">
          <a:extLst>
            <a:ext uri="{FF2B5EF4-FFF2-40B4-BE49-F238E27FC236}">
              <a16:creationId xmlns="" xmlns:a16="http://schemas.microsoft.com/office/drawing/2014/main" id="{00000000-0008-0000-0000-00000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0" name="Text Box 3079">
          <a:extLst>
            <a:ext uri="{FF2B5EF4-FFF2-40B4-BE49-F238E27FC236}">
              <a16:creationId xmlns="" xmlns:a16="http://schemas.microsoft.com/office/drawing/2014/main" id="{00000000-0008-0000-0000-00000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1" name="Text Box 3080">
          <a:extLst>
            <a:ext uri="{FF2B5EF4-FFF2-40B4-BE49-F238E27FC236}">
              <a16:creationId xmlns="" xmlns:a16="http://schemas.microsoft.com/office/drawing/2014/main" id="{00000000-0008-0000-0000-00000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2" name="Text Box 3081">
          <a:extLst>
            <a:ext uri="{FF2B5EF4-FFF2-40B4-BE49-F238E27FC236}">
              <a16:creationId xmlns="" xmlns:a16="http://schemas.microsoft.com/office/drawing/2014/main" id="{00000000-0008-0000-0000-00000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3" name="Text Box 3082">
          <a:extLst>
            <a:ext uri="{FF2B5EF4-FFF2-40B4-BE49-F238E27FC236}">
              <a16:creationId xmlns="" xmlns:a16="http://schemas.microsoft.com/office/drawing/2014/main" id="{00000000-0008-0000-0000-00000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4" name="Text Box 3083">
          <a:extLst>
            <a:ext uri="{FF2B5EF4-FFF2-40B4-BE49-F238E27FC236}">
              <a16:creationId xmlns="" xmlns:a16="http://schemas.microsoft.com/office/drawing/2014/main" id="{00000000-0008-0000-0000-00000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5" name="Text Box 3084">
          <a:extLst>
            <a:ext uri="{FF2B5EF4-FFF2-40B4-BE49-F238E27FC236}">
              <a16:creationId xmlns="" xmlns:a16="http://schemas.microsoft.com/office/drawing/2014/main" id="{00000000-0008-0000-0000-00000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6" name="Text Box 3085">
          <a:extLst>
            <a:ext uri="{FF2B5EF4-FFF2-40B4-BE49-F238E27FC236}">
              <a16:creationId xmlns="" xmlns:a16="http://schemas.microsoft.com/office/drawing/2014/main" id="{00000000-0008-0000-0000-00001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7" name="Text Box 3086">
          <a:extLst>
            <a:ext uri="{FF2B5EF4-FFF2-40B4-BE49-F238E27FC236}">
              <a16:creationId xmlns="" xmlns:a16="http://schemas.microsoft.com/office/drawing/2014/main" id="{00000000-0008-0000-0000-00001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8" name="Text Box 3087">
          <a:extLst>
            <a:ext uri="{FF2B5EF4-FFF2-40B4-BE49-F238E27FC236}">
              <a16:creationId xmlns="" xmlns:a16="http://schemas.microsoft.com/office/drawing/2014/main" id="{00000000-0008-0000-0000-00001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9" name="Text Box 3088">
          <a:extLst>
            <a:ext uri="{FF2B5EF4-FFF2-40B4-BE49-F238E27FC236}">
              <a16:creationId xmlns="" xmlns:a16="http://schemas.microsoft.com/office/drawing/2014/main" id="{00000000-0008-0000-0000-00001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0" name="Text Box 3089">
          <a:extLst>
            <a:ext uri="{FF2B5EF4-FFF2-40B4-BE49-F238E27FC236}">
              <a16:creationId xmlns="" xmlns:a16="http://schemas.microsoft.com/office/drawing/2014/main" id="{00000000-0008-0000-0000-00001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1" name="Text Box 3090">
          <a:extLst>
            <a:ext uri="{FF2B5EF4-FFF2-40B4-BE49-F238E27FC236}">
              <a16:creationId xmlns="" xmlns:a16="http://schemas.microsoft.com/office/drawing/2014/main" id="{00000000-0008-0000-0000-00001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2" name="Text Box 3091">
          <a:extLst>
            <a:ext uri="{FF2B5EF4-FFF2-40B4-BE49-F238E27FC236}">
              <a16:creationId xmlns="" xmlns:a16="http://schemas.microsoft.com/office/drawing/2014/main" id="{00000000-0008-0000-0000-00001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3" name="Text Box 3092">
          <a:extLst>
            <a:ext uri="{FF2B5EF4-FFF2-40B4-BE49-F238E27FC236}">
              <a16:creationId xmlns="" xmlns:a16="http://schemas.microsoft.com/office/drawing/2014/main" id="{00000000-0008-0000-0000-00001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4" name="Text Box 3093">
          <a:extLst>
            <a:ext uri="{FF2B5EF4-FFF2-40B4-BE49-F238E27FC236}">
              <a16:creationId xmlns="" xmlns:a16="http://schemas.microsoft.com/office/drawing/2014/main" id="{00000000-0008-0000-0000-00001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5" name="Text Box 3094">
          <a:extLst>
            <a:ext uri="{FF2B5EF4-FFF2-40B4-BE49-F238E27FC236}">
              <a16:creationId xmlns="" xmlns:a16="http://schemas.microsoft.com/office/drawing/2014/main" id="{00000000-0008-0000-0000-00001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6" name="Text Box 3095">
          <a:extLst>
            <a:ext uri="{FF2B5EF4-FFF2-40B4-BE49-F238E27FC236}">
              <a16:creationId xmlns="" xmlns:a16="http://schemas.microsoft.com/office/drawing/2014/main" id="{00000000-0008-0000-0000-00001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7" name="Text Box 3096">
          <a:extLst>
            <a:ext uri="{FF2B5EF4-FFF2-40B4-BE49-F238E27FC236}">
              <a16:creationId xmlns="" xmlns:a16="http://schemas.microsoft.com/office/drawing/2014/main" id="{00000000-0008-0000-0000-00001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8" name="Text Box 3097">
          <a:extLst>
            <a:ext uri="{FF2B5EF4-FFF2-40B4-BE49-F238E27FC236}">
              <a16:creationId xmlns="" xmlns:a16="http://schemas.microsoft.com/office/drawing/2014/main" id="{00000000-0008-0000-0000-00001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9" name="Text Box 3098">
          <a:extLst>
            <a:ext uri="{FF2B5EF4-FFF2-40B4-BE49-F238E27FC236}">
              <a16:creationId xmlns="" xmlns:a16="http://schemas.microsoft.com/office/drawing/2014/main" id="{00000000-0008-0000-0000-00001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0" name="Text Box 3099">
          <a:extLst>
            <a:ext uri="{FF2B5EF4-FFF2-40B4-BE49-F238E27FC236}">
              <a16:creationId xmlns="" xmlns:a16="http://schemas.microsoft.com/office/drawing/2014/main" id="{00000000-0008-0000-0000-00001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1" name="Text Box 3100">
          <a:extLst>
            <a:ext uri="{FF2B5EF4-FFF2-40B4-BE49-F238E27FC236}">
              <a16:creationId xmlns="" xmlns:a16="http://schemas.microsoft.com/office/drawing/2014/main" id="{00000000-0008-0000-0000-00001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2" name="Text Box 3101">
          <a:extLst>
            <a:ext uri="{FF2B5EF4-FFF2-40B4-BE49-F238E27FC236}">
              <a16:creationId xmlns="" xmlns:a16="http://schemas.microsoft.com/office/drawing/2014/main" id="{00000000-0008-0000-0000-00002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873" name="Text Box 3102">
          <a:extLst>
            <a:ext uri="{FF2B5EF4-FFF2-40B4-BE49-F238E27FC236}">
              <a16:creationId xmlns="" xmlns:a16="http://schemas.microsoft.com/office/drawing/2014/main" id="{00000000-0008-0000-0000-00002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4" name="Text Box 59">
          <a:extLst>
            <a:ext uri="{FF2B5EF4-FFF2-40B4-BE49-F238E27FC236}">
              <a16:creationId xmlns="" xmlns:a16="http://schemas.microsoft.com/office/drawing/2014/main" id="{00000000-0008-0000-0000-00002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5" name="Text Box 60">
          <a:extLst>
            <a:ext uri="{FF2B5EF4-FFF2-40B4-BE49-F238E27FC236}">
              <a16:creationId xmlns="" xmlns:a16="http://schemas.microsoft.com/office/drawing/2014/main" id="{00000000-0008-0000-0000-00002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6" name="Text Box 61">
          <a:extLst>
            <a:ext uri="{FF2B5EF4-FFF2-40B4-BE49-F238E27FC236}">
              <a16:creationId xmlns="" xmlns:a16="http://schemas.microsoft.com/office/drawing/2014/main" id="{00000000-0008-0000-0000-00002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7" name="Text Box 62">
          <a:extLst>
            <a:ext uri="{FF2B5EF4-FFF2-40B4-BE49-F238E27FC236}">
              <a16:creationId xmlns="" xmlns:a16="http://schemas.microsoft.com/office/drawing/2014/main" id="{00000000-0008-0000-0000-00002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8" name="Text Box 63">
          <a:extLst>
            <a:ext uri="{FF2B5EF4-FFF2-40B4-BE49-F238E27FC236}">
              <a16:creationId xmlns="" xmlns:a16="http://schemas.microsoft.com/office/drawing/2014/main" id="{00000000-0008-0000-0000-00002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9" name="Text Box 64">
          <a:extLst>
            <a:ext uri="{FF2B5EF4-FFF2-40B4-BE49-F238E27FC236}">
              <a16:creationId xmlns="" xmlns:a16="http://schemas.microsoft.com/office/drawing/2014/main" id="{00000000-0008-0000-0000-00002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0" name="Text Box 65">
          <a:extLst>
            <a:ext uri="{FF2B5EF4-FFF2-40B4-BE49-F238E27FC236}">
              <a16:creationId xmlns="" xmlns:a16="http://schemas.microsoft.com/office/drawing/2014/main" id="{00000000-0008-0000-0000-00002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1" name="Text Box 66">
          <a:extLst>
            <a:ext uri="{FF2B5EF4-FFF2-40B4-BE49-F238E27FC236}">
              <a16:creationId xmlns="" xmlns:a16="http://schemas.microsoft.com/office/drawing/2014/main" id="{00000000-0008-0000-0000-00002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2" name="Text Box 67">
          <a:extLst>
            <a:ext uri="{FF2B5EF4-FFF2-40B4-BE49-F238E27FC236}">
              <a16:creationId xmlns="" xmlns:a16="http://schemas.microsoft.com/office/drawing/2014/main" id="{00000000-0008-0000-0000-00002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3" name="Text Box 68">
          <a:extLst>
            <a:ext uri="{FF2B5EF4-FFF2-40B4-BE49-F238E27FC236}">
              <a16:creationId xmlns="" xmlns:a16="http://schemas.microsoft.com/office/drawing/2014/main" id="{00000000-0008-0000-0000-00002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4" name="Text Box 69">
          <a:extLst>
            <a:ext uri="{FF2B5EF4-FFF2-40B4-BE49-F238E27FC236}">
              <a16:creationId xmlns="" xmlns:a16="http://schemas.microsoft.com/office/drawing/2014/main" id="{00000000-0008-0000-0000-00002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5" name="Text Box 70">
          <a:extLst>
            <a:ext uri="{FF2B5EF4-FFF2-40B4-BE49-F238E27FC236}">
              <a16:creationId xmlns="" xmlns:a16="http://schemas.microsoft.com/office/drawing/2014/main" id="{00000000-0008-0000-0000-00002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6" name="Text Box 71">
          <a:extLst>
            <a:ext uri="{FF2B5EF4-FFF2-40B4-BE49-F238E27FC236}">
              <a16:creationId xmlns="" xmlns:a16="http://schemas.microsoft.com/office/drawing/2014/main" id="{00000000-0008-0000-0000-00002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7" name="Text Box 72">
          <a:extLst>
            <a:ext uri="{FF2B5EF4-FFF2-40B4-BE49-F238E27FC236}">
              <a16:creationId xmlns="" xmlns:a16="http://schemas.microsoft.com/office/drawing/2014/main" id="{00000000-0008-0000-0000-00002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8" name="Text Box 73">
          <a:extLst>
            <a:ext uri="{FF2B5EF4-FFF2-40B4-BE49-F238E27FC236}">
              <a16:creationId xmlns="" xmlns:a16="http://schemas.microsoft.com/office/drawing/2014/main" id="{00000000-0008-0000-0000-00003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9" name="Text Box 74">
          <a:extLst>
            <a:ext uri="{FF2B5EF4-FFF2-40B4-BE49-F238E27FC236}">
              <a16:creationId xmlns="" xmlns:a16="http://schemas.microsoft.com/office/drawing/2014/main" id="{00000000-0008-0000-0000-00003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0" name="Text Box 75">
          <a:extLst>
            <a:ext uri="{FF2B5EF4-FFF2-40B4-BE49-F238E27FC236}">
              <a16:creationId xmlns="" xmlns:a16="http://schemas.microsoft.com/office/drawing/2014/main" id="{00000000-0008-0000-0000-00003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1" name="Text Box 76">
          <a:extLst>
            <a:ext uri="{FF2B5EF4-FFF2-40B4-BE49-F238E27FC236}">
              <a16:creationId xmlns="" xmlns:a16="http://schemas.microsoft.com/office/drawing/2014/main" id="{00000000-0008-0000-0000-00003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2" name="Text Box 77">
          <a:extLst>
            <a:ext uri="{FF2B5EF4-FFF2-40B4-BE49-F238E27FC236}">
              <a16:creationId xmlns="" xmlns:a16="http://schemas.microsoft.com/office/drawing/2014/main" id="{00000000-0008-0000-0000-00003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3" name="Text Box 78">
          <a:extLst>
            <a:ext uri="{FF2B5EF4-FFF2-40B4-BE49-F238E27FC236}">
              <a16:creationId xmlns="" xmlns:a16="http://schemas.microsoft.com/office/drawing/2014/main" id="{00000000-0008-0000-0000-00003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4" name="Text Box 79">
          <a:extLst>
            <a:ext uri="{FF2B5EF4-FFF2-40B4-BE49-F238E27FC236}">
              <a16:creationId xmlns="" xmlns:a16="http://schemas.microsoft.com/office/drawing/2014/main" id="{00000000-0008-0000-0000-00003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5" name="Text Box 80">
          <a:extLst>
            <a:ext uri="{FF2B5EF4-FFF2-40B4-BE49-F238E27FC236}">
              <a16:creationId xmlns="" xmlns:a16="http://schemas.microsoft.com/office/drawing/2014/main" id="{00000000-0008-0000-0000-00003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6" name="Text Box 81">
          <a:extLst>
            <a:ext uri="{FF2B5EF4-FFF2-40B4-BE49-F238E27FC236}">
              <a16:creationId xmlns="" xmlns:a16="http://schemas.microsoft.com/office/drawing/2014/main" id="{00000000-0008-0000-0000-00003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7" name="Text Box 3079">
          <a:extLst>
            <a:ext uri="{FF2B5EF4-FFF2-40B4-BE49-F238E27FC236}">
              <a16:creationId xmlns="" xmlns:a16="http://schemas.microsoft.com/office/drawing/2014/main" id="{00000000-0008-0000-0000-00003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8" name="Text Box 3080">
          <a:extLst>
            <a:ext uri="{FF2B5EF4-FFF2-40B4-BE49-F238E27FC236}">
              <a16:creationId xmlns="" xmlns:a16="http://schemas.microsoft.com/office/drawing/2014/main" id="{00000000-0008-0000-0000-00003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9" name="Text Box 3081">
          <a:extLst>
            <a:ext uri="{FF2B5EF4-FFF2-40B4-BE49-F238E27FC236}">
              <a16:creationId xmlns="" xmlns:a16="http://schemas.microsoft.com/office/drawing/2014/main" id="{00000000-0008-0000-0000-00003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0" name="Text Box 3082">
          <a:extLst>
            <a:ext uri="{FF2B5EF4-FFF2-40B4-BE49-F238E27FC236}">
              <a16:creationId xmlns="" xmlns:a16="http://schemas.microsoft.com/office/drawing/2014/main" id="{00000000-0008-0000-0000-00003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1" name="Text Box 3083">
          <a:extLst>
            <a:ext uri="{FF2B5EF4-FFF2-40B4-BE49-F238E27FC236}">
              <a16:creationId xmlns="" xmlns:a16="http://schemas.microsoft.com/office/drawing/2014/main" id="{00000000-0008-0000-0000-00003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2" name="Text Box 3084">
          <a:extLst>
            <a:ext uri="{FF2B5EF4-FFF2-40B4-BE49-F238E27FC236}">
              <a16:creationId xmlns="" xmlns:a16="http://schemas.microsoft.com/office/drawing/2014/main" id="{00000000-0008-0000-0000-00003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3" name="Text Box 3085">
          <a:extLst>
            <a:ext uri="{FF2B5EF4-FFF2-40B4-BE49-F238E27FC236}">
              <a16:creationId xmlns="" xmlns:a16="http://schemas.microsoft.com/office/drawing/2014/main" id="{00000000-0008-0000-0000-00003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4" name="Text Box 3086">
          <a:extLst>
            <a:ext uri="{FF2B5EF4-FFF2-40B4-BE49-F238E27FC236}">
              <a16:creationId xmlns="" xmlns:a16="http://schemas.microsoft.com/office/drawing/2014/main" id="{00000000-0008-0000-0000-00004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5" name="Text Box 3087">
          <a:extLst>
            <a:ext uri="{FF2B5EF4-FFF2-40B4-BE49-F238E27FC236}">
              <a16:creationId xmlns="" xmlns:a16="http://schemas.microsoft.com/office/drawing/2014/main" id="{00000000-0008-0000-0000-00004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6" name="Text Box 3088">
          <a:extLst>
            <a:ext uri="{FF2B5EF4-FFF2-40B4-BE49-F238E27FC236}">
              <a16:creationId xmlns="" xmlns:a16="http://schemas.microsoft.com/office/drawing/2014/main" id="{00000000-0008-0000-0000-00004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7" name="Text Box 3089">
          <a:extLst>
            <a:ext uri="{FF2B5EF4-FFF2-40B4-BE49-F238E27FC236}">
              <a16:creationId xmlns="" xmlns:a16="http://schemas.microsoft.com/office/drawing/2014/main" id="{00000000-0008-0000-0000-00004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8" name="Text Box 3090">
          <a:extLst>
            <a:ext uri="{FF2B5EF4-FFF2-40B4-BE49-F238E27FC236}">
              <a16:creationId xmlns="" xmlns:a16="http://schemas.microsoft.com/office/drawing/2014/main" id="{00000000-0008-0000-0000-00004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9" name="Text Box 3091">
          <a:extLst>
            <a:ext uri="{FF2B5EF4-FFF2-40B4-BE49-F238E27FC236}">
              <a16:creationId xmlns="" xmlns:a16="http://schemas.microsoft.com/office/drawing/2014/main" id="{00000000-0008-0000-0000-00004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0" name="Text Box 3092">
          <a:extLst>
            <a:ext uri="{FF2B5EF4-FFF2-40B4-BE49-F238E27FC236}">
              <a16:creationId xmlns="" xmlns:a16="http://schemas.microsoft.com/office/drawing/2014/main" id="{00000000-0008-0000-0000-00004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1" name="Text Box 3093">
          <a:extLst>
            <a:ext uri="{FF2B5EF4-FFF2-40B4-BE49-F238E27FC236}">
              <a16:creationId xmlns="" xmlns:a16="http://schemas.microsoft.com/office/drawing/2014/main" id="{00000000-0008-0000-0000-00004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2" name="Text Box 3094">
          <a:extLst>
            <a:ext uri="{FF2B5EF4-FFF2-40B4-BE49-F238E27FC236}">
              <a16:creationId xmlns="" xmlns:a16="http://schemas.microsoft.com/office/drawing/2014/main" id="{00000000-0008-0000-0000-00004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3" name="Text Box 3095">
          <a:extLst>
            <a:ext uri="{FF2B5EF4-FFF2-40B4-BE49-F238E27FC236}">
              <a16:creationId xmlns="" xmlns:a16="http://schemas.microsoft.com/office/drawing/2014/main" id="{00000000-0008-0000-0000-00004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4" name="Text Box 3096">
          <a:extLst>
            <a:ext uri="{FF2B5EF4-FFF2-40B4-BE49-F238E27FC236}">
              <a16:creationId xmlns="" xmlns:a16="http://schemas.microsoft.com/office/drawing/2014/main" id="{00000000-0008-0000-0000-00004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5" name="Text Box 3097">
          <a:extLst>
            <a:ext uri="{FF2B5EF4-FFF2-40B4-BE49-F238E27FC236}">
              <a16:creationId xmlns="" xmlns:a16="http://schemas.microsoft.com/office/drawing/2014/main" id="{00000000-0008-0000-0000-00004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6" name="Text Box 3098">
          <a:extLst>
            <a:ext uri="{FF2B5EF4-FFF2-40B4-BE49-F238E27FC236}">
              <a16:creationId xmlns="" xmlns:a16="http://schemas.microsoft.com/office/drawing/2014/main" id="{00000000-0008-0000-0000-00004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7" name="Text Box 3099">
          <a:extLst>
            <a:ext uri="{FF2B5EF4-FFF2-40B4-BE49-F238E27FC236}">
              <a16:creationId xmlns="" xmlns:a16="http://schemas.microsoft.com/office/drawing/2014/main" id="{00000000-0008-0000-0000-00004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8" name="Text Box 3100">
          <a:extLst>
            <a:ext uri="{FF2B5EF4-FFF2-40B4-BE49-F238E27FC236}">
              <a16:creationId xmlns="" xmlns:a16="http://schemas.microsoft.com/office/drawing/2014/main" id="{00000000-0008-0000-0000-00004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9" name="Text Box 3101">
          <a:extLst>
            <a:ext uri="{FF2B5EF4-FFF2-40B4-BE49-F238E27FC236}">
              <a16:creationId xmlns="" xmlns:a16="http://schemas.microsoft.com/office/drawing/2014/main" id="{00000000-0008-0000-0000-00004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920" name="Text Box 3102">
          <a:extLst>
            <a:ext uri="{FF2B5EF4-FFF2-40B4-BE49-F238E27FC236}">
              <a16:creationId xmlns="" xmlns:a16="http://schemas.microsoft.com/office/drawing/2014/main" id="{00000000-0008-0000-0000-00005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1" name="Text Box 59">
          <a:extLst>
            <a:ext uri="{FF2B5EF4-FFF2-40B4-BE49-F238E27FC236}">
              <a16:creationId xmlns="" xmlns:a16="http://schemas.microsoft.com/office/drawing/2014/main" id="{00000000-0008-0000-0000-00005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2" name="Text Box 60">
          <a:extLst>
            <a:ext uri="{FF2B5EF4-FFF2-40B4-BE49-F238E27FC236}">
              <a16:creationId xmlns="" xmlns:a16="http://schemas.microsoft.com/office/drawing/2014/main" id="{00000000-0008-0000-0000-00005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3" name="Text Box 61">
          <a:extLst>
            <a:ext uri="{FF2B5EF4-FFF2-40B4-BE49-F238E27FC236}">
              <a16:creationId xmlns="" xmlns:a16="http://schemas.microsoft.com/office/drawing/2014/main" id="{00000000-0008-0000-0000-00005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4" name="Text Box 62">
          <a:extLst>
            <a:ext uri="{FF2B5EF4-FFF2-40B4-BE49-F238E27FC236}">
              <a16:creationId xmlns="" xmlns:a16="http://schemas.microsoft.com/office/drawing/2014/main" id="{00000000-0008-0000-0000-00005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5" name="Text Box 63">
          <a:extLst>
            <a:ext uri="{FF2B5EF4-FFF2-40B4-BE49-F238E27FC236}">
              <a16:creationId xmlns="" xmlns:a16="http://schemas.microsoft.com/office/drawing/2014/main" id="{00000000-0008-0000-0000-00005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6" name="Text Box 64">
          <a:extLst>
            <a:ext uri="{FF2B5EF4-FFF2-40B4-BE49-F238E27FC236}">
              <a16:creationId xmlns="" xmlns:a16="http://schemas.microsoft.com/office/drawing/2014/main" id="{00000000-0008-0000-0000-00005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7" name="Text Box 65">
          <a:extLst>
            <a:ext uri="{FF2B5EF4-FFF2-40B4-BE49-F238E27FC236}">
              <a16:creationId xmlns="" xmlns:a16="http://schemas.microsoft.com/office/drawing/2014/main" id="{00000000-0008-0000-0000-00005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8" name="Text Box 66">
          <a:extLst>
            <a:ext uri="{FF2B5EF4-FFF2-40B4-BE49-F238E27FC236}">
              <a16:creationId xmlns="" xmlns:a16="http://schemas.microsoft.com/office/drawing/2014/main" id="{00000000-0008-0000-0000-00005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9" name="Text Box 67">
          <a:extLst>
            <a:ext uri="{FF2B5EF4-FFF2-40B4-BE49-F238E27FC236}">
              <a16:creationId xmlns="" xmlns:a16="http://schemas.microsoft.com/office/drawing/2014/main" id="{00000000-0008-0000-0000-00005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0" name="Text Box 68">
          <a:extLst>
            <a:ext uri="{FF2B5EF4-FFF2-40B4-BE49-F238E27FC236}">
              <a16:creationId xmlns="" xmlns:a16="http://schemas.microsoft.com/office/drawing/2014/main" id="{00000000-0008-0000-0000-00005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1" name="Text Box 69">
          <a:extLst>
            <a:ext uri="{FF2B5EF4-FFF2-40B4-BE49-F238E27FC236}">
              <a16:creationId xmlns="" xmlns:a16="http://schemas.microsoft.com/office/drawing/2014/main" id="{00000000-0008-0000-0000-00005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2" name="Text Box 70">
          <a:extLst>
            <a:ext uri="{FF2B5EF4-FFF2-40B4-BE49-F238E27FC236}">
              <a16:creationId xmlns="" xmlns:a16="http://schemas.microsoft.com/office/drawing/2014/main" id="{00000000-0008-0000-0000-00005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3" name="Text Box 71">
          <a:extLst>
            <a:ext uri="{FF2B5EF4-FFF2-40B4-BE49-F238E27FC236}">
              <a16:creationId xmlns="" xmlns:a16="http://schemas.microsoft.com/office/drawing/2014/main" id="{00000000-0008-0000-0000-00005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4" name="Text Box 72">
          <a:extLst>
            <a:ext uri="{FF2B5EF4-FFF2-40B4-BE49-F238E27FC236}">
              <a16:creationId xmlns="" xmlns:a16="http://schemas.microsoft.com/office/drawing/2014/main" id="{00000000-0008-0000-0000-00005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5" name="Text Box 73">
          <a:extLst>
            <a:ext uri="{FF2B5EF4-FFF2-40B4-BE49-F238E27FC236}">
              <a16:creationId xmlns="" xmlns:a16="http://schemas.microsoft.com/office/drawing/2014/main" id="{00000000-0008-0000-0000-00005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6" name="Text Box 74">
          <a:extLst>
            <a:ext uri="{FF2B5EF4-FFF2-40B4-BE49-F238E27FC236}">
              <a16:creationId xmlns="" xmlns:a16="http://schemas.microsoft.com/office/drawing/2014/main" id="{00000000-0008-0000-0000-00006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7" name="Text Box 75">
          <a:extLst>
            <a:ext uri="{FF2B5EF4-FFF2-40B4-BE49-F238E27FC236}">
              <a16:creationId xmlns="" xmlns:a16="http://schemas.microsoft.com/office/drawing/2014/main" id="{00000000-0008-0000-0000-00006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8" name="Text Box 76">
          <a:extLst>
            <a:ext uri="{FF2B5EF4-FFF2-40B4-BE49-F238E27FC236}">
              <a16:creationId xmlns="" xmlns:a16="http://schemas.microsoft.com/office/drawing/2014/main" id="{00000000-0008-0000-0000-00006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9" name="Text Box 77">
          <a:extLst>
            <a:ext uri="{FF2B5EF4-FFF2-40B4-BE49-F238E27FC236}">
              <a16:creationId xmlns="" xmlns:a16="http://schemas.microsoft.com/office/drawing/2014/main" id="{00000000-0008-0000-0000-00006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0" name="Text Box 78">
          <a:extLst>
            <a:ext uri="{FF2B5EF4-FFF2-40B4-BE49-F238E27FC236}">
              <a16:creationId xmlns="" xmlns:a16="http://schemas.microsoft.com/office/drawing/2014/main" id="{00000000-0008-0000-0000-00006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1" name="Text Box 79">
          <a:extLst>
            <a:ext uri="{FF2B5EF4-FFF2-40B4-BE49-F238E27FC236}">
              <a16:creationId xmlns="" xmlns:a16="http://schemas.microsoft.com/office/drawing/2014/main" id="{00000000-0008-0000-0000-00006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2" name="Text Box 80">
          <a:extLst>
            <a:ext uri="{FF2B5EF4-FFF2-40B4-BE49-F238E27FC236}">
              <a16:creationId xmlns="" xmlns:a16="http://schemas.microsoft.com/office/drawing/2014/main" id="{00000000-0008-0000-0000-00006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3" name="Text Box 81">
          <a:extLst>
            <a:ext uri="{FF2B5EF4-FFF2-40B4-BE49-F238E27FC236}">
              <a16:creationId xmlns="" xmlns:a16="http://schemas.microsoft.com/office/drawing/2014/main" id="{00000000-0008-0000-0000-00006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944" name="Text Box 82">
          <a:extLst>
            <a:ext uri="{FF2B5EF4-FFF2-40B4-BE49-F238E27FC236}">
              <a16:creationId xmlns="" xmlns:a16="http://schemas.microsoft.com/office/drawing/2014/main" id="{00000000-0008-0000-0000-00006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5" name="Text Box 3079">
          <a:extLst>
            <a:ext uri="{FF2B5EF4-FFF2-40B4-BE49-F238E27FC236}">
              <a16:creationId xmlns="" xmlns:a16="http://schemas.microsoft.com/office/drawing/2014/main" id="{00000000-0008-0000-0000-00006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6" name="Text Box 3080">
          <a:extLst>
            <a:ext uri="{FF2B5EF4-FFF2-40B4-BE49-F238E27FC236}">
              <a16:creationId xmlns="" xmlns:a16="http://schemas.microsoft.com/office/drawing/2014/main" id="{00000000-0008-0000-0000-00006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7" name="Text Box 3081">
          <a:extLst>
            <a:ext uri="{FF2B5EF4-FFF2-40B4-BE49-F238E27FC236}">
              <a16:creationId xmlns="" xmlns:a16="http://schemas.microsoft.com/office/drawing/2014/main" id="{00000000-0008-0000-0000-00006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8" name="Text Box 3082">
          <a:extLst>
            <a:ext uri="{FF2B5EF4-FFF2-40B4-BE49-F238E27FC236}">
              <a16:creationId xmlns="" xmlns:a16="http://schemas.microsoft.com/office/drawing/2014/main" id="{00000000-0008-0000-0000-00006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9" name="Text Box 3083">
          <a:extLst>
            <a:ext uri="{FF2B5EF4-FFF2-40B4-BE49-F238E27FC236}">
              <a16:creationId xmlns="" xmlns:a16="http://schemas.microsoft.com/office/drawing/2014/main" id="{00000000-0008-0000-0000-00006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0" name="Text Box 3084">
          <a:extLst>
            <a:ext uri="{FF2B5EF4-FFF2-40B4-BE49-F238E27FC236}">
              <a16:creationId xmlns="" xmlns:a16="http://schemas.microsoft.com/office/drawing/2014/main" id="{00000000-0008-0000-0000-00006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1" name="Text Box 3085">
          <a:extLst>
            <a:ext uri="{FF2B5EF4-FFF2-40B4-BE49-F238E27FC236}">
              <a16:creationId xmlns="" xmlns:a16="http://schemas.microsoft.com/office/drawing/2014/main" id="{00000000-0008-0000-0000-00006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2" name="Text Box 3086">
          <a:extLst>
            <a:ext uri="{FF2B5EF4-FFF2-40B4-BE49-F238E27FC236}">
              <a16:creationId xmlns="" xmlns:a16="http://schemas.microsoft.com/office/drawing/2014/main" id="{00000000-0008-0000-0000-00007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3" name="Text Box 3087">
          <a:extLst>
            <a:ext uri="{FF2B5EF4-FFF2-40B4-BE49-F238E27FC236}">
              <a16:creationId xmlns="" xmlns:a16="http://schemas.microsoft.com/office/drawing/2014/main" id="{00000000-0008-0000-0000-00007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4" name="Text Box 3088">
          <a:extLst>
            <a:ext uri="{FF2B5EF4-FFF2-40B4-BE49-F238E27FC236}">
              <a16:creationId xmlns="" xmlns:a16="http://schemas.microsoft.com/office/drawing/2014/main" id="{00000000-0008-0000-0000-00007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5" name="Text Box 3089">
          <a:extLst>
            <a:ext uri="{FF2B5EF4-FFF2-40B4-BE49-F238E27FC236}">
              <a16:creationId xmlns="" xmlns:a16="http://schemas.microsoft.com/office/drawing/2014/main" id="{00000000-0008-0000-0000-00007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6" name="Text Box 3090">
          <a:extLst>
            <a:ext uri="{FF2B5EF4-FFF2-40B4-BE49-F238E27FC236}">
              <a16:creationId xmlns="" xmlns:a16="http://schemas.microsoft.com/office/drawing/2014/main" id="{00000000-0008-0000-0000-00007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7" name="Text Box 3091">
          <a:extLst>
            <a:ext uri="{FF2B5EF4-FFF2-40B4-BE49-F238E27FC236}">
              <a16:creationId xmlns="" xmlns:a16="http://schemas.microsoft.com/office/drawing/2014/main" id="{00000000-0008-0000-0000-00007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8" name="Text Box 3092">
          <a:extLst>
            <a:ext uri="{FF2B5EF4-FFF2-40B4-BE49-F238E27FC236}">
              <a16:creationId xmlns="" xmlns:a16="http://schemas.microsoft.com/office/drawing/2014/main" id="{00000000-0008-0000-0000-00007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9" name="Text Box 3093">
          <a:extLst>
            <a:ext uri="{FF2B5EF4-FFF2-40B4-BE49-F238E27FC236}">
              <a16:creationId xmlns="" xmlns:a16="http://schemas.microsoft.com/office/drawing/2014/main" id="{00000000-0008-0000-0000-00007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0" name="Text Box 3094">
          <a:extLst>
            <a:ext uri="{FF2B5EF4-FFF2-40B4-BE49-F238E27FC236}">
              <a16:creationId xmlns="" xmlns:a16="http://schemas.microsoft.com/office/drawing/2014/main" id="{00000000-0008-0000-0000-00007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1" name="Text Box 3095">
          <a:extLst>
            <a:ext uri="{FF2B5EF4-FFF2-40B4-BE49-F238E27FC236}">
              <a16:creationId xmlns="" xmlns:a16="http://schemas.microsoft.com/office/drawing/2014/main" id="{00000000-0008-0000-0000-00007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2" name="Text Box 3096">
          <a:extLst>
            <a:ext uri="{FF2B5EF4-FFF2-40B4-BE49-F238E27FC236}">
              <a16:creationId xmlns="" xmlns:a16="http://schemas.microsoft.com/office/drawing/2014/main" id="{00000000-0008-0000-0000-00007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3" name="Text Box 3097">
          <a:extLst>
            <a:ext uri="{FF2B5EF4-FFF2-40B4-BE49-F238E27FC236}">
              <a16:creationId xmlns="" xmlns:a16="http://schemas.microsoft.com/office/drawing/2014/main" id="{00000000-0008-0000-0000-00007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4" name="Text Box 3098">
          <a:extLst>
            <a:ext uri="{FF2B5EF4-FFF2-40B4-BE49-F238E27FC236}">
              <a16:creationId xmlns="" xmlns:a16="http://schemas.microsoft.com/office/drawing/2014/main" id="{00000000-0008-0000-0000-00007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5" name="Text Box 3099">
          <a:extLst>
            <a:ext uri="{FF2B5EF4-FFF2-40B4-BE49-F238E27FC236}">
              <a16:creationId xmlns="" xmlns:a16="http://schemas.microsoft.com/office/drawing/2014/main" id="{00000000-0008-0000-0000-00007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6" name="Text Box 3100">
          <a:extLst>
            <a:ext uri="{FF2B5EF4-FFF2-40B4-BE49-F238E27FC236}">
              <a16:creationId xmlns="" xmlns:a16="http://schemas.microsoft.com/office/drawing/2014/main" id="{00000000-0008-0000-0000-00007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7" name="Text Box 3101">
          <a:extLst>
            <a:ext uri="{FF2B5EF4-FFF2-40B4-BE49-F238E27FC236}">
              <a16:creationId xmlns="" xmlns:a16="http://schemas.microsoft.com/office/drawing/2014/main" id="{00000000-0008-0000-0000-00007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968" name="Text Box 3102">
          <a:extLst>
            <a:ext uri="{FF2B5EF4-FFF2-40B4-BE49-F238E27FC236}">
              <a16:creationId xmlns="" xmlns:a16="http://schemas.microsoft.com/office/drawing/2014/main" id="{00000000-0008-0000-0000-00008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69" name="Text Box 59">
          <a:extLst>
            <a:ext uri="{FF2B5EF4-FFF2-40B4-BE49-F238E27FC236}">
              <a16:creationId xmlns="" xmlns:a16="http://schemas.microsoft.com/office/drawing/2014/main" id="{00000000-0008-0000-0000-00008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0" name="Text Box 60">
          <a:extLst>
            <a:ext uri="{FF2B5EF4-FFF2-40B4-BE49-F238E27FC236}">
              <a16:creationId xmlns="" xmlns:a16="http://schemas.microsoft.com/office/drawing/2014/main" id="{00000000-0008-0000-0000-00008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1" name="Text Box 61">
          <a:extLst>
            <a:ext uri="{FF2B5EF4-FFF2-40B4-BE49-F238E27FC236}">
              <a16:creationId xmlns="" xmlns:a16="http://schemas.microsoft.com/office/drawing/2014/main" id="{00000000-0008-0000-0000-00008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2" name="Text Box 62">
          <a:extLst>
            <a:ext uri="{FF2B5EF4-FFF2-40B4-BE49-F238E27FC236}">
              <a16:creationId xmlns="" xmlns:a16="http://schemas.microsoft.com/office/drawing/2014/main" id="{00000000-0008-0000-0000-00008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3" name="Text Box 63">
          <a:extLst>
            <a:ext uri="{FF2B5EF4-FFF2-40B4-BE49-F238E27FC236}">
              <a16:creationId xmlns="" xmlns:a16="http://schemas.microsoft.com/office/drawing/2014/main" id="{00000000-0008-0000-0000-00008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4" name="Text Box 64">
          <a:extLst>
            <a:ext uri="{FF2B5EF4-FFF2-40B4-BE49-F238E27FC236}">
              <a16:creationId xmlns="" xmlns:a16="http://schemas.microsoft.com/office/drawing/2014/main" id="{00000000-0008-0000-0000-00008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5" name="Text Box 65">
          <a:extLst>
            <a:ext uri="{FF2B5EF4-FFF2-40B4-BE49-F238E27FC236}">
              <a16:creationId xmlns="" xmlns:a16="http://schemas.microsoft.com/office/drawing/2014/main" id="{00000000-0008-0000-0000-00008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6" name="Text Box 66">
          <a:extLst>
            <a:ext uri="{FF2B5EF4-FFF2-40B4-BE49-F238E27FC236}">
              <a16:creationId xmlns="" xmlns:a16="http://schemas.microsoft.com/office/drawing/2014/main" id="{00000000-0008-0000-0000-00008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7" name="Text Box 67">
          <a:extLst>
            <a:ext uri="{FF2B5EF4-FFF2-40B4-BE49-F238E27FC236}">
              <a16:creationId xmlns="" xmlns:a16="http://schemas.microsoft.com/office/drawing/2014/main" id="{00000000-0008-0000-0000-00008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8" name="Text Box 68">
          <a:extLst>
            <a:ext uri="{FF2B5EF4-FFF2-40B4-BE49-F238E27FC236}">
              <a16:creationId xmlns="" xmlns:a16="http://schemas.microsoft.com/office/drawing/2014/main" id="{00000000-0008-0000-0000-00008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9" name="Text Box 69">
          <a:extLst>
            <a:ext uri="{FF2B5EF4-FFF2-40B4-BE49-F238E27FC236}">
              <a16:creationId xmlns="" xmlns:a16="http://schemas.microsoft.com/office/drawing/2014/main" id="{00000000-0008-0000-0000-00008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0" name="Text Box 70">
          <a:extLst>
            <a:ext uri="{FF2B5EF4-FFF2-40B4-BE49-F238E27FC236}">
              <a16:creationId xmlns="" xmlns:a16="http://schemas.microsoft.com/office/drawing/2014/main" id="{00000000-0008-0000-0000-00008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1" name="Text Box 71">
          <a:extLst>
            <a:ext uri="{FF2B5EF4-FFF2-40B4-BE49-F238E27FC236}">
              <a16:creationId xmlns="" xmlns:a16="http://schemas.microsoft.com/office/drawing/2014/main" id="{00000000-0008-0000-0000-00008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2" name="Text Box 72">
          <a:extLst>
            <a:ext uri="{FF2B5EF4-FFF2-40B4-BE49-F238E27FC236}">
              <a16:creationId xmlns="" xmlns:a16="http://schemas.microsoft.com/office/drawing/2014/main" id="{00000000-0008-0000-0000-00008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3" name="Text Box 73">
          <a:extLst>
            <a:ext uri="{FF2B5EF4-FFF2-40B4-BE49-F238E27FC236}">
              <a16:creationId xmlns="" xmlns:a16="http://schemas.microsoft.com/office/drawing/2014/main" id="{00000000-0008-0000-0000-00008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4" name="Text Box 74">
          <a:extLst>
            <a:ext uri="{FF2B5EF4-FFF2-40B4-BE49-F238E27FC236}">
              <a16:creationId xmlns="" xmlns:a16="http://schemas.microsoft.com/office/drawing/2014/main" id="{00000000-0008-0000-0000-00009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5" name="Text Box 75">
          <a:extLst>
            <a:ext uri="{FF2B5EF4-FFF2-40B4-BE49-F238E27FC236}">
              <a16:creationId xmlns="" xmlns:a16="http://schemas.microsoft.com/office/drawing/2014/main" id="{00000000-0008-0000-0000-00009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6" name="Text Box 76">
          <a:extLst>
            <a:ext uri="{FF2B5EF4-FFF2-40B4-BE49-F238E27FC236}">
              <a16:creationId xmlns="" xmlns:a16="http://schemas.microsoft.com/office/drawing/2014/main" id="{00000000-0008-0000-0000-00009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7" name="Text Box 77">
          <a:extLst>
            <a:ext uri="{FF2B5EF4-FFF2-40B4-BE49-F238E27FC236}">
              <a16:creationId xmlns="" xmlns:a16="http://schemas.microsoft.com/office/drawing/2014/main" id="{00000000-0008-0000-0000-00009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8" name="Text Box 78">
          <a:extLst>
            <a:ext uri="{FF2B5EF4-FFF2-40B4-BE49-F238E27FC236}">
              <a16:creationId xmlns="" xmlns:a16="http://schemas.microsoft.com/office/drawing/2014/main" id="{00000000-0008-0000-0000-00009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9" name="Text Box 79">
          <a:extLst>
            <a:ext uri="{FF2B5EF4-FFF2-40B4-BE49-F238E27FC236}">
              <a16:creationId xmlns="" xmlns:a16="http://schemas.microsoft.com/office/drawing/2014/main" id="{00000000-0008-0000-0000-00009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90" name="Text Box 80">
          <a:extLst>
            <a:ext uri="{FF2B5EF4-FFF2-40B4-BE49-F238E27FC236}">
              <a16:creationId xmlns="" xmlns:a16="http://schemas.microsoft.com/office/drawing/2014/main" id="{00000000-0008-0000-0000-00009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91" name="Text Box 81">
          <a:extLst>
            <a:ext uri="{FF2B5EF4-FFF2-40B4-BE49-F238E27FC236}">
              <a16:creationId xmlns="" xmlns:a16="http://schemas.microsoft.com/office/drawing/2014/main" id="{00000000-0008-0000-0000-00009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2" name="Text Box 3079">
          <a:extLst>
            <a:ext uri="{FF2B5EF4-FFF2-40B4-BE49-F238E27FC236}">
              <a16:creationId xmlns="" xmlns:a16="http://schemas.microsoft.com/office/drawing/2014/main" id="{00000000-0008-0000-0000-00009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3" name="Text Box 3080">
          <a:extLst>
            <a:ext uri="{FF2B5EF4-FFF2-40B4-BE49-F238E27FC236}">
              <a16:creationId xmlns="" xmlns:a16="http://schemas.microsoft.com/office/drawing/2014/main" id="{00000000-0008-0000-0000-00009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4" name="Text Box 3081">
          <a:extLst>
            <a:ext uri="{FF2B5EF4-FFF2-40B4-BE49-F238E27FC236}">
              <a16:creationId xmlns="" xmlns:a16="http://schemas.microsoft.com/office/drawing/2014/main" id="{00000000-0008-0000-0000-00009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5" name="Text Box 3082">
          <a:extLst>
            <a:ext uri="{FF2B5EF4-FFF2-40B4-BE49-F238E27FC236}">
              <a16:creationId xmlns="" xmlns:a16="http://schemas.microsoft.com/office/drawing/2014/main" id="{00000000-0008-0000-0000-00009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6" name="Text Box 3083">
          <a:extLst>
            <a:ext uri="{FF2B5EF4-FFF2-40B4-BE49-F238E27FC236}">
              <a16:creationId xmlns="" xmlns:a16="http://schemas.microsoft.com/office/drawing/2014/main" id="{00000000-0008-0000-0000-00009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7" name="Text Box 3084">
          <a:extLst>
            <a:ext uri="{FF2B5EF4-FFF2-40B4-BE49-F238E27FC236}">
              <a16:creationId xmlns="" xmlns:a16="http://schemas.microsoft.com/office/drawing/2014/main" id="{00000000-0008-0000-0000-00009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8" name="Text Box 3085">
          <a:extLst>
            <a:ext uri="{FF2B5EF4-FFF2-40B4-BE49-F238E27FC236}">
              <a16:creationId xmlns="" xmlns:a16="http://schemas.microsoft.com/office/drawing/2014/main" id="{00000000-0008-0000-0000-00009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9" name="Text Box 3086">
          <a:extLst>
            <a:ext uri="{FF2B5EF4-FFF2-40B4-BE49-F238E27FC236}">
              <a16:creationId xmlns="" xmlns:a16="http://schemas.microsoft.com/office/drawing/2014/main" id="{00000000-0008-0000-0000-00009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0" name="Text Box 3087">
          <a:extLst>
            <a:ext uri="{FF2B5EF4-FFF2-40B4-BE49-F238E27FC236}">
              <a16:creationId xmlns="" xmlns:a16="http://schemas.microsoft.com/office/drawing/2014/main" id="{00000000-0008-0000-0000-0000A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1" name="Text Box 3088">
          <a:extLst>
            <a:ext uri="{FF2B5EF4-FFF2-40B4-BE49-F238E27FC236}">
              <a16:creationId xmlns="" xmlns:a16="http://schemas.microsoft.com/office/drawing/2014/main" id="{00000000-0008-0000-0000-0000A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2" name="Text Box 3089">
          <a:extLst>
            <a:ext uri="{FF2B5EF4-FFF2-40B4-BE49-F238E27FC236}">
              <a16:creationId xmlns="" xmlns:a16="http://schemas.microsoft.com/office/drawing/2014/main" id="{00000000-0008-0000-0000-0000A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3" name="Text Box 3090">
          <a:extLst>
            <a:ext uri="{FF2B5EF4-FFF2-40B4-BE49-F238E27FC236}">
              <a16:creationId xmlns="" xmlns:a16="http://schemas.microsoft.com/office/drawing/2014/main" id="{00000000-0008-0000-0000-0000A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4" name="Text Box 3091">
          <a:extLst>
            <a:ext uri="{FF2B5EF4-FFF2-40B4-BE49-F238E27FC236}">
              <a16:creationId xmlns="" xmlns:a16="http://schemas.microsoft.com/office/drawing/2014/main" id="{00000000-0008-0000-0000-0000A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5" name="Text Box 3092">
          <a:extLst>
            <a:ext uri="{FF2B5EF4-FFF2-40B4-BE49-F238E27FC236}">
              <a16:creationId xmlns="" xmlns:a16="http://schemas.microsoft.com/office/drawing/2014/main" id="{00000000-0008-0000-0000-0000A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6" name="Text Box 3093">
          <a:extLst>
            <a:ext uri="{FF2B5EF4-FFF2-40B4-BE49-F238E27FC236}">
              <a16:creationId xmlns="" xmlns:a16="http://schemas.microsoft.com/office/drawing/2014/main" id="{00000000-0008-0000-0000-0000A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7" name="Text Box 3094">
          <a:extLst>
            <a:ext uri="{FF2B5EF4-FFF2-40B4-BE49-F238E27FC236}">
              <a16:creationId xmlns="" xmlns:a16="http://schemas.microsoft.com/office/drawing/2014/main" id="{00000000-0008-0000-0000-0000A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8" name="Text Box 3095">
          <a:extLst>
            <a:ext uri="{FF2B5EF4-FFF2-40B4-BE49-F238E27FC236}">
              <a16:creationId xmlns="" xmlns:a16="http://schemas.microsoft.com/office/drawing/2014/main" id="{00000000-0008-0000-0000-0000A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9" name="Text Box 3096">
          <a:extLst>
            <a:ext uri="{FF2B5EF4-FFF2-40B4-BE49-F238E27FC236}">
              <a16:creationId xmlns="" xmlns:a16="http://schemas.microsoft.com/office/drawing/2014/main" id="{00000000-0008-0000-0000-0000A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0" name="Text Box 3097">
          <a:extLst>
            <a:ext uri="{FF2B5EF4-FFF2-40B4-BE49-F238E27FC236}">
              <a16:creationId xmlns="" xmlns:a16="http://schemas.microsoft.com/office/drawing/2014/main" id="{00000000-0008-0000-0000-0000A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1" name="Text Box 3098">
          <a:extLst>
            <a:ext uri="{FF2B5EF4-FFF2-40B4-BE49-F238E27FC236}">
              <a16:creationId xmlns="" xmlns:a16="http://schemas.microsoft.com/office/drawing/2014/main" id="{00000000-0008-0000-0000-0000A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2" name="Text Box 3099">
          <a:extLst>
            <a:ext uri="{FF2B5EF4-FFF2-40B4-BE49-F238E27FC236}">
              <a16:creationId xmlns="" xmlns:a16="http://schemas.microsoft.com/office/drawing/2014/main" id="{00000000-0008-0000-0000-0000A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3" name="Text Box 3100">
          <a:extLst>
            <a:ext uri="{FF2B5EF4-FFF2-40B4-BE49-F238E27FC236}">
              <a16:creationId xmlns="" xmlns:a16="http://schemas.microsoft.com/office/drawing/2014/main" id="{00000000-0008-0000-0000-0000A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4" name="Text Box 3101">
          <a:extLst>
            <a:ext uri="{FF2B5EF4-FFF2-40B4-BE49-F238E27FC236}">
              <a16:creationId xmlns="" xmlns:a16="http://schemas.microsoft.com/office/drawing/2014/main" id="{00000000-0008-0000-0000-0000A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15" name="Text Box 3102">
          <a:extLst>
            <a:ext uri="{FF2B5EF4-FFF2-40B4-BE49-F238E27FC236}">
              <a16:creationId xmlns="" xmlns:a16="http://schemas.microsoft.com/office/drawing/2014/main" id="{00000000-0008-0000-0000-0000A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6" name="Text Box 59">
          <a:extLst>
            <a:ext uri="{FF2B5EF4-FFF2-40B4-BE49-F238E27FC236}">
              <a16:creationId xmlns="" xmlns:a16="http://schemas.microsoft.com/office/drawing/2014/main" id="{00000000-0008-0000-0000-0000B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7" name="Text Box 60">
          <a:extLst>
            <a:ext uri="{FF2B5EF4-FFF2-40B4-BE49-F238E27FC236}">
              <a16:creationId xmlns="" xmlns:a16="http://schemas.microsoft.com/office/drawing/2014/main" id="{00000000-0008-0000-0000-0000B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8" name="Text Box 61">
          <a:extLst>
            <a:ext uri="{FF2B5EF4-FFF2-40B4-BE49-F238E27FC236}">
              <a16:creationId xmlns="" xmlns:a16="http://schemas.microsoft.com/office/drawing/2014/main" id="{00000000-0008-0000-0000-0000B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9" name="Text Box 62">
          <a:extLst>
            <a:ext uri="{FF2B5EF4-FFF2-40B4-BE49-F238E27FC236}">
              <a16:creationId xmlns="" xmlns:a16="http://schemas.microsoft.com/office/drawing/2014/main" id="{00000000-0008-0000-0000-0000B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0" name="Text Box 63">
          <a:extLst>
            <a:ext uri="{FF2B5EF4-FFF2-40B4-BE49-F238E27FC236}">
              <a16:creationId xmlns="" xmlns:a16="http://schemas.microsoft.com/office/drawing/2014/main" id="{00000000-0008-0000-0000-0000B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1" name="Text Box 64">
          <a:extLst>
            <a:ext uri="{FF2B5EF4-FFF2-40B4-BE49-F238E27FC236}">
              <a16:creationId xmlns="" xmlns:a16="http://schemas.microsoft.com/office/drawing/2014/main" id="{00000000-0008-0000-0000-0000B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2" name="Text Box 65">
          <a:extLst>
            <a:ext uri="{FF2B5EF4-FFF2-40B4-BE49-F238E27FC236}">
              <a16:creationId xmlns="" xmlns:a16="http://schemas.microsoft.com/office/drawing/2014/main" id="{00000000-0008-0000-0000-0000B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3" name="Text Box 66">
          <a:extLst>
            <a:ext uri="{FF2B5EF4-FFF2-40B4-BE49-F238E27FC236}">
              <a16:creationId xmlns="" xmlns:a16="http://schemas.microsoft.com/office/drawing/2014/main" id="{00000000-0008-0000-0000-0000B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4" name="Text Box 67">
          <a:extLst>
            <a:ext uri="{FF2B5EF4-FFF2-40B4-BE49-F238E27FC236}">
              <a16:creationId xmlns="" xmlns:a16="http://schemas.microsoft.com/office/drawing/2014/main" id="{00000000-0008-0000-0000-0000B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5" name="Text Box 68">
          <a:extLst>
            <a:ext uri="{FF2B5EF4-FFF2-40B4-BE49-F238E27FC236}">
              <a16:creationId xmlns="" xmlns:a16="http://schemas.microsoft.com/office/drawing/2014/main" id="{00000000-0008-0000-0000-0000B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6" name="Text Box 69">
          <a:extLst>
            <a:ext uri="{FF2B5EF4-FFF2-40B4-BE49-F238E27FC236}">
              <a16:creationId xmlns="" xmlns:a16="http://schemas.microsoft.com/office/drawing/2014/main" id="{00000000-0008-0000-0000-0000B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7" name="Text Box 70">
          <a:extLst>
            <a:ext uri="{FF2B5EF4-FFF2-40B4-BE49-F238E27FC236}">
              <a16:creationId xmlns="" xmlns:a16="http://schemas.microsoft.com/office/drawing/2014/main" id="{00000000-0008-0000-0000-0000B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8" name="Text Box 71">
          <a:extLst>
            <a:ext uri="{FF2B5EF4-FFF2-40B4-BE49-F238E27FC236}">
              <a16:creationId xmlns="" xmlns:a16="http://schemas.microsoft.com/office/drawing/2014/main" id="{00000000-0008-0000-0000-0000B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9" name="Text Box 72">
          <a:extLst>
            <a:ext uri="{FF2B5EF4-FFF2-40B4-BE49-F238E27FC236}">
              <a16:creationId xmlns="" xmlns:a16="http://schemas.microsoft.com/office/drawing/2014/main" id="{00000000-0008-0000-0000-0000B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0" name="Text Box 73">
          <a:extLst>
            <a:ext uri="{FF2B5EF4-FFF2-40B4-BE49-F238E27FC236}">
              <a16:creationId xmlns="" xmlns:a16="http://schemas.microsoft.com/office/drawing/2014/main" id="{00000000-0008-0000-0000-0000B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1" name="Text Box 74">
          <a:extLst>
            <a:ext uri="{FF2B5EF4-FFF2-40B4-BE49-F238E27FC236}">
              <a16:creationId xmlns="" xmlns:a16="http://schemas.microsoft.com/office/drawing/2014/main" id="{00000000-0008-0000-0000-0000B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2" name="Text Box 75">
          <a:extLst>
            <a:ext uri="{FF2B5EF4-FFF2-40B4-BE49-F238E27FC236}">
              <a16:creationId xmlns="" xmlns:a16="http://schemas.microsoft.com/office/drawing/2014/main" id="{00000000-0008-0000-0000-0000C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3" name="Text Box 76">
          <a:extLst>
            <a:ext uri="{FF2B5EF4-FFF2-40B4-BE49-F238E27FC236}">
              <a16:creationId xmlns="" xmlns:a16="http://schemas.microsoft.com/office/drawing/2014/main" id="{00000000-0008-0000-0000-0000C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4" name="Text Box 77">
          <a:extLst>
            <a:ext uri="{FF2B5EF4-FFF2-40B4-BE49-F238E27FC236}">
              <a16:creationId xmlns="" xmlns:a16="http://schemas.microsoft.com/office/drawing/2014/main" id="{00000000-0008-0000-0000-0000C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5" name="Text Box 78">
          <a:extLst>
            <a:ext uri="{FF2B5EF4-FFF2-40B4-BE49-F238E27FC236}">
              <a16:creationId xmlns="" xmlns:a16="http://schemas.microsoft.com/office/drawing/2014/main" id="{00000000-0008-0000-0000-0000C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6" name="Text Box 79">
          <a:extLst>
            <a:ext uri="{FF2B5EF4-FFF2-40B4-BE49-F238E27FC236}">
              <a16:creationId xmlns="" xmlns:a16="http://schemas.microsoft.com/office/drawing/2014/main" id="{00000000-0008-0000-0000-0000C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7" name="Text Box 80">
          <a:extLst>
            <a:ext uri="{FF2B5EF4-FFF2-40B4-BE49-F238E27FC236}">
              <a16:creationId xmlns="" xmlns:a16="http://schemas.microsoft.com/office/drawing/2014/main" id="{00000000-0008-0000-0000-0000C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8" name="Text Box 81">
          <a:extLst>
            <a:ext uri="{FF2B5EF4-FFF2-40B4-BE49-F238E27FC236}">
              <a16:creationId xmlns="" xmlns:a16="http://schemas.microsoft.com/office/drawing/2014/main" id="{00000000-0008-0000-0000-0000C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039" name="Text Box 82">
          <a:extLst>
            <a:ext uri="{FF2B5EF4-FFF2-40B4-BE49-F238E27FC236}">
              <a16:creationId xmlns="" xmlns:a16="http://schemas.microsoft.com/office/drawing/2014/main" id="{00000000-0008-0000-0000-0000C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0" name="Text Box 3079">
          <a:extLst>
            <a:ext uri="{FF2B5EF4-FFF2-40B4-BE49-F238E27FC236}">
              <a16:creationId xmlns="" xmlns:a16="http://schemas.microsoft.com/office/drawing/2014/main" id="{00000000-0008-0000-0000-0000C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1" name="Text Box 3080">
          <a:extLst>
            <a:ext uri="{FF2B5EF4-FFF2-40B4-BE49-F238E27FC236}">
              <a16:creationId xmlns="" xmlns:a16="http://schemas.microsoft.com/office/drawing/2014/main" id="{00000000-0008-0000-0000-0000C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2" name="Text Box 3081">
          <a:extLst>
            <a:ext uri="{FF2B5EF4-FFF2-40B4-BE49-F238E27FC236}">
              <a16:creationId xmlns="" xmlns:a16="http://schemas.microsoft.com/office/drawing/2014/main" id="{00000000-0008-0000-0000-0000C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3" name="Text Box 3082">
          <a:extLst>
            <a:ext uri="{FF2B5EF4-FFF2-40B4-BE49-F238E27FC236}">
              <a16:creationId xmlns="" xmlns:a16="http://schemas.microsoft.com/office/drawing/2014/main" id="{00000000-0008-0000-0000-0000C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4" name="Text Box 3083">
          <a:extLst>
            <a:ext uri="{FF2B5EF4-FFF2-40B4-BE49-F238E27FC236}">
              <a16:creationId xmlns="" xmlns:a16="http://schemas.microsoft.com/office/drawing/2014/main" id="{00000000-0008-0000-0000-0000C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5" name="Text Box 3084">
          <a:extLst>
            <a:ext uri="{FF2B5EF4-FFF2-40B4-BE49-F238E27FC236}">
              <a16:creationId xmlns="" xmlns:a16="http://schemas.microsoft.com/office/drawing/2014/main" id="{00000000-0008-0000-0000-0000C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6" name="Text Box 3085">
          <a:extLst>
            <a:ext uri="{FF2B5EF4-FFF2-40B4-BE49-F238E27FC236}">
              <a16:creationId xmlns="" xmlns:a16="http://schemas.microsoft.com/office/drawing/2014/main" id="{00000000-0008-0000-0000-0000C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7" name="Text Box 3086">
          <a:extLst>
            <a:ext uri="{FF2B5EF4-FFF2-40B4-BE49-F238E27FC236}">
              <a16:creationId xmlns="" xmlns:a16="http://schemas.microsoft.com/office/drawing/2014/main" id="{00000000-0008-0000-0000-0000C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8" name="Text Box 3087">
          <a:extLst>
            <a:ext uri="{FF2B5EF4-FFF2-40B4-BE49-F238E27FC236}">
              <a16:creationId xmlns="" xmlns:a16="http://schemas.microsoft.com/office/drawing/2014/main" id="{00000000-0008-0000-0000-0000D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9" name="Text Box 3088">
          <a:extLst>
            <a:ext uri="{FF2B5EF4-FFF2-40B4-BE49-F238E27FC236}">
              <a16:creationId xmlns="" xmlns:a16="http://schemas.microsoft.com/office/drawing/2014/main" id="{00000000-0008-0000-0000-0000D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0" name="Text Box 3089">
          <a:extLst>
            <a:ext uri="{FF2B5EF4-FFF2-40B4-BE49-F238E27FC236}">
              <a16:creationId xmlns="" xmlns:a16="http://schemas.microsoft.com/office/drawing/2014/main" id="{00000000-0008-0000-0000-0000D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1" name="Text Box 3090">
          <a:extLst>
            <a:ext uri="{FF2B5EF4-FFF2-40B4-BE49-F238E27FC236}">
              <a16:creationId xmlns="" xmlns:a16="http://schemas.microsoft.com/office/drawing/2014/main" id="{00000000-0008-0000-0000-0000D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2" name="Text Box 3091">
          <a:extLst>
            <a:ext uri="{FF2B5EF4-FFF2-40B4-BE49-F238E27FC236}">
              <a16:creationId xmlns="" xmlns:a16="http://schemas.microsoft.com/office/drawing/2014/main" id="{00000000-0008-0000-0000-0000D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3" name="Text Box 3092">
          <a:extLst>
            <a:ext uri="{FF2B5EF4-FFF2-40B4-BE49-F238E27FC236}">
              <a16:creationId xmlns="" xmlns:a16="http://schemas.microsoft.com/office/drawing/2014/main" id="{00000000-0008-0000-0000-0000D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4" name="Text Box 3093">
          <a:extLst>
            <a:ext uri="{FF2B5EF4-FFF2-40B4-BE49-F238E27FC236}">
              <a16:creationId xmlns="" xmlns:a16="http://schemas.microsoft.com/office/drawing/2014/main" id="{00000000-0008-0000-0000-0000D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5" name="Text Box 3094">
          <a:extLst>
            <a:ext uri="{FF2B5EF4-FFF2-40B4-BE49-F238E27FC236}">
              <a16:creationId xmlns="" xmlns:a16="http://schemas.microsoft.com/office/drawing/2014/main" id="{00000000-0008-0000-0000-0000D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6" name="Text Box 3095">
          <a:extLst>
            <a:ext uri="{FF2B5EF4-FFF2-40B4-BE49-F238E27FC236}">
              <a16:creationId xmlns="" xmlns:a16="http://schemas.microsoft.com/office/drawing/2014/main" id="{00000000-0008-0000-0000-0000D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7" name="Text Box 3096">
          <a:extLst>
            <a:ext uri="{FF2B5EF4-FFF2-40B4-BE49-F238E27FC236}">
              <a16:creationId xmlns="" xmlns:a16="http://schemas.microsoft.com/office/drawing/2014/main" id="{00000000-0008-0000-0000-0000D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8" name="Text Box 3097">
          <a:extLst>
            <a:ext uri="{FF2B5EF4-FFF2-40B4-BE49-F238E27FC236}">
              <a16:creationId xmlns="" xmlns:a16="http://schemas.microsoft.com/office/drawing/2014/main" id="{00000000-0008-0000-0000-0000D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9" name="Text Box 3098">
          <a:extLst>
            <a:ext uri="{FF2B5EF4-FFF2-40B4-BE49-F238E27FC236}">
              <a16:creationId xmlns="" xmlns:a16="http://schemas.microsoft.com/office/drawing/2014/main" id="{00000000-0008-0000-0000-0000D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0" name="Text Box 3099">
          <a:extLst>
            <a:ext uri="{FF2B5EF4-FFF2-40B4-BE49-F238E27FC236}">
              <a16:creationId xmlns="" xmlns:a16="http://schemas.microsoft.com/office/drawing/2014/main" id="{00000000-0008-0000-0000-0000D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1" name="Text Box 3100">
          <a:extLst>
            <a:ext uri="{FF2B5EF4-FFF2-40B4-BE49-F238E27FC236}">
              <a16:creationId xmlns="" xmlns:a16="http://schemas.microsoft.com/office/drawing/2014/main" id="{00000000-0008-0000-0000-0000D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2" name="Text Box 3101">
          <a:extLst>
            <a:ext uri="{FF2B5EF4-FFF2-40B4-BE49-F238E27FC236}">
              <a16:creationId xmlns="" xmlns:a16="http://schemas.microsoft.com/office/drawing/2014/main" id="{00000000-0008-0000-0000-0000D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63" name="Text Box 3102">
          <a:extLst>
            <a:ext uri="{FF2B5EF4-FFF2-40B4-BE49-F238E27FC236}">
              <a16:creationId xmlns="" xmlns:a16="http://schemas.microsoft.com/office/drawing/2014/main" id="{00000000-0008-0000-0000-0000D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4" name="Text Box 59">
          <a:extLst>
            <a:ext uri="{FF2B5EF4-FFF2-40B4-BE49-F238E27FC236}">
              <a16:creationId xmlns="" xmlns:a16="http://schemas.microsoft.com/office/drawing/2014/main" id="{00000000-0008-0000-0000-0000E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5" name="Text Box 60">
          <a:extLst>
            <a:ext uri="{FF2B5EF4-FFF2-40B4-BE49-F238E27FC236}">
              <a16:creationId xmlns="" xmlns:a16="http://schemas.microsoft.com/office/drawing/2014/main" id="{00000000-0008-0000-0000-0000E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6" name="Text Box 61">
          <a:extLst>
            <a:ext uri="{FF2B5EF4-FFF2-40B4-BE49-F238E27FC236}">
              <a16:creationId xmlns="" xmlns:a16="http://schemas.microsoft.com/office/drawing/2014/main" id="{00000000-0008-0000-0000-0000E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7" name="Text Box 62">
          <a:extLst>
            <a:ext uri="{FF2B5EF4-FFF2-40B4-BE49-F238E27FC236}">
              <a16:creationId xmlns="" xmlns:a16="http://schemas.microsoft.com/office/drawing/2014/main" id="{00000000-0008-0000-0000-0000E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8" name="Text Box 63">
          <a:extLst>
            <a:ext uri="{FF2B5EF4-FFF2-40B4-BE49-F238E27FC236}">
              <a16:creationId xmlns="" xmlns:a16="http://schemas.microsoft.com/office/drawing/2014/main" id="{00000000-0008-0000-0000-0000E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9" name="Text Box 64">
          <a:extLst>
            <a:ext uri="{FF2B5EF4-FFF2-40B4-BE49-F238E27FC236}">
              <a16:creationId xmlns="" xmlns:a16="http://schemas.microsoft.com/office/drawing/2014/main" id="{00000000-0008-0000-0000-0000E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0" name="Text Box 65">
          <a:extLst>
            <a:ext uri="{FF2B5EF4-FFF2-40B4-BE49-F238E27FC236}">
              <a16:creationId xmlns="" xmlns:a16="http://schemas.microsoft.com/office/drawing/2014/main" id="{00000000-0008-0000-0000-0000E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1" name="Text Box 66">
          <a:extLst>
            <a:ext uri="{FF2B5EF4-FFF2-40B4-BE49-F238E27FC236}">
              <a16:creationId xmlns="" xmlns:a16="http://schemas.microsoft.com/office/drawing/2014/main" id="{00000000-0008-0000-0000-0000E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2" name="Text Box 67">
          <a:extLst>
            <a:ext uri="{FF2B5EF4-FFF2-40B4-BE49-F238E27FC236}">
              <a16:creationId xmlns="" xmlns:a16="http://schemas.microsoft.com/office/drawing/2014/main" id="{00000000-0008-0000-0000-0000E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3" name="Text Box 68">
          <a:extLst>
            <a:ext uri="{FF2B5EF4-FFF2-40B4-BE49-F238E27FC236}">
              <a16:creationId xmlns="" xmlns:a16="http://schemas.microsoft.com/office/drawing/2014/main" id="{00000000-0008-0000-0000-0000E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4" name="Text Box 69">
          <a:extLst>
            <a:ext uri="{FF2B5EF4-FFF2-40B4-BE49-F238E27FC236}">
              <a16:creationId xmlns="" xmlns:a16="http://schemas.microsoft.com/office/drawing/2014/main" id="{00000000-0008-0000-0000-0000E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5" name="Text Box 70">
          <a:extLst>
            <a:ext uri="{FF2B5EF4-FFF2-40B4-BE49-F238E27FC236}">
              <a16:creationId xmlns="" xmlns:a16="http://schemas.microsoft.com/office/drawing/2014/main" id="{00000000-0008-0000-0000-0000E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6" name="Text Box 71">
          <a:extLst>
            <a:ext uri="{FF2B5EF4-FFF2-40B4-BE49-F238E27FC236}">
              <a16:creationId xmlns="" xmlns:a16="http://schemas.microsoft.com/office/drawing/2014/main" id="{00000000-0008-0000-0000-0000E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7" name="Text Box 72">
          <a:extLst>
            <a:ext uri="{FF2B5EF4-FFF2-40B4-BE49-F238E27FC236}">
              <a16:creationId xmlns="" xmlns:a16="http://schemas.microsoft.com/office/drawing/2014/main" id="{00000000-0008-0000-0000-0000E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8" name="Text Box 73">
          <a:extLst>
            <a:ext uri="{FF2B5EF4-FFF2-40B4-BE49-F238E27FC236}">
              <a16:creationId xmlns="" xmlns:a16="http://schemas.microsoft.com/office/drawing/2014/main" id="{00000000-0008-0000-0000-0000E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9" name="Text Box 74">
          <a:extLst>
            <a:ext uri="{FF2B5EF4-FFF2-40B4-BE49-F238E27FC236}">
              <a16:creationId xmlns="" xmlns:a16="http://schemas.microsoft.com/office/drawing/2014/main" id="{00000000-0008-0000-0000-0000E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0" name="Text Box 75">
          <a:extLst>
            <a:ext uri="{FF2B5EF4-FFF2-40B4-BE49-F238E27FC236}">
              <a16:creationId xmlns="" xmlns:a16="http://schemas.microsoft.com/office/drawing/2014/main" id="{00000000-0008-0000-0000-0000F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1" name="Text Box 76">
          <a:extLst>
            <a:ext uri="{FF2B5EF4-FFF2-40B4-BE49-F238E27FC236}">
              <a16:creationId xmlns="" xmlns:a16="http://schemas.microsoft.com/office/drawing/2014/main" id="{00000000-0008-0000-0000-0000F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2" name="Text Box 77">
          <a:extLst>
            <a:ext uri="{FF2B5EF4-FFF2-40B4-BE49-F238E27FC236}">
              <a16:creationId xmlns="" xmlns:a16="http://schemas.microsoft.com/office/drawing/2014/main" id="{00000000-0008-0000-0000-0000F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3" name="Text Box 78">
          <a:extLst>
            <a:ext uri="{FF2B5EF4-FFF2-40B4-BE49-F238E27FC236}">
              <a16:creationId xmlns="" xmlns:a16="http://schemas.microsoft.com/office/drawing/2014/main" id="{00000000-0008-0000-0000-0000F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4" name="Text Box 79">
          <a:extLst>
            <a:ext uri="{FF2B5EF4-FFF2-40B4-BE49-F238E27FC236}">
              <a16:creationId xmlns="" xmlns:a16="http://schemas.microsoft.com/office/drawing/2014/main" id="{00000000-0008-0000-0000-0000F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5" name="Text Box 80">
          <a:extLst>
            <a:ext uri="{FF2B5EF4-FFF2-40B4-BE49-F238E27FC236}">
              <a16:creationId xmlns="" xmlns:a16="http://schemas.microsoft.com/office/drawing/2014/main" id="{00000000-0008-0000-0000-0000F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6" name="Text Box 81">
          <a:extLst>
            <a:ext uri="{FF2B5EF4-FFF2-40B4-BE49-F238E27FC236}">
              <a16:creationId xmlns="" xmlns:a16="http://schemas.microsoft.com/office/drawing/2014/main" id="{00000000-0008-0000-0000-0000F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7" name="Text Box 3079">
          <a:extLst>
            <a:ext uri="{FF2B5EF4-FFF2-40B4-BE49-F238E27FC236}">
              <a16:creationId xmlns="" xmlns:a16="http://schemas.microsoft.com/office/drawing/2014/main" id="{00000000-0008-0000-0000-0000F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8" name="Text Box 3080">
          <a:extLst>
            <a:ext uri="{FF2B5EF4-FFF2-40B4-BE49-F238E27FC236}">
              <a16:creationId xmlns="" xmlns:a16="http://schemas.microsoft.com/office/drawing/2014/main" id="{00000000-0008-0000-0000-0000F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9" name="Text Box 3081">
          <a:extLst>
            <a:ext uri="{FF2B5EF4-FFF2-40B4-BE49-F238E27FC236}">
              <a16:creationId xmlns="" xmlns:a16="http://schemas.microsoft.com/office/drawing/2014/main" id="{00000000-0008-0000-0000-0000F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0" name="Text Box 3082">
          <a:extLst>
            <a:ext uri="{FF2B5EF4-FFF2-40B4-BE49-F238E27FC236}">
              <a16:creationId xmlns="" xmlns:a16="http://schemas.microsoft.com/office/drawing/2014/main" id="{00000000-0008-0000-0000-0000F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1" name="Text Box 3083">
          <a:extLst>
            <a:ext uri="{FF2B5EF4-FFF2-40B4-BE49-F238E27FC236}">
              <a16:creationId xmlns="" xmlns:a16="http://schemas.microsoft.com/office/drawing/2014/main" id="{00000000-0008-0000-0000-0000F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2" name="Text Box 3084">
          <a:extLst>
            <a:ext uri="{FF2B5EF4-FFF2-40B4-BE49-F238E27FC236}">
              <a16:creationId xmlns="" xmlns:a16="http://schemas.microsoft.com/office/drawing/2014/main" id="{00000000-0008-0000-0000-0000F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3" name="Text Box 3085">
          <a:extLst>
            <a:ext uri="{FF2B5EF4-FFF2-40B4-BE49-F238E27FC236}">
              <a16:creationId xmlns="" xmlns:a16="http://schemas.microsoft.com/office/drawing/2014/main" id="{00000000-0008-0000-0000-0000F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4" name="Text Box 3086">
          <a:extLst>
            <a:ext uri="{FF2B5EF4-FFF2-40B4-BE49-F238E27FC236}">
              <a16:creationId xmlns="" xmlns:a16="http://schemas.microsoft.com/office/drawing/2014/main" id="{00000000-0008-0000-0000-0000F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5" name="Text Box 3087">
          <a:extLst>
            <a:ext uri="{FF2B5EF4-FFF2-40B4-BE49-F238E27FC236}">
              <a16:creationId xmlns="" xmlns:a16="http://schemas.microsoft.com/office/drawing/2014/main" id="{00000000-0008-0000-0000-0000F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6" name="Text Box 3088">
          <a:extLst>
            <a:ext uri="{FF2B5EF4-FFF2-40B4-BE49-F238E27FC236}">
              <a16:creationId xmlns="" xmlns:a16="http://schemas.microsoft.com/office/drawing/2014/main" id="{00000000-0008-0000-0000-00000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7" name="Text Box 3089">
          <a:extLst>
            <a:ext uri="{FF2B5EF4-FFF2-40B4-BE49-F238E27FC236}">
              <a16:creationId xmlns="" xmlns:a16="http://schemas.microsoft.com/office/drawing/2014/main" id="{00000000-0008-0000-0000-00000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8" name="Text Box 3090">
          <a:extLst>
            <a:ext uri="{FF2B5EF4-FFF2-40B4-BE49-F238E27FC236}">
              <a16:creationId xmlns="" xmlns:a16="http://schemas.microsoft.com/office/drawing/2014/main" id="{00000000-0008-0000-0000-00000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9" name="Text Box 3091">
          <a:extLst>
            <a:ext uri="{FF2B5EF4-FFF2-40B4-BE49-F238E27FC236}">
              <a16:creationId xmlns="" xmlns:a16="http://schemas.microsoft.com/office/drawing/2014/main" id="{00000000-0008-0000-0000-00000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0" name="Text Box 3092">
          <a:extLst>
            <a:ext uri="{FF2B5EF4-FFF2-40B4-BE49-F238E27FC236}">
              <a16:creationId xmlns="" xmlns:a16="http://schemas.microsoft.com/office/drawing/2014/main" id="{00000000-0008-0000-0000-00000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1" name="Text Box 3093">
          <a:extLst>
            <a:ext uri="{FF2B5EF4-FFF2-40B4-BE49-F238E27FC236}">
              <a16:creationId xmlns="" xmlns:a16="http://schemas.microsoft.com/office/drawing/2014/main" id="{00000000-0008-0000-0000-00000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2" name="Text Box 3094">
          <a:extLst>
            <a:ext uri="{FF2B5EF4-FFF2-40B4-BE49-F238E27FC236}">
              <a16:creationId xmlns="" xmlns:a16="http://schemas.microsoft.com/office/drawing/2014/main" id="{00000000-0008-0000-0000-00000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3" name="Text Box 3095">
          <a:extLst>
            <a:ext uri="{FF2B5EF4-FFF2-40B4-BE49-F238E27FC236}">
              <a16:creationId xmlns="" xmlns:a16="http://schemas.microsoft.com/office/drawing/2014/main" id="{00000000-0008-0000-0000-00000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4" name="Text Box 3096">
          <a:extLst>
            <a:ext uri="{FF2B5EF4-FFF2-40B4-BE49-F238E27FC236}">
              <a16:creationId xmlns="" xmlns:a16="http://schemas.microsoft.com/office/drawing/2014/main" id="{00000000-0008-0000-0000-00000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5" name="Text Box 3097">
          <a:extLst>
            <a:ext uri="{FF2B5EF4-FFF2-40B4-BE49-F238E27FC236}">
              <a16:creationId xmlns="" xmlns:a16="http://schemas.microsoft.com/office/drawing/2014/main" id="{00000000-0008-0000-0000-00000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6" name="Text Box 3098">
          <a:extLst>
            <a:ext uri="{FF2B5EF4-FFF2-40B4-BE49-F238E27FC236}">
              <a16:creationId xmlns="" xmlns:a16="http://schemas.microsoft.com/office/drawing/2014/main" id="{00000000-0008-0000-0000-00000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7" name="Text Box 3099">
          <a:extLst>
            <a:ext uri="{FF2B5EF4-FFF2-40B4-BE49-F238E27FC236}">
              <a16:creationId xmlns="" xmlns:a16="http://schemas.microsoft.com/office/drawing/2014/main" id="{00000000-0008-0000-0000-00000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8" name="Text Box 3100">
          <a:extLst>
            <a:ext uri="{FF2B5EF4-FFF2-40B4-BE49-F238E27FC236}">
              <a16:creationId xmlns="" xmlns:a16="http://schemas.microsoft.com/office/drawing/2014/main" id="{00000000-0008-0000-0000-00000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9" name="Text Box 3101">
          <a:extLst>
            <a:ext uri="{FF2B5EF4-FFF2-40B4-BE49-F238E27FC236}">
              <a16:creationId xmlns="" xmlns:a16="http://schemas.microsoft.com/office/drawing/2014/main" id="{00000000-0008-0000-0000-00000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110" name="Text Box 3102">
          <a:extLst>
            <a:ext uri="{FF2B5EF4-FFF2-40B4-BE49-F238E27FC236}">
              <a16:creationId xmlns="" xmlns:a16="http://schemas.microsoft.com/office/drawing/2014/main" id="{00000000-0008-0000-0000-00000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1" name="Text Box 59">
          <a:extLst>
            <a:ext uri="{FF2B5EF4-FFF2-40B4-BE49-F238E27FC236}">
              <a16:creationId xmlns="" xmlns:a16="http://schemas.microsoft.com/office/drawing/2014/main" id="{00000000-0008-0000-0000-00000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2" name="Text Box 60">
          <a:extLst>
            <a:ext uri="{FF2B5EF4-FFF2-40B4-BE49-F238E27FC236}">
              <a16:creationId xmlns="" xmlns:a16="http://schemas.microsoft.com/office/drawing/2014/main" id="{00000000-0008-0000-0000-00001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3" name="Text Box 61">
          <a:extLst>
            <a:ext uri="{FF2B5EF4-FFF2-40B4-BE49-F238E27FC236}">
              <a16:creationId xmlns="" xmlns:a16="http://schemas.microsoft.com/office/drawing/2014/main" id="{00000000-0008-0000-0000-00001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4" name="Text Box 62">
          <a:extLst>
            <a:ext uri="{FF2B5EF4-FFF2-40B4-BE49-F238E27FC236}">
              <a16:creationId xmlns="" xmlns:a16="http://schemas.microsoft.com/office/drawing/2014/main" id="{00000000-0008-0000-0000-00001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5" name="Text Box 63">
          <a:extLst>
            <a:ext uri="{FF2B5EF4-FFF2-40B4-BE49-F238E27FC236}">
              <a16:creationId xmlns="" xmlns:a16="http://schemas.microsoft.com/office/drawing/2014/main" id="{00000000-0008-0000-0000-00001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6" name="Text Box 64">
          <a:extLst>
            <a:ext uri="{FF2B5EF4-FFF2-40B4-BE49-F238E27FC236}">
              <a16:creationId xmlns="" xmlns:a16="http://schemas.microsoft.com/office/drawing/2014/main" id="{00000000-0008-0000-0000-00001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7" name="Text Box 65">
          <a:extLst>
            <a:ext uri="{FF2B5EF4-FFF2-40B4-BE49-F238E27FC236}">
              <a16:creationId xmlns="" xmlns:a16="http://schemas.microsoft.com/office/drawing/2014/main" id="{00000000-0008-0000-0000-00001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8" name="Text Box 66">
          <a:extLst>
            <a:ext uri="{FF2B5EF4-FFF2-40B4-BE49-F238E27FC236}">
              <a16:creationId xmlns="" xmlns:a16="http://schemas.microsoft.com/office/drawing/2014/main" id="{00000000-0008-0000-0000-00001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9" name="Text Box 67">
          <a:extLst>
            <a:ext uri="{FF2B5EF4-FFF2-40B4-BE49-F238E27FC236}">
              <a16:creationId xmlns="" xmlns:a16="http://schemas.microsoft.com/office/drawing/2014/main" id="{00000000-0008-0000-0000-00001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0" name="Text Box 68">
          <a:extLst>
            <a:ext uri="{FF2B5EF4-FFF2-40B4-BE49-F238E27FC236}">
              <a16:creationId xmlns="" xmlns:a16="http://schemas.microsoft.com/office/drawing/2014/main" id="{00000000-0008-0000-0000-00001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1" name="Text Box 69">
          <a:extLst>
            <a:ext uri="{FF2B5EF4-FFF2-40B4-BE49-F238E27FC236}">
              <a16:creationId xmlns="" xmlns:a16="http://schemas.microsoft.com/office/drawing/2014/main" id="{00000000-0008-0000-0000-00001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2" name="Text Box 70">
          <a:extLst>
            <a:ext uri="{FF2B5EF4-FFF2-40B4-BE49-F238E27FC236}">
              <a16:creationId xmlns="" xmlns:a16="http://schemas.microsoft.com/office/drawing/2014/main" id="{00000000-0008-0000-0000-00001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3" name="Text Box 71">
          <a:extLst>
            <a:ext uri="{FF2B5EF4-FFF2-40B4-BE49-F238E27FC236}">
              <a16:creationId xmlns="" xmlns:a16="http://schemas.microsoft.com/office/drawing/2014/main" id="{00000000-0008-0000-0000-00001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4" name="Text Box 72">
          <a:extLst>
            <a:ext uri="{FF2B5EF4-FFF2-40B4-BE49-F238E27FC236}">
              <a16:creationId xmlns="" xmlns:a16="http://schemas.microsoft.com/office/drawing/2014/main" id="{00000000-0008-0000-0000-00001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5" name="Text Box 73">
          <a:extLst>
            <a:ext uri="{FF2B5EF4-FFF2-40B4-BE49-F238E27FC236}">
              <a16:creationId xmlns="" xmlns:a16="http://schemas.microsoft.com/office/drawing/2014/main" id="{00000000-0008-0000-0000-00001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6" name="Text Box 74">
          <a:extLst>
            <a:ext uri="{FF2B5EF4-FFF2-40B4-BE49-F238E27FC236}">
              <a16:creationId xmlns="" xmlns:a16="http://schemas.microsoft.com/office/drawing/2014/main" id="{00000000-0008-0000-0000-00001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7" name="Text Box 75">
          <a:extLst>
            <a:ext uri="{FF2B5EF4-FFF2-40B4-BE49-F238E27FC236}">
              <a16:creationId xmlns="" xmlns:a16="http://schemas.microsoft.com/office/drawing/2014/main" id="{00000000-0008-0000-0000-00001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8" name="Text Box 76">
          <a:extLst>
            <a:ext uri="{FF2B5EF4-FFF2-40B4-BE49-F238E27FC236}">
              <a16:creationId xmlns="" xmlns:a16="http://schemas.microsoft.com/office/drawing/2014/main" id="{00000000-0008-0000-0000-00002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9" name="Text Box 77">
          <a:extLst>
            <a:ext uri="{FF2B5EF4-FFF2-40B4-BE49-F238E27FC236}">
              <a16:creationId xmlns="" xmlns:a16="http://schemas.microsoft.com/office/drawing/2014/main" id="{00000000-0008-0000-0000-00002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0" name="Text Box 78">
          <a:extLst>
            <a:ext uri="{FF2B5EF4-FFF2-40B4-BE49-F238E27FC236}">
              <a16:creationId xmlns="" xmlns:a16="http://schemas.microsoft.com/office/drawing/2014/main" id="{00000000-0008-0000-0000-00002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1" name="Text Box 79">
          <a:extLst>
            <a:ext uri="{FF2B5EF4-FFF2-40B4-BE49-F238E27FC236}">
              <a16:creationId xmlns="" xmlns:a16="http://schemas.microsoft.com/office/drawing/2014/main" id="{00000000-0008-0000-0000-00002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2" name="Text Box 80">
          <a:extLst>
            <a:ext uri="{FF2B5EF4-FFF2-40B4-BE49-F238E27FC236}">
              <a16:creationId xmlns="" xmlns:a16="http://schemas.microsoft.com/office/drawing/2014/main" id="{00000000-0008-0000-0000-00002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3" name="Text Box 81">
          <a:extLst>
            <a:ext uri="{FF2B5EF4-FFF2-40B4-BE49-F238E27FC236}">
              <a16:creationId xmlns="" xmlns:a16="http://schemas.microsoft.com/office/drawing/2014/main" id="{00000000-0008-0000-0000-00002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134" name="Text Box 82">
          <a:extLst>
            <a:ext uri="{FF2B5EF4-FFF2-40B4-BE49-F238E27FC236}">
              <a16:creationId xmlns="" xmlns:a16="http://schemas.microsoft.com/office/drawing/2014/main" id="{00000000-0008-0000-0000-00002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5" name="Text Box 3079">
          <a:extLst>
            <a:ext uri="{FF2B5EF4-FFF2-40B4-BE49-F238E27FC236}">
              <a16:creationId xmlns="" xmlns:a16="http://schemas.microsoft.com/office/drawing/2014/main" id="{00000000-0008-0000-0000-00002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6" name="Text Box 3080">
          <a:extLst>
            <a:ext uri="{FF2B5EF4-FFF2-40B4-BE49-F238E27FC236}">
              <a16:creationId xmlns="" xmlns:a16="http://schemas.microsoft.com/office/drawing/2014/main" id="{00000000-0008-0000-0000-00002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7" name="Text Box 3081">
          <a:extLst>
            <a:ext uri="{FF2B5EF4-FFF2-40B4-BE49-F238E27FC236}">
              <a16:creationId xmlns="" xmlns:a16="http://schemas.microsoft.com/office/drawing/2014/main" id="{00000000-0008-0000-0000-00002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8" name="Text Box 3082">
          <a:extLst>
            <a:ext uri="{FF2B5EF4-FFF2-40B4-BE49-F238E27FC236}">
              <a16:creationId xmlns="" xmlns:a16="http://schemas.microsoft.com/office/drawing/2014/main" id="{00000000-0008-0000-0000-00002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9" name="Text Box 3083">
          <a:extLst>
            <a:ext uri="{FF2B5EF4-FFF2-40B4-BE49-F238E27FC236}">
              <a16:creationId xmlns="" xmlns:a16="http://schemas.microsoft.com/office/drawing/2014/main" id="{00000000-0008-0000-0000-00002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0" name="Text Box 3084">
          <a:extLst>
            <a:ext uri="{FF2B5EF4-FFF2-40B4-BE49-F238E27FC236}">
              <a16:creationId xmlns="" xmlns:a16="http://schemas.microsoft.com/office/drawing/2014/main" id="{00000000-0008-0000-0000-00002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1" name="Text Box 3085">
          <a:extLst>
            <a:ext uri="{FF2B5EF4-FFF2-40B4-BE49-F238E27FC236}">
              <a16:creationId xmlns="" xmlns:a16="http://schemas.microsoft.com/office/drawing/2014/main" id="{00000000-0008-0000-0000-00002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2" name="Text Box 3086">
          <a:extLst>
            <a:ext uri="{FF2B5EF4-FFF2-40B4-BE49-F238E27FC236}">
              <a16:creationId xmlns="" xmlns:a16="http://schemas.microsoft.com/office/drawing/2014/main" id="{00000000-0008-0000-0000-00002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3" name="Text Box 3087">
          <a:extLst>
            <a:ext uri="{FF2B5EF4-FFF2-40B4-BE49-F238E27FC236}">
              <a16:creationId xmlns="" xmlns:a16="http://schemas.microsoft.com/office/drawing/2014/main" id="{00000000-0008-0000-0000-00002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4" name="Text Box 3088">
          <a:extLst>
            <a:ext uri="{FF2B5EF4-FFF2-40B4-BE49-F238E27FC236}">
              <a16:creationId xmlns="" xmlns:a16="http://schemas.microsoft.com/office/drawing/2014/main" id="{00000000-0008-0000-0000-00003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5" name="Text Box 3089">
          <a:extLst>
            <a:ext uri="{FF2B5EF4-FFF2-40B4-BE49-F238E27FC236}">
              <a16:creationId xmlns="" xmlns:a16="http://schemas.microsoft.com/office/drawing/2014/main" id="{00000000-0008-0000-0000-00003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6" name="Text Box 3090">
          <a:extLst>
            <a:ext uri="{FF2B5EF4-FFF2-40B4-BE49-F238E27FC236}">
              <a16:creationId xmlns="" xmlns:a16="http://schemas.microsoft.com/office/drawing/2014/main" id="{00000000-0008-0000-0000-00003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7" name="Text Box 3091">
          <a:extLst>
            <a:ext uri="{FF2B5EF4-FFF2-40B4-BE49-F238E27FC236}">
              <a16:creationId xmlns="" xmlns:a16="http://schemas.microsoft.com/office/drawing/2014/main" id="{00000000-0008-0000-0000-00003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8" name="Text Box 3092">
          <a:extLst>
            <a:ext uri="{FF2B5EF4-FFF2-40B4-BE49-F238E27FC236}">
              <a16:creationId xmlns="" xmlns:a16="http://schemas.microsoft.com/office/drawing/2014/main" id="{00000000-0008-0000-0000-00003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9" name="Text Box 3093">
          <a:extLst>
            <a:ext uri="{FF2B5EF4-FFF2-40B4-BE49-F238E27FC236}">
              <a16:creationId xmlns="" xmlns:a16="http://schemas.microsoft.com/office/drawing/2014/main" id="{00000000-0008-0000-0000-00003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0" name="Text Box 3094">
          <a:extLst>
            <a:ext uri="{FF2B5EF4-FFF2-40B4-BE49-F238E27FC236}">
              <a16:creationId xmlns="" xmlns:a16="http://schemas.microsoft.com/office/drawing/2014/main" id="{00000000-0008-0000-0000-00003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1" name="Text Box 3095">
          <a:extLst>
            <a:ext uri="{FF2B5EF4-FFF2-40B4-BE49-F238E27FC236}">
              <a16:creationId xmlns="" xmlns:a16="http://schemas.microsoft.com/office/drawing/2014/main" id="{00000000-0008-0000-0000-00003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2" name="Text Box 3096">
          <a:extLst>
            <a:ext uri="{FF2B5EF4-FFF2-40B4-BE49-F238E27FC236}">
              <a16:creationId xmlns="" xmlns:a16="http://schemas.microsoft.com/office/drawing/2014/main" id="{00000000-0008-0000-0000-00003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3" name="Text Box 3097">
          <a:extLst>
            <a:ext uri="{FF2B5EF4-FFF2-40B4-BE49-F238E27FC236}">
              <a16:creationId xmlns="" xmlns:a16="http://schemas.microsoft.com/office/drawing/2014/main" id="{00000000-0008-0000-0000-00003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4" name="Text Box 3098">
          <a:extLst>
            <a:ext uri="{FF2B5EF4-FFF2-40B4-BE49-F238E27FC236}">
              <a16:creationId xmlns="" xmlns:a16="http://schemas.microsoft.com/office/drawing/2014/main" id="{00000000-0008-0000-0000-00003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5" name="Text Box 3099">
          <a:extLst>
            <a:ext uri="{FF2B5EF4-FFF2-40B4-BE49-F238E27FC236}">
              <a16:creationId xmlns="" xmlns:a16="http://schemas.microsoft.com/office/drawing/2014/main" id="{00000000-0008-0000-0000-00003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6" name="Text Box 3100">
          <a:extLst>
            <a:ext uri="{FF2B5EF4-FFF2-40B4-BE49-F238E27FC236}">
              <a16:creationId xmlns="" xmlns:a16="http://schemas.microsoft.com/office/drawing/2014/main" id="{00000000-0008-0000-0000-00003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7" name="Text Box 3101">
          <a:extLst>
            <a:ext uri="{FF2B5EF4-FFF2-40B4-BE49-F238E27FC236}">
              <a16:creationId xmlns="" xmlns:a16="http://schemas.microsoft.com/office/drawing/2014/main" id="{00000000-0008-0000-0000-00003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158" name="Text Box 3102">
          <a:extLst>
            <a:ext uri="{FF2B5EF4-FFF2-40B4-BE49-F238E27FC236}">
              <a16:creationId xmlns="" xmlns:a16="http://schemas.microsoft.com/office/drawing/2014/main" id="{00000000-0008-0000-0000-00003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59" name="Text Box 59">
          <a:extLst>
            <a:ext uri="{FF2B5EF4-FFF2-40B4-BE49-F238E27FC236}">
              <a16:creationId xmlns="" xmlns:a16="http://schemas.microsoft.com/office/drawing/2014/main" id="{00000000-0008-0000-0000-00003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0" name="Text Box 60">
          <a:extLst>
            <a:ext uri="{FF2B5EF4-FFF2-40B4-BE49-F238E27FC236}">
              <a16:creationId xmlns="" xmlns:a16="http://schemas.microsoft.com/office/drawing/2014/main" id="{00000000-0008-0000-0000-00004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1" name="Text Box 61">
          <a:extLst>
            <a:ext uri="{FF2B5EF4-FFF2-40B4-BE49-F238E27FC236}">
              <a16:creationId xmlns="" xmlns:a16="http://schemas.microsoft.com/office/drawing/2014/main" id="{00000000-0008-0000-0000-00004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2" name="Text Box 62">
          <a:extLst>
            <a:ext uri="{FF2B5EF4-FFF2-40B4-BE49-F238E27FC236}">
              <a16:creationId xmlns="" xmlns:a16="http://schemas.microsoft.com/office/drawing/2014/main" id="{00000000-0008-0000-0000-00004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3" name="Text Box 63">
          <a:extLst>
            <a:ext uri="{FF2B5EF4-FFF2-40B4-BE49-F238E27FC236}">
              <a16:creationId xmlns="" xmlns:a16="http://schemas.microsoft.com/office/drawing/2014/main" id="{00000000-0008-0000-0000-00004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4" name="Text Box 64">
          <a:extLst>
            <a:ext uri="{FF2B5EF4-FFF2-40B4-BE49-F238E27FC236}">
              <a16:creationId xmlns="" xmlns:a16="http://schemas.microsoft.com/office/drawing/2014/main" id="{00000000-0008-0000-0000-00004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5" name="Text Box 65">
          <a:extLst>
            <a:ext uri="{FF2B5EF4-FFF2-40B4-BE49-F238E27FC236}">
              <a16:creationId xmlns="" xmlns:a16="http://schemas.microsoft.com/office/drawing/2014/main" id="{00000000-0008-0000-0000-00004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6" name="Text Box 66">
          <a:extLst>
            <a:ext uri="{FF2B5EF4-FFF2-40B4-BE49-F238E27FC236}">
              <a16:creationId xmlns="" xmlns:a16="http://schemas.microsoft.com/office/drawing/2014/main" id="{00000000-0008-0000-0000-00004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7" name="Text Box 67">
          <a:extLst>
            <a:ext uri="{FF2B5EF4-FFF2-40B4-BE49-F238E27FC236}">
              <a16:creationId xmlns="" xmlns:a16="http://schemas.microsoft.com/office/drawing/2014/main" id="{00000000-0008-0000-0000-00004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8" name="Text Box 68">
          <a:extLst>
            <a:ext uri="{FF2B5EF4-FFF2-40B4-BE49-F238E27FC236}">
              <a16:creationId xmlns="" xmlns:a16="http://schemas.microsoft.com/office/drawing/2014/main" id="{00000000-0008-0000-0000-00004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9" name="Text Box 69">
          <a:extLst>
            <a:ext uri="{FF2B5EF4-FFF2-40B4-BE49-F238E27FC236}">
              <a16:creationId xmlns="" xmlns:a16="http://schemas.microsoft.com/office/drawing/2014/main" id="{00000000-0008-0000-0000-00004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0" name="Text Box 70">
          <a:extLst>
            <a:ext uri="{FF2B5EF4-FFF2-40B4-BE49-F238E27FC236}">
              <a16:creationId xmlns="" xmlns:a16="http://schemas.microsoft.com/office/drawing/2014/main" id="{00000000-0008-0000-0000-00004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1" name="Text Box 71">
          <a:extLst>
            <a:ext uri="{FF2B5EF4-FFF2-40B4-BE49-F238E27FC236}">
              <a16:creationId xmlns="" xmlns:a16="http://schemas.microsoft.com/office/drawing/2014/main" id="{00000000-0008-0000-0000-00004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2" name="Text Box 72">
          <a:extLst>
            <a:ext uri="{FF2B5EF4-FFF2-40B4-BE49-F238E27FC236}">
              <a16:creationId xmlns="" xmlns:a16="http://schemas.microsoft.com/office/drawing/2014/main" id="{00000000-0008-0000-0000-00004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3" name="Text Box 73">
          <a:extLst>
            <a:ext uri="{FF2B5EF4-FFF2-40B4-BE49-F238E27FC236}">
              <a16:creationId xmlns="" xmlns:a16="http://schemas.microsoft.com/office/drawing/2014/main" id="{00000000-0008-0000-0000-00004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4" name="Text Box 74">
          <a:extLst>
            <a:ext uri="{FF2B5EF4-FFF2-40B4-BE49-F238E27FC236}">
              <a16:creationId xmlns="" xmlns:a16="http://schemas.microsoft.com/office/drawing/2014/main" id="{00000000-0008-0000-0000-00004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5" name="Text Box 75">
          <a:extLst>
            <a:ext uri="{FF2B5EF4-FFF2-40B4-BE49-F238E27FC236}">
              <a16:creationId xmlns="" xmlns:a16="http://schemas.microsoft.com/office/drawing/2014/main" id="{00000000-0008-0000-0000-00004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6" name="Text Box 76">
          <a:extLst>
            <a:ext uri="{FF2B5EF4-FFF2-40B4-BE49-F238E27FC236}">
              <a16:creationId xmlns="" xmlns:a16="http://schemas.microsoft.com/office/drawing/2014/main" id="{00000000-0008-0000-0000-00005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7" name="Text Box 77">
          <a:extLst>
            <a:ext uri="{FF2B5EF4-FFF2-40B4-BE49-F238E27FC236}">
              <a16:creationId xmlns="" xmlns:a16="http://schemas.microsoft.com/office/drawing/2014/main" id="{00000000-0008-0000-0000-00005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8" name="Text Box 78">
          <a:extLst>
            <a:ext uri="{FF2B5EF4-FFF2-40B4-BE49-F238E27FC236}">
              <a16:creationId xmlns="" xmlns:a16="http://schemas.microsoft.com/office/drawing/2014/main" id="{00000000-0008-0000-0000-00005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9" name="Text Box 79">
          <a:extLst>
            <a:ext uri="{FF2B5EF4-FFF2-40B4-BE49-F238E27FC236}">
              <a16:creationId xmlns="" xmlns:a16="http://schemas.microsoft.com/office/drawing/2014/main" id="{00000000-0008-0000-0000-00005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0" name="Text Box 80">
          <a:extLst>
            <a:ext uri="{FF2B5EF4-FFF2-40B4-BE49-F238E27FC236}">
              <a16:creationId xmlns="" xmlns:a16="http://schemas.microsoft.com/office/drawing/2014/main" id="{00000000-0008-0000-0000-00005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1" name="Text Box 81">
          <a:extLst>
            <a:ext uri="{FF2B5EF4-FFF2-40B4-BE49-F238E27FC236}">
              <a16:creationId xmlns="" xmlns:a16="http://schemas.microsoft.com/office/drawing/2014/main" id="{00000000-0008-0000-0000-00005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2" name="Text Box 3079">
          <a:extLst>
            <a:ext uri="{FF2B5EF4-FFF2-40B4-BE49-F238E27FC236}">
              <a16:creationId xmlns="" xmlns:a16="http://schemas.microsoft.com/office/drawing/2014/main" id="{00000000-0008-0000-0000-00005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3" name="Text Box 3080">
          <a:extLst>
            <a:ext uri="{FF2B5EF4-FFF2-40B4-BE49-F238E27FC236}">
              <a16:creationId xmlns="" xmlns:a16="http://schemas.microsoft.com/office/drawing/2014/main" id="{00000000-0008-0000-0000-00005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4" name="Text Box 3081">
          <a:extLst>
            <a:ext uri="{FF2B5EF4-FFF2-40B4-BE49-F238E27FC236}">
              <a16:creationId xmlns="" xmlns:a16="http://schemas.microsoft.com/office/drawing/2014/main" id="{00000000-0008-0000-0000-00005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5" name="Text Box 3082">
          <a:extLst>
            <a:ext uri="{FF2B5EF4-FFF2-40B4-BE49-F238E27FC236}">
              <a16:creationId xmlns="" xmlns:a16="http://schemas.microsoft.com/office/drawing/2014/main" id="{00000000-0008-0000-0000-00005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6" name="Text Box 3083">
          <a:extLst>
            <a:ext uri="{FF2B5EF4-FFF2-40B4-BE49-F238E27FC236}">
              <a16:creationId xmlns="" xmlns:a16="http://schemas.microsoft.com/office/drawing/2014/main" id="{00000000-0008-0000-0000-00005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7" name="Text Box 3084">
          <a:extLst>
            <a:ext uri="{FF2B5EF4-FFF2-40B4-BE49-F238E27FC236}">
              <a16:creationId xmlns="" xmlns:a16="http://schemas.microsoft.com/office/drawing/2014/main" id="{00000000-0008-0000-0000-00005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8" name="Text Box 3085">
          <a:extLst>
            <a:ext uri="{FF2B5EF4-FFF2-40B4-BE49-F238E27FC236}">
              <a16:creationId xmlns="" xmlns:a16="http://schemas.microsoft.com/office/drawing/2014/main" id="{00000000-0008-0000-0000-00005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9" name="Text Box 3086">
          <a:extLst>
            <a:ext uri="{FF2B5EF4-FFF2-40B4-BE49-F238E27FC236}">
              <a16:creationId xmlns="" xmlns:a16="http://schemas.microsoft.com/office/drawing/2014/main" id="{00000000-0008-0000-0000-00005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0" name="Text Box 3087">
          <a:extLst>
            <a:ext uri="{FF2B5EF4-FFF2-40B4-BE49-F238E27FC236}">
              <a16:creationId xmlns="" xmlns:a16="http://schemas.microsoft.com/office/drawing/2014/main" id="{00000000-0008-0000-0000-00005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1" name="Text Box 3088">
          <a:extLst>
            <a:ext uri="{FF2B5EF4-FFF2-40B4-BE49-F238E27FC236}">
              <a16:creationId xmlns="" xmlns:a16="http://schemas.microsoft.com/office/drawing/2014/main" id="{00000000-0008-0000-0000-00005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2" name="Text Box 3089">
          <a:extLst>
            <a:ext uri="{FF2B5EF4-FFF2-40B4-BE49-F238E27FC236}">
              <a16:creationId xmlns="" xmlns:a16="http://schemas.microsoft.com/office/drawing/2014/main" id="{00000000-0008-0000-0000-00006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3" name="Text Box 3090">
          <a:extLst>
            <a:ext uri="{FF2B5EF4-FFF2-40B4-BE49-F238E27FC236}">
              <a16:creationId xmlns="" xmlns:a16="http://schemas.microsoft.com/office/drawing/2014/main" id="{00000000-0008-0000-0000-00006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4" name="Text Box 3091">
          <a:extLst>
            <a:ext uri="{FF2B5EF4-FFF2-40B4-BE49-F238E27FC236}">
              <a16:creationId xmlns="" xmlns:a16="http://schemas.microsoft.com/office/drawing/2014/main" id="{00000000-0008-0000-0000-00006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5" name="Text Box 3092">
          <a:extLst>
            <a:ext uri="{FF2B5EF4-FFF2-40B4-BE49-F238E27FC236}">
              <a16:creationId xmlns="" xmlns:a16="http://schemas.microsoft.com/office/drawing/2014/main" id="{00000000-0008-0000-0000-00006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6" name="Text Box 3093">
          <a:extLst>
            <a:ext uri="{FF2B5EF4-FFF2-40B4-BE49-F238E27FC236}">
              <a16:creationId xmlns="" xmlns:a16="http://schemas.microsoft.com/office/drawing/2014/main" id="{00000000-0008-0000-0000-00006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7" name="Text Box 3094">
          <a:extLst>
            <a:ext uri="{FF2B5EF4-FFF2-40B4-BE49-F238E27FC236}">
              <a16:creationId xmlns="" xmlns:a16="http://schemas.microsoft.com/office/drawing/2014/main" id="{00000000-0008-0000-0000-00006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8" name="Text Box 3095">
          <a:extLst>
            <a:ext uri="{FF2B5EF4-FFF2-40B4-BE49-F238E27FC236}">
              <a16:creationId xmlns="" xmlns:a16="http://schemas.microsoft.com/office/drawing/2014/main" id="{00000000-0008-0000-0000-00006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9" name="Text Box 3096">
          <a:extLst>
            <a:ext uri="{FF2B5EF4-FFF2-40B4-BE49-F238E27FC236}">
              <a16:creationId xmlns="" xmlns:a16="http://schemas.microsoft.com/office/drawing/2014/main" id="{00000000-0008-0000-0000-00006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0" name="Text Box 3097">
          <a:extLst>
            <a:ext uri="{FF2B5EF4-FFF2-40B4-BE49-F238E27FC236}">
              <a16:creationId xmlns="" xmlns:a16="http://schemas.microsoft.com/office/drawing/2014/main" id="{00000000-0008-0000-0000-00006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1" name="Text Box 3098">
          <a:extLst>
            <a:ext uri="{FF2B5EF4-FFF2-40B4-BE49-F238E27FC236}">
              <a16:creationId xmlns="" xmlns:a16="http://schemas.microsoft.com/office/drawing/2014/main" id="{00000000-0008-0000-0000-00006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2" name="Text Box 3099">
          <a:extLst>
            <a:ext uri="{FF2B5EF4-FFF2-40B4-BE49-F238E27FC236}">
              <a16:creationId xmlns="" xmlns:a16="http://schemas.microsoft.com/office/drawing/2014/main" id="{00000000-0008-0000-0000-00006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3" name="Text Box 3100">
          <a:extLst>
            <a:ext uri="{FF2B5EF4-FFF2-40B4-BE49-F238E27FC236}">
              <a16:creationId xmlns="" xmlns:a16="http://schemas.microsoft.com/office/drawing/2014/main" id="{00000000-0008-0000-0000-00006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4" name="Text Box 3101">
          <a:extLst>
            <a:ext uri="{FF2B5EF4-FFF2-40B4-BE49-F238E27FC236}">
              <a16:creationId xmlns="" xmlns:a16="http://schemas.microsoft.com/office/drawing/2014/main" id="{00000000-0008-0000-0000-00006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205" name="Text Box 3102">
          <a:extLst>
            <a:ext uri="{FF2B5EF4-FFF2-40B4-BE49-F238E27FC236}">
              <a16:creationId xmlns="" xmlns:a16="http://schemas.microsoft.com/office/drawing/2014/main" id="{00000000-0008-0000-0000-00006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6" name="Text Box 59">
          <a:extLst>
            <a:ext uri="{FF2B5EF4-FFF2-40B4-BE49-F238E27FC236}">
              <a16:creationId xmlns="" xmlns:a16="http://schemas.microsoft.com/office/drawing/2014/main" id="{00000000-0008-0000-0000-00006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7" name="Text Box 60">
          <a:extLst>
            <a:ext uri="{FF2B5EF4-FFF2-40B4-BE49-F238E27FC236}">
              <a16:creationId xmlns="" xmlns:a16="http://schemas.microsoft.com/office/drawing/2014/main" id="{00000000-0008-0000-0000-00006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8" name="Text Box 61">
          <a:extLst>
            <a:ext uri="{FF2B5EF4-FFF2-40B4-BE49-F238E27FC236}">
              <a16:creationId xmlns="" xmlns:a16="http://schemas.microsoft.com/office/drawing/2014/main" id="{00000000-0008-0000-0000-00007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9" name="Text Box 62">
          <a:extLst>
            <a:ext uri="{FF2B5EF4-FFF2-40B4-BE49-F238E27FC236}">
              <a16:creationId xmlns="" xmlns:a16="http://schemas.microsoft.com/office/drawing/2014/main" id="{00000000-0008-0000-0000-00007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0" name="Text Box 63">
          <a:extLst>
            <a:ext uri="{FF2B5EF4-FFF2-40B4-BE49-F238E27FC236}">
              <a16:creationId xmlns="" xmlns:a16="http://schemas.microsoft.com/office/drawing/2014/main" id="{00000000-0008-0000-0000-00007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1" name="Text Box 64">
          <a:extLst>
            <a:ext uri="{FF2B5EF4-FFF2-40B4-BE49-F238E27FC236}">
              <a16:creationId xmlns="" xmlns:a16="http://schemas.microsoft.com/office/drawing/2014/main" id="{00000000-0008-0000-0000-00007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2" name="Text Box 65">
          <a:extLst>
            <a:ext uri="{FF2B5EF4-FFF2-40B4-BE49-F238E27FC236}">
              <a16:creationId xmlns="" xmlns:a16="http://schemas.microsoft.com/office/drawing/2014/main" id="{00000000-0008-0000-0000-00007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3" name="Text Box 66">
          <a:extLst>
            <a:ext uri="{FF2B5EF4-FFF2-40B4-BE49-F238E27FC236}">
              <a16:creationId xmlns="" xmlns:a16="http://schemas.microsoft.com/office/drawing/2014/main" id="{00000000-0008-0000-0000-00007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4" name="Text Box 67">
          <a:extLst>
            <a:ext uri="{FF2B5EF4-FFF2-40B4-BE49-F238E27FC236}">
              <a16:creationId xmlns="" xmlns:a16="http://schemas.microsoft.com/office/drawing/2014/main" id="{00000000-0008-0000-0000-00007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5" name="Text Box 68">
          <a:extLst>
            <a:ext uri="{FF2B5EF4-FFF2-40B4-BE49-F238E27FC236}">
              <a16:creationId xmlns="" xmlns:a16="http://schemas.microsoft.com/office/drawing/2014/main" id="{00000000-0008-0000-0000-00007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6" name="Text Box 69">
          <a:extLst>
            <a:ext uri="{FF2B5EF4-FFF2-40B4-BE49-F238E27FC236}">
              <a16:creationId xmlns="" xmlns:a16="http://schemas.microsoft.com/office/drawing/2014/main" id="{00000000-0008-0000-0000-00007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7" name="Text Box 70">
          <a:extLst>
            <a:ext uri="{FF2B5EF4-FFF2-40B4-BE49-F238E27FC236}">
              <a16:creationId xmlns="" xmlns:a16="http://schemas.microsoft.com/office/drawing/2014/main" id="{00000000-0008-0000-0000-00007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8" name="Text Box 71">
          <a:extLst>
            <a:ext uri="{FF2B5EF4-FFF2-40B4-BE49-F238E27FC236}">
              <a16:creationId xmlns="" xmlns:a16="http://schemas.microsoft.com/office/drawing/2014/main" id="{00000000-0008-0000-0000-00007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9" name="Text Box 72">
          <a:extLst>
            <a:ext uri="{FF2B5EF4-FFF2-40B4-BE49-F238E27FC236}">
              <a16:creationId xmlns="" xmlns:a16="http://schemas.microsoft.com/office/drawing/2014/main" id="{00000000-0008-0000-0000-00007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0" name="Text Box 73">
          <a:extLst>
            <a:ext uri="{FF2B5EF4-FFF2-40B4-BE49-F238E27FC236}">
              <a16:creationId xmlns="" xmlns:a16="http://schemas.microsoft.com/office/drawing/2014/main" id="{00000000-0008-0000-0000-00007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1" name="Text Box 74">
          <a:extLst>
            <a:ext uri="{FF2B5EF4-FFF2-40B4-BE49-F238E27FC236}">
              <a16:creationId xmlns="" xmlns:a16="http://schemas.microsoft.com/office/drawing/2014/main" id="{00000000-0008-0000-0000-00007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2" name="Text Box 75">
          <a:extLst>
            <a:ext uri="{FF2B5EF4-FFF2-40B4-BE49-F238E27FC236}">
              <a16:creationId xmlns="" xmlns:a16="http://schemas.microsoft.com/office/drawing/2014/main" id="{00000000-0008-0000-0000-00007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3" name="Text Box 76">
          <a:extLst>
            <a:ext uri="{FF2B5EF4-FFF2-40B4-BE49-F238E27FC236}">
              <a16:creationId xmlns="" xmlns:a16="http://schemas.microsoft.com/office/drawing/2014/main" id="{00000000-0008-0000-0000-00007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4" name="Text Box 77">
          <a:extLst>
            <a:ext uri="{FF2B5EF4-FFF2-40B4-BE49-F238E27FC236}">
              <a16:creationId xmlns="" xmlns:a16="http://schemas.microsoft.com/office/drawing/2014/main" id="{00000000-0008-0000-0000-00008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5" name="Text Box 78">
          <a:extLst>
            <a:ext uri="{FF2B5EF4-FFF2-40B4-BE49-F238E27FC236}">
              <a16:creationId xmlns="" xmlns:a16="http://schemas.microsoft.com/office/drawing/2014/main" id="{00000000-0008-0000-0000-00008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6" name="Text Box 79">
          <a:extLst>
            <a:ext uri="{FF2B5EF4-FFF2-40B4-BE49-F238E27FC236}">
              <a16:creationId xmlns="" xmlns:a16="http://schemas.microsoft.com/office/drawing/2014/main" id="{00000000-0008-0000-0000-00008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7" name="Text Box 80">
          <a:extLst>
            <a:ext uri="{FF2B5EF4-FFF2-40B4-BE49-F238E27FC236}">
              <a16:creationId xmlns="" xmlns:a16="http://schemas.microsoft.com/office/drawing/2014/main" id="{00000000-0008-0000-0000-00008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8" name="Text Box 81">
          <a:extLst>
            <a:ext uri="{FF2B5EF4-FFF2-40B4-BE49-F238E27FC236}">
              <a16:creationId xmlns="" xmlns:a16="http://schemas.microsoft.com/office/drawing/2014/main" id="{00000000-0008-0000-0000-00008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229" name="Text Box 82">
          <a:extLst>
            <a:ext uri="{FF2B5EF4-FFF2-40B4-BE49-F238E27FC236}">
              <a16:creationId xmlns="" xmlns:a16="http://schemas.microsoft.com/office/drawing/2014/main" id="{00000000-0008-0000-0000-00008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0" name="Text Box 3079">
          <a:extLst>
            <a:ext uri="{FF2B5EF4-FFF2-40B4-BE49-F238E27FC236}">
              <a16:creationId xmlns="" xmlns:a16="http://schemas.microsoft.com/office/drawing/2014/main" id="{00000000-0008-0000-0000-00008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1" name="Text Box 3080">
          <a:extLst>
            <a:ext uri="{FF2B5EF4-FFF2-40B4-BE49-F238E27FC236}">
              <a16:creationId xmlns="" xmlns:a16="http://schemas.microsoft.com/office/drawing/2014/main" id="{00000000-0008-0000-0000-00008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2" name="Text Box 3081">
          <a:extLst>
            <a:ext uri="{FF2B5EF4-FFF2-40B4-BE49-F238E27FC236}">
              <a16:creationId xmlns="" xmlns:a16="http://schemas.microsoft.com/office/drawing/2014/main" id="{00000000-0008-0000-0000-00008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3" name="Text Box 3082">
          <a:extLst>
            <a:ext uri="{FF2B5EF4-FFF2-40B4-BE49-F238E27FC236}">
              <a16:creationId xmlns="" xmlns:a16="http://schemas.microsoft.com/office/drawing/2014/main" id="{00000000-0008-0000-0000-00008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4" name="Text Box 3083">
          <a:extLst>
            <a:ext uri="{FF2B5EF4-FFF2-40B4-BE49-F238E27FC236}">
              <a16:creationId xmlns="" xmlns:a16="http://schemas.microsoft.com/office/drawing/2014/main" id="{00000000-0008-0000-0000-00008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5" name="Text Box 3084">
          <a:extLst>
            <a:ext uri="{FF2B5EF4-FFF2-40B4-BE49-F238E27FC236}">
              <a16:creationId xmlns="" xmlns:a16="http://schemas.microsoft.com/office/drawing/2014/main" id="{00000000-0008-0000-0000-00008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6" name="Text Box 3085">
          <a:extLst>
            <a:ext uri="{FF2B5EF4-FFF2-40B4-BE49-F238E27FC236}">
              <a16:creationId xmlns="" xmlns:a16="http://schemas.microsoft.com/office/drawing/2014/main" id="{00000000-0008-0000-0000-00008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7" name="Text Box 3086">
          <a:extLst>
            <a:ext uri="{FF2B5EF4-FFF2-40B4-BE49-F238E27FC236}">
              <a16:creationId xmlns="" xmlns:a16="http://schemas.microsoft.com/office/drawing/2014/main" id="{00000000-0008-0000-0000-00008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8" name="Text Box 3087">
          <a:extLst>
            <a:ext uri="{FF2B5EF4-FFF2-40B4-BE49-F238E27FC236}">
              <a16:creationId xmlns="" xmlns:a16="http://schemas.microsoft.com/office/drawing/2014/main" id="{00000000-0008-0000-0000-00008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9" name="Text Box 3088">
          <a:extLst>
            <a:ext uri="{FF2B5EF4-FFF2-40B4-BE49-F238E27FC236}">
              <a16:creationId xmlns="" xmlns:a16="http://schemas.microsoft.com/office/drawing/2014/main" id="{00000000-0008-0000-0000-00008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0" name="Text Box 3089">
          <a:extLst>
            <a:ext uri="{FF2B5EF4-FFF2-40B4-BE49-F238E27FC236}">
              <a16:creationId xmlns="" xmlns:a16="http://schemas.microsoft.com/office/drawing/2014/main" id="{00000000-0008-0000-0000-00009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1" name="Text Box 3090">
          <a:extLst>
            <a:ext uri="{FF2B5EF4-FFF2-40B4-BE49-F238E27FC236}">
              <a16:creationId xmlns="" xmlns:a16="http://schemas.microsoft.com/office/drawing/2014/main" id="{00000000-0008-0000-0000-00009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2" name="Text Box 3091">
          <a:extLst>
            <a:ext uri="{FF2B5EF4-FFF2-40B4-BE49-F238E27FC236}">
              <a16:creationId xmlns="" xmlns:a16="http://schemas.microsoft.com/office/drawing/2014/main" id="{00000000-0008-0000-0000-00009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3" name="Text Box 3092">
          <a:extLst>
            <a:ext uri="{FF2B5EF4-FFF2-40B4-BE49-F238E27FC236}">
              <a16:creationId xmlns="" xmlns:a16="http://schemas.microsoft.com/office/drawing/2014/main" id="{00000000-0008-0000-0000-00009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4" name="Text Box 3093">
          <a:extLst>
            <a:ext uri="{FF2B5EF4-FFF2-40B4-BE49-F238E27FC236}">
              <a16:creationId xmlns="" xmlns:a16="http://schemas.microsoft.com/office/drawing/2014/main" id="{00000000-0008-0000-0000-00009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5" name="Text Box 3094">
          <a:extLst>
            <a:ext uri="{FF2B5EF4-FFF2-40B4-BE49-F238E27FC236}">
              <a16:creationId xmlns="" xmlns:a16="http://schemas.microsoft.com/office/drawing/2014/main" id="{00000000-0008-0000-0000-00009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6" name="Text Box 3095">
          <a:extLst>
            <a:ext uri="{FF2B5EF4-FFF2-40B4-BE49-F238E27FC236}">
              <a16:creationId xmlns="" xmlns:a16="http://schemas.microsoft.com/office/drawing/2014/main" id="{00000000-0008-0000-0000-00009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7" name="Text Box 3096">
          <a:extLst>
            <a:ext uri="{FF2B5EF4-FFF2-40B4-BE49-F238E27FC236}">
              <a16:creationId xmlns="" xmlns:a16="http://schemas.microsoft.com/office/drawing/2014/main" id="{00000000-0008-0000-0000-00009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8" name="Text Box 3097">
          <a:extLst>
            <a:ext uri="{FF2B5EF4-FFF2-40B4-BE49-F238E27FC236}">
              <a16:creationId xmlns="" xmlns:a16="http://schemas.microsoft.com/office/drawing/2014/main" id="{00000000-0008-0000-0000-00009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9" name="Text Box 3098">
          <a:extLst>
            <a:ext uri="{FF2B5EF4-FFF2-40B4-BE49-F238E27FC236}">
              <a16:creationId xmlns="" xmlns:a16="http://schemas.microsoft.com/office/drawing/2014/main" id="{00000000-0008-0000-0000-00009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0" name="Text Box 3099">
          <a:extLst>
            <a:ext uri="{FF2B5EF4-FFF2-40B4-BE49-F238E27FC236}">
              <a16:creationId xmlns="" xmlns:a16="http://schemas.microsoft.com/office/drawing/2014/main" id="{00000000-0008-0000-0000-00009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1" name="Text Box 3100">
          <a:extLst>
            <a:ext uri="{FF2B5EF4-FFF2-40B4-BE49-F238E27FC236}">
              <a16:creationId xmlns="" xmlns:a16="http://schemas.microsoft.com/office/drawing/2014/main" id="{00000000-0008-0000-0000-00009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2" name="Text Box 3101">
          <a:extLst>
            <a:ext uri="{FF2B5EF4-FFF2-40B4-BE49-F238E27FC236}">
              <a16:creationId xmlns="" xmlns:a16="http://schemas.microsoft.com/office/drawing/2014/main" id="{00000000-0008-0000-0000-00009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253" name="Text Box 3102">
          <a:extLst>
            <a:ext uri="{FF2B5EF4-FFF2-40B4-BE49-F238E27FC236}">
              <a16:creationId xmlns="" xmlns:a16="http://schemas.microsoft.com/office/drawing/2014/main" id="{00000000-0008-0000-0000-00009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4" name="Text Box 59">
          <a:extLst>
            <a:ext uri="{FF2B5EF4-FFF2-40B4-BE49-F238E27FC236}">
              <a16:creationId xmlns="" xmlns:a16="http://schemas.microsoft.com/office/drawing/2014/main" id="{00000000-0008-0000-0000-00009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5" name="Text Box 60">
          <a:extLst>
            <a:ext uri="{FF2B5EF4-FFF2-40B4-BE49-F238E27FC236}">
              <a16:creationId xmlns="" xmlns:a16="http://schemas.microsoft.com/office/drawing/2014/main" id="{00000000-0008-0000-0000-00009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6" name="Text Box 61">
          <a:extLst>
            <a:ext uri="{FF2B5EF4-FFF2-40B4-BE49-F238E27FC236}">
              <a16:creationId xmlns="" xmlns:a16="http://schemas.microsoft.com/office/drawing/2014/main" id="{00000000-0008-0000-0000-0000A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7" name="Text Box 62">
          <a:extLst>
            <a:ext uri="{FF2B5EF4-FFF2-40B4-BE49-F238E27FC236}">
              <a16:creationId xmlns="" xmlns:a16="http://schemas.microsoft.com/office/drawing/2014/main" id="{00000000-0008-0000-0000-0000A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8" name="Text Box 63">
          <a:extLst>
            <a:ext uri="{FF2B5EF4-FFF2-40B4-BE49-F238E27FC236}">
              <a16:creationId xmlns="" xmlns:a16="http://schemas.microsoft.com/office/drawing/2014/main" id="{00000000-0008-0000-0000-0000A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9" name="Text Box 64">
          <a:extLst>
            <a:ext uri="{FF2B5EF4-FFF2-40B4-BE49-F238E27FC236}">
              <a16:creationId xmlns="" xmlns:a16="http://schemas.microsoft.com/office/drawing/2014/main" id="{00000000-0008-0000-0000-0000A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0" name="Text Box 65">
          <a:extLst>
            <a:ext uri="{FF2B5EF4-FFF2-40B4-BE49-F238E27FC236}">
              <a16:creationId xmlns="" xmlns:a16="http://schemas.microsoft.com/office/drawing/2014/main" id="{00000000-0008-0000-0000-0000A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1" name="Text Box 66">
          <a:extLst>
            <a:ext uri="{FF2B5EF4-FFF2-40B4-BE49-F238E27FC236}">
              <a16:creationId xmlns="" xmlns:a16="http://schemas.microsoft.com/office/drawing/2014/main" id="{00000000-0008-0000-0000-0000A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2" name="Text Box 67">
          <a:extLst>
            <a:ext uri="{FF2B5EF4-FFF2-40B4-BE49-F238E27FC236}">
              <a16:creationId xmlns="" xmlns:a16="http://schemas.microsoft.com/office/drawing/2014/main" id="{00000000-0008-0000-0000-0000A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3" name="Text Box 68">
          <a:extLst>
            <a:ext uri="{FF2B5EF4-FFF2-40B4-BE49-F238E27FC236}">
              <a16:creationId xmlns="" xmlns:a16="http://schemas.microsoft.com/office/drawing/2014/main" id="{00000000-0008-0000-0000-0000A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4" name="Text Box 69">
          <a:extLst>
            <a:ext uri="{FF2B5EF4-FFF2-40B4-BE49-F238E27FC236}">
              <a16:creationId xmlns="" xmlns:a16="http://schemas.microsoft.com/office/drawing/2014/main" id="{00000000-0008-0000-0000-0000A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5" name="Text Box 70">
          <a:extLst>
            <a:ext uri="{FF2B5EF4-FFF2-40B4-BE49-F238E27FC236}">
              <a16:creationId xmlns="" xmlns:a16="http://schemas.microsoft.com/office/drawing/2014/main" id="{00000000-0008-0000-0000-0000A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6" name="Text Box 71">
          <a:extLst>
            <a:ext uri="{FF2B5EF4-FFF2-40B4-BE49-F238E27FC236}">
              <a16:creationId xmlns="" xmlns:a16="http://schemas.microsoft.com/office/drawing/2014/main" id="{00000000-0008-0000-0000-0000A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7" name="Text Box 72">
          <a:extLst>
            <a:ext uri="{FF2B5EF4-FFF2-40B4-BE49-F238E27FC236}">
              <a16:creationId xmlns="" xmlns:a16="http://schemas.microsoft.com/office/drawing/2014/main" id="{00000000-0008-0000-0000-0000A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8" name="Text Box 73">
          <a:extLst>
            <a:ext uri="{FF2B5EF4-FFF2-40B4-BE49-F238E27FC236}">
              <a16:creationId xmlns="" xmlns:a16="http://schemas.microsoft.com/office/drawing/2014/main" id="{00000000-0008-0000-0000-0000A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9" name="Text Box 74">
          <a:extLst>
            <a:ext uri="{FF2B5EF4-FFF2-40B4-BE49-F238E27FC236}">
              <a16:creationId xmlns="" xmlns:a16="http://schemas.microsoft.com/office/drawing/2014/main" id="{00000000-0008-0000-0000-0000A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0" name="Text Box 75">
          <a:extLst>
            <a:ext uri="{FF2B5EF4-FFF2-40B4-BE49-F238E27FC236}">
              <a16:creationId xmlns="" xmlns:a16="http://schemas.microsoft.com/office/drawing/2014/main" id="{00000000-0008-0000-0000-0000A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1" name="Text Box 76">
          <a:extLst>
            <a:ext uri="{FF2B5EF4-FFF2-40B4-BE49-F238E27FC236}">
              <a16:creationId xmlns="" xmlns:a16="http://schemas.microsoft.com/office/drawing/2014/main" id="{00000000-0008-0000-0000-0000A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2" name="Text Box 77">
          <a:extLst>
            <a:ext uri="{FF2B5EF4-FFF2-40B4-BE49-F238E27FC236}">
              <a16:creationId xmlns="" xmlns:a16="http://schemas.microsoft.com/office/drawing/2014/main" id="{00000000-0008-0000-0000-0000B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3" name="Text Box 78">
          <a:extLst>
            <a:ext uri="{FF2B5EF4-FFF2-40B4-BE49-F238E27FC236}">
              <a16:creationId xmlns="" xmlns:a16="http://schemas.microsoft.com/office/drawing/2014/main" id="{00000000-0008-0000-0000-0000B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4" name="Text Box 79">
          <a:extLst>
            <a:ext uri="{FF2B5EF4-FFF2-40B4-BE49-F238E27FC236}">
              <a16:creationId xmlns="" xmlns:a16="http://schemas.microsoft.com/office/drawing/2014/main" id="{00000000-0008-0000-0000-0000B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5" name="Text Box 80">
          <a:extLst>
            <a:ext uri="{FF2B5EF4-FFF2-40B4-BE49-F238E27FC236}">
              <a16:creationId xmlns="" xmlns:a16="http://schemas.microsoft.com/office/drawing/2014/main" id="{00000000-0008-0000-0000-0000B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6" name="Text Box 81">
          <a:extLst>
            <a:ext uri="{FF2B5EF4-FFF2-40B4-BE49-F238E27FC236}">
              <a16:creationId xmlns="" xmlns:a16="http://schemas.microsoft.com/office/drawing/2014/main" id="{00000000-0008-0000-0000-0000B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7" name="Text Box 3079">
          <a:extLst>
            <a:ext uri="{FF2B5EF4-FFF2-40B4-BE49-F238E27FC236}">
              <a16:creationId xmlns="" xmlns:a16="http://schemas.microsoft.com/office/drawing/2014/main" id="{00000000-0008-0000-0000-0000B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8" name="Text Box 3080">
          <a:extLst>
            <a:ext uri="{FF2B5EF4-FFF2-40B4-BE49-F238E27FC236}">
              <a16:creationId xmlns="" xmlns:a16="http://schemas.microsoft.com/office/drawing/2014/main" id="{00000000-0008-0000-0000-0000B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9" name="Text Box 3081">
          <a:extLst>
            <a:ext uri="{FF2B5EF4-FFF2-40B4-BE49-F238E27FC236}">
              <a16:creationId xmlns="" xmlns:a16="http://schemas.microsoft.com/office/drawing/2014/main" id="{00000000-0008-0000-0000-0000B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0" name="Text Box 3082">
          <a:extLst>
            <a:ext uri="{FF2B5EF4-FFF2-40B4-BE49-F238E27FC236}">
              <a16:creationId xmlns="" xmlns:a16="http://schemas.microsoft.com/office/drawing/2014/main" id="{00000000-0008-0000-0000-0000B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1" name="Text Box 3083">
          <a:extLst>
            <a:ext uri="{FF2B5EF4-FFF2-40B4-BE49-F238E27FC236}">
              <a16:creationId xmlns="" xmlns:a16="http://schemas.microsoft.com/office/drawing/2014/main" id="{00000000-0008-0000-0000-0000B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2" name="Text Box 3084">
          <a:extLst>
            <a:ext uri="{FF2B5EF4-FFF2-40B4-BE49-F238E27FC236}">
              <a16:creationId xmlns="" xmlns:a16="http://schemas.microsoft.com/office/drawing/2014/main" id="{00000000-0008-0000-0000-0000B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3" name="Text Box 3085">
          <a:extLst>
            <a:ext uri="{FF2B5EF4-FFF2-40B4-BE49-F238E27FC236}">
              <a16:creationId xmlns="" xmlns:a16="http://schemas.microsoft.com/office/drawing/2014/main" id="{00000000-0008-0000-0000-0000B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4" name="Text Box 3086">
          <a:extLst>
            <a:ext uri="{FF2B5EF4-FFF2-40B4-BE49-F238E27FC236}">
              <a16:creationId xmlns="" xmlns:a16="http://schemas.microsoft.com/office/drawing/2014/main" id="{00000000-0008-0000-0000-0000B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5" name="Text Box 3087">
          <a:extLst>
            <a:ext uri="{FF2B5EF4-FFF2-40B4-BE49-F238E27FC236}">
              <a16:creationId xmlns="" xmlns:a16="http://schemas.microsoft.com/office/drawing/2014/main" id="{00000000-0008-0000-0000-0000B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6" name="Text Box 3088">
          <a:extLst>
            <a:ext uri="{FF2B5EF4-FFF2-40B4-BE49-F238E27FC236}">
              <a16:creationId xmlns="" xmlns:a16="http://schemas.microsoft.com/office/drawing/2014/main" id="{00000000-0008-0000-0000-0000B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7" name="Text Box 3089">
          <a:extLst>
            <a:ext uri="{FF2B5EF4-FFF2-40B4-BE49-F238E27FC236}">
              <a16:creationId xmlns="" xmlns:a16="http://schemas.microsoft.com/office/drawing/2014/main" id="{00000000-0008-0000-0000-0000B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8" name="Text Box 3090">
          <a:extLst>
            <a:ext uri="{FF2B5EF4-FFF2-40B4-BE49-F238E27FC236}">
              <a16:creationId xmlns="" xmlns:a16="http://schemas.microsoft.com/office/drawing/2014/main" id="{00000000-0008-0000-0000-0000C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9" name="Text Box 3091">
          <a:extLst>
            <a:ext uri="{FF2B5EF4-FFF2-40B4-BE49-F238E27FC236}">
              <a16:creationId xmlns="" xmlns:a16="http://schemas.microsoft.com/office/drawing/2014/main" id="{00000000-0008-0000-0000-0000C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0" name="Text Box 3092">
          <a:extLst>
            <a:ext uri="{FF2B5EF4-FFF2-40B4-BE49-F238E27FC236}">
              <a16:creationId xmlns="" xmlns:a16="http://schemas.microsoft.com/office/drawing/2014/main" id="{00000000-0008-0000-0000-0000C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1" name="Text Box 3093">
          <a:extLst>
            <a:ext uri="{FF2B5EF4-FFF2-40B4-BE49-F238E27FC236}">
              <a16:creationId xmlns="" xmlns:a16="http://schemas.microsoft.com/office/drawing/2014/main" id="{00000000-0008-0000-0000-0000C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2" name="Text Box 3094">
          <a:extLst>
            <a:ext uri="{FF2B5EF4-FFF2-40B4-BE49-F238E27FC236}">
              <a16:creationId xmlns="" xmlns:a16="http://schemas.microsoft.com/office/drawing/2014/main" id="{00000000-0008-0000-0000-0000C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3" name="Text Box 3095">
          <a:extLst>
            <a:ext uri="{FF2B5EF4-FFF2-40B4-BE49-F238E27FC236}">
              <a16:creationId xmlns="" xmlns:a16="http://schemas.microsoft.com/office/drawing/2014/main" id="{00000000-0008-0000-0000-0000C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4" name="Text Box 3096">
          <a:extLst>
            <a:ext uri="{FF2B5EF4-FFF2-40B4-BE49-F238E27FC236}">
              <a16:creationId xmlns="" xmlns:a16="http://schemas.microsoft.com/office/drawing/2014/main" id="{00000000-0008-0000-0000-0000C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5" name="Text Box 3097">
          <a:extLst>
            <a:ext uri="{FF2B5EF4-FFF2-40B4-BE49-F238E27FC236}">
              <a16:creationId xmlns="" xmlns:a16="http://schemas.microsoft.com/office/drawing/2014/main" id="{00000000-0008-0000-0000-0000C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6" name="Text Box 3098">
          <a:extLst>
            <a:ext uri="{FF2B5EF4-FFF2-40B4-BE49-F238E27FC236}">
              <a16:creationId xmlns="" xmlns:a16="http://schemas.microsoft.com/office/drawing/2014/main" id="{00000000-0008-0000-0000-0000C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7" name="Text Box 3099">
          <a:extLst>
            <a:ext uri="{FF2B5EF4-FFF2-40B4-BE49-F238E27FC236}">
              <a16:creationId xmlns="" xmlns:a16="http://schemas.microsoft.com/office/drawing/2014/main" id="{00000000-0008-0000-0000-0000C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8" name="Text Box 3100">
          <a:extLst>
            <a:ext uri="{FF2B5EF4-FFF2-40B4-BE49-F238E27FC236}">
              <a16:creationId xmlns="" xmlns:a16="http://schemas.microsoft.com/office/drawing/2014/main" id="{00000000-0008-0000-0000-0000C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9" name="Text Box 3101">
          <a:extLst>
            <a:ext uri="{FF2B5EF4-FFF2-40B4-BE49-F238E27FC236}">
              <a16:creationId xmlns="" xmlns:a16="http://schemas.microsoft.com/office/drawing/2014/main" id="{00000000-0008-0000-0000-0000C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00" name="Text Box 3102">
          <a:extLst>
            <a:ext uri="{FF2B5EF4-FFF2-40B4-BE49-F238E27FC236}">
              <a16:creationId xmlns="" xmlns:a16="http://schemas.microsoft.com/office/drawing/2014/main" id="{00000000-0008-0000-0000-0000C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1" name="Text Box 59">
          <a:extLst>
            <a:ext uri="{FF2B5EF4-FFF2-40B4-BE49-F238E27FC236}">
              <a16:creationId xmlns="" xmlns:a16="http://schemas.microsoft.com/office/drawing/2014/main" id="{00000000-0008-0000-0000-0000C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2" name="Text Box 60">
          <a:extLst>
            <a:ext uri="{FF2B5EF4-FFF2-40B4-BE49-F238E27FC236}">
              <a16:creationId xmlns="" xmlns:a16="http://schemas.microsoft.com/office/drawing/2014/main" id="{00000000-0008-0000-0000-0000C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3" name="Text Box 61">
          <a:extLst>
            <a:ext uri="{FF2B5EF4-FFF2-40B4-BE49-F238E27FC236}">
              <a16:creationId xmlns="" xmlns:a16="http://schemas.microsoft.com/office/drawing/2014/main" id="{00000000-0008-0000-0000-0000C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4" name="Text Box 62">
          <a:extLst>
            <a:ext uri="{FF2B5EF4-FFF2-40B4-BE49-F238E27FC236}">
              <a16:creationId xmlns="" xmlns:a16="http://schemas.microsoft.com/office/drawing/2014/main" id="{00000000-0008-0000-0000-0000D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5" name="Text Box 63">
          <a:extLst>
            <a:ext uri="{FF2B5EF4-FFF2-40B4-BE49-F238E27FC236}">
              <a16:creationId xmlns="" xmlns:a16="http://schemas.microsoft.com/office/drawing/2014/main" id="{00000000-0008-0000-0000-0000D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6" name="Text Box 64">
          <a:extLst>
            <a:ext uri="{FF2B5EF4-FFF2-40B4-BE49-F238E27FC236}">
              <a16:creationId xmlns="" xmlns:a16="http://schemas.microsoft.com/office/drawing/2014/main" id="{00000000-0008-0000-0000-0000D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7" name="Text Box 65">
          <a:extLst>
            <a:ext uri="{FF2B5EF4-FFF2-40B4-BE49-F238E27FC236}">
              <a16:creationId xmlns="" xmlns:a16="http://schemas.microsoft.com/office/drawing/2014/main" id="{00000000-0008-0000-0000-0000D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8" name="Text Box 66">
          <a:extLst>
            <a:ext uri="{FF2B5EF4-FFF2-40B4-BE49-F238E27FC236}">
              <a16:creationId xmlns="" xmlns:a16="http://schemas.microsoft.com/office/drawing/2014/main" id="{00000000-0008-0000-0000-0000D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9" name="Text Box 67">
          <a:extLst>
            <a:ext uri="{FF2B5EF4-FFF2-40B4-BE49-F238E27FC236}">
              <a16:creationId xmlns="" xmlns:a16="http://schemas.microsoft.com/office/drawing/2014/main" id="{00000000-0008-0000-0000-0000D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0" name="Text Box 68">
          <a:extLst>
            <a:ext uri="{FF2B5EF4-FFF2-40B4-BE49-F238E27FC236}">
              <a16:creationId xmlns="" xmlns:a16="http://schemas.microsoft.com/office/drawing/2014/main" id="{00000000-0008-0000-0000-0000D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1" name="Text Box 69">
          <a:extLst>
            <a:ext uri="{FF2B5EF4-FFF2-40B4-BE49-F238E27FC236}">
              <a16:creationId xmlns="" xmlns:a16="http://schemas.microsoft.com/office/drawing/2014/main" id="{00000000-0008-0000-0000-0000D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2" name="Text Box 70">
          <a:extLst>
            <a:ext uri="{FF2B5EF4-FFF2-40B4-BE49-F238E27FC236}">
              <a16:creationId xmlns="" xmlns:a16="http://schemas.microsoft.com/office/drawing/2014/main" id="{00000000-0008-0000-0000-0000D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3" name="Text Box 71">
          <a:extLst>
            <a:ext uri="{FF2B5EF4-FFF2-40B4-BE49-F238E27FC236}">
              <a16:creationId xmlns="" xmlns:a16="http://schemas.microsoft.com/office/drawing/2014/main" id="{00000000-0008-0000-0000-0000D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4" name="Text Box 72">
          <a:extLst>
            <a:ext uri="{FF2B5EF4-FFF2-40B4-BE49-F238E27FC236}">
              <a16:creationId xmlns="" xmlns:a16="http://schemas.microsoft.com/office/drawing/2014/main" id="{00000000-0008-0000-0000-0000D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5" name="Text Box 73">
          <a:extLst>
            <a:ext uri="{FF2B5EF4-FFF2-40B4-BE49-F238E27FC236}">
              <a16:creationId xmlns="" xmlns:a16="http://schemas.microsoft.com/office/drawing/2014/main" id="{00000000-0008-0000-0000-0000D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6" name="Text Box 74">
          <a:extLst>
            <a:ext uri="{FF2B5EF4-FFF2-40B4-BE49-F238E27FC236}">
              <a16:creationId xmlns="" xmlns:a16="http://schemas.microsoft.com/office/drawing/2014/main" id="{00000000-0008-0000-0000-0000D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7" name="Text Box 75">
          <a:extLst>
            <a:ext uri="{FF2B5EF4-FFF2-40B4-BE49-F238E27FC236}">
              <a16:creationId xmlns="" xmlns:a16="http://schemas.microsoft.com/office/drawing/2014/main" id="{00000000-0008-0000-0000-0000D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8" name="Text Box 76">
          <a:extLst>
            <a:ext uri="{FF2B5EF4-FFF2-40B4-BE49-F238E27FC236}">
              <a16:creationId xmlns="" xmlns:a16="http://schemas.microsoft.com/office/drawing/2014/main" id="{00000000-0008-0000-0000-0000D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9" name="Text Box 77">
          <a:extLst>
            <a:ext uri="{FF2B5EF4-FFF2-40B4-BE49-F238E27FC236}">
              <a16:creationId xmlns="" xmlns:a16="http://schemas.microsoft.com/office/drawing/2014/main" id="{00000000-0008-0000-0000-0000D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0" name="Text Box 78">
          <a:extLst>
            <a:ext uri="{FF2B5EF4-FFF2-40B4-BE49-F238E27FC236}">
              <a16:creationId xmlns="" xmlns:a16="http://schemas.microsoft.com/office/drawing/2014/main" id="{00000000-0008-0000-0000-0000E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1" name="Text Box 79">
          <a:extLst>
            <a:ext uri="{FF2B5EF4-FFF2-40B4-BE49-F238E27FC236}">
              <a16:creationId xmlns="" xmlns:a16="http://schemas.microsoft.com/office/drawing/2014/main" id="{00000000-0008-0000-0000-0000E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2" name="Text Box 80">
          <a:extLst>
            <a:ext uri="{FF2B5EF4-FFF2-40B4-BE49-F238E27FC236}">
              <a16:creationId xmlns="" xmlns:a16="http://schemas.microsoft.com/office/drawing/2014/main" id="{00000000-0008-0000-0000-0000E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3" name="Text Box 81">
          <a:extLst>
            <a:ext uri="{FF2B5EF4-FFF2-40B4-BE49-F238E27FC236}">
              <a16:creationId xmlns="" xmlns:a16="http://schemas.microsoft.com/office/drawing/2014/main" id="{00000000-0008-0000-0000-0000E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324" name="Text Box 82">
          <a:extLst>
            <a:ext uri="{FF2B5EF4-FFF2-40B4-BE49-F238E27FC236}">
              <a16:creationId xmlns="" xmlns:a16="http://schemas.microsoft.com/office/drawing/2014/main" id="{00000000-0008-0000-0000-0000E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5" name="Text Box 3079">
          <a:extLst>
            <a:ext uri="{FF2B5EF4-FFF2-40B4-BE49-F238E27FC236}">
              <a16:creationId xmlns="" xmlns:a16="http://schemas.microsoft.com/office/drawing/2014/main" id="{00000000-0008-0000-0000-0000E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6" name="Text Box 3080">
          <a:extLst>
            <a:ext uri="{FF2B5EF4-FFF2-40B4-BE49-F238E27FC236}">
              <a16:creationId xmlns="" xmlns:a16="http://schemas.microsoft.com/office/drawing/2014/main" id="{00000000-0008-0000-0000-0000E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7" name="Text Box 3081">
          <a:extLst>
            <a:ext uri="{FF2B5EF4-FFF2-40B4-BE49-F238E27FC236}">
              <a16:creationId xmlns="" xmlns:a16="http://schemas.microsoft.com/office/drawing/2014/main" id="{00000000-0008-0000-0000-0000E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8" name="Text Box 3082">
          <a:extLst>
            <a:ext uri="{FF2B5EF4-FFF2-40B4-BE49-F238E27FC236}">
              <a16:creationId xmlns="" xmlns:a16="http://schemas.microsoft.com/office/drawing/2014/main" id="{00000000-0008-0000-0000-0000E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9" name="Text Box 3083">
          <a:extLst>
            <a:ext uri="{FF2B5EF4-FFF2-40B4-BE49-F238E27FC236}">
              <a16:creationId xmlns="" xmlns:a16="http://schemas.microsoft.com/office/drawing/2014/main" id="{00000000-0008-0000-0000-0000E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0" name="Text Box 3084">
          <a:extLst>
            <a:ext uri="{FF2B5EF4-FFF2-40B4-BE49-F238E27FC236}">
              <a16:creationId xmlns="" xmlns:a16="http://schemas.microsoft.com/office/drawing/2014/main" id="{00000000-0008-0000-0000-0000E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1" name="Text Box 3085">
          <a:extLst>
            <a:ext uri="{FF2B5EF4-FFF2-40B4-BE49-F238E27FC236}">
              <a16:creationId xmlns="" xmlns:a16="http://schemas.microsoft.com/office/drawing/2014/main" id="{00000000-0008-0000-0000-0000E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2" name="Text Box 3086">
          <a:extLst>
            <a:ext uri="{FF2B5EF4-FFF2-40B4-BE49-F238E27FC236}">
              <a16:creationId xmlns="" xmlns:a16="http://schemas.microsoft.com/office/drawing/2014/main" id="{00000000-0008-0000-0000-0000E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3" name="Text Box 3087">
          <a:extLst>
            <a:ext uri="{FF2B5EF4-FFF2-40B4-BE49-F238E27FC236}">
              <a16:creationId xmlns="" xmlns:a16="http://schemas.microsoft.com/office/drawing/2014/main" id="{00000000-0008-0000-0000-0000E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4" name="Text Box 3088">
          <a:extLst>
            <a:ext uri="{FF2B5EF4-FFF2-40B4-BE49-F238E27FC236}">
              <a16:creationId xmlns="" xmlns:a16="http://schemas.microsoft.com/office/drawing/2014/main" id="{00000000-0008-0000-0000-0000E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5" name="Text Box 3089">
          <a:extLst>
            <a:ext uri="{FF2B5EF4-FFF2-40B4-BE49-F238E27FC236}">
              <a16:creationId xmlns="" xmlns:a16="http://schemas.microsoft.com/office/drawing/2014/main" id="{00000000-0008-0000-0000-0000E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6" name="Text Box 3090">
          <a:extLst>
            <a:ext uri="{FF2B5EF4-FFF2-40B4-BE49-F238E27FC236}">
              <a16:creationId xmlns="" xmlns:a16="http://schemas.microsoft.com/office/drawing/2014/main" id="{00000000-0008-0000-0000-0000F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7" name="Text Box 3091">
          <a:extLst>
            <a:ext uri="{FF2B5EF4-FFF2-40B4-BE49-F238E27FC236}">
              <a16:creationId xmlns="" xmlns:a16="http://schemas.microsoft.com/office/drawing/2014/main" id="{00000000-0008-0000-0000-0000F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8" name="Text Box 3092">
          <a:extLst>
            <a:ext uri="{FF2B5EF4-FFF2-40B4-BE49-F238E27FC236}">
              <a16:creationId xmlns="" xmlns:a16="http://schemas.microsoft.com/office/drawing/2014/main" id="{00000000-0008-0000-0000-0000F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9" name="Text Box 3093">
          <a:extLst>
            <a:ext uri="{FF2B5EF4-FFF2-40B4-BE49-F238E27FC236}">
              <a16:creationId xmlns="" xmlns:a16="http://schemas.microsoft.com/office/drawing/2014/main" id="{00000000-0008-0000-0000-0000F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0" name="Text Box 3094">
          <a:extLst>
            <a:ext uri="{FF2B5EF4-FFF2-40B4-BE49-F238E27FC236}">
              <a16:creationId xmlns="" xmlns:a16="http://schemas.microsoft.com/office/drawing/2014/main" id="{00000000-0008-0000-0000-0000F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1" name="Text Box 3095">
          <a:extLst>
            <a:ext uri="{FF2B5EF4-FFF2-40B4-BE49-F238E27FC236}">
              <a16:creationId xmlns="" xmlns:a16="http://schemas.microsoft.com/office/drawing/2014/main" id="{00000000-0008-0000-0000-0000F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2" name="Text Box 3096">
          <a:extLst>
            <a:ext uri="{FF2B5EF4-FFF2-40B4-BE49-F238E27FC236}">
              <a16:creationId xmlns="" xmlns:a16="http://schemas.microsoft.com/office/drawing/2014/main" id="{00000000-0008-0000-0000-0000F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3" name="Text Box 3097">
          <a:extLst>
            <a:ext uri="{FF2B5EF4-FFF2-40B4-BE49-F238E27FC236}">
              <a16:creationId xmlns="" xmlns:a16="http://schemas.microsoft.com/office/drawing/2014/main" id="{00000000-0008-0000-0000-0000F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4" name="Text Box 3098">
          <a:extLst>
            <a:ext uri="{FF2B5EF4-FFF2-40B4-BE49-F238E27FC236}">
              <a16:creationId xmlns="" xmlns:a16="http://schemas.microsoft.com/office/drawing/2014/main" id="{00000000-0008-0000-0000-0000F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5" name="Text Box 3099">
          <a:extLst>
            <a:ext uri="{FF2B5EF4-FFF2-40B4-BE49-F238E27FC236}">
              <a16:creationId xmlns="" xmlns:a16="http://schemas.microsoft.com/office/drawing/2014/main" id="{00000000-0008-0000-0000-0000F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6" name="Text Box 3100">
          <a:extLst>
            <a:ext uri="{FF2B5EF4-FFF2-40B4-BE49-F238E27FC236}">
              <a16:creationId xmlns="" xmlns:a16="http://schemas.microsoft.com/office/drawing/2014/main" id="{00000000-0008-0000-0000-0000F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7" name="Text Box 3101">
          <a:extLst>
            <a:ext uri="{FF2B5EF4-FFF2-40B4-BE49-F238E27FC236}">
              <a16:creationId xmlns="" xmlns:a16="http://schemas.microsoft.com/office/drawing/2014/main" id="{00000000-0008-0000-0000-0000F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48" name="Text Box 3102">
          <a:extLst>
            <a:ext uri="{FF2B5EF4-FFF2-40B4-BE49-F238E27FC236}">
              <a16:creationId xmlns="" xmlns:a16="http://schemas.microsoft.com/office/drawing/2014/main" id="{00000000-0008-0000-0000-0000F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49" name="Text Box 59">
          <a:extLst>
            <a:ext uri="{FF2B5EF4-FFF2-40B4-BE49-F238E27FC236}">
              <a16:creationId xmlns="" xmlns:a16="http://schemas.microsoft.com/office/drawing/2014/main" id="{00000000-0008-0000-0000-0000F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0" name="Text Box 60">
          <a:extLst>
            <a:ext uri="{FF2B5EF4-FFF2-40B4-BE49-F238E27FC236}">
              <a16:creationId xmlns="" xmlns:a16="http://schemas.microsoft.com/office/drawing/2014/main" id="{00000000-0008-0000-0000-0000F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1" name="Text Box 61">
          <a:extLst>
            <a:ext uri="{FF2B5EF4-FFF2-40B4-BE49-F238E27FC236}">
              <a16:creationId xmlns="" xmlns:a16="http://schemas.microsoft.com/office/drawing/2014/main" id="{00000000-0008-0000-0000-0000F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2" name="Text Box 62">
          <a:extLst>
            <a:ext uri="{FF2B5EF4-FFF2-40B4-BE49-F238E27FC236}">
              <a16:creationId xmlns="" xmlns:a16="http://schemas.microsoft.com/office/drawing/2014/main" id="{00000000-0008-0000-0000-00000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3" name="Text Box 63">
          <a:extLst>
            <a:ext uri="{FF2B5EF4-FFF2-40B4-BE49-F238E27FC236}">
              <a16:creationId xmlns="" xmlns:a16="http://schemas.microsoft.com/office/drawing/2014/main" id="{00000000-0008-0000-0000-00000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4" name="Text Box 64">
          <a:extLst>
            <a:ext uri="{FF2B5EF4-FFF2-40B4-BE49-F238E27FC236}">
              <a16:creationId xmlns="" xmlns:a16="http://schemas.microsoft.com/office/drawing/2014/main" id="{00000000-0008-0000-0000-00000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5" name="Text Box 65">
          <a:extLst>
            <a:ext uri="{FF2B5EF4-FFF2-40B4-BE49-F238E27FC236}">
              <a16:creationId xmlns="" xmlns:a16="http://schemas.microsoft.com/office/drawing/2014/main" id="{00000000-0008-0000-0000-00000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6" name="Text Box 66">
          <a:extLst>
            <a:ext uri="{FF2B5EF4-FFF2-40B4-BE49-F238E27FC236}">
              <a16:creationId xmlns="" xmlns:a16="http://schemas.microsoft.com/office/drawing/2014/main" id="{00000000-0008-0000-0000-00000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7" name="Text Box 67">
          <a:extLst>
            <a:ext uri="{FF2B5EF4-FFF2-40B4-BE49-F238E27FC236}">
              <a16:creationId xmlns="" xmlns:a16="http://schemas.microsoft.com/office/drawing/2014/main" id="{00000000-0008-0000-0000-00000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8" name="Text Box 68">
          <a:extLst>
            <a:ext uri="{FF2B5EF4-FFF2-40B4-BE49-F238E27FC236}">
              <a16:creationId xmlns="" xmlns:a16="http://schemas.microsoft.com/office/drawing/2014/main" id="{00000000-0008-0000-0000-00000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9" name="Text Box 69">
          <a:extLst>
            <a:ext uri="{FF2B5EF4-FFF2-40B4-BE49-F238E27FC236}">
              <a16:creationId xmlns="" xmlns:a16="http://schemas.microsoft.com/office/drawing/2014/main" id="{00000000-0008-0000-0000-00000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0" name="Text Box 70">
          <a:extLst>
            <a:ext uri="{FF2B5EF4-FFF2-40B4-BE49-F238E27FC236}">
              <a16:creationId xmlns="" xmlns:a16="http://schemas.microsoft.com/office/drawing/2014/main" id="{00000000-0008-0000-0000-00000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1" name="Text Box 71">
          <a:extLst>
            <a:ext uri="{FF2B5EF4-FFF2-40B4-BE49-F238E27FC236}">
              <a16:creationId xmlns="" xmlns:a16="http://schemas.microsoft.com/office/drawing/2014/main" id="{00000000-0008-0000-0000-00000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2" name="Text Box 72">
          <a:extLst>
            <a:ext uri="{FF2B5EF4-FFF2-40B4-BE49-F238E27FC236}">
              <a16:creationId xmlns="" xmlns:a16="http://schemas.microsoft.com/office/drawing/2014/main" id="{00000000-0008-0000-0000-00000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3" name="Text Box 73">
          <a:extLst>
            <a:ext uri="{FF2B5EF4-FFF2-40B4-BE49-F238E27FC236}">
              <a16:creationId xmlns="" xmlns:a16="http://schemas.microsoft.com/office/drawing/2014/main" id="{00000000-0008-0000-0000-00000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4" name="Text Box 74">
          <a:extLst>
            <a:ext uri="{FF2B5EF4-FFF2-40B4-BE49-F238E27FC236}">
              <a16:creationId xmlns="" xmlns:a16="http://schemas.microsoft.com/office/drawing/2014/main" id="{00000000-0008-0000-0000-00000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5" name="Text Box 75">
          <a:extLst>
            <a:ext uri="{FF2B5EF4-FFF2-40B4-BE49-F238E27FC236}">
              <a16:creationId xmlns="" xmlns:a16="http://schemas.microsoft.com/office/drawing/2014/main" id="{00000000-0008-0000-0000-00000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6" name="Text Box 76">
          <a:extLst>
            <a:ext uri="{FF2B5EF4-FFF2-40B4-BE49-F238E27FC236}">
              <a16:creationId xmlns="" xmlns:a16="http://schemas.microsoft.com/office/drawing/2014/main" id="{00000000-0008-0000-0000-00000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7" name="Text Box 77">
          <a:extLst>
            <a:ext uri="{FF2B5EF4-FFF2-40B4-BE49-F238E27FC236}">
              <a16:creationId xmlns="" xmlns:a16="http://schemas.microsoft.com/office/drawing/2014/main" id="{00000000-0008-0000-0000-00000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8" name="Text Box 78">
          <a:extLst>
            <a:ext uri="{FF2B5EF4-FFF2-40B4-BE49-F238E27FC236}">
              <a16:creationId xmlns="" xmlns:a16="http://schemas.microsoft.com/office/drawing/2014/main" id="{00000000-0008-0000-0000-00001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9" name="Text Box 79">
          <a:extLst>
            <a:ext uri="{FF2B5EF4-FFF2-40B4-BE49-F238E27FC236}">
              <a16:creationId xmlns="" xmlns:a16="http://schemas.microsoft.com/office/drawing/2014/main" id="{00000000-0008-0000-0000-00001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70" name="Text Box 80">
          <a:extLst>
            <a:ext uri="{FF2B5EF4-FFF2-40B4-BE49-F238E27FC236}">
              <a16:creationId xmlns="" xmlns:a16="http://schemas.microsoft.com/office/drawing/2014/main" id="{00000000-0008-0000-0000-00001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71" name="Text Box 81">
          <a:extLst>
            <a:ext uri="{FF2B5EF4-FFF2-40B4-BE49-F238E27FC236}">
              <a16:creationId xmlns="" xmlns:a16="http://schemas.microsoft.com/office/drawing/2014/main" id="{00000000-0008-0000-0000-00001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2" name="Text Box 3079">
          <a:extLst>
            <a:ext uri="{FF2B5EF4-FFF2-40B4-BE49-F238E27FC236}">
              <a16:creationId xmlns="" xmlns:a16="http://schemas.microsoft.com/office/drawing/2014/main" id="{00000000-0008-0000-0000-00001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3" name="Text Box 3080">
          <a:extLst>
            <a:ext uri="{FF2B5EF4-FFF2-40B4-BE49-F238E27FC236}">
              <a16:creationId xmlns="" xmlns:a16="http://schemas.microsoft.com/office/drawing/2014/main" id="{00000000-0008-0000-0000-00001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4" name="Text Box 3081">
          <a:extLst>
            <a:ext uri="{FF2B5EF4-FFF2-40B4-BE49-F238E27FC236}">
              <a16:creationId xmlns="" xmlns:a16="http://schemas.microsoft.com/office/drawing/2014/main" id="{00000000-0008-0000-0000-00001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5" name="Text Box 3082">
          <a:extLst>
            <a:ext uri="{FF2B5EF4-FFF2-40B4-BE49-F238E27FC236}">
              <a16:creationId xmlns="" xmlns:a16="http://schemas.microsoft.com/office/drawing/2014/main" id="{00000000-0008-0000-0000-00001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6" name="Text Box 3083">
          <a:extLst>
            <a:ext uri="{FF2B5EF4-FFF2-40B4-BE49-F238E27FC236}">
              <a16:creationId xmlns="" xmlns:a16="http://schemas.microsoft.com/office/drawing/2014/main" id="{00000000-0008-0000-0000-00001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7" name="Text Box 3084">
          <a:extLst>
            <a:ext uri="{FF2B5EF4-FFF2-40B4-BE49-F238E27FC236}">
              <a16:creationId xmlns="" xmlns:a16="http://schemas.microsoft.com/office/drawing/2014/main" id="{00000000-0008-0000-0000-00001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8" name="Text Box 3085">
          <a:extLst>
            <a:ext uri="{FF2B5EF4-FFF2-40B4-BE49-F238E27FC236}">
              <a16:creationId xmlns="" xmlns:a16="http://schemas.microsoft.com/office/drawing/2014/main" id="{00000000-0008-0000-0000-00001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9" name="Text Box 3086">
          <a:extLst>
            <a:ext uri="{FF2B5EF4-FFF2-40B4-BE49-F238E27FC236}">
              <a16:creationId xmlns="" xmlns:a16="http://schemas.microsoft.com/office/drawing/2014/main" id="{00000000-0008-0000-0000-00001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0" name="Text Box 3087">
          <a:extLst>
            <a:ext uri="{FF2B5EF4-FFF2-40B4-BE49-F238E27FC236}">
              <a16:creationId xmlns="" xmlns:a16="http://schemas.microsoft.com/office/drawing/2014/main" id="{00000000-0008-0000-0000-00001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1" name="Text Box 3088">
          <a:extLst>
            <a:ext uri="{FF2B5EF4-FFF2-40B4-BE49-F238E27FC236}">
              <a16:creationId xmlns="" xmlns:a16="http://schemas.microsoft.com/office/drawing/2014/main" id="{00000000-0008-0000-0000-00001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2" name="Text Box 3089">
          <a:extLst>
            <a:ext uri="{FF2B5EF4-FFF2-40B4-BE49-F238E27FC236}">
              <a16:creationId xmlns="" xmlns:a16="http://schemas.microsoft.com/office/drawing/2014/main" id="{00000000-0008-0000-0000-00001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3" name="Text Box 3090">
          <a:extLst>
            <a:ext uri="{FF2B5EF4-FFF2-40B4-BE49-F238E27FC236}">
              <a16:creationId xmlns="" xmlns:a16="http://schemas.microsoft.com/office/drawing/2014/main" id="{00000000-0008-0000-0000-00001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4" name="Text Box 3091">
          <a:extLst>
            <a:ext uri="{FF2B5EF4-FFF2-40B4-BE49-F238E27FC236}">
              <a16:creationId xmlns="" xmlns:a16="http://schemas.microsoft.com/office/drawing/2014/main" id="{00000000-0008-0000-0000-00002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5" name="Text Box 3092">
          <a:extLst>
            <a:ext uri="{FF2B5EF4-FFF2-40B4-BE49-F238E27FC236}">
              <a16:creationId xmlns="" xmlns:a16="http://schemas.microsoft.com/office/drawing/2014/main" id="{00000000-0008-0000-0000-00002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6" name="Text Box 3093">
          <a:extLst>
            <a:ext uri="{FF2B5EF4-FFF2-40B4-BE49-F238E27FC236}">
              <a16:creationId xmlns="" xmlns:a16="http://schemas.microsoft.com/office/drawing/2014/main" id="{00000000-0008-0000-0000-00002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7" name="Text Box 3094">
          <a:extLst>
            <a:ext uri="{FF2B5EF4-FFF2-40B4-BE49-F238E27FC236}">
              <a16:creationId xmlns="" xmlns:a16="http://schemas.microsoft.com/office/drawing/2014/main" id="{00000000-0008-0000-0000-00002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8" name="Text Box 3095">
          <a:extLst>
            <a:ext uri="{FF2B5EF4-FFF2-40B4-BE49-F238E27FC236}">
              <a16:creationId xmlns="" xmlns:a16="http://schemas.microsoft.com/office/drawing/2014/main" id="{00000000-0008-0000-0000-00002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9" name="Text Box 3096">
          <a:extLst>
            <a:ext uri="{FF2B5EF4-FFF2-40B4-BE49-F238E27FC236}">
              <a16:creationId xmlns="" xmlns:a16="http://schemas.microsoft.com/office/drawing/2014/main" id="{00000000-0008-0000-0000-00002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0" name="Text Box 3097">
          <a:extLst>
            <a:ext uri="{FF2B5EF4-FFF2-40B4-BE49-F238E27FC236}">
              <a16:creationId xmlns="" xmlns:a16="http://schemas.microsoft.com/office/drawing/2014/main" id="{00000000-0008-0000-0000-00002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1" name="Text Box 3098">
          <a:extLst>
            <a:ext uri="{FF2B5EF4-FFF2-40B4-BE49-F238E27FC236}">
              <a16:creationId xmlns="" xmlns:a16="http://schemas.microsoft.com/office/drawing/2014/main" id="{00000000-0008-0000-0000-00002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2" name="Text Box 3099">
          <a:extLst>
            <a:ext uri="{FF2B5EF4-FFF2-40B4-BE49-F238E27FC236}">
              <a16:creationId xmlns="" xmlns:a16="http://schemas.microsoft.com/office/drawing/2014/main" id="{00000000-0008-0000-0000-00002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3" name="Text Box 3100">
          <a:extLst>
            <a:ext uri="{FF2B5EF4-FFF2-40B4-BE49-F238E27FC236}">
              <a16:creationId xmlns="" xmlns:a16="http://schemas.microsoft.com/office/drawing/2014/main" id="{00000000-0008-0000-0000-00002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4" name="Text Box 3101">
          <a:extLst>
            <a:ext uri="{FF2B5EF4-FFF2-40B4-BE49-F238E27FC236}">
              <a16:creationId xmlns="" xmlns:a16="http://schemas.microsoft.com/office/drawing/2014/main" id="{00000000-0008-0000-0000-00002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95" name="Text Box 3102">
          <a:extLst>
            <a:ext uri="{FF2B5EF4-FFF2-40B4-BE49-F238E27FC236}">
              <a16:creationId xmlns="" xmlns:a16="http://schemas.microsoft.com/office/drawing/2014/main" id="{00000000-0008-0000-0000-00002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6" name="Text Box 59">
          <a:extLst>
            <a:ext uri="{FF2B5EF4-FFF2-40B4-BE49-F238E27FC236}">
              <a16:creationId xmlns="" xmlns:a16="http://schemas.microsoft.com/office/drawing/2014/main" id="{00000000-0008-0000-0000-00002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7" name="Text Box 60">
          <a:extLst>
            <a:ext uri="{FF2B5EF4-FFF2-40B4-BE49-F238E27FC236}">
              <a16:creationId xmlns="" xmlns:a16="http://schemas.microsoft.com/office/drawing/2014/main" id="{00000000-0008-0000-0000-00002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8" name="Text Box 61">
          <a:extLst>
            <a:ext uri="{FF2B5EF4-FFF2-40B4-BE49-F238E27FC236}">
              <a16:creationId xmlns="" xmlns:a16="http://schemas.microsoft.com/office/drawing/2014/main" id="{00000000-0008-0000-0000-00002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9" name="Text Box 62">
          <a:extLst>
            <a:ext uri="{FF2B5EF4-FFF2-40B4-BE49-F238E27FC236}">
              <a16:creationId xmlns="" xmlns:a16="http://schemas.microsoft.com/office/drawing/2014/main" id="{00000000-0008-0000-0000-00002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0" name="Text Box 63">
          <a:extLst>
            <a:ext uri="{FF2B5EF4-FFF2-40B4-BE49-F238E27FC236}">
              <a16:creationId xmlns="" xmlns:a16="http://schemas.microsoft.com/office/drawing/2014/main" id="{00000000-0008-0000-0000-00003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1" name="Text Box 64">
          <a:extLst>
            <a:ext uri="{FF2B5EF4-FFF2-40B4-BE49-F238E27FC236}">
              <a16:creationId xmlns="" xmlns:a16="http://schemas.microsoft.com/office/drawing/2014/main" id="{00000000-0008-0000-0000-00003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2" name="Text Box 65">
          <a:extLst>
            <a:ext uri="{FF2B5EF4-FFF2-40B4-BE49-F238E27FC236}">
              <a16:creationId xmlns="" xmlns:a16="http://schemas.microsoft.com/office/drawing/2014/main" id="{00000000-0008-0000-0000-00003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3" name="Text Box 66">
          <a:extLst>
            <a:ext uri="{FF2B5EF4-FFF2-40B4-BE49-F238E27FC236}">
              <a16:creationId xmlns="" xmlns:a16="http://schemas.microsoft.com/office/drawing/2014/main" id="{00000000-0008-0000-0000-00003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4" name="Text Box 67">
          <a:extLst>
            <a:ext uri="{FF2B5EF4-FFF2-40B4-BE49-F238E27FC236}">
              <a16:creationId xmlns="" xmlns:a16="http://schemas.microsoft.com/office/drawing/2014/main" id="{00000000-0008-0000-0000-00003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5" name="Text Box 68">
          <a:extLst>
            <a:ext uri="{FF2B5EF4-FFF2-40B4-BE49-F238E27FC236}">
              <a16:creationId xmlns="" xmlns:a16="http://schemas.microsoft.com/office/drawing/2014/main" id="{00000000-0008-0000-0000-00003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6" name="Text Box 69">
          <a:extLst>
            <a:ext uri="{FF2B5EF4-FFF2-40B4-BE49-F238E27FC236}">
              <a16:creationId xmlns="" xmlns:a16="http://schemas.microsoft.com/office/drawing/2014/main" id="{00000000-0008-0000-0000-00003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7" name="Text Box 70">
          <a:extLst>
            <a:ext uri="{FF2B5EF4-FFF2-40B4-BE49-F238E27FC236}">
              <a16:creationId xmlns="" xmlns:a16="http://schemas.microsoft.com/office/drawing/2014/main" id="{00000000-0008-0000-0000-00003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8" name="Text Box 71">
          <a:extLst>
            <a:ext uri="{FF2B5EF4-FFF2-40B4-BE49-F238E27FC236}">
              <a16:creationId xmlns="" xmlns:a16="http://schemas.microsoft.com/office/drawing/2014/main" id="{00000000-0008-0000-0000-00003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9" name="Text Box 72">
          <a:extLst>
            <a:ext uri="{FF2B5EF4-FFF2-40B4-BE49-F238E27FC236}">
              <a16:creationId xmlns="" xmlns:a16="http://schemas.microsoft.com/office/drawing/2014/main" id="{00000000-0008-0000-0000-00003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0" name="Text Box 73">
          <a:extLst>
            <a:ext uri="{FF2B5EF4-FFF2-40B4-BE49-F238E27FC236}">
              <a16:creationId xmlns="" xmlns:a16="http://schemas.microsoft.com/office/drawing/2014/main" id="{00000000-0008-0000-0000-00003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1" name="Text Box 74">
          <a:extLst>
            <a:ext uri="{FF2B5EF4-FFF2-40B4-BE49-F238E27FC236}">
              <a16:creationId xmlns="" xmlns:a16="http://schemas.microsoft.com/office/drawing/2014/main" id="{00000000-0008-0000-0000-00003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2" name="Text Box 75">
          <a:extLst>
            <a:ext uri="{FF2B5EF4-FFF2-40B4-BE49-F238E27FC236}">
              <a16:creationId xmlns="" xmlns:a16="http://schemas.microsoft.com/office/drawing/2014/main" id="{00000000-0008-0000-0000-00003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3" name="Text Box 76">
          <a:extLst>
            <a:ext uri="{FF2B5EF4-FFF2-40B4-BE49-F238E27FC236}">
              <a16:creationId xmlns="" xmlns:a16="http://schemas.microsoft.com/office/drawing/2014/main" id="{00000000-0008-0000-0000-00003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4" name="Text Box 77">
          <a:extLst>
            <a:ext uri="{FF2B5EF4-FFF2-40B4-BE49-F238E27FC236}">
              <a16:creationId xmlns="" xmlns:a16="http://schemas.microsoft.com/office/drawing/2014/main" id="{00000000-0008-0000-0000-00003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5" name="Text Box 78">
          <a:extLst>
            <a:ext uri="{FF2B5EF4-FFF2-40B4-BE49-F238E27FC236}">
              <a16:creationId xmlns="" xmlns:a16="http://schemas.microsoft.com/office/drawing/2014/main" id="{00000000-0008-0000-0000-00003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6" name="Text Box 79">
          <a:extLst>
            <a:ext uri="{FF2B5EF4-FFF2-40B4-BE49-F238E27FC236}">
              <a16:creationId xmlns="" xmlns:a16="http://schemas.microsoft.com/office/drawing/2014/main" id="{00000000-0008-0000-0000-00004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7" name="Text Box 80">
          <a:extLst>
            <a:ext uri="{FF2B5EF4-FFF2-40B4-BE49-F238E27FC236}">
              <a16:creationId xmlns="" xmlns:a16="http://schemas.microsoft.com/office/drawing/2014/main" id="{00000000-0008-0000-0000-00004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8" name="Text Box 81">
          <a:extLst>
            <a:ext uri="{FF2B5EF4-FFF2-40B4-BE49-F238E27FC236}">
              <a16:creationId xmlns="" xmlns:a16="http://schemas.microsoft.com/office/drawing/2014/main" id="{00000000-0008-0000-0000-00004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419" name="Text Box 82">
          <a:extLst>
            <a:ext uri="{FF2B5EF4-FFF2-40B4-BE49-F238E27FC236}">
              <a16:creationId xmlns="" xmlns:a16="http://schemas.microsoft.com/office/drawing/2014/main" id="{00000000-0008-0000-0000-00004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0" name="Text Box 3079">
          <a:extLst>
            <a:ext uri="{FF2B5EF4-FFF2-40B4-BE49-F238E27FC236}">
              <a16:creationId xmlns="" xmlns:a16="http://schemas.microsoft.com/office/drawing/2014/main" id="{00000000-0008-0000-0000-00004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1" name="Text Box 3080">
          <a:extLst>
            <a:ext uri="{FF2B5EF4-FFF2-40B4-BE49-F238E27FC236}">
              <a16:creationId xmlns="" xmlns:a16="http://schemas.microsoft.com/office/drawing/2014/main" id="{00000000-0008-0000-0000-00004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2" name="Text Box 3081">
          <a:extLst>
            <a:ext uri="{FF2B5EF4-FFF2-40B4-BE49-F238E27FC236}">
              <a16:creationId xmlns="" xmlns:a16="http://schemas.microsoft.com/office/drawing/2014/main" id="{00000000-0008-0000-0000-00004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3" name="Text Box 3082">
          <a:extLst>
            <a:ext uri="{FF2B5EF4-FFF2-40B4-BE49-F238E27FC236}">
              <a16:creationId xmlns="" xmlns:a16="http://schemas.microsoft.com/office/drawing/2014/main" id="{00000000-0008-0000-0000-00004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4" name="Text Box 3083">
          <a:extLst>
            <a:ext uri="{FF2B5EF4-FFF2-40B4-BE49-F238E27FC236}">
              <a16:creationId xmlns="" xmlns:a16="http://schemas.microsoft.com/office/drawing/2014/main" id="{00000000-0008-0000-0000-00004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5" name="Text Box 3084">
          <a:extLst>
            <a:ext uri="{FF2B5EF4-FFF2-40B4-BE49-F238E27FC236}">
              <a16:creationId xmlns="" xmlns:a16="http://schemas.microsoft.com/office/drawing/2014/main" id="{00000000-0008-0000-0000-00004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6" name="Text Box 3085">
          <a:extLst>
            <a:ext uri="{FF2B5EF4-FFF2-40B4-BE49-F238E27FC236}">
              <a16:creationId xmlns="" xmlns:a16="http://schemas.microsoft.com/office/drawing/2014/main" id="{00000000-0008-0000-0000-00004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7" name="Text Box 3086">
          <a:extLst>
            <a:ext uri="{FF2B5EF4-FFF2-40B4-BE49-F238E27FC236}">
              <a16:creationId xmlns="" xmlns:a16="http://schemas.microsoft.com/office/drawing/2014/main" id="{00000000-0008-0000-0000-00004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8" name="Text Box 3087">
          <a:extLst>
            <a:ext uri="{FF2B5EF4-FFF2-40B4-BE49-F238E27FC236}">
              <a16:creationId xmlns="" xmlns:a16="http://schemas.microsoft.com/office/drawing/2014/main" id="{00000000-0008-0000-0000-00004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9" name="Text Box 3088">
          <a:extLst>
            <a:ext uri="{FF2B5EF4-FFF2-40B4-BE49-F238E27FC236}">
              <a16:creationId xmlns="" xmlns:a16="http://schemas.microsoft.com/office/drawing/2014/main" id="{00000000-0008-0000-0000-00004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0" name="Text Box 3089">
          <a:extLst>
            <a:ext uri="{FF2B5EF4-FFF2-40B4-BE49-F238E27FC236}">
              <a16:creationId xmlns="" xmlns:a16="http://schemas.microsoft.com/office/drawing/2014/main" id="{00000000-0008-0000-0000-00004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1" name="Text Box 3090">
          <a:extLst>
            <a:ext uri="{FF2B5EF4-FFF2-40B4-BE49-F238E27FC236}">
              <a16:creationId xmlns="" xmlns:a16="http://schemas.microsoft.com/office/drawing/2014/main" id="{00000000-0008-0000-0000-00004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2" name="Text Box 3091">
          <a:extLst>
            <a:ext uri="{FF2B5EF4-FFF2-40B4-BE49-F238E27FC236}">
              <a16:creationId xmlns="" xmlns:a16="http://schemas.microsoft.com/office/drawing/2014/main" id="{00000000-0008-0000-0000-00005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3" name="Text Box 3092">
          <a:extLst>
            <a:ext uri="{FF2B5EF4-FFF2-40B4-BE49-F238E27FC236}">
              <a16:creationId xmlns="" xmlns:a16="http://schemas.microsoft.com/office/drawing/2014/main" id="{00000000-0008-0000-0000-00005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4" name="Text Box 3093">
          <a:extLst>
            <a:ext uri="{FF2B5EF4-FFF2-40B4-BE49-F238E27FC236}">
              <a16:creationId xmlns="" xmlns:a16="http://schemas.microsoft.com/office/drawing/2014/main" id="{00000000-0008-0000-0000-00005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5" name="Text Box 3094">
          <a:extLst>
            <a:ext uri="{FF2B5EF4-FFF2-40B4-BE49-F238E27FC236}">
              <a16:creationId xmlns="" xmlns:a16="http://schemas.microsoft.com/office/drawing/2014/main" id="{00000000-0008-0000-0000-00005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6" name="Text Box 3095">
          <a:extLst>
            <a:ext uri="{FF2B5EF4-FFF2-40B4-BE49-F238E27FC236}">
              <a16:creationId xmlns="" xmlns:a16="http://schemas.microsoft.com/office/drawing/2014/main" id="{00000000-0008-0000-0000-00005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7" name="Text Box 3096">
          <a:extLst>
            <a:ext uri="{FF2B5EF4-FFF2-40B4-BE49-F238E27FC236}">
              <a16:creationId xmlns="" xmlns:a16="http://schemas.microsoft.com/office/drawing/2014/main" id="{00000000-0008-0000-0000-00005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8" name="Text Box 3097">
          <a:extLst>
            <a:ext uri="{FF2B5EF4-FFF2-40B4-BE49-F238E27FC236}">
              <a16:creationId xmlns="" xmlns:a16="http://schemas.microsoft.com/office/drawing/2014/main" id="{00000000-0008-0000-0000-00005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9" name="Text Box 3098">
          <a:extLst>
            <a:ext uri="{FF2B5EF4-FFF2-40B4-BE49-F238E27FC236}">
              <a16:creationId xmlns="" xmlns:a16="http://schemas.microsoft.com/office/drawing/2014/main" id="{00000000-0008-0000-0000-00005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0" name="Text Box 3099">
          <a:extLst>
            <a:ext uri="{FF2B5EF4-FFF2-40B4-BE49-F238E27FC236}">
              <a16:creationId xmlns="" xmlns:a16="http://schemas.microsoft.com/office/drawing/2014/main" id="{00000000-0008-0000-0000-00005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1" name="Text Box 3100">
          <a:extLst>
            <a:ext uri="{FF2B5EF4-FFF2-40B4-BE49-F238E27FC236}">
              <a16:creationId xmlns="" xmlns:a16="http://schemas.microsoft.com/office/drawing/2014/main" id="{00000000-0008-0000-0000-00005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2" name="Text Box 3101">
          <a:extLst>
            <a:ext uri="{FF2B5EF4-FFF2-40B4-BE49-F238E27FC236}">
              <a16:creationId xmlns="" xmlns:a16="http://schemas.microsoft.com/office/drawing/2014/main" id="{00000000-0008-0000-0000-00005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443" name="Text Box 3102">
          <a:extLst>
            <a:ext uri="{FF2B5EF4-FFF2-40B4-BE49-F238E27FC236}">
              <a16:creationId xmlns="" xmlns:a16="http://schemas.microsoft.com/office/drawing/2014/main" id="{00000000-0008-0000-0000-00005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4" name="Text Box 59">
          <a:extLst>
            <a:ext uri="{FF2B5EF4-FFF2-40B4-BE49-F238E27FC236}">
              <a16:creationId xmlns="" xmlns:a16="http://schemas.microsoft.com/office/drawing/2014/main" id="{00000000-0008-0000-0000-00005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5" name="Text Box 60">
          <a:extLst>
            <a:ext uri="{FF2B5EF4-FFF2-40B4-BE49-F238E27FC236}">
              <a16:creationId xmlns="" xmlns:a16="http://schemas.microsoft.com/office/drawing/2014/main" id="{00000000-0008-0000-0000-00005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6" name="Text Box 61">
          <a:extLst>
            <a:ext uri="{FF2B5EF4-FFF2-40B4-BE49-F238E27FC236}">
              <a16:creationId xmlns="" xmlns:a16="http://schemas.microsoft.com/office/drawing/2014/main" id="{00000000-0008-0000-0000-00005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7" name="Text Box 62">
          <a:extLst>
            <a:ext uri="{FF2B5EF4-FFF2-40B4-BE49-F238E27FC236}">
              <a16:creationId xmlns="" xmlns:a16="http://schemas.microsoft.com/office/drawing/2014/main" id="{00000000-0008-0000-0000-00005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8" name="Text Box 63">
          <a:extLst>
            <a:ext uri="{FF2B5EF4-FFF2-40B4-BE49-F238E27FC236}">
              <a16:creationId xmlns="" xmlns:a16="http://schemas.microsoft.com/office/drawing/2014/main" id="{00000000-0008-0000-0000-00006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9" name="Text Box 64">
          <a:extLst>
            <a:ext uri="{FF2B5EF4-FFF2-40B4-BE49-F238E27FC236}">
              <a16:creationId xmlns="" xmlns:a16="http://schemas.microsoft.com/office/drawing/2014/main" id="{00000000-0008-0000-0000-00006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0" name="Text Box 65">
          <a:extLst>
            <a:ext uri="{FF2B5EF4-FFF2-40B4-BE49-F238E27FC236}">
              <a16:creationId xmlns="" xmlns:a16="http://schemas.microsoft.com/office/drawing/2014/main" id="{00000000-0008-0000-0000-00006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1" name="Text Box 66">
          <a:extLst>
            <a:ext uri="{FF2B5EF4-FFF2-40B4-BE49-F238E27FC236}">
              <a16:creationId xmlns="" xmlns:a16="http://schemas.microsoft.com/office/drawing/2014/main" id="{00000000-0008-0000-0000-00006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2" name="Text Box 67">
          <a:extLst>
            <a:ext uri="{FF2B5EF4-FFF2-40B4-BE49-F238E27FC236}">
              <a16:creationId xmlns="" xmlns:a16="http://schemas.microsoft.com/office/drawing/2014/main" id="{00000000-0008-0000-0000-00006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3" name="Text Box 68">
          <a:extLst>
            <a:ext uri="{FF2B5EF4-FFF2-40B4-BE49-F238E27FC236}">
              <a16:creationId xmlns="" xmlns:a16="http://schemas.microsoft.com/office/drawing/2014/main" id="{00000000-0008-0000-0000-00006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4" name="Text Box 69">
          <a:extLst>
            <a:ext uri="{FF2B5EF4-FFF2-40B4-BE49-F238E27FC236}">
              <a16:creationId xmlns="" xmlns:a16="http://schemas.microsoft.com/office/drawing/2014/main" id="{00000000-0008-0000-0000-00006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5" name="Text Box 70">
          <a:extLst>
            <a:ext uri="{FF2B5EF4-FFF2-40B4-BE49-F238E27FC236}">
              <a16:creationId xmlns="" xmlns:a16="http://schemas.microsoft.com/office/drawing/2014/main" id="{00000000-0008-0000-0000-00006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6" name="Text Box 71">
          <a:extLst>
            <a:ext uri="{FF2B5EF4-FFF2-40B4-BE49-F238E27FC236}">
              <a16:creationId xmlns="" xmlns:a16="http://schemas.microsoft.com/office/drawing/2014/main" id="{00000000-0008-0000-0000-00006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7" name="Text Box 72">
          <a:extLst>
            <a:ext uri="{FF2B5EF4-FFF2-40B4-BE49-F238E27FC236}">
              <a16:creationId xmlns="" xmlns:a16="http://schemas.microsoft.com/office/drawing/2014/main" id="{00000000-0008-0000-0000-00006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8" name="Text Box 73">
          <a:extLst>
            <a:ext uri="{FF2B5EF4-FFF2-40B4-BE49-F238E27FC236}">
              <a16:creationId xmlns="" xmlns:a16="http://schemas.microsoft.com/office/drawing/2014/main" id="{00000000-0008-0000-0000-00006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9" name="Text Box 74">
          <a:extLst>
            <a:ext uri="{FF2B5EF4-FFF2-40B4-BE49-F238E27FC236}">
              <a16:creationId xmlns="" xmlns:a16="http://schemas.microsoft.com/office/drawing/2014/main" id="{00000000-0008-0000-0000-00006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0" name="Text Box 75">
          <a:extLst>
            <a:ext uri="{FF2B5EF4-FFF2-40B4-BE49-F238E27FC236}">
              <a16:creationId xmlns="" xmlns:a16="http://schemas.microsoft.com/office/drawing/2014/main" id="{00000000-0008-0000-0000-00006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1" name="Text Box 76">
          <a:extLst>
            <a:ext uri="{FF2B5EF4-FFF2-40B4-BE49-F238E27FC236}">
              <a16:creationId xmlns="" xmlns:a16="http://schemas.microsoft.com/office/drawing/2014/main" id="{00000000-0008-0000-0000-00006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2" name="Text Box 77">
          <a:extLst>
            <a:ext uri="{FF2B5EF4-FFF2-40B4-BE49-F238E27FC236}">
              <a16:creationId xmlns="" xmlns:a16="http://schemas.microsoft.com/office/drawing/2014/main" id="{00000000-0008-0000-0000-00006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3" name="Text Box 78">
          <a:extLst>
            <a:ext uri="{FF2B5EF4-FFF2-40B4-BE49-F238E27FC236}">
              <a16:creationId xmlns="" xmlns:a16="http://schemas.microsoft.com/office/drawing/2014/main" id="{00000000-0008-0000-0000-00006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4" name="Text Box 79">
          <a:extLst>
            <a:ext uri="{FF2B5EF4-FFF2-40B4-BE49-F238E27FC236}">
              <a16:creationId xmlns="" xmlns:a16="http://schemas.microsoft.com/office/drawing/2014/main" id="{00000000-0008-0000-0000-00007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5" name="Text Box 80">
          <a:extLst>
            <a:ext uri="{FF2B5EF4-FFF2-40B4-BE49-F238E27FC236}">
              <a16:creationId xmlns="" xmlns:a16="http://schemas.microsoft.com/office/drawing/2014/main" id="{00000000-0008-0000-0000-00007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6" name="Text Box 81">
          <a:extLst>
            <a:ext uri="{FF2B5EF4-FFF2-40B4-BE49-F238E27FC236}">
              <a16:creationId xmlns="" xmlns:a16="http://schemas.microsoft.com/office/drawing/2014/main" id="{00000000-0008-0000-0000-00007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7" name="Text Box 3079">
          <a:extLst>
            <a:ext uri="{FF2B5EF4-FFF2-40B4-BE49-F238E27FC236}">
              <a16:creationId xmlns="" xmlns:a16="http://schemas.microsoft.com/office/drawing/2014/main" id="{00000000-0008-0000-0000-00007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8" name="Text Box 3080">
          <a:extLst>
            <a:ext uri="{FF2B5EF4-FFF2-40B4-BE49-F238E27FC236}">
              <a16:creationId xmlns="" xmlns:a16="http://schemas.microsoft.com/office/drawing/2014/main" id="{00000000-0008-0000-0000-00007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9" name="Text Box 3081">
          <a:extLst>
            <a:ext uri="{FF2B5EF4-FFF2-40B4-BE49-F238E27FC236}">
              <a16:creationId xmlns="" xmlns:a16="http://schemas.microsoft.com/office/drawing/2014/main" id="{00000000-0008-0000-0000-00007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0" name="Text Box 3082">
          <a:extLst>
            <a:ext uri="{FF2B5EF4-FFF2-40B4-BE49-F238E27FC236}">
              <a16:creationId xmlns="" xmlns:a16="http://schemas.microsoft.com/office/drawing/2014/main" id="{00000000-0008-0000-0000-00007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1" name="Text Box 3083">
          <a:extLst>
            <a:ext uri="{FF2B5EF4-FFF2-40B4-BE49-F238E27FC236}">
              <a16:creationId xmlns="" xmlns:a16="http://schemas.microsoft.com/office/drawing/2014/main" id="{00000000-0008-0000-0000-00007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2" name="Text Box 3084">
          <a:extLst>
            <a:ext uri="{FF2B5EF4-FFF2-40B4-BE49-F238E27FC236}">
              <a16:creationId xmlns="" xmlns:a16="http://schemas.microsoft.com/office/drawing/2014/main" id="{00000000-0008-0000-0000-00007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3" name="Text Box 3085">
          <a:extLst>
            <a:ext uri="{FF2B5EF4-FFF2-40B4-BE49-F238E27FC236}">
              <a16:creationId xmlns="" xmlns:a16="http://schemas.microsoft.com/office/drawing/2014/main" id="{00000000-0008-0000-0000-00007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4" name="Text Box 3086">
          <a:extLst>
            <a:ext uri="{FF2B5EF4-FFF2-40B4-BE49-F238E27FC236}">
              <a16:creationId xmlns="" xmlns:a16="http://schemas.microsoft.com/office/drawing/2014/main" id="{00000000-0008-0000-0000-00007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5" name="Text Box 3087">
          <a:extLst>
            <a:ext uri="{FF2B5EF4-FFF2-40B4-BE49-F238E27FC236}">
              <a16:creationId xmlns="" xmlns:a16="http://schemas.microsoft.com/office/drawing/2014/main" id="{00000000-0008-0000-0000-00007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6" name="Text Box 3088">
          <a:extLst>
            <a:ext uri="{FF2B5EF4-FFF2-40B4-BE49-F238E27FC236}">
              <a16:creationId xmlns="" xmlns:a16="http://schemas.microsoft.com/office/drawing/2014/main" id="{00000000-0008-0000-0000-00007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7" name="Text Box 3089">
          <a:extLst>
            <a:ext uri="{FF2B5EF4-FFF2-40B4-BE49-F238E27FC236}">
              <a16:creationId xmlns="" xmlns:a16="http://schemas.microsoft.com/office/drawing/2014/main" id="{00000000-0008-0000-0000-00007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8" name="Text Box 3090">
          <a:extLst>
            <a:ext uri="{FF2B5EF4-FFF2-40B4-BE49-F238E27FC236}">
              <a16:creationId xmlns="" xmlns:a16="http://schemas.microsoft.com/office/drawing/2014/main" id="{00000000-0008-0000-0000-00007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9" name="Text Box 3091">
          <a:extLst>
            <a:ext uri="{FF2B5EF4-FFF2-40B4-BE49-F238E27FC236}">
              <a16:creationId xmlns="" xmlns:a16="http://schemas.microsoft.com/office/drawing/2014/main" id="{00000000-0008-0000-0000-00007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0" name="Text Box 3092">
          <a:extLst>
            <a:ext uri="{FF2B5EF4-FFF2-40B4-BE49-F238E27FC236}">
              <a16:creationId xmlns="" xmlns:a16="http://schemas.microsoft.com/office/drawing/2014/main" id="{00000000-0008-0000-0000-00008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1" name="Text Box 3093">
          <a:extLst>
            <a:ext uri="{FF2B5EF4-FFF2-40B4-BE49-F238E27FC236}">
              <a16:creationId xmlns="" xmlns:a16="http://schemas.microsoft.com/office/drawing/2014/main" id="{00000000-0008-0000-0000-00008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2" name="Text Box 3094">
          <a:extLst>
            <a:ext uri="{FF2B5EF4-FFF2-40B4-BE49-F238E27FC236}">
              <a16:creationId xmlns="" xmlns:a16="http://schemas.microsoft.com/office/drawing/2014/main" id="{00000000-0008-0000-0000-00008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3" name="Text Box 3095">
          <a:extLst>
            <a:ext uri="{FF2B5EF4-FFF2-40B4-BE49-F238E27FC236}">
              <a16:creationId xmlns="" xmlns:a16="http://schemas.microsoft.com/office/drawing/2014/main" id="{00000000-0008-0000-0000-00008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4" name="Text Box 3096">
          <a:extLst>
            <a:ext uri="{FF2B5EF4-FFF2-40B4-BE49-F238E27FC236}">
              <a16:creationId xmlns="" xmlns:a16="http://schemas.microsoft.com/office/drawing/2014/main" id="{00000000-0008-0000-0000-00008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5" name="Text Box 3097">
          <a:extLst>
            <a:ext uri="{FF2B5EF4-FFF2-40B4-BE49-F238E27FC236}">
              <a16:creationId xmlns="" xmlns:a16="http://schemas.microsoft.com/office/drawing/2014/main" id="{00000000-0008-0000-0000-00008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6" name="Text Box 3098">
          <a:extLst>
            <a:ext uri="{FF2B5EF4-FFF2-40B4-BE49-F238E27FC236}">
              <a16:creationId xmlns="" xmlns:a16="http://schemas.microsoft.com/office/drawing/2014/main" id="{00000000-0008-0000-0000-00008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7" name="Text Box 3099">
          <a:extLst>
            <a:ext uri="{FF2B5EF4-FFF2-40B4-BE49-F238E27FC236}">
              <a16:creationId xmlns="" xmlns:a16="http://schemas.microsoft.com/office/drawing/2014/main" id="{00000000-0008-0000-0000-00008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8" name="Text Box 3100">
          <a:extLst>
            <a:ext uri="{FF2B5EF4-FFF2-40B4-BE49-F238E27FC236}">
              <a16:creationId xmlns="" xmlns:a16="http://schemas.microsoft.com/office/drawing/2014/main" id="{00000000-0008-0000-0000-00008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9" name="Text Box 3101">
          <a:extLst>
            <a:ext uri="{FF2B5EF4-FFF2-40B4-BE49-F238E27FC236}">
              <a16:creationId xmlns="" xmlns:a16="http://schemas.microsoft.com/office/drawing/2014/main" id="{00000000-0008-0000-0000-00008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490" name="Text Box 3102">
          <a:extLst>
            <a:ext uri="{FF2B5EF4-FFF2-40B4-BE49-F238E27FC236}">
              <a16:creationId xmlns="" xmlns:a16="http://schemas.microsoft.com/office/drawing/2014/main" id="{00000000-0008-0000-0000-00008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1" name="Text Box 59">
          <a:extLst>
            <a:ext uri="{FF2B5EF4-FFF2-40B4-BE49-F238E27FC236}">
              <a16:creationId xmlns="" xmlns:a16="http://schemas.microsoft.com/office/drawing/2014/main" id="{00000000-0008-0000-0000-00008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2" name="Text Box 60">
          <a:extLst>
            <a:ext uri="{FF2B5EF4-FFF2-40B4-BE49-F238E27FC236}">
              <a16:creationId xmlns="" xmlns:a16="http://schemas.microsoft.com/office/drawing/2014/main" id="{00000000-0008-0000-0000-00008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3" name="Text Box 61">
          <a:extLst>
            <a:ext uri="{FF2B5EF4-FFF2-40B4-BE49-F238E27FC236}">
              <a16:creationId xmlns="" xmlns:a16="http://schemas.microsoft.com/office/drawing/2014/main" id="{00000000-0008-0000-0000-00008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4" name="Text Box 62">
          <a:extLst>
            <a:ext uri="{FF2B5EF4-FFF2-40B4-BE49-F238E27FC236}">
              <a16:creationId xmlns="" xmlns:a16="http://schemas.microsoft.com/office/drawing/2014/main" id="{00000000-0008-0000-0000-00008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5" name="Text Box 63">
          <a:extLst>
            <a:ext uri="{FF2B5EF4-FFF2-40B4-BE49-F238E27FC236}">
              <a16:creationId xmlns="" xmlns:a16="http://schemas.microsoft.com/office/drawing/2014/main" id="{00000000-0008-0000-0000-00008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6" name="Text Box 64">
          <a:extLst>
            <a:ext uri="{FF2B5EF4-FFF2-40B4-BE49-F238E27FC236}">
              <a16:creationId xmlns="" xmlns:a16="http://schemas.microsoft.com/office/drawing/2014/main" id="{00000000-0008-0000-0000-00009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7" name="Text Box 65">
          <a:extLst>
            <a:ext uri="{FF2B5EF4-FFF2-40B4-BE49-F238E27FC236}">
              <a16:creationId xmlns="" xmlns:a16="http://schemas.microsoft.com/office/drawing/2014/main" id="{00000000-0008-0000-0000-00009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8" name="Text Box 66">
          <a:extLst>
            <a:ext uri="{FF2B5EF4-FFF2-40B4-BE49-F238E27FC236}">
              <a16:creationId xmlns="" xmlns:a16="http://schemas.microsoft.com/office/drawing/2014/main" id="{00000000-0008-0000-0000-00009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9" name="Text Box 67">
          <a:extLst>
            <a:ext uri="{FF2B5EF4-FFF2-40B4-BE49-F238E27FC236}">
              <a16:creationId xmlns="" xmlns:a16="http://schemas.microsoft.com/office/drawing/2014/main" id="{00000000-0008-0000-0000-00009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0" name="Text Box 68">
          <a:extLst>
            <a:ext uri="{FF2B5EF4-FFF2-40B4-BE49-F238E27FC236}">
              <a16:creationId xmlns="" xmlns:a16="http://schemas.microsoft.com/office/drawing/2014/main" id="{00000000-0008-0000-0000-00009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1" name="Text Box 69">
          <a:extLst>
            <a:ext uri="{FF2B5EF4-FFF2-40B4-BE49-F238E27FC236}">
              <a16:creationId xmlns="" xmlns:a16="http://schemas.microsoft.com/office/drawing/2014/main" id="{00000000-0008-0000-0000-00009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2" name="Text Box 70">
          <a:extLst>
            <a:ext uri="{FF2B5EF4-FFF2-40B4-BE49-F238E27FC236}">
              <a16:creationId xmlns="" xmlns:a16="http://schemas.microsoft.com/office/drawing/2014/main" id="{00000000-0008-0000-0000-00009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3" name="Text Box 71">
          <a:extLst>
            <a:ext uri="{FF2B5EF4-FFF2-40B4-BE49-F238E27FC236}">
              <a16:creationId xmlns="" xmlns:a16="http://schemas.microsoft.com/office/drawing/2014/main" id="{00000000-0008-0000-0000-00009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4" name="Text Box 72">
          <a:extLst>
            <a:ext uri="{FF2B5EF4-FFF2-40B4-BE49-F238E27FC236}">
              <a16:creationId xmlns="" xmlns:a16="http://schemas.microsoft.com/office/drawing/2014/main" id="{00000000-0008-0000-0000-00009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5" name="Text Box 73">
          <a:extLst>
            <a:ext uri="{FF2B5EF4-FFF2-40B4-BE49-F238E27FC236}">
              <a16:creationId xmlns="" xmlns:a16="http://schemas.microsoft.com/office/drawing/2014/main" id="{00000000-0008-0000-0000-00009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6" name="Text Box 74">
          <a:extLst>
            <a:ext uri="{FF2B5EF4-FFF2-40B4-BE49-F238E27FC236}">
              <a16:creationId xmlns="" xmlns:a16="http://schemas.microsoft.com/office/drawing/2014/main" id="{00000000-0008-0000-0000-00009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7" name="Text Box 75">
          <a:extLst>
            <a:ext uri="{FF2B5EF4-FFF2-40B4-BE49-F238E27FC236}">
              <a16:creationId xmlns="" xmlns:a16="http://schemas.microsoft.com/office/drawing/2014/main" id="{00000000-0008-0000-0000-00009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8" name="Text Box 76">
          <a:extLst>
            <a:ext uri="{FF2B5EF4-FFF2-40B4-BE49-F238E27FC236}">
              <a16:creationId xmlns="" xmlns:a16="http://schemas.microsoft.com/office/drawing/2014/main" id="{00000000-0008-0000-0000-00009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9" name="Text Box 77">
          <a:extLst>
            <a:ext uri="{FF2B5EF4-FFF2-40B4-BE49-F238E27FC236}">
              <a16:creationId xmlns="" xmlns:a16="http://schemas.microsoft.com/office/drawing/2014/main" id="{00000000-0008-0000-0000-00009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0" name="Text Box 78">
          <a:extLst>
            <a:ext uri="{FF2B5EF4-FFF2-40B4-BE49-F238E27FC236}">
              <a16:creationId xmlns="" xmlns:a16="http://schemas.microsoft.com/office/drawing/2014/main" id="{00000000-0008-0000-0000-00009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1" name="Text Box 79">
          <a:extLst>
            <a:ext uri="{FF2B5EF4-FFF2-40B4-BE49-F238E27FC236}">
              <a16:creationId xmlns="" xmlns:a16="http://schemas.microsoft.com/office/drawing/2014/main" id="{00000000-0008-0000-0000-00009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2" name="Text Box 80">
          <a:extLst>
            <a:ext uri="{FF2B5EF4-FFF2-40B4-BE49-F238E27FC236}">
              <a16:creationId xmlns="" xmlns:a16="http://schemas.microsoft.com/office/drawing/2014/main" id="{00000000-0008-0000-0000-0000A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3" name="Text Box 81">
          <a:extLst>
            <a:ext uri="{FF2B5EF4-FFF2-40B4-BE49-F238E27FC236}">
              <a16:creationId xmlns="" xmlns:a16="http://schemas.microsoft.com/office/drawing/2014/main" id="{00000000-0008-0000-0000-0000A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514" name="Text Box 82">
          <a:extLst>
            <a:ext uri="{FF2B5EF4-FFF2-40B4-BE49-F238E27FC236}">
              <a16:creationId xmlns="" xmlns:a16="http://schemas.microsoft.com/office/drawing/2014/main" id="{00000000-0008-0000-0000-0000A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5" name="Text Box 3079">
          <a:extLst>
            <a:ext uri="{FF2B5EF4-FFF2-40B4-BE49-F238E27FC236}">
              <a16:creationId xmlns="" xmlns:a16="http://schemas.microsoft.com/office/drawing/2014/main" id="{00000000-0008-0000-0000-0000A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6" name="Text Box 3080">
          <a:extLst>
            <a:ext uri="{FF2B5EF4-FFF2-40B4-BE49-F238E27FC236}">
              <a16:creationId xmlns="" xmlns:a16="http://schemas.microsoft.com/office/drawing/2014/main" id="{00000000-0008-0000-0000-0000A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7" name="Text Box 3081">
          <a:extLst>
            <a:ext uri="{FF2B5EF4-FFF2-40B4-BE49-F238E27FC236}">
              <a16:creationId xmlns="" xmlns:a16="http://schemas.microsoft.com/office/drawing/2014/main" id="{00000000-0008-0000-0000-0000A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8" name="Text Box 3082">
          <a:extLst>
            <a:ext uri="{FF2B5EF4-FFF2-40B4-BE49-F238E27FC236}">
              <a16:creationId xmlns="" xmlns:a16="http://schemas.microsoft.com/office/drawing/2014/main" id="{00000000-0008-0000-0000-0000A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9" name="Text Box 3083">
          <a:extLst>
            <a:ext uri="{FF2B5EF4-FFF2-40B4-BE49-F238E27FC236}">
              <a16:creationId xmlns="" xmlns:a16="http://schemas.microsoft.com/office/drawing/2014/main" id="{00000000-0008-0000-0000-0000A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0" name="Text Box 3084">
          <a:extLst>
            <a:ext uri="{FF2B5EF4-FFF2-40B4-BE49-F238E27FC236}">
              <a16:creationId xmlns="" xmlns:a16="http://schemas.microsoft.com/office/drawing/2014/main" id="{00000000-0008-0000-0000-0000A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1" name="Text Box 3085">
          <a:extLst>
            <a:ext uri="{FF2B5EF4-FFF2-40B4-BE49-F238E27FC236}">
              <a16:creationId xmlns="" xmlns:a16="http://schemas.microsoft.com/office/drawing/2014/main" id="{00000000-0008-0000-0000-0000A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2" name="Text Box 3086">
          <a:extLst>
            <a:ext uri="{FF2B5EF4-FFF2-40B4-BE49-F238E27FC236}">
              <a16:creationId xmlns="" xmlns:a16="http://schemas.microsoft.com/office/drawing/2014/main" id="{00000000-0008-0000-0000-0000A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3" name="Text Box 3087">
          <a:extLst>
            <a:ext uri="{FF2B5EF4-FFF2-40B4-BE49-F238E27FC236}">
              <a16:creationId xmlns="" xmlns:a16="http://schemas.microsoft.com/office/drawing/2014/main" id="{00000000-0008-0000-0000-0000A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4" name="Text Box 3088">
          <a:extLst>
            <a:ext uri="{FF2B5EF4-FFF2-40B4-BE49-F238E27FC236}">
              <a16:creationId xmlns="" xmlns:a16="http://schemas.microsoft.com/office/drawing/2014/main" id="{00000000-0008-0000-0000-0000A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5" name="Text Box 3089">
          <a:extLst>
            <a:ext uri="{FF2B5EF4-FFF2-40B4-BE49-F238E27FC236}">
              <a16:creationId xmlns="" xmlns:a16="http://schemas.microsoft.com/office/drawing/2014/main" id="{00000000-0008-0000-0000-0000A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6" name="Text Box 3090">
          <a:extLst>
            <a:ext uri="{FF2B5EF4-FFF2-40B4-BE49-F238E27FC236}">
              <a16:creationId xmlns="" xmlns:a16="http://schemas.microsoft.com/office/drawing/2014/main" id="{00000000-0008-0000-0000-0000A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7" name="Text Box 3091">
          <a:extLst>
            <a:ext uri="{FF2B5EF4-FFF2-40B4-BE49-F238E27FC236}">
              <a16:creationId xmlns="" xmlns:a16="http://schemas.microsoft.com/office/drawing/2014/main" id="{00000000-0008-0000-0000-0000A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8" name="Text Box 3092">
          <a:extLst>
            <a:ext uri="{FF2B5EF4-FFF2-40B4-BE49-F238E27FC236}">
              <a16:creationId xmlns="" xmlns:a16="http://schemas.microsoft.com/office/drawing/2014/main" id="{00000000-0008-0000-0000-0000B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9" name="Text Box 3093">
          <a:extLst>
            <a:ext uri="{FF2B5EF4-FFF2-40B4-BE49-F238E27FC236}">
              <a16:creationId xmlns="" xmlns:a16="http://schemas.microsoft.com/office/drawing/2014/main" id="{00000000-0008-0000-0000-0000B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0" name="Text Box 3094">
          <a:extLst>
            <a:ext uri="{FF2B5EF4-FFF2-40B4-BE49-F238E27FC236}">
              <a16:creationId xmlns="" xmlns:a16="http://schemas.microsoft.com/office/drawing/2014/main" id="{00000000-0008-0000-0000-0000B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1" name="Text Box 3095">
          <a:extLst>
            <a:ext uri="{FF2B5EF4-FFF2-40B4-BE49-F238E27FC236}">
              <a16:creationId xmlns="" xmlns:a16="http://schemas.microsoft.com/office/drawing/2014/main" id="{00000000-0008-0000-0000-0000B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2" name="Text Box 3096">
          <a:extLst>
            <a:ext uri="{FF2B5EF4-FFF2-40B4-BE49-F238E27FC236}">
              <a16:creationId xmlns="" xmlns:a16="http://schemas.microsoft.com/office/drawing/2014/main" id="{00000000-0008-0000-0000-0000B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3" name="Text Box 3097">
          <a:extLst>
            <a:ext uri="{FF2B5EF4-FFF2-40B4-BE49-F238E27FC236}">
              <a16:creationId xmlns="" xmlns:a16="http://schemas.microsoft.com/office/drawing/2014/main" id="{00000000-0008-0000-0000-0000B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4" name="Text Box 3098">
          <a:extLst>
            <a:ext uri="{FF2B5EF4-FFF2-40B4-BE49-F238E27FC236}">
              <a16:creationId xmlns="" xmlns:a16="http://schemas.microsoft.com/office/drawing/2014/main" id="{00000000-0008-0000-0000-0000B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5" name="Text Box 3099">
          <a:extLst>
            <a:ext uri="{FF2B5EF4-FFF2-40B4-BE49-F238E27FC236}">
              <a16:creationId xmlns="" xmlns:a16="http://schemas.microsoft.com/office/drawing/2014/main" id="{00000000-0008-0000-0000-0000B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6" name="Text Box 3100">
          <a:extLst>
            <a:ext uri="{FF2B5EF4-FFF2-40B4-BE49-F238E27FC236}">
              <a16:creationId xmlns="" xmlns:a16="http://schemas.microsoft.com/office/drawing/2014/main" id="{00000000-0008-0000-0000-0000B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7" name="Text Box 3101">
          <a:extLst>
            <a:ext uri="{FF2B5EF4-FFF2-40B4-BE49-F238E27FC236}">
              <a16:creationId xmlns="" xmlns:a16="http://schemas.microsoft.com/office/drawing/2014/main" id="{00000000-0008-0000-0000-0000B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38" name="Text Box 3102">
          <a:extLst>
            <a:ext uri="{FF2B5EF4-FFF2-40B4-BE49-F238E27FC236}">
              <a16:creationId xmlns="" xmlns:a16="http://schemas.microsoft.com/office/drawing/2014/main" id="{00000000-0008-0000-0000-0000B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39" name="Text Box 59">
          <a:extLst>
            <a:ext uri="{FF2B5EF4-FFF2-40B4-BE49-F238E27FC236}">
              <a16:creationId xmlns="" xmlns:a16="http://schemas.microsoft.com/office/drawing/2014/main" id="{00000000-0008-0000-0000-0000B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0" name="Text Box 60">
          <a:extLst>
            <a:ext uri="{FF2B5EF4-FFF2-40B4-BE49-F238E27FC236}">
              <a16:creationId xmlns="" xmlns:a16="http://schemas.microsoft.com/office/drawing/2014/main" id="{00000000-0008-0000-0000-0000B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1" name="Text Box 61">
          <a:extLst>
            <a:ext uri="{FF2B5EF4-FFF2-40B4-BE49-F238E27FC236}">
              <a16:creationId xmlns="" xmlns:a16="http://schemas.microsoft.com/office/drawing/2014/main" id="{00000000-0008-0000-0000-0000B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2" name="Text Box 62">
          <a:extLst>
            <a:ext uri="{FF2B5EF4-FFF2-40B4-BE49-F238E27FC236}">
              <a16:creationId xmlns="" xmlns:a16="http://schemas.microsoft.com/office/drawing/2014/main" id="{00000000-0008-0000-0000-0000B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3" name="Text Box 63">
          <a:extLst>
            <a:ext uri="{FF2B5EF4-FFF2-40B4-BE49-F238E27FC236}">
              <a16:creationId xmlns="" xmlns:a16="http://schemas.microsoft.com/office/drawing/2014/main" id="{00000000-0008-0000-0000-0000B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4" name="Text Box 64">
          <a:extLst>
            <a:ext uri="{FF2B5EF4-FFF2-40B4-BE49-F238E27FC236}">
              <a16:creationId xmlns="" xmlns:a16="http://schemas.microsoft.com/office/drawing/2014/main" id="{00000000-0008-0000-0000-0000C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5" name="Text Box 65">
          <a:extLst>
            <a:ext uri="{FF2B5EF4-FFF2-40B4-BE49-F238E27FC236}">
              <a16:creationId xmlns="" xmlns:a16="http://schemas.microsoft.com/office/drawing/2014/main" id="{00000000-0008-0000-0000-0000C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6" name="Text Box 66">
          <a:extLst>
            <a:ext uri="{FF2B5EF4-FFF2-40B4-BE49-F238E27FC236}">
              <a16:creationId xmlns="" xmlns:a16="http://schemas.microsoft.com/office/drawing/2014/main" id="{00000000-0008-0000-0000-0000C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7" name="Text Box 67">
          <a:extLst>
            <a:ext uri="{FF2B5EF4-FFF2-40B4-BE49-F238E27FC236}">
              <a16:creationId xmlns="" xmlns:a16="http://schemas.microsoft.com/office/drawing/2014/main" id="{00000000-0008-0000-0000-0000C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8" name="Text Box 68">
          <a:extLst>
            <a:ext uri="{FF2B5EF4-FFF2-40B4-BE49-F238E27FC236}">
              <a16:creationId xmlns="" xmlns:a16="http://schemas.microsoft.com/office/drawing/2014/main" id="{00000000-0008-0000-0000-0000C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9" name="Text Box 69">
          <a:extLst>
            <a:ext uri="{FF2B5EF4-FFF2-40B4-BE49-F238E27FC236}">
              <a16:creationId xmlns="" xmlns:a16="http://schemas.microsoft.com/office/drawing/2014/main" id="{00000000-0008-0000-0000-0000C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0" name="Text Box 70">
          <a:extLst>
            <a:ext uri="{FF2B5EF4-FFF2-40B4-BE49-F238E27FC236}">
              <a16:creationId xmlns="" xmlns:a16="http://schemas.microsoft.com/office/drawing/2014/main" id="{00000000-0008-0000-0000-0000C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1" name="Text Box 71">
          <a:extLst>
            <a:ext uri="{FF2B5EF4-FFF2-40B4-BE49-F238E27FC236}">
              <a16:creationId xmlns="" xmlns:a16="http://schemas.microsoft.com/office/drawing/2014/main" id="{00000000-0008-0000-0000-0000C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2" name="Text Box 72">
          <a:extLst>
            <a:ext uri="{FF2B5EF4-FFF2-40B4-BE49-F238E27FC236}">
              <a16:creationId xmlns="" xmlns:a16="http://schemas.microsoft.com/office/drawing/2014/main" id="{00000000-0008-0000-0000-0000C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3" name="Text Box 73">
          <a:extLst>
            <a:ext uri="{FF2B5EF4-FFF2-40B4-BE49-F238E27FC236}">
              <a16:creationId xmlns="" xmlns:a16="http://schemas.microsoft.com/office/drawing/2014/main" id="{00000000-0008-0000-0000-0000C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4" name="Text Box 74">
          <a:extLst>
            <a:ext uri="{FF2B5EF4-FFF2-40B4-BE49-F238E27FC236}">
              <a16:creationId xmlns="" xmlns:a16="http://schemas.microsoft.com/office/drawing/2014/main" id="{00000000-0008-0000-0000-0000C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5" name="Text Box 75">
          <a:extLst>
            <a:ext uri="{FF2B5EF4-FFF2-40B4-BE49-F238E27FC236}">
              <a16:creationId xmlns="" xmlns:a16="http://schemas.microsoft.com/office/drawing/2014/main" id="{00000000-0008-0000-0000-0000C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6" name="Text Box 76">
          <a:extLst>
            <a:ext uri="{FF2B5EF4-FFF2-40B4-BE49-F238E27FC236}">
              <a16:creationId xmlns="" xmlns:a16="http://schemas.microsoft.com/office/drawing/2014/main" id="{00000000-0008-0000-0000-0000C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7" name="Text Box 77">
          <a:extLst>
            <a:ext uri="{FF2B5EF4-FFF2-40B4-BE49-F238E27FC236}">
              <a16:creationId xmlns="" xmlns:a16="http://schemas.microsoft.com/office/drawing/2014/main" id="{00000000-0008-0000-0000-0000C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8" name="Text Box 78">
          <a:extLst>
            <a:ext uri="{FF2B5EF4-FFF2-40B4-BE49-F238E27FC236}">
              <a16:creationId xmlns="" xmlns:a16="http://schemas.microsoft.com/office/drawing/2014/main" id="{00000000-0008-0000-0000-0000C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9" name="Text Box 79">
          <a:extLst>
            <a:ext uri="{FF2B5EF4-FFF2-40B4-BE49-F238E27FC236}">
              <a16:creationId xmlns="" xmlns:a16="http://schemas.microsoft.com/office/drawing/2014/main" id="{00000000-0008-0000-0000-0000C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0" name="Text Box 80">
          <a:extLst>
            <a:ext uri="{FF2B5EF4-FFF2-40B4-BE49-F238E27FC236}">
              <a16:creationId xmlns="" xmlns:a16="http://schemas.microsoft.com/office/drawing/2014/main" id="{00000000-0008-0000-0000-0000D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1" name="Text Box 81">
          <a:extLst>
            <a:ext uri="{FF2B5EF4-FFF2-40B4-BE49-F238E27FC236}">
              <a16:creationId xmlns="" xmlns:a16="http://schemas.microsoft.com/office/drawing/2014/main" id="{00000000-0008-0000-0000-0000D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2" name="Text Box 3079">
          <a:extLst>
            <a:ext uri="{FF2B5EF4-FFF2-40B4-BE49-F238E27FC236}">
              <a16:creationId xmlns="" xmlns:a16="http://schemas.microsoft.com/office/drawing/2014/main" id="{00000000-0008-0000-0000-0000D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3" name="Text Box 3080">
          <a:extLst>
            <a:ext uri="{FF2B5EF4-FFF2-40B4-BE49-F238E27FC236}">
              <a16:creationId xmlns="" xmlns:a16="http://schemas.microsoft.com/office/drawing/2014/main" id="{00000000-0008-0000-0000-0000D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4" name="Text Box 3081">
          <a:extLst>
            <a:ext uri="{FF2B5EF4-FFF2-40B4-BE49-F238E27FC236}">
              <a16:creationId xmlns="" xmlns:a16="http://schemas.microsoft.com/office/drawing/2014/main" id="{00000000-0008-0000-0000-0000D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5" name="Text Box 3082">
          <a:extLst>
            <a:ext uri="{FF2B5EF4-FFF2-40B4-BE49-F238E27FC236}">
              <a16:creationId xmlns="" xmlns:a16="http://schemas.microsoft.com/office/drawing/2014/main" id="{00000000-0008-0000-0000-0000D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6" name="Text Box 3083">
          <a:extLst>
            <a:ext uri="{FF2B5EF4-FFF2-40B4-BE49-F238E27FC236}">
              <a16:creationId xmlns="" xmlns:a16="http://schemas.microsoft.com/office/drawing/2014/main" id="{00000000-0008-0000-0000-0000D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7" name="Text Box 3084">
          <a:extLst>
            <a:ext uri="{FF2B5EF4-FFF2-40B4-BE49-F238E27FC236}">
              <a16:creationId xmlns="" xmlns:a16="http://schemas.microsoft.com/office/drawing/2014/main" id="{00000000-0008-0000-0000-0000D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8" name="Text Box 3085">
          <a:extLst>
            <a:ext uri="{FF2B5EF4-FFF2-40B4-BE49-F238E27FC236}">
              <a16:creationId xmlns="" xmlns:a16="http://schemas.microsoft.com/office/drawing/2014/main" id="{00000000-0008-0000-0000-0000D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9" name="Text Box 3086">
          <a:extLst>
            <a:ext uri="{FF2B5EF4-FFF2-40B4-BE49-F238E27FC236}">
              <a16:creationId xmlns="" xmlns:a16="http://schemas.microsoft.com/office/drawing/2014/main" id="{00000000-0008-0000-0000-0000D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0" name="Text Box 3087">
          <a:extLst>
            <a:ext uri="{FF2B5EF4-FFF2-40B4-BE49-F238E27FC236}">
              <a16:creationId xmlns="" xmlns:a16="http://schemas.microsoft.com/office/drawing/2014/main" id="{00000000-0008-0000-0000-0000D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1" name="Text Box 3088">
          <a:extLst>
            <a:ext uri="{FF2B5EF4-FFF2-40B4-BE49-F238E27FC236}">
              <a16:creationId xmlns="" xmlns:a16="http://schemas.microsoft.com/office/drawing/2014/main" id="{00000000-0008-0000-0000-0000D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2" name="Text Box 3089">
          <a:extLst>
            <a:ext uri="{FF2B5EF4-FFF2-40B4-BE49-F238E27FC236}">
              <a16:creationId xmlns="" xmlns:a16="http://schemas.microsoft.com/office/drawing/2014/main" id="{00000000-0008-0000-0000-0000D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3" name="Text Box 3090">
          <a:extLst>
            <a:ext uri="{FF2B5EF4-FFF2-40B4-BE49-F238E27FC236}">
              <a16:creationId xmlns="" xmlns:a16="http://schemas.microsoft.com/office/drawing/2014/main" id="{00000000-0008-0000-0000-0000D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4" name="Text Box 3091">
          <a:extLst>
            <a:ext uri="{FF2B5EF4-FFF2-40B4-BE49-F238E27FC236}">
              <a16:creationId xmlns="" xmlns:a16="http://schemas.microsoft.com/office/drawing/2014/main" id="{00000000-0008-0000-0000-0000D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5" name="Text Box 3092">
          <a:extLst>
            <a:ext uri="{FF2B5EF4-FFF2-40B4-BE49-F238E27FC236}">
              <a16:creationId xmlns="" xmlns:a16="http://schemas.microsoft.com/office/drawing/2014/main" id="{00000000-0008-0000-0000-0000D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6" name="Text Box 3093">
          <a:extLst>
            <a:ext uri="{FF2B5EF4-FFF2-40B4-BE49-F238E27FC236}">
              <a16:creationId xmlns="" xmlns:a16="http://schemas.microsoft.com/office/drawing/2014/main" id="{00000000-0008-0000-0000-0000E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7" name="Text Box 3094">
          <a:extLst>
            <a:ext uri="{FF2B5EF4-FFF2-40B4-BE49-F238E27FC236}">
              <a16:creationId xmlns="" xmlns:a16="http://schemas.microsoft.com/office/drawing/2014/main" id="{00000000-0008-0000-0000-0000E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8" name="Text Box 3095">
          <a:extLst>
            <a:ext uri="{FF2B5EF4-FFF2-40B4-BE49-F238E27FC236}">
              <a16:creationId xmlns="" xmlns:a16="http://schemas.microsoft.com/office/drawing/2014/main" id="{00000000-0008-0000-0000-0000E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9" name="Text Box 3096">
          <a:extLst>
            <a:ext uri="{FF2B5EF4-FFF2-40B4-BE49-F238E27FC236}">
              <a16:creationId xmlns="" xmlns:a16="http://schemas.microsoft.com/office/drawing/2014/main" id="{00000000-0008-0000-0000-0000E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0" name="Text Box 3097">
          <a:extLst>
            <a:ext uri="{FF2B5EF4-FFF2-40B4-BE49-F238E27FC236}">
              <a16:creationId xmlns="" xmlns:a16="http://schemas.microsoft.com/office/drawing/2014/main" id="{00000000-0008-0000-0000-0000E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1" name="Text Box 3098">
          <a:extLst>
            <a:ext uri="{FF2B5EF4-FFF2-40B4-BE49-F238E27FC236}">
              <a16:creationId xmlns="" xmlns:a16="http://schemas.microsoft.com/office/drawing/2014/main" id="{00000000-0008-0000-0000-0000E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2" name="Text Box 3099">
          <a:extLst>
            <a:ext uri="{FF2B5EF4-FFF2-40B4-BE49-F238E27FC236}">
              <a16:creationId xmlns="" xmlns:a16="http://schemas.microsoft.com/office/drawing/2014/main" id="{00000000-0008-0000-0000-0000E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3" name="Text Box 3100">
          <a:extLst>
            <a:ext uri="{FF2B5EF4-FFF2-40B4-BE49-F238E27FC236}">
              <a16:creationId xmlns="" xmlns:a16="http://schemas.microsoft.com/office/drawing/2014/main" id="{00000000-0008-0000-0000-0000E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4" name="Text Box 3101">
          <a:extLst>
            <a:ext uri="{FF2B5EF4-FFF2-40B4-BE49-F238E27FC236}">
              <a16:creationId xmlns="" xmlns:a16="http://schemas.microsoft.com/office/drawing/2014/main" id="{00000000-0008-0000-0000-0000E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85" name="Text Box 3102">
          <a:extLst>
            <a:ext uri="{FF2B5EF4-FFF2-40B4-BE49-F238E27FC236}">
              <a16:creationId xmlns="" xmlns:a16="http://schemas.microsoft.com/office/drawing/2014/main" id="{00000000-0008-0000-0000-0000E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6" name="Text Box 59">
          <a:extLst>
            <a:ext uri="{FF2B5EF4-FFF2-40B4-BE49-F238E27FC236}">
              <a16:creationId xmlns="" xmlns:a16="http://schemas.microsoft.com/office/drawing/2014/main" id="{00000000-0008-0000-0000-0000E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7" name="Text Box 60">
          <a:extLst>
            <a:ext uri="{FF2B5EF4-FFF2-40B4-BE49-F238E27FC236}">
              <a16:creationId xmlns="" xmlns:a16="http://schemas.microsoft.com/office/drawing/2014/main" id="{00000000-0008-0000-0000-0000E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8" name="Text Box 61">
          <a:extLst>
            <a:ext uri="{FF2B5EF4-FFF2-40B4-BE49-F238E27FC236}">
              <a16:creationId xmlns="" xmlns:a16="http://schemas.microsoft.com/office/drawing/2014/main" id="{00000000-0008-0000-0000-0000E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9" name="Text Box 62">
          <a:extLst>
            <a:ext uri="{FF2B5EF4-FFF2-40B4-BE49-F238E27FC236}">
              <a16:creationId xmlns="" xmlns:a16="http://schemas.microsoft.com/office/drawing/2014/main" id="{00000000-0008-0000-0000-0000E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0" name="Text Box 63">
          <a:extLst>
            <a:ext uri="{FF2B5EF4-FFF2-40B4-BE49-F238E27FC236}">
              <a16:creationId xmlns="" xmlns:a16="http://schemas.microsoft.com/office/drawing/2014/main" id="{00000000-0008-0000-0000-0000E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1" name="Text Box 64">
          <a:extLst>
            <a:ext uri="{FF2B5EF4-FFF2-40B4-BE49-F238E27FC236}">
              <a16:creationId xmlns="" xmlns:a16="http://schemas.microsoft.com/office/drawing/2014/main" id="{00000000-0008-0000-0000-0000E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2" name="Text Box 65">
          <a:extLst>
            <a:ext uri="{FF2B5EF4-FFF2-40B4-BE49-F238E27FC236}">
              <a16:creationId xmlns="" xmlns:a16="http://schemas.microsoft.com/office/drawing/2014/main" id="{00000000-0008-0000-0000-0000F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3" name="Text Box 66">
          <a:extLst>
            <a:ext uri="{FF2B5EF4-FFF2-40B4-BE49-F238E27FC236}">
              <a16:creationId xmlns="" xmlns:a16="http://schemas.microsoft.com/office/drawing/2014/main" id="{00000000-0008-0000-0000-0000F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4" name="Text Box 67">
          <a:extLst>
            <a:ext uri="{FF2B5EF4-FFF2-40B4-BE49-F238E27FC236}">
              <a16:creationId xmlns="" xmlns:a16="http://schemas.microsoft.com/office/drawing/2014/main" id="{00000000-0008-0000-0000-0000F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5" name="Text Box 68">
          <a:extLst>
            <a:ext uri="{FF2B5EF4-FFF2-40B4-BE49-F238E27FC236}">
              <a16:creationId xmlns="" xmlns:a16="http://schemas.microsoft.com/office/drawing/2014/main" id="{00000000-0008-0000-0000-0000F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6" name="Text Box 69">
          <a:extLst>
            <a:ext uri="{FF2B5EF4-FFF2-40B4-BE49-F238E27FC236}">
              <a16:creationId xmlns="" xmlns:a16="http://schemas.microsoft.com/office/drawing/2014/main" id="{00000000-0008-0000-0000-0000F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7" name="Text Box 70">
          <a:extLst>
            <a:ext uri="{FF2B5EF4-FFF2-40B4-BE49-F238E27FC236}">
              <a16:creationId xmlns="" xmlns:a16="http://schemas.microsoft.com/office/drawing/2014/main" id="{00000000-0008-0000-0000-0000F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8" name="Text Box 71">
          <a:extLst>
            <a:ext uri="{FF2B5EF4-FFF2-40B4-BE49-F238E27FC236}">
              <a16:creationId xmlns="" xmlns:a16="http://schemas.microsoft.com/office/drawing/2014/main" id="{00000000-0008-0000-0000-0000F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9" name="Text Box 72">
          <a:extLst>
            <a:ext uri="{FF2B5EF4-FFF2-40B4-BE49-F238E27FC236}">
              <a16:creationId xmlns="" xmlns:a16="http://schemas.microsoft.com/office/drawing/2014/main" id="{00000000-0008-0000-0000-0000F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0" name="Text Box 73">
          <a:extLst>
            <a:ext uri="{FF2B5EF4-FFF2-40B4-BE49-F238E27FC236}">
              <a16:creationId xmlns="" xmlns:a16="http://schemas.microsoft.com/office/drawing/2014/main" id="{00000000-0008-0000-0000-0000F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1" name="Text Box 74">
          <a:extLst>
            <a:ext uri="{FF2B5EF4-FFF2-40B4-BE49-F238E27FC236}">
              <a16:creationId xmlns="" xmlns:a16="http://schemas.microsoft.com/office/drawing/2014/main" id="{00000000-0008-0000-0000-0000F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2" name="Text Box 75">
          <a:extLst>
            <a:ext uri="{FF2B5EF4-FFF2-40B4-BE49-F238E27FC236}">
              <a16:creationId xmlns="" xmlns:a16="http://schemas.microsoft.com/office/drawing/2014/main" id="{00000000-0008-0000-0000-0000F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3" name="Text Box 76">
          <a:extLst>
            <a:ext uri="{FF2B5EF4-FFF2-40B4-BE49-F238E27FC236}">
              <a16:creationId xmlns="" xmlns:a16="http://schemas.microsoft.com/office/drawing/2014/main" id="{00000000-0008-0000-0000-0000F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4" name="Text Box 77">
          <a:extLst>
            <a:ext uri="{FF2B5EF4-FFF2-40B4-BE49-F238E27FC236}">
              <a16:creationId xmlns="" xmlns:a16="http://schemas.microsoft.com/office/drawing/2014/main" id="{00000000-0008-0000-0000-0000F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5" name="Text Box 78">
          <a:extLst>
            <a:ext uri="{FF2B5EF4-FFF2-40B4-BE49-F238E27FC236}">
              <a16:creationId xmlns="" xmlns:a16="http://schemas.microsoft.com/office/drawing/2014/main" id="{00000000-0008-0000-0000-0000F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6" name="Text Box 79">
          <a:extLst>
            <a:ext uri="{FF2B5EF4-FFF2-40B4-BE49-F238E27FC236}">
              <a16:creationId xmlns="" xmlns:a16="http://schemas.microsoft.com/office/drawing/2014/main" id="{00000000-0008-0000-0000-0000F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7" name="Text Box 80">
          <a:extLst>
            <a:ext uri="{FF2B5EF4-FFF2-40B4-BE49-F238E27FC236}">
              <a16:creationId xmlns="" xmlns:a16="http://schemas.microsoft.com/office/drawing/2014/main" id="{00000000-0008-0000-0000-0000F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8" name="Text Box 81">
          <a:extLst>
            <a:ext uri="{FF2B5EF4-FFF2-40B4-BE49-F238E27FC236}">
              <a16:creationId xmlns="" xmlns:a16="http://schemas.microsoft.com/office/drawing/2014/main" id="{00000000-0008-0000-0000-00000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609" name="Text Box 82">
          <a:extLst>
            <a:ext uri="{FF2B5EF4-FFF2-40B4-BE49-F238E27FC236}">
              <a16:creationId xmlns="" xmlns:a16="http://schemas.microsoft.com/office/drawing/2014/main" id="{00000000-0008-0000-0000-00000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0" name="Text Box 3079">
          <a:extLst>
            <a:ext uri="{FF2B5EF4-FFF2-40B4-BE49-F238E27FC236}">
              <a16:creationId xmlns="" xmlns:a16="http://schemas.microsoft.com/office/drawing/2014/main" id="{00000000-0008-0000-0000-00000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1" name="Text Box 3080">
          <a:extLst>
            <a:ext uri="{FF2B5EF4-FFF2-40B4-BE49-F238E27FC236}">
              <a16:creationId xmlns="" xmlns:a16="http://schemas.microsoft.com/office/drawing/2014/main" id="{00000000-0008-0000-0000-00000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2" name="Text Box 3081">
          <a:extLst>
            <a:ext uri="{FF2B5EF4-FFF2-40B4-BE49-F238E27FC236}">
              <a16:creationId xmlns="" xmlns:a16="http://schemas.microsoft.com/office/drawing/2014/main" id="{00000000-0008-0000-0000-00000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3" name="Text Box 3082">
          <a:extLst>
            <a:ext uri="{FF2B5EF4-FFF2-40B4-BE49-F238E27FC236}">
              <a16:creationId xmlns="" xmlns:a16="http://schemas.microsoft.com/office/drawing/2014/main" id="{00000000-0008-0000-0000-00000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4" name="Text Box 3083">
          <a:extLst>
            <a:ext uri="{FF2B5EF4-FFF2-40B4-BE49-F238E27FC236}">
              <a16:creationId xmlns="" xmlns:a16="http://schemas.microsoft.com/office/drawing/2014/main" id="{00000000-0008-0000-0000-00000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5" name="Text Box 3084">
          <a:extLst>
            <a:ext uri="{FF2B5EF4-FFF2-40B4-BE49-F238E27FC236}">
              <a16:creationId xmlns="" xmlns:a16="http://schemas.microsoft.com/office/drawing/2014/main" id="{00000000-0008-0000-0000-00000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6" name="Text Box 3085">
          <a:extLst>
            <a:ext uri="{FF2B5EF4-FFF2-40B4-BE49-F238E27FC236}">
              <a16:creationId xmlns="" xmlns:a16="http://schemas.microsoft.com/office/drawing/2014/main" id="{00000000-0008-0000-0000-00000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7" name="Text Box 3086">
          <a:extLst>
            <a:ext uri="{FF2B5EF4-FFF2-40B4-BE49-F238E27FC236}">
              <a16:creationId xmlns="" xmlns:a16="http://schemas.microsoft.com/office/drawing/2014/main" id="{00000000-0008-0000-0000-00000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8" name="Text Box 3087">
          <a:extLst>
            <a:ext uri="{FF2B5EF4-FFF2-40B4-BE49-F238E27FC236}">
              <a16:creationId xmlns="" xmlns:a16="http://schemas.microsoft.com/office/drawing/2014/main" id="{00000000-0008-0000-0000-00000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9" name="Text Box 3088">
          <a:extLst>
            <a:ext uri="{FF2B5EF4-FFF2-40B4-BE49-F238E27FC236}">
              <a16:creationId xmlns="" xmlns:a16="http://schemas.microsoft.com/office/drawing/2014/main" id="{00000000-0008-0000-0000-00000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0" name="Text Box 3089">
          <a:extLst>
            <a:ext uri="{FF2B5EF4-FFF2-40B4-BE49-F238E27FC236}">
              <a16:creationId xmlns="" xmlns:a16="http://schemas.microsoft.com/office/drawing/2014/main" id="{00000000-0008-0000-0000-00000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1" name="Text Box 3090">
          <a:extLst>
            <a:ext uri="{FF2B5EF4-FFF2-40B4-BE49-F238E27FC236}">
              <a16:creationId xmlns="" xmlns:a16="http://schemas.microsoft.com/office/drawing/2014/main" id="{00000000-0008-0000-0000-00000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2" name="Text Box 3091">
          <a:extLst>
            <a:ext uri="{FF2B5EF4-FFF2-40B4-BE49-F238E27FC236}">
              <a16:creationId xmlns="" xmlns:a16="http://schemas.microsoft.com/office/drawing/2014/main" id="{00000000-0008-0000-0000-00000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3" name="Text Box 3092">
          <a:extLst>
            <a:ext uri="{FF2B5EF4-FFF2-40B4-BE49-F238E27FC236}">
              <a16:creationId xmlns="" xmlns:a16="http://schemas.microsoft.com/office/drawing/2014/main" id="{00000000-0008-0000-0000-00000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4" name="Text Box 3093">
          <a:extLst>
            <a:ext uri="{FF2B5EF4-FFF2-40B4-BE49-F238E27FC236}">
              <a16:creationId xmlns="" xmlns:a16="http://schemas.microsoft.com/office/drawing/2014/main" id="{00000000-0008-0000-0000-00001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5" name="Text Box 3094">
          <a:extLst>
            <a:ext uri="{FF2B5EF4-FFF2-40B4-BE49-F238E27FC236}">
              <a16:creationId xmlns="" xmlns:a16="http://schemas.microsoft.com/office/drawing/2014/main" id="{00000000-0008-0000-0000-00001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6" name="Text Box 3095">
          <a:extLst>
            <a:ext uri="{FF2B5EF4-FFF2-40B4-BE49-F238E27FC236}">
              <a16:creationId xmlns="" xmlns:a16="http://schemas.microsoft.com/office/drawing/2014/main" id="{00000000-0008-0000-0000-00001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7" name="Text Box 3096">
          <a:extLst>
            <a:ext uri="{FF2B5EF4-FFF2-40B4-BE49-F238E27FC236}">
              <a16:creationId xmlns="" xmlns:a16="http://schemas.microsoft.com/office/drawing/2014/main" id="{00000000-0008-0000-0000-00001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8" name="Text Box 3097">
          <a:extLst>
            <a:ext uri="{FF2B5EF4-FFF2-40B4-BE49-F238E27FC236}">
              <a16:creationId xmlns="" xmlns:a16="http://schemas.microsoft.com/office/drawing/2014/main" id="{00000000-0008-0000-0000-00001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9" name="Text Box 3098">
          <a:extLst>
            <a:ext uri="{FF2B5EF4-FFF2-40B4-BE49-F238E27FC236}">
              <a16:creationId xmlns="" xmlns:a16="http://schemas.microsoft.com/office/drawing/2014/main" id="{00000000-0008-0000-0000-00001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0" name="Text Box 3099">
          <a:extLst>
            <a:ext uri="{FF2B5EF4-FFF2-40B4-BE49-F238E27FC236}">
              <a16:creationId xmlns="" xmlns:a16="http://schemas.microsoft.com/office/drawing/2014/main" id="{00000000-0008-0000-0000-00001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1" name="Text Box 3100">
          <a:extLst>
            <a:ext uri="{FF2B5EF4-FFF2-40B4-BE49-F238E27FC236}">
              <a16:creationId xmlns="" xmlns:a16="http://schemas.microsoft.com/office/drawing/2014/main" id="{00000000-0008-0000-0000-00001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2" name="Text Box 3101">
          <a:extLst>
            <a:ext uri="{FF2B5EF4-FFF2-40B4-BE49-F238E27FC236}">
              <a16:creationId xmlns="" xmlns:a16="http://schemas.microsoft.com/office/drawing/2014/main" id="{00000000-0008-0000-0000-00001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633" name="Text Box 3102">
          <a:extLst>
            <a:ext uri="{FF2B5EF4-FFF2-40B4-BE49-F238E27FC236}">
              <a16:creationId xmlns="" xmlns:a16="http://schemas.microsoft.com/office/drawing/2014/main" id="{00000000-0008-0000-0000-00001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4" name="Text Box 59">
          <a:extLst>
            <a:ext uri="{FF2B5EF4-FFF2-40B4-BE49-F238E27FC236}">
              <a16:creationId xmlns="" xmlns:a16="http://schemas.microsoft.com/office/drawing/2014/main" id="{00000000-0008-0000-0000-00001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5" name="Text Box 60">
          <a:extLst>
            <a:ext uri="{FF2B5EF4-FFF2-40B4-BE49-F238E27FC236}">
              <a16:creationId xmlns="" xmlns:a16="http://schemas.microsoft.com/office/drawing/2014/main" id="{00000000-0008-0000-0000-00001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6" name="Text Box 61">
          <a:extLst>
            <a:ext uri="{FF2B5EF4-FFF2-40B4-BE49-F238E27FC236}">
              <a16:creationId xmlns="" xmlns:a16="http://schemas.microsoft.com/office/drawing/2014/main" id="{00000000-0008-0000-0000-00001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7" name="Text Box 62">
          <a:extLst>
            <a:ext uri="{FF2B5EF4-FFF2-40B4-BE49-F238E27FC236}">
              <a16:creationId xmlns="" xmlns:a16="http://schemas.microsoft.com/office/drawing/2014/main" id="{00000000-0008-0000-0000-00001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8" name="Text Box 63">
          <a:extLst>
            <a:ext uri="{FF2B5EF4-FFF2-40B4-BE49-F238E27FC236}">
              <a16:creationId xmlns="" xmlns:a16="http://schemas.microsoft.com/office/drawing/2014/main" id="{00000000-0008-0000-0000-00001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9" name="Text Box 64">
          <a:extLst>
            <a:ext uri="{FF2B5EF4-FFF2-40B4-BE49-F238E27FC236}">
              <a16:creationId xmlns="" xmlns:a16="http://schemas.microsoft.com/office/drawing/2014/main" id="{00000000-0008-0000-0000-00001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0" name="Text Box 65">
          <a:extLst>
            <a:ext uri="{FF2B5EF4-FFF2-40B4-BE49-F238E27FC236}">
              <a16:creationId xmlns="" xmlns:a16="http://schemas.microsoft.com/office/drawing/2014/main" id="{00000000-0008-0000-0000-00002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1" name="Text Box 66">
          <a:extLst>
            <a:ext uri="{FF2B5EF4-FFF2-40B4-BE49-F238E27FC236}">
              <a16:creationId xmlns="" xmlns:a16="http://schemas.microsoft.com/office/drawing/2014/main" id="{00000000-0008-0000-0000-00002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2" name="Text Box 67">
          <a:extLst>
            <a:ext uri="{FF2B5EF4-FFF2-40B4-BE49-F238E27FC236}">
              <a16:creationId xmlns="" xmlns:a16="http://schemas.microsoft.com/office/drawing/2014/main" id="{00000000-0008-0000-0000-00002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3" name="Text Box 68">
          <a:extLst>
            <a:ext uri="{FF2B5EF4-FFF2-40B4-BE49-F238E27FC236}">
              <a16:creationId xmlns="" xmlns:a16="http://schemas.microsoft.com/office/drawing/2014/main" id="{00000000-0008-0000-0000-00002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4" name="Text Box 69">
          <a:extLst>
            <a:ext uri="{FF2B5EF4-FFF2-40B4-BE49-F238E27FC236}">
              <a16:creationId xmlns="" xmlns:a16="http://schemas.microsoft.com/office/drawing/2014/main" id="{00000000-0008-0000-0000-00002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5" name="Text Box 70">
          <a:extLst>
            <a:ext uri="{FF2B5EF4-FFF2-40B4-BE49-F238E27FC236}">
              <a16:creationId xmlns="" xmlns:a16="http://schemas.microsoft.com/office/drawing/2014/main" id="{00000000-0008-0000-0000-00002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6" name="Text Box 71">
          <a:extLst>
            <a:ext uri="{FF2B5EF4-FFF2-40B4-BE49-F238E27FC236}">
              <a16:creationId xmlns="" xmlns:a16="http://schemas.microsoft.com/office/drawing/2014/main" id="{00000000-0008-0000-0000-00002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7" name="Text Box 72">
          <a:extLst>
            <a:ext uri="{FF2B5EF4-FFF2-40B4-BE49-F238E27FC236}">
              <a16:creationId xmlns="" xmlns:a16="http://schemas.microsoft.com/office/drawing/2014/main" id="{00000000-0008-0000-0000-00002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8" name="Text Box 73">
          <a:extLst>
            <a:ext uri="{FF2B5EF4-FFF2-40B4-BE49-F238E27FC236}">
              <a16:creationId xmlns="" xmlns:a16="http://schemas.microsoft.com/office/drawing/2014/main" id="{00000000-0008-0000-0000-00002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9" name="Text Box 74">
          <a:extLst>
            <a:ext uri="{FF2B5EF4-FFF2-40B4-BE49-F238E27FC236}">
              <a16:creationId xmlns="" xmlns:a16="http://schemas.microsoft.com/office/drawing/2014/main" id="{00000000-0008-0000-0000-00002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0" name="Text Box 75">
          <a:extLst>
            <a:ext uri="{FF2B5EF4-FFF2-40B4-BE49-F238E27FC236}">
              <a16:creationId xmlns="" xmlns:a16="http://schemas.microsoft.com/office/drawing/2014/main" id="{00000000-0008-0000-0000-00002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1" name="Text Box 76">
          <a:extLst>
            <a:ext uri="{FF2B5EF4-FFF2-40B4-BE49-F238E27FC236}">
              <a16:creationId xmlns="" xmlns:a16="http://schemas.microsoft.com/office/drawing/2014/main" id="{00000000-0008-0000-0000-00002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2" name="Text Box 77">
          <a:extLst>
            <a:ext uri="{FF2B5EF4-FFF2-40B4-BE49-F238E27FC236}">
              <a16:creationId xmlns="" xmlns:a16="http://schemas.microsoft.com/office/drawing/2014/main" id="{00000000-0008-0000-0000-00002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3" name="Text Box 78">
          <a:extLst>
            <a:ext uri="{FF2B5EF4-FFF2-40B4-BE49-F238E27FC236}">
              <a16:creationId xmlns="" xmlns:a16="http://schemas.microsoft.com/office/drawing/2014/main" id="{00000000-0008-0000-0000-00002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4" name="Text Box 79">
          <a:extLst>
            <a:ext uri="{FF2B5EF4-FFF2-40B4-BE49-F238E27FC236}">
              <a16:creationId xmlns="" xmlns:a16="http://schemas.microsoft.com/office/drawing/2014/main" id="{00000000-0008-0000-0000-00002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5" name="Text Box 80">
          <a:extLst>
            <a:ext uri="{FF2B5EF4-FFF2-40B4-BE49-F238E27FC236}">
              <a16:creationId xmlns="" xmlns:a16="http://schemas.microsoft.com/office/drawing/2014/main" id="{00000000-0008-0000-0000-00002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6" name="Text Box 81">
          <a:extLst>
            <a:ext uri="{FF2B5EF4-FFF2-40B4-BE49-F238E27FC236}">
              <a16:creationId xmlns="" xmlns:a16="http://schemas.microsoft.com/office/drawing/2014/main" id="{00000000-0008-0000-0000-00003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7" name="Text Box 3079">
          <a:extLst>
            <a:ext uri="{FF2B5EF4-FFF2-40B4-BE49-F238E27FC236}">
              <a16:creationId xmlns="" xmlns:a16="http://schemas.microsoft.com/office/drawing/2014/main" id="{00000000-0008-0000-0000-00003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8" name="Text Box 3080">
          <a:extLst>
            <a:ext uri="{FF2B5EF4-FFF2-40B4-BE49-F238E27FC236}">
              <a16:creationId xmlns="" xmlns:a16="http://schemas.microsoft.com/office/drawing/2014/main" id="{00000000-0008-0000-0000-00003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9" name="Text Box 3081">
          <a:extLst>
            <a:ext uri="{FF2B5EF4-FFF2-40B4-BE49-F238E27FC236}">
              <a16:creationId xmlns="" xmlns:a16="http://schemas.microsoft.com/office/drawing/2014/main" id="{00000000-0008-0000-0000-00003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0" name="Text Box 3082">
          <a:extLst>
            <a:ext uri="{FF2B5EF4-FFF2-40B4-BE49-F238E27FC236}">
              <a16:creationId xmlns="" xmlns:a16="http://schemas.microsoft.com/office/drawing/2014/main" id="{00000000-0008-0000-0000-00003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1" name="Text Box 3083">
          <a:extLst>
            <a:ext uri="{FF2B5EF4-FFF2-40B4-BE49-F238E27FC236}">
              <a16:creationId xmlns="" xmlns:a16="http://schemas.microsoft.com/office/drawing/2014/main" id="{00000000-0008-0000-0000-00003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2" name="Text Box 3084">
          <a:extLst>
            <a:ext uri="{FF2B5EF4-FFF2-40B4-BE49-F238E27FC236}">
              <a16:creationId xmlns="" xmlns:a16="http://schemas.microsoft.com/office/drawing/2014/main" id="{00000000-0008-0000-0000-00003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3" name="Text Box 3085">
          <a:extLst>
            <a:ext uri="{FF2B5EF4-FFF2-40B4-BE49-F238E27FC236}">
              <a16:creationId xmlns="" xmlns:a16="http://schemas.microsoft.com/office/drawing/2014/main" id="{00000000-0008-0000-0000-00003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4" name="Text Box 3086">
          <a:extLst>
            <a:ext uri="{FF2B5EF4-FFF2-40B4-BE49-F238E27FC236}">
              <a16:creationId xmlns="" xmlns:a16="http://schemas.microsoft.com/office/drawing/2014/main" id="{00000000-0008-0000-0000-00003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5" name="Text Box 3087">
          <a:extLst>
            <a:ext uri="{FF2B5EF4-FFF2-40B4-BE49-F238E27FC236}">
              <a16:creationId xmlns="" xmlns:a16="http://schemas.microsoft.com/office/drawing/2014/main" id="{00000000-0008-0000-0000-00003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6" name="Text Box 3088">
          <a:extLst>
            <a:ext uri="{FF2B5EF4-FFF2-40B4-BE49-F238E27FC236}">
              <a16:creationId xmlns="" xmlns:a16="http://schemas.microsoft.com/office/drawing/2014/main" id="{00000000-0008-0000-0000-00003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7" name="Text Box 3089">
          <a:extLst>
            <a:ext uri="{FF2B5EF4-FFF2-40B4-BE49-F238E27FC236}">
              <a16:creationId xmlns="" xmlns:a16="http://schemas.microsoft.com/office/drawing/2014/main" id="{00000000-0008-0000-0000-00003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8" name="Text Box 3090">
          <a:extLst>
            <a:ext uri="{FF2B5EF4-FFF2-40B4-BE49-F238E27FC236}">
              <a16:creationId xmlns="" xmlns:a16="http://schemas.microsoft.com/office/drawing/2014/main" id="{00000000-0008-0000-0000-00003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9" name="Text Box 3091">
          <a:extLst>
            <a:ext uri="{FF2B5EF4-FFF2-40B4-BE49-F238E27FC236}">
              <a16:creationId xmlns="" xmlns:a16="http://schemas.microsoft.com/office/drawing/2014/main" id="{00000000-0008-0000-0000-00003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0" name="Text Box 3092">
          <a:extLst>
            <a:ext uri="{FF2B5EF4-FFF2-40B4-BE49-F238E27FC236}">
              <a16:creationId xmlns="" xmlns:a16="http://schemas.microsoft.com/office/drawing/2014/main" id="{00000000-0008-0000-0000-00003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1" name="Text Box 3093">
          <a:extLst>
            <a:ext uri="{FF2B5EF4-FFF2-40B4-BE49-F238E27FC236}">
              <a16:creationId xmlns="" xmlns:a16="http://schemas.microsoft.com/office/drawing/2014/main" id="{00000000-0008-0000-0000-00003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2" name="Text Box 3094">
          <a:extLst>
            <a:ext uri="{FF2B5EF4-FFF2-40B4-BE49-F238E27FC236}">
              <a16:creationId xmlns="" xmlns:a16="http://schemas.microsoft.com/office/drawing/2014/main" id="{00000000-0008-0000-0000-00004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3" name="Text Box 3095">
          <a:extLst>
            <a:ext uri="{FF2B5EF4-FFF2-40B4-BE49-F238E27FC236}">
              <a16:creationId xmlns="" xmlns:a16="http://schemas.microsoft.com/office/drawing/2014/main" id="{00000000-0008-0000-0000-00004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4" name="Text Box 3096">
          <a:extLst>
            <a:ext uri="{FF2B5EF4-FFF2-40B4-BE49-F238E27FC236}">
              <a16:creationId xmlns="" xmlns:a16="http://schemas.microsoft.com/office/drawing/2014/main" id="{00000000-0008-0000-0000-00004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5" name="Text Box 3097">
          <a:extLst>
            <a:ext uri="{FF2B5EF4-FFF2-40B4-BE49-F238E27FC236}">
              <a16:creationId xmlns="" xmlns:a16="http://schemas.microsoft.com/office/drawing/2014/main" id="{00000000-0008-0000-0000-00004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6" name="Text Box 3098">
          <a:extLst>
            <a:ext uri="{FF2B5EF4-FFF2-40B4-BE49-F238E27FC236}">
              <a16:creationId xmlns="" xmlns:a16="http://schemas.microsoft.com/office/drawing/2014/main" id="{00000000-0008-0000-0000-00004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7" name="Text Box 3099">
          <a:extLst>
            <a:ext uri="{FF2B5EF4-FFF2-40B4-BE49-F238E27FC236}">
              <a16:creationId xmlns="" xmlns:a16="http://schemas.microsoft.com/office/drawing/2014/main" id="{00000000-0008-0000-0000-00004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8" name="Text Box 3100">
          <a:extLst>
            <a:ext uri="{FF2B5EF4-FFF2-40B4-BE49-F238E27FC236}">
              <a16:creationId xmlns="" xmlns:a16="http://schemas.microsoft.com/office/drawing/2014/main" id="{00000000-0008-0000-0000-00004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9" name="Text Box 3101">
          <a:extLst>
            <a:ext uri="{FF2B5EF4-FFF2-40B4-BE49-F238E27FC236}">
              <a16:creationId xmlns="" xmlns:a16="http://schemas.microsoft.com/office/drawing/2014/main" id="{00000000-0008-0000-0000-00004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680" name="Text Box 3102">
          <a:extLst>
            <a:ext uri="{FF2B5EF4-FFF2-40B4-BE49-F238E27FC236}">
              <a16:creationId xmlns="" xmlns:a16="http://schemas.microsoft.com/office/drawing/2014/main" id="{00000000-0008-0000-0000-00004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1" name="Text Box 59">
          <a:extLst>
            <a:ext uri="{FF2B5EF4-FFF2-40B4-BE49-F238E27FC236}">
              <a16:creationId xmlns="" xmlns:a16="http://schemas.microsoft.com/office/drawing/2014/main" id="{00000000-0008-0000-0000-00004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2" name="Text Box 60">
          <a:extLst>
            <a:ext uri="{FF2B5EF4-FFF2-40B4-BE49-F238E27FC236}">
              <a16:creationId xmlns="" xmlns:a16="http://schemas.microsoft.com/office/drawing/2014/main" id="{00000000-0008-0000-0000-00004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3" name="Text Box 61">
          <a:extLst>
            <a:ext uri="{FF2B5EF4-FFF2-40B4-BE49-F238E27FC236}">
              <a16:creationId xmlns="" xmlns:a16="http://schemas.microsoft.com/office/drawing/2014/main" id="{00000000-0008-0000-0000-00004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4" name="Text Box 62">
          <a:extLst>
            <a:ext uri="{FF2B5EF4-FFF2-40B4-BE49-F238E27FC236}">
              <a16:creationId xmlns="" xmlns:a16="http://schemas.microsoft.com/office/drawing/2014/main" id="{00000000-0008-0000-0000-00004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5" name="Text Box 63">
          <a:extLst>
            <a:ext uri="{FF2B5EF4-FFF2-40B4-BE49-F238E27FC236}">
              <a16:creationId xmlns="" xmlns:a16="http://schemas.microsoft.com/office/drawing/2014/main" id="{00000000-0008-0000-0000-00004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6" name="Text Box 64">
          <a:extLst>
            <a:ext uri="{FF2B5EF4-FFF2-40B4-BE49-F238E27FC236}">
              <a16:creationId xmlns="" xmlns:a16="http://schemas.microsoft.com/office/drawing/2014/main" id="{00000000-0008-0000-0000-00004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7" name="Text Box 65">
          <a:extLst>
            <a:ext uri="{FF2B5EF4-FFF2-40B4-BE49-F238E27FC236}">
              <a16:creationId xmlns="" xmlns:a16="http://schemas.microsoft.com/office/drawing/2014/main" id="{00000000-0008-0000-0000-00004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8" name="Text Box 66">
          <a:extLst>
            <a:ext uri="{FF2B5EF4-FFF2-40B4-BE49-F238E27FC236}">
              <a16:creationId xmlns="" xmlns:a16="http://schemas.microsoft.com/office/drawing/2014/main" id="{00000000-0008-0000-0000-00005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9" name="Text Box 67">
          <a:extLst>
            <a:ext uri="{FF2B5EF4-FFF2-40B4-BE49-F238E27FC236}">
              <a16:creationId xmlns="" xmlns:a16="http://schemas.microsoft.com/office/drawing/2014/main" id="{00000000-0008-0000-0000-00005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0" name="Text Box 68">
          <a:extLst>
            <a:ext uri="{FF2B5EF4-FFF2-40B4-BE49-F238E27FC236}">
              <a16:creationId xmlns="" xmlns:a16="http://schemas.microsoft.com/office/drawing/2014/main" id="{00000000-0008-0000-0000-00005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1" name="Text Box 69">
          <a:extLst>
            <a:ext uri="{FF2B5EF4-FFF2-40B4-BE49-F238E27FC236}">
              <a16:creationId xmlns="" xmlns:a16="http://schemas.microsoft.com/office/drawing/2014/main" id="{00000000-0008-0000-0000-00005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2" name="Text Box 70">
          <a:extLst>
            <a:ext uri="{FF2B5EF4-FFF2-40B4-BE49-F238E27FC236}">
              <a16:creationId xmlns="" xmlns:a16="http://schemas.microsoft.com/office/drawing/2014/main" id="{00000000-0008-0000-0000-00005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3" name="Text Box 71">
          <a:extLst>
            <a:ext uri="{FF2B5EF4-FFF2-40B4-BE49-F238E27FC236}">
              <a16:creationId xmlns="" xmlns:a16="http://schemas.microsoft.com/office/drawing/2014/main" id="{00000000-0008-0000-0000-00005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4" name="Text Box 72">
          <a:extLst>
            <a:ext uri="{FF2B5EF4-FFF2-40B4-BE49-F238E27FC236}">
              <a16:creationId xmlns="" xmlns:a16="http://schemas.microsoft.com/office/drawing/2014/main" id="{00000000-0008-0000-0000-00005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5" name="Text Box 73">
          <a:extLst>
            <a:ext uri="{FF2B5EF4-FFF2-40B4-BE49-F238E27FC236}">
              <a16:creationId xmlns="" xmlns:a16="http://schemas.microsoft.com/office/drawing/2014/main" id="{00000000-0008-0000-0000-00005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6" name="Text Box 74">
          <a:extLst>
            <a:ext uri="{FF2B5EF4-FFF2-40B4-BE49-F238E27FC236}">
              <a16:creationId xmlns="" xmlns:a16="http://schemas.microsoft.com/office/drawing/2014/main" id="{00000000-0008-0000-0000-00005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7" name="Text Box 75">
          <a:extLst>
            <a:ext uri="{FF2B5EF4-FFF2-40B4-BE49-F238E27FC236}">
              <a16:creationId xmlns="" xmlns:a16="http://schemas.microsoft.com/office/drawing/2014/main" id="{00000000-0008-0000-0000-00005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8" name="Text Box 76">
          <a:extLst>
            <a:ext uri="{FF2B5EF4-FFF2-40B4-BE49-F238E27FC236}">
              <a16:creationId xmlns="" xmlns:a16="http://schemas.microsoft.com/office/drawing/2014/main" id="{00000000-0008-0000-0000-00005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9" name="Text Box 77">
          <a:extLst>
            <a:ext uri="{FF2B5EF4-FFF2-40B4-BE49-F238E27FC236}">
              <a16:creationId xmlns="" xmlns:a16="http://schemas.microsoft.com/office/drawing/2014/main" id="{00000000-0008-0000-0000-00005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0" name="Text Box 78">
          <a:extLst>
            <a:ext uri="{FF2B5EF4-FFF2-40B4-BE49-F238E27FC236}">
              <a16:creationId xmlns="" xmlns:a16="http://schemas.microsoft.com/office/drawing/2014/main" id="{00000000-0008-0000-0000-00005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1" name="Text Box 79">
          <a:extLst>
            <a:ext uri="{FF2B5EF4-FFF2-40B4-BE49-F238E27FC236}">
              <a16:creationId xmlns="" xmlns:a16="http://schemas.microsoft.com/office/drawing/2014/main" id="{00000000-0008-0000-0000-00005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2" name="Text Box 80">
          <a:extLst>
            <a:ext uri="{FF2B5EF4-FFF2-40B4-BE49-F238E27FC236}">
              <a16:creationId xmlns="" xmlns:a16="http://schemas.microsoft.com/office/drawing/2014/main" id="{00000000-0008-0000-0000-00005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3" name="Text Box 81">
          <a:extLst>
            <a:ext uri="{FF2B5EF4-FFF2-40B4-BE49-F238E27FC236}">
              <a16:creationId xmlns="" xmlns:a16="http://schemas.microsoft.com/office/drawing/2014/main" id="{00000000-0008-0000-0000-00005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704" name="Text Box 82">
          <a:extLst>
            <a:ext uri="{FF2B5EF4-FFF2-40B4-BE49-F238E27FC236}">
              <a16:creationId xmlns="" xmlns:a16="http://schemas.microsoft.com/office/drawing/2014/main" id="{00000000-0008-0000-0000-00006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5" name="Text Box 3079">
          <a:extLst>
            <a:ext uri="{FF2B5EF4-FFF2-40B4-BE49-F238E27FC236}">
              <a16:creationId xmlns="" xmlns:a16="http://schemas.microsoft.com/office/drawing/2014/main" id="{00000000-0008-0000-0000-00006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6" name="Text Box 3080">
          <a:extLst>
            <a:ext uri="{FF2B5EF4-FFF2-40B4-BE49-F238E27FC236}">
              <a16:creationId xmlns="" xmlns:a16="http://schemas.microsoft.com/office/drawing/2014/main" id="{00000000-0008-0000-0000-00006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7" name="Text Box 3081">
          <a:extLst>
            <a:ext uri="{FF2B5EF4-FFF2-40B4-BE49-F238E27FC236}">
              <a16:creationId xmlns="" xmlns:a16="http://schemas.microsoft.com/office/drawing/2014/main" id="{00000000-0008-0000-0000-00006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8" name="Text Box 3082">
          <a:extLst>
            <a:ext uri="{FF2B5EF4-FFF2-40B4-BE49-F238E27FC236}">
              <a16:creationId xmlns="" xmlns:a16="http://schemas.microsoft.com/office/drawing/2014/main" id="{00000000-0008-0000-0000-00006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9" name="Text Box 3083">
          <a:extLst>
            <a:ext uri="{FF2B5EF4-FFF2-40B4-BE49-F238E27FC236}">
              <a16:creationId xmlns="" xmlns:a16="http://schemas.microsoft.com/office/drawing/2014/main" id="{00000000-0008-0000-0000-00006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0" name="Text Box 3084">
          <a:extLst>
            <a:ext uri="{FF2B5EF4-FFF2-40B4-BE49-F238E27FC236}">
              <a16:creationId xmlns="" xmlns:a16="http://schemas.microsoft.com/office/drawing/2014/main" id="{00000000-0008-0000-0000-00006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1" name="Text Box 3085">
          <a:extLst>
            <a:ext uri="{FF2B5EF4-FFF2-40B4-BE49-F238E27FC236}">
              <a16:creationId xmlns="" xmlns:a16="http://schemas.microsoft.com/office/drawing/2014/main" id="{00000000-0008-0000-0000-00006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2" name="Text Box 3086">
          <a:extLst>
            <a:ext uri="{FF2B5EF4-FFF2-40B4-BE49-F238E27FC236}">
              <a16:creationId xmlns="" xmlns:a16="http://schemas.microsoft.com/office/drawing/2014/main" id="{00000000-0008-0000-0000-00006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3" name="Text Box 3087">
          <a:extLst>
            <a:ext uri="{FF2B5EF4-FFF2-40B4-BE49-F238E27FC236}">
              <a16:creationId xmlns="" xmlns:a16="http://schemas.microsoft.com/office/drawing/2014/main" id="{00000000-0008-0000-0000-00006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4" name="Text Box 3088">
          <a:extLst>
            <a:ext uri="{FF2B5EF4-FFF2-40B4-BE49-F238E27FC236}">
              <a16:creationId xmlns="" xmlns:a16="http://schemas.microsoft.com/office/drawing/2014/main" id="{00000000-0008-0000-0000-00006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5" name="Text Box 3089">
          <a:extLst>
            <a:ext uri="{FF2B5EF4-FFF2-40B4-BE49-F238E27FC236}">
              <a16:creationId xmlns="" xmlns:a16="http://schemas.microsoft.com/office/drawing/2014/main" id="{00000000-0008-0000-0000-00006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6" name="Text Box 3090">
          <a:extLst>
            <a:ext uri="{FF2B5EF4-FFF2-40B4-BE49-F238E27FC236}">
              <a16:creationId xmlns="" xmlns:a16="http://schemas.microsoft.com/office/drawing/2014/main" id="{00000000-0008-0000-0000-00006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7" name="Text Box 3091">
          <a:extLst>
            <a:ext uri="{FF2B5EF4-FFF2-40B4-BE49-F238E27FC236}">
              <a16:creationId xmlns="" xmlns:a16="http://schemas.microsoft.com/office/drawing/2014/main" id="{00000000-0008-0000-0000-00006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8" name="Text Box 3092">
          <a:extLst>
            <a:ext uri="{FF2B5EF4-FFF2-40B4-BE49-F238E27FC236}">
              <a16:creationId xmlns="" xmlns:a16="http://schemas.microsoft.com/office/drawing/2014/main" id="{00000000-0008-0000-0000-00006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9" name="Text Box 3093">
          <a:extLst>
            <a:ext uri="{FF2B5EF4-FFF2-40B4-BE49-F238E27FC236}">
              <a16:creationId xmlns="" xmlns:a16="http://schemas.microsoft.com/office/drawing/2014/main" id="{00000000-0008-0000-0000-00006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0" name="Text Box 3094">
          <a:extLst>
            <a:ext uri="{FF2B5EF4-FFF2-40B4-BE49-F238E27FC236}">
              <a16:creationId xmlns="" xmlns:a16="http://schemas.microsoft.com/office/drawing/2014/main" id="{00000000-0008-0000-0000-00007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1" name="Text Box 3095">
          <a:extLst>
            <a:ext uri="{FF2B5EF4-FFF2-40B4-BE49-F238E27FC236}">
              <a16:creationId xmlns="" xmlns:a16="http://schemas.microsoft.com/office/drawing/2014/main" id="{00000000-0008-0000-0000-00007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2" name="Text Box 3096">
          <a:extLst>
            <a:ext uri="{FF2B5EF4-FFF2-40B4-BE49-F238E27FC236}">
              <a16:creationId xmlns="" xmlns:a16="http://schemas.microsoft.com/office/drawing/2014/main" id="{00000000-0008-0000-0000-00007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3" name="Text Box 3097">
          <a:extLst>
            <a:ext uri="{FF2B5EF4-FFF2-40B4-BE49-F238E27FC236}">
              <a16:creationId xmlns="" xmlns:a16="http://schemas.microsoft.com/office/drawing/2014/main" id="{00000000-0008-0000-0000-00007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4" name="Text Box 3098">
          <a:extLst>
            <a:ext uri="{FF2B5EF4-FFF2-40B4-BE49-F238E27FC236}">
              <a16:creationId xmlns="" xmlns:a16="http://schemas.microsoft.com/office/drawing/2014/main" id="{00000000-0008-0000-0000-00007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5" name="Text Box 3099">
          <a:extLst>
            <a:ext uri="{FF2B5EF4-FFF2-40B4-BE49-F238E27FC236}">
              <a16:creationId xmlns="" xmlns:a16="http://schemas.microsoft.com/office/drawing/2014/main" id="{00000000-0008-0000-0000-00007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6" name="Text Box 3100">
          <a:extLst>
            <a:ext uri="{FF2B5EF4-FFF2-40B4-BE49-F238E27FC236}">
              <a16:creationId xmlns="" xmlns:a16="http://schemas.microsoft.com/office/drawing/2014/main" id="{00000000-0008-0000-0000-00007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7" name="Text Box 3101">
          <a:extLst>
            <a:ext uri="{FF2B5EF4-FFF2-40B4-BE49-F238E27FC236}">
              <a16:creationId xmlns="" xmlns:a16="http://schemas.microsoft.com/office/drawing/2014/main" id="{00000000-0008-0000-0000-00007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728" name="Text Box 3102">
          <a:extLst>
            <a:ext uri="{FF2B5EF4-FFF2-40B4-BE49-F238E27FC236}">
              <a16:creationId xmlns="" xmlns:a16="http://schemas.microsoft.com/office/drawing/2014/main" id="{00000000-0008-0000-0000-00007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29" name="Text Box 59">
          <a:extLst>
            <a:ext uri="{FF2B5EF4-FFF2-40B4-BE49-F238E27FC236}">
              <a16:creationId xmlns="" xmlns:a16="http://schemas.microsoft.com/office/drawing/2014/main" id="{00000000-0008-0000-0000-00007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0" name="Text Box 60">
          <a:extLst>
            <a:ext uri="{FF2B5EF4-FFF2-40B4-BE49-F238E27FC236}">
              <a16:creationId xmlns="" xmlns:a16="http://schemas.microsoft.com/office/drawing/2014/main" id="{00000000-0008-0000-0000-00007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1" name="Text Box 61">
          <a:extLst>
            <a:ext uri="{FF2B5EF4-FFF2-40B4-BE49-F238E27FC236}">
              <a16:creationId xmlns="" xmlns:a16="http://schemas.microsoft.com/office/drawing/2014/main" id="{00000000-0008-0000-0000-00007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2" name="Text Box 62">
          <a:extLst>
            <a:ext uri="{FF2B5EF4-FFF2-40B4-BE49-F238E27FC236}">
              <a16:creationId xmlns="" xmlns:a16="http://schemas.microsoft.com/office/drawing/2014/main" id="{00000000-0008-0000-0000-00007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3" name="Text Box 63">
          <a:extLst>
            <a:ext uri="{FF2B5EF4-FFF2-40B4-BE49-F238E27FC236}">
              <a16:creationId xmlns="" xmlns:a16="http://schemas.microsoft.com/office/drawing/2014/main" id="{00000000-0008-0000-0000-00007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4" name="Text Box 64">
          <a:extLst>
            <a:ext uri="{FF2B5EF4-FFF2-40B4-BE49-F238E27FC236}">
              <a16:creationId xmlns="" xmlns:a16="http://schemas.microsoft.com/office/drawing/2014/main" id="{00000000-0008-0000-0000-00007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5" name="Text Box 65">
          <a:extLst>
            <a:ext uri="{FF2B5EF4-FFF2-40B4-BE49-F238E27FC236}">
              <a16:creationId xmlns="" xmlns:a16="http://schemas.microsoft.com/office/drawing/2014/main" id="{00000000-0008-0000-0000-00007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6" name="Text Box 66">
          <a:extLst>
            <a:ext uri="{FF2B5EF4-FFF2-40B4-BE49-F238E27FC236}">
              <a16:creationId xmlns="" xmlns:a16="http://schemas.microsoft.com/office/drawing/2014/main" id="{00000000-0008-0000-0000-00008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7" name="Text Box 67">
          <a:extLst>
            <a:ext uri="{FF2B5EF4-FFF2-40B4-BE49-F238E27FC236}">
              <a16:creationId xmlns="" xmlns:a16="http://schemas.microsoft.com/office/drawing/2014/main" id="{00000000-0008-0000-0000-00008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8" name="Text Box 68">
          <a:extLst>
            <a:ext uri="{FF2B5EF4-FFF2-40B4-BE49-F238E27FC236}">
              <a16:creationId xmlns="" xmlns:a16="http://schemas.microsoft.com/office/drawing/2014/main" id="{00000000-0008-0000-0000-00008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9" name="Text Box 69">
          <a:extLst>
            <a:ext uri="{FF2B5EF4-FFF2-40B4-BE49-F238E27FC236}">
              <a16:creationId xmlns="" xmlns:a16="http://schemas.microsoft.com/office/drawing/2014/main" id="{00000000-0008-0000-0000-00008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0" name="Text Box 70">
          <a:extLst>
            <a:ext uri="{FF2B5EF4-FFF2-40B4-BE49-F238E27FC236}">
              <a16:creationId xmlns="" xmlns:a16="http://schemas.microsoft.com/office/drawing/2014/main" id="{00000000-0008-0000-0000-00008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1" name="Text Box 71">
          <a:extLst>
            <a:ext uri="{FF2B5EF4-FFF2-40B4-BE49-F238E27FC236}">
              <a16:creationId xmlns="" xmlns:a16="http://schemas.microsoft.com/office/drawing/2014/main" id="{00000000-0008-0000-0000-00008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2" name="Text Box 72">
          <a:extLst>
            <a:ext uri="{FF2B5EF4-FFF2-40B4-BE49-F238E27FC236}">
              <a16:creationId xmlns="" xmlns:a16="http://schemas.microsoft.com/office/drawing/2014/main" id="{00000000-0008-0000-0000-00008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3" name="Text Box 73">
          <a:extLst>
            <a:ext uri="{FF2B5EF4-FFF2-40B4-BE49-F238E27FC236}">
              <a16:creationId xmlns="" xmlns:a16="http://schemas.microsoft.com/office/drawing/2014/main" id="{00000000-0008-0000-0000-00008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4" name="Text Box 74">
          <a:extLst>
            <a:ext uri="{FF2B5EF4-FFF2-40B4-BE49-F238E27FC236}">
              <a16:creationId xmlns="" xmlns:a16="http://schemas.microsoft.com/office/drawing/2014/main" id="{00000000-0008-0000-0000-00008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5" name="Text Box 75">
          <a:extLst>
            <a:ext uri="{FF2B5EF4-FFF2-40B4-BE49-F238E27FC236}">
              <a16:creationId xmlns="" xmlns:a16="http://schemas.microsoft.com/office/drawing/2014/main" id="{00000000-0008-0000-0000-00008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6" name="Text Box 76">
          <a:extLst>
            <a:ext uri="{FF2B5EF4-FFF2-40B4-BE49-F238E27FC236}">
              <a16:creationId xmlns="" xmlns:a16="http://schemas.microsoft.com/office/drawing/2014/main" id="{00000000-0008-0000-0000-00008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7" name="Text Box 77">
          <a:extLst>
            <a:ext uri="{FF2B5EF4-FFF2-40B4-BE49-F238E27FC236}">
              <a16:creationId xmlns="" xmlns:a16="http://schemas.microsoft.com/office/drawing/2014/main" id="{00000000-0008-0000-0000-00008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8" name="Text Box 78">
          <a:extLst>
            <a:ext uri="{FF2B5EF4-FFF2-40B4-BE49-F238E27FC236}">
              <a16:creationId xmlns="" xmlns:a16="http://schemas.microsoft.com/office/drawing/2014/main" id="{00000000-0008-0000-0000-00008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9" name="Text Box 79">
          <a:extLst>
            <a:ext uri="{FF2B5EF4-FFF2-40B4-BE49-F238E27FC236}">
              <a16:creationId xmlns="" xmlns:a16="http://schemas.microsoft.com/office/drawing/2014/main" id="{00000000-0008-0000-0000-00008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0" name="Text Box 80">
          <a:extLst>
            <a:ext uri="{FF2B5EF4-FFF2-40B4-BE49-F238E27FC236}">
              <a16:creationId xmlns="" xmlns:a16="http://schemas.microsoft.com/office/drawing/2014/main" id="{00000000-0008-0000-0000-00008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1" name="Text Box 81">
          <a:extLst>
            <a:ext uri="{FF2B5EF4-FFF2-40B4-BE49-F238E27FC236}">
              <a16:creationId xmlns="" xmlns:a16="http://schemas.microsoft.com/office/drawing/2014/main" id="{00000000-0008-0000-0000-00008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2" name="Text Box 3079">
          <a:extLst>
            <a:ext uri="{FF2B5EF4-FFF2-40B4-BE49-F238E27FC236}">
              <a16:creationId xmlns="" xmlns:a16="http://schemas.microsoft.com/office/drawing/2014/main" id="{00000000-0008-0000-0000-00009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3" name="Text Box 3080">
          <a:extLst>
            <a:ext uri="{FF2B5EF4-FFF2-40B4-BE49-F238E27FC236}">
              <a16:creationId xmlns="" xmlns:a16="http://schemas.microsoft.com/office/drawing/2014/main" id="{00000000-0008-0000-0000-00009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4" name="Text Box 3081">
          <a:extLst>
            <a:ext uri="{FF2B5EF4-FFF2-40B4-BE49-F238E27FC236}">
              <a16:creationId xmlns="" xmlns:a16="http://schemas.microsoft.com/office/drawing/2014/main" id="{00000000-0008-0000-0000-00009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5" name="Text Box 3082">
          <a:extLst>
            <a:ext uri="{FF2B5EF4-FFF2-40B4-BE49-F238E27FC236}">
              <a16:creationId xmlns="" xmlns:a16="http://schemas.microsoft.com/office/drawing/2014/main" id="{00000000-0008-0000-0000-00009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6" name="Text Box 3083">
          <a:extLst>
            <a:ext uri="{FF2B5EF4-FFF2-40B4-BE49-F238E27FC236}">
              <a16:creationId xmlns="" xmlns:a16="http://schemas.microsoft.com/office/drawing/2014/main" id="{00000000-0008-0000-0000-00009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7" name="Text Box 3084">
          <a:extLst>
            <a:ext uri="{FF2B5EF4-FFF2-40B4-BE49-F238E27FC236}">
              <a16:creationId xmlns="" xmlns:a16="http://schemas.microsoft.com/office/drawing/2014/main" id="{00000000-0008-0000-0000-00009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8" name="Text Box 3085">
          <a:extLst>
            <a:ext uri="{FF2B5EF4-FFF2-40B4-BE49-F238E27FC236}">
              <a16:creationId xmlns="" xmlns:a16="http://schemas.microsoft.com/office/drawing/2014/main" id="{00000000-0008-0000-0000-00009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9" name="Text Box 3086">
          <a:extLst>
            <a:ext uri="{FF2B5EF4-FFF2-40B4-BE49-F238E27FC236}">
              <a16:creationId xmlns="" xmlns:a16="http://schemas.microsoft.com/office/drawing/2014/main" id="{00000000-0008-0000-0000-00009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0" name="Text Box 3087">
          <a:extLst>
            <a:ext uri="{FF2B5EF4-FFF2-40B4-BE49-F238E27FC236}">
              <a16:creationId xmlns="" xmlns:a16="http://schemas.microsoft.com/office/drawing/2014/main" id="{00000000-0008-0000-0000-00009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1" name="Text Box 3088">
          <a:extLst>
            <a:ext uri="{FF2B5EF4-FFF2-40B4-BE49-F238E27FC236}">
              <a16:creationId xmlns="" xmlns:a16="http://schemas.microsoft.com/office/drawing/2014/main" id="{00000000-0008-0000-0000-00009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2" name="Text Box 3089">
          <a:extLst>
            <a:ext uri="{FF2B5EF4-FFF2-40B4-BE49-F238E27FC236}">
              <a16:creationId xmlns="" xmlns:a16="http://schemas.microsoft.com/office/drawing/2014/main" id="{00000000-0008-0000-0000-00009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3" name="Text Box 3090">
          <a:extLst>
            <a:ext uri="{FF2B5EF4-FFF2-40B4-BE49-F238E27FC236}">
              <a16:creationId xmlns="" xmlns:a16="http://schemas.microsoft.com/office/drawing/2014/main" id="{00000000-0008-0000-0000-00009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4" name="Text Box 3091">
          <a:extLst>
            <a:ext uri="{FF2B5EF4-FFF2-40B4-BE49-F238E27FC236}">
              <a16:creationId xmlns="" xmlns:a16="http://schemas.microsoft.com/office/drawing/2014/main" id="{00000000-0008-0000-0000-00009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5" name="Text Box 3092">
          <a:extLst>
            <a:ext uri="{FF2B5EF4-FFF2-40B4-BE49-F238E27FC236}">
              <a16:creationId xmlns="" xmlns:a16="http://schemas.microsoft.com/office/drawing/2014/main" id="{00000000-0008-0000-0000-00009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6" name="Text Box 3093">
          <a:extLst>
            <a:ext uri="{FF2B5EF4-FFF2-40B4-BE49-F238E27FC236}">
              <a16:creationId xmlns="" xmlns:a16="http://schemas.microsoft.com/office/drawing/2014/main" id="{00000000-0008-0000-0000-00009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7" name="Text Box 3094">
          <a:extLst>
            <a:ext uri="{FF2B5EF4-FFF2-40B4-BE49-F238E27FC236}">
              <a16:creationId xmlns="" xmlns:a16="http://schemas.microsoft.com/office/drawing/2014/main" id="{00000000-0008-0000-0000-00009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8" name="Text Box 3095">
          <a:extLst>
            <a:ext uri="{FF2B5EF4-FFF2-40B4-BE49-F238E27FC236}">
              <a16:creationId xmlns="" xmlns:a16="http://schemas.microsoft.com/office/drawing/2014/main" id="{00000000-0008-0000-0000-0000A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9" name="Text Box 3096">
          <a:extLst>
            <a:ext uri="{FF2B5EF4-FFF2-40B4-BE49-F238E27FC236}">
              <a16:creationId xmlns="" xmlns:a16="http://schemas.microsoft.com/office/drawing/2014/main" id="{00000000-0008-0000-0000-0000A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0" name="Text Box 3097">
          <a:extLst>
            <a:ext uri="{FF2B5EF4-FFF2-40B4-BE49-F238E27FC236}">
              <a16:creationId xmlns="" xmlns:a16="http://schemas.microsoft.com/office/drawing/2014/main" id="{00000000-0008-0000-0000-0000A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1" name="Text Box 3098">
          <a:extLst>
            <a:ext uri="{FF2B5EF4-FFF2-40B4-BE49-F238E27FC236}">
              <a16:creationId xmlns="" xmlns:a16="http://schemas.microsoft.com/office/drawing/2014/main" id="{00000000-0008-0000-0000-0000A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2" name="Text Box 3099">
          <a:extLst>
            <a:ext uri="{FF2B5EF4-FFF2-40B4-BE49-F238E27FC236}">
              <a16:creationId xmlns="" xmlns:a16="http://schemas.microsoft.com/office/drawing/2014/main" id="{00000000-0008-0000-0000-0000A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3" name="Text Box 3100">
          <a:extLst>
            <a:ext uri="{FF2B5EF4-FFF2-40B4-BE49-F238E27FC236}">
              <a16:creationId xmlns="" xmlns:a16="http://schemas.microsoft.com/office/drawing/2014/main" id="{00000000-0008-0000-0000-0000A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4" name="Text Box 3101">
          <a:extLst>
            <a:ext uri="{FF2B5EF4-FFF2-40B4-BE49-F238E27FC236}">
              <a16:creationId xmlns="" xmlns:a16="http://schemas.microsoft.com/office/drawing/2014/main" id="{00000000-0008-0000-0000-0000A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775" name="Text Box 3102">
          <a:extLst>
            <a:ext uri="{FF2B5EF4-FFF2-40B4-BE49-F238E27FC236}">
              <a16:creationId xmlns="" xmlns:a16="http://schemas.microsoft.com/office/drawing/2014/main" id="{00000000-0008-0000-0000-0000A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6" name="Text Box 59">
          <a:extLst>
            <a:ext uri="{FF2B5EF4-FFF2-40B4-BE49-F238E27FC236}">
              <a16:creationId xmlns="" xmlns:a16="http://schemas.microsoft.com/office/drawing/2014/main" id="{00000000-0008-0000-0000-0000A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7" name="Text Box 60">
          <a:extLst>
            <a:ext uri="{FF2B5EF4-FFF2-40B4-BE49-F238E27FC236}">
              <a16:creationId xmlns="" xmlns:a16="http://schemas.microsoft.com/office/drawing/2014/main" id="{00000000-0008-0000-0000-0000A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8" name="Text Box 61">
          <a:extLst>
            <a:ext uri="{FF2B5EF4-FFF2-40B4-BE49-F238E27FC236}">
              <a16:creationId xmlns="" xmlns:a16="http://schemas.microsoft.com/office/drawing/2014/main" id="{00000000-0008-0000-0000-0000A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9" name="Text Box 62">
          <a:extLst>
            <a:ext uri="{FF2B5EF4-FFF2-40B4-BE49-F238E27FC236}">
              <a16:creationId xmlns="" xmlns:a16="http://schemas.microsoft.com/office/drawing/2014/main" id="{00000000-0008-0000-0000-0000A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0" name="Text Box 63">
          <a:extLst>
            <a:ext uri="{FF2B5EF4-FFF2-40B4-BE49-F238E27FC236}">
              <a16:creationId xmlns="" xmlns:a16="http://schemas.microsoft.com/office/drawing/2014/main" id="{00000000-0008-0000-0000-0000A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1" name="Text Box 64">
          <a:extLst>
            <a:ext uri="{FF2B5EF4-FFF2-40B4-BE49-F238E27FC236}">
              <a16:creationId xmlns="" xmlns:a16="http://schemas.microsoft.com/office/drawing/2014/main" id="{00000000-0008-0000-0000-0000A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2" name="Text Box 65">
          <a:extLst>
            <a:ext uri="{FF2B5EF4-FFF2-40B4-BE49-F238E27FC236}">
              <a16:creationId xmlns="" xmlns:a16="http://schemas.microsoft.com/office/drawing/2014/main" id="{00000000-0008-0000-0000-0000A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3" name="Text Box 66">
          <a:extLst>
            <a:ext uri="{FF2B5EF4-FFF2-40B4-BE49-F238E27FC236}">
              <a16:creationId xmlns="" xmlns:a16="http://schemas.microsoft.com/office/drawing/2014/main" id="{00000000-0008-0000-0000-0000A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4" name="Text Box 67">
          <a:extLst>
            <a:ext uri="{FF2B5EF4-FFF2-40B4-BE49-F238E27FC236}">
              <a16:creationId xmlns="" xmlns:a16="http://schemas.microsoft.com/office/drawing/2014/main" id="{00000000-0008-0000-0000-0000B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5" name="Text Box 68">
          <a:extLst>
            <a:ext uri="{FF2B5EF4-FFF2-40B4-BE49-F238E27FC236}">
              <a16:creationId xmlns="" xmlns:a16="http://schemas.microsoft.com/office/drawing/2014/main" id="{00000000-0008-0000-0000-0000B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6" name="Text Box 69">
          <a:extLst>
            <a:ext uri="{FF2B5EF4-FFF2-40B4-BE49-F238E27FC236}">
              <a16:creationId xmlns="" xmlns:a16="http://schemas.microsoft.com/office/drawing/2014/main" id="{00000000-0008-0000-0000-0000B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7" name="Text Box 70">
          <a:extLst>
            <a:ext uri="{FF2B5EF4-FFF2-40B4-BE49-F238E27FC236}">
              <a16:creationId xmlns="" xmlns:a16="http://schemas.microsoft.com/office/drawing/2014/main" id="{00000000-0008-0000-0000-0000B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8" name="Text Box 71">
          <a:extLst>
            <a:ext uri="{FF2B5EF4-FFF2-40B4-BE49-F238E27FC236}">
              <a16:creationId xmlns="" xmlns:a16="http://schemas.microsoft.com/office/drawing/2014/main" id="{00000000-0008-0000-0000-0000B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9" name="Text Box 72">
          <a:extLst>
            <a:ext uri="{FF2B5EF4-FFF2-40B4-BE49-F238E27FC236}">
              <a16:creationId xmlns="" xmlns:a16="http://schemas.microsoft.com/office/drawing/2014/main" id="{00000000-0008-0000-0000-0000B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0" name="Text Box 73">
          <a:extLst>
            <a:ext uri="{FF2B5EF4-FFF2-40B4-BE49-F238E27FC236}">
              <a16:creationId xmlns="" xmlns:a16="http://schemas.microsoft.com/office/drawing/2014/main" id="{00000000-0008-0000-0000-0000B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1" name="Text Box 74">
          <a:extLst>
            <a:ext uri="{FF2B5EF4-FFF2-40B4-BE49-F238E27FC236}">
              <a16:creationId xmlns="" xmlns:a16="http://schemas.microsoft.com/office/drawing/2014/main" id="{00000000-0008-0000-0000-0000B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2" name="Text Box 75">
          <a:extLst>
            <a:ext uri="{FF2B5EF4-FFF2-40B4-BE49-F238E27FC236}">
              <a16:creationId xmlns="" xmlns:a16="http://schemas.microsoft.com/office/drawing/2014/main" id="{00000000-0008-0000-0000-0000B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3" name="Text Box 76">
          <a:extLst>
            <a:ext uri="{FF2B5EF4-FFF2-40B4-BE49-F238E27FC236}">
              <a16:creationId xmlns="" xmlns:a16="http://schemas.microsoft.com/office/drawing/2014/main" id="{00000000-0008-0000-0000-0000B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4" name="Text Box 77">
          <a:extLst>
            <a:ext uri="{FF2B5EF4-FFF2-40B4-BE49-F238E27FC236}">
              <a16:creationId xmlns="" xmlns:a16="http://schemas.microsoft.com/office/drawing/2014/main" id="{00000000-0008-0000-0000-0000B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5" name="Text Box 78">
          <a:extLst>
            <a:ext uri="{FF2B5EF4-FFF2-40B4-BE49-F238E27FC236}">
              <a16:creationId xmlns="" xmlns:a16="http://schemas.microsoft.com/office/drawing/2014/main" id="{00000000-0008-0000-0000-0000B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6" name="Text Box 79">
          <a:extLst>
            <a:ext uri="{FF2B5EF4-FFF2-40B4-BE49-F238E27FC236}">
              <a16:creationId xmlns="" xmlns:a16="http://schemas.microsoft.com/office/drawing/2014/main" id="{00000000-0008-0000-0000-0000B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7" name="Text Box 80">
          <a:extLst>
            <a:ext uri="{FF2B5EF4-FFF2-40B4-BE49-F238E27FC236}">
              <a16:creationId xmlns="" xmlns:a16="http://schemas.microsoft.com/office/drawing/2014/main" id="{00000000-0008-0000-0000-0000B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8" name="Text Box 81">
          <a:extLst>
            <a:ext uri="{FF2B5EF4-FFF2-40B4-BE49-F238E27FC236}">
              <a16:creationId xmlns="" xmlns:a16="http://schemas.microsoft.com/office/drawing/2014/main" id="{00000000-0008-0000-0000-0000B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799" name="Text Box 82">
          <a:extLst>
            <a:ext uri="{FF2B5EF4-FFF2-40B4-BE49-F238E27FC236}">
              <a16:creationId xmlns="" xmlns:a16="http://schemas.microsoft.com/office/drawing/2014/main" id="{00000000-0008-0000-0000-0000B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0" name="Text Box 3079">
          <a:extLst>
            <a:ext uri="{FF2B5EF4-FFF2-40B4-BE49-F238E27FC236}">
              <a16:creationId xmlns="" xmlns:a16="http://schemas.microsoft.com/office/drawing/2014/main" id="{00000000-0008-0000-0000-0000C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1" name="Text Box 3080">
          <a:extLst>
            <a:ext uri="{FF2B5EF4-FFF2-40B4-BE49-F238E27FC236}">
              <a16:creationId xmlns="" xmlns:a16="http://schemas.microsoft.com/office/drawing/2014/main" id="{00000000-0008-0000-0000-0000C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2" name="Text Box 3081">
          <a:extLst>
            <a:ext uri="{FF2B5EF4-FFF2-40B4-BE49-F238E27FC236}">
              <a16:creationId xmlns="" xmlns:a16="http://schemas.microsoft.com/office/drawing/2014/main" id="{00000000-0008-0000-0000-0000C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3" name="Text Box 3082">
          <a:extLst>
            <a:ext uri="{FF2B5EF4-FFF2-40B4-BE49-F238E27FC236}">
              <a16:creationId xmlns="" xmlns:a16="http://schemas.microsoft.com/office/drawing/2014/main" id="{00000000-0008-0000-0000-0000C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4" name="Text Box 3083">
          <a:extLst>
            <a:ext uri="{FF2B5EF4-FFF2-40B4-BE49-F238E27FC236}">
              <a16:creationId xmlns="" xmlns:a16="http://schemas.microsoft.com/office/drawing/2014/main" id="{00000000-0008-0000-0000-0000C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5" name="Text Box 3084">
          <a:extLst>
            <a:ext uri="{FF2B5EF4-FFF2-40B4-BE49-F238E27FC236}">
              <a16:creationId xmlns="" xmlns:a16="http://schemas.microsoft.com/office/drawing/2014/main" id="{00000000-0008-0000-0000-0000C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6" name="Text Box 3085">
          <a:extLst>
            <a:ext uri="{FF2B5EF4-FFF2-40B4-BE49-F238E27FC236}">
              <a16:creationId xmlns="" xmlns:a16="http://schemas.microsoft.com/office/drawing/2014/main" id="{00000000-0008-0000-0000-0000C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7" name="Text Box 3086">
          <a:extLst>
            <a:ext uri="{FF2B5EF4-FFF2-40B4-BE49-F238E27FC236}">
              <a16:creationId xmlns="" xmlns:a16="http://schemas.microsoft.com/office/drawing/2014/main" id="{00000000-0008-0000-0000-0000C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8" name="Text Box 3087">
          <a:extLst>
            <a:ext uri="{FF2B5EF4-FFF2-40B4-BE49-F238E27FC236}">
              <a16:creationId xmlns="" xmlns:a16="http://schemas.microsoft.com/office/drawing/2014/main" id="{00000000-0008-0000-0000-0000C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9" name="Text Box 3088">
          <a:extLst>
            <a:ext uri="{FF2B5EF4-FFF2-40B4-BE49-F238E27FC236}">
              <a16:creationId xmlns="" xmlns:a16="http://schemas.microsoft.com/office/drawing/2014/main" id="{00000000-0008-0000-0000-0000C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0" name="Text Box 3089">
          <a:extLst>
            <a:ext uri="{FF2B5EF4-FFF2-40B4-BE49-F238E27FC236}">
              <a16:creationId xmlns="" xmlns:a16="http://schemas.microsoft.com/office/drawing/2014/main" id="{00000000-0008-0000-0000-0000C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1" name="Text Box 3090">
          <a:extLst>
            <a:ext uri="{FF2B5EF4-FFF2-40B4-BE49-F238E27FC236}">
              <a16:creationId xmlns="" xmlns:a16="http://schemas.microsoft.com/office/drawing/2014/main" id="{00000000-0008-0000-0000-0000C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2" name="Text Box 3091">
          <a:extLst>
            <a:ext uri="{FF2B5EF4-FFF2-40B4-BE49-F238E27FC236}">
              <a16:creationId xmlns="" xmlns:a16="http://schemas.microsoft.com/office/drawing/2014/main" id="{00000000-0008-0000-0000-0000C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3" name="Text Box 3092">
          <a:extLst>
            <a:ext uri="{FF2B5EF4-FFF2-40B4-BE49-F238E27FC236}">
              <a16:creationId xmlns="" xmlns:a16="http://schemas.microsoft.com/office/drawing/2014/main" id="{00000000-0008-0000-0000-0000C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4" name="Text Box 3093">
          <a:extLst>
            <a:ext uri="{FF2B5EF4-FFF2-40B4-BE49-F238E27FC236}">
              <a16:creationId xmlns="" xmlns:a16="http://schemas.microsoft.com/office/drawing/2014/main" id="{00000000-0008-0000-0000-0000C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5" name="Text Box 3094">
          <a:extLst>
            <a:ext uri="{FF2B5EF4-FFF2-40B4-BE49-F238E27FC236}">
              <a16:creationId xmlns="" xmlns:a16="http://schemas.microsoft.com/office/drawing/2014/main" id="{00000000-0008-0000-0000-0000C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6" name="Text Box 3095">
          <a:extLst>
            <a:ext uri="{FF2B5EF4-FFF2-40B4-BE49-F238E27FC236}">
              <a16:creationId xmlns="" xmlns:a16="http://schemas.microsoft.com/office/drawing/2014/main" id="{00000000-0008-0000-0000-0000D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7" name="Text Box 3096">
          <a:extLst>
            <a:ext uri="{FF2B5EF4-FFF2-40B4-BE49-F238E27FC236}">
              <a16:creationId xmlns="" xmlns:a16="http://schemas.microsoft.com/office/drawing/2014/main" id="{00000000-0008-0000-0000-0000D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8" name="Text Box 3097">
          <a:extLst>
            <a:ext uri="{FF2B5EF4-FFF2-40B4-BE49-F238E27FC236}">
              <a16:creationId xmlns="" xmlns:a16="http://schemas.microsoft.com/office/drawing/2014/main" id="{00000000-0008-0000-0000-0000D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9" name="Text Box 3098">
          <a:extLst>
            <a:ext uri="{FF2B5EF4-FFF2-40B4-BE49-F238E27FC236}">
              <a16:creationId xmlns="" xmlns:a16="http://schemas.microsoft.com/office/drawing/2014/main" id="{00000000-0008-0000-0000-0000D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0" name="Text Box 3099">
          <a:extLst>
            <a:ext uri="{FF2B5EF4-FFF2-40B4-BE49-F238E27FC236}">
              <a16:creationId xmlns="" xmlns:a16="http://schemas.microsoft.com/office/drawing/2014/main" id="{00000000-0008-0000-0000-0000D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1" name="Text Box 3100">
          <a:extLst>
            <a:ext uri="{FF2B5EF4-FFF2-40B4-BE49-F238E27FC236}">
              <a16:creationId xmlns="" xmlns:a16="http://schemas.microsoft.com/office/drawing/2014/main" id="{00000000-0008-0000-0000-0000D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2" name="Text Box 3101">
          <a:extLst>
            <a:ext uri="{FF2B5EF4-FFF2-40B4-BE49-F238E27FC236}">
              <a16:creationId xmlns="" xmlns:a16="http://schemas.microsoft.com/office/drawing/2014/main" id="{00000000-0008-0000-0000-0000D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823" name="Text Box 3102">
          <a:extLst>
            <a:ext uri="{FF2B5EF4-FFF2-40B4-BE49-F238E27FC236}">
              <a16:creationId xmlns="" xmlns:a16="http://schemas.microsoft.com/office/drawing/2014/main" id="{00000000-0008-0000-0000-0000D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4" name="Text Box 59">
          <a:extLst>
            <a:ext uri="{FF2B5EF4-FFF2-40B4-BE49-F238E27FC236}">
              <a16:creationId xmlns="" xmlns:a16="http://schemas.microsoft.com/office/drawing/2014/main" id="{00000000-0008-0000-0000-0000D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5" name="Text Box 60">
          <a:extLst>
            <a:ext uri="{FF2B5EF4-FFF2-40B4-BE49-F238E27FC236}">
              <a16:creationId xmlns="" xmlns:a16="http://schemas.microsoft.com/office/drawing/2014/main" id="{00000000-0008-0000-0000-0000D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6" name="Text Box 61">
          <a:extLst>
            <a:ext uri="{FF2B5EF4-FFF2-40B4-BE49-F238E27FC236}">
              <a16:creationId xmlns="" xmlns:a16="http://schemas.microsoft.com/office/drawing/2014/main" id="{00000000-0008-0000-0000-0000D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7" name="Text Box 62">
          <a:extLst>
            <a:ext uri="{FF2B5EF4-FFF2-40B4-BE49-F238E27FC236}">
              <a16:creationId xmlns="" xmlns:a16="http://schemas.microsoft.com/office/drawing/2014/main" id="{00000000-0008-0000-0000-0000D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8" name="Text Box 63">
          <a:extLst>
            <a:ext uri="{FF2B5EF4-FFF2-40B4-BE49-F238E27FC236}">
              <a16:creationId xmlns="" xmlns:a16="http://schemas.microsoft.com/office/drawing/2014/main" id="{00000000-0008-0000-0000-0000D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9" name="Text Box 64">
          <a:extLst>
            <a:ext uri="{FF2B5EF4-FFF2-40B4-BE49-F238E27FC236}">
              <a16:creationId xmlns="" xmlns:a16="http://schemas.microsoft.com/office/drawing/2014/main" id="{00000000-0008-0000-0000-0000D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0" name="Text Box 65">
          <a:extLst>
            <a:ext uri="{FF2B5EF4-FFF2-40B4-BE49-F238E27FC236}">
              <a16:creationId xmlns="" xmlns:a16="http://schemas.microsoft.com/office/drawing/2014/main" id="{00000000-0008-0000-0000-0000D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1" name="Text Box 66">
          <a:extLst>
            <a:ext uri="{FF2B5EF4-FFF2-40B4-BE49-F238E27FC236}">
              <a16:creationId xmlns="" xmlns:a16="http://schemas.microsoft.com/office/drawing/2014/main" id="{00000000-0008-0000-0000-0000D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2" name="Text Box 67">
          <a:extLst>
            <a:ext uri="{FF2B5EF4-FFF2-40B4-BE49-F238E27FC236}">
              <a16:creationId xmlns="" xmlns:a16="http://schemas.microsoft.com/office/drawing/2014/main" id="{00000000-0008-0000-0000-0000E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3" name="Text Box 68">
          <a:extLst>
            <a:ext uri="{FF2B5EF4-FFF2-40B4-BE49-F238E27FC236}">
              <a16:creationId xmlns="" xmlns:a16="http://schemas.microsoft.com/office/drawing/2014/main" id="{00000000-0008-0000-0000-0000E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4" name="Text Box 69">
          <a:extLst>
            <a:ext uri="{FF2B5EF4-FFF2-40B4-BE49-F238E27FC236}">
              <a16:creationId xmlns="" xmlns:a16="http://schemas.microsoft.com/office/drawing/2014/main" id="{00000000-0008-0000-0000-0000E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5" name="Text Box 70">
          <a:extLst>
            <a:ext uri="{FF2B5EF4-FFF2-40B4-BE49-F238E27FC236}">
              <a16:creationId xmlns="" xmlns:a16="http://schemas.microsoft.com/office/drawing/2014/main" id="{00000000-0008-0000-0000-0000E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6" name="Text Box 71">
          <a:extLst>
            <a:ext uri="{FF2B5EF4-FFF2-40B4-BE49-F238E27FC236}">
              <a16:creationId xmlns="" xmlns:a16="http://schemas.microsoft.com/office/drawing/2014/main" id="{00000000-0008-0000-0000-0000E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7" name="Text Box 72">
          <a:extLst>
            <a:ext uri="{FF2B5EF4-FFF2-40B4-BE49-F238E27FC236}">
              <a16:creationId xmlns="" xmlns:a16="http://schemas.microsoft.com/office/drawing/2014/main" id="{00000000-0008-0000-0000-0000E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8" name="Text Box 73">
          <a:extLst>
            <a:ext uri="{FF2B5EF4-FFF2-40B4-BE49-F238E27FC236}">
              <a16:creationId xmlns="" xmlns:a16="http://schemas.microsoft.com/office/drawing/2014/main" id="{00000000-0008-0000-0000-0000E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9" name="Text Box 74">
          <a:extLst>
            <a:ext uri="{FF2B5EF4-FFF2-40B4-BE49-F238E27FC236}">
              <a16:creationId xmlns="" xmlns:a16="http://schemas.microsoft.com/office/drawing/2014/main" id="{00000000-0008-0000-0000-0000E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0" name="Text Box 75">
          <a:extLst>
            <a:ext uri="{FF2B5EF4-FFF2-40B4-BE49-F238E27FC236}">
              <a16:creationId xmlns="" xmlns:a16="http://schemas.microsoft.com/office/drawing/2014/main" id="{00000000-0008-0000-0000-0000E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1" name="Text Box 76">
          <a:extLst>
            <a:ext uri="{FF2B5EF4-FFF2-40B4-BE49-F238E27FC236}">
              <a16:creationId xmlns="" xmlns:a16="http://schemas.microsoft.com/office/drawing/2014/main" id="{00000000-0008-0000-0000-0000E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2" name="Text Box 77">
          <a:extLst>
            <a:ext uri="{FF2B5EF4-FFF2-40B4-BE49-F238E27FC236}">
              <a16:creationId xmlns="" xmlns:a16="http://schemas.microsoft.com/office/drawing/2014/main" id="{00000000-0008-0000-0000-0000E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3" name="Text Box 78">
          <a:extLst>
            <a:ext uri="{FF2B5EF4-FFF2-40B4-BE49-F238E27FC236}">
              <a16:creationId xmlns="" xmlns:a16="http://schemas.microsoft.com/office/drawing/2014/main" id="{00000000-0008-0000-0000-0000E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4" name="Text Box 79">
          <a:extLst>
            <a:ext uri="{FF2B5EF4-FFF2-40B4-BE49-F238E27FC236}">
              <a16:creationId xmlns="" xmlns:a16="http://schemas.microsoft.com/office/drawing/2014/main" id="{00000000-0008-0000-0000-0000E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5" name="Text Box 80">
          <a:extLst>
            <a:ext uri="{FF2B5EF4-FFF2-40B4-BE49-F238E27FC236}">
              <a16:creationId xmlns="" xmlns:a16="http://schemas.microsoft.com/office/drawing/2014/main" id="{00000000-0008-0000-0000-0000E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6" name="Text Box 81">
          <a:extLst>
            <a:ext uri="{FF2B5EF4-FFF2-40B4-BE49-F238E27FC236}">
              <a16:creationId xmlns="" xmlns:a16="http://schemas.microsoft.com/office/drawing/2014/main" id="{00000000-0008-0000-0000-0000E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7" name="Text Box 3079">
          <a:extLst>
            <a:ext uri="{FF2B5EF4-FFF2-40B4-BE49-F238E27FC236}">
              <a16:creationId xmlns="" xmlns:a16="http://schemas.microsoft.com/office/drawing/2014/main" id="{00000000-0008-0000-0000-0000E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8" name="Text Box 3080">
          <a:extLst>
            <a:ext uri="{FF2B5EF4-FFF2-40B4-BE49-F238E27FC236}">
              <a16:creationId xmlns="" xmlns:a16="http://schemas.microsoft.com/office/drawing/2014/main" id="{00000000-0008-0000-0000-0000F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9" name="Text Box 3081">
          <a:extLst>
            <a:ext uri="{FF2B5EF4-FFF2-40B4-BE49-F238E27FC236}">
              <a16:creationId xmlns="" xmlns:a16="http://schemas.microsoft.com/office/drawing/2014/main" id="{00000000-0008-0000-0000-0000F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0" name="Text Box 3082">
          <a:extLst>
            <a:ext uri="{FF2B5EF4-FFF2-40B4-BE49-F238E27FC236}">
              <a16:creationId xmlns="" xmlns:a16="http://schemas.microsoft.com/office/drawing/2014/main" id="{00000000-0008-0000-0000-0000F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1" name="Text Box 3083">
          <a:extLst>
            <a:ext uri="{FF2B5EF4-FFF2-40B4-BE49-F238E27FC236}">
              <a16:creationId xmlns="" xmlns:a16="http://schemas.microsoft.com/office/drawing/2014/main" id="{00000000-0008-0000-0000-0000F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2" name="Text Box 3084">
          <a:extLst>
            <a:ext uri="{FF2B5EF4-FFF2-40B4-BE49-F238E27FC236}">
              <a16:creationId xmlns="" xmlns:a16="http://schemas.microsoft.com/office/drawing/2014/main" id="{00000000-0008-0000-0000-0000F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3" name="Text Box 3085">
          <a:extLst>
            <a:ext uri="{FF2B5EF4-FFF2-40B4-BE49-F238E27FC236}">
              <a16:creationId xmlns="" xmlns:a16="http://schemas.microsoft.com/office/drawing/2014/main" id="{00000000-0008-0000-0000-0000F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4" name="Text Box 3086">
          <a:extLst>
            <a:ext uri="{FF2B5EF4-FFF2-40B4-BE49-F238E27FC236}">
              <a16:creationId xmlns="" xmlns:a16="http://schemas.microsoft.com/office/drawing/2014/main" id="{00000000-0008-0000-0000-0000F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5" name="Text Box 3087">
          <a:extLst>
            <a:ext uri="{FF2B5EF4-FFF2-40B4-BE49-F238E27FC236}">
              <a16:creationId xmlns="" xmlns:a16="http://schemas.microsoft.com/office/drawing/2014/main" id="{00000000-0008-0000-0000-0000F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6" name="Text Box 3088">
          <a:extLst>
            <a:ext uri="{FF2B5EF4-FFF2-40B4-BE49-F238E27FC236}">
              <a16:creationId xmlns="" xmlns:a16="http://schemas.microsoft.com/office/drawing/2014/main" id="{00000000-0008-0000-0000-0000F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7" name="Text Box 3089">
          <a:extLst>
            <a:ext uri="{FF2B5EF4-FFF2-40B4-BE49-F238E27FC236}">
              <a16:creationId xmlns="" xmlns:a16="http://schemas.microsoft.com/office/drawing/2014/main" id="{00000000-0008-0000-0000-0000F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8" name="Text Box 3090">
          <a:extLst>
            <a:ext uri="{FF2B5EF4-FFF2-40B4-BE49-F238E27FC236}">
              <a16:creationId xmlns="" xmlns:a16="http://schemas.microsoft.com/office/drawing/2014/main" id="{00000000-0008-0000-0000-0000F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9" name="Text Box 3091">
          <a:extLst>
            <a:ext uri="{FF2B5EF4-FFF2-40B4-BE49-F238E27FC236}">
              <a16:creationId xmlns="" xmlns:a16="http://schemas.microsoft.com/office/drawing/2014/main" id="{00000000-0008-0000-0000-0000F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0" name="Text Box 3092">
          <a:extLst>
            <a:ext uri="{FF2B5EF4-FFF2-40B4-BE49-F238E27FC236}">
              <a16:creationId xmlns="" xmlns:a16="http://schemas.microsoft.com/office/drawing/2014/main" id="{00000000-0008-0000-0000-0000F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1" name="Text Box 3093">
          <a:extLst>
            <a:ext uri="{FF2B5EF4-FFF2-40B4-BE49-F238E27FC236}">
              <a16:creationId xmlns="" xmlns:a16="http://schemas.microsoft.com/office/drawing/2014/main" id="{00000000-0008-0000-0000-0000F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2" name="Text Box 3094">
          <a:extLst>
            <a:ext uri="{FF2B5EF4-FFF2-40B4-BE49-F238E27FC236}">
              <a16:creationId xmlns="" xmlns:a16="http://schemas.microsoft.com/office/drawing/2014/main" id="{00000000-0008-0000-0000-0000F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3" name="Text Box 3095">
          <a:extLst>
            <a:ext uri="{FF2B5EF4-FFF2-40B4-BE49-F238E27FC236}">
              <a16:creationId xmlns="" xmlns:a16="http://schemas.microsoft.com/office/drawing/2014/main" id="{00000000-0008-0000-0000-0000F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4" name="Text Box 3096">
          <a:extLst>
            <a:ext uri="{FF2B5EF4-FFF2-40B4-BE49-F238E27FC236}">
              <a16:creationId xmlns="" xmlns:a16="http://schemas.microsoft.com/office/drawing/2014/main" id="{00000000-0008-0000-0000-00000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5" name="Text Box 3097">
          <a:extLst>
            <a:ext uri="{FF2B5EF4-FFF2-40B4-BE49-F238E27FC236}">
              <a16:creationId xmlns="" xmlns:a16="http://schemas.microsoft.com/office/drawing/2014/main" id="{00000000-0008-0000-0000-00000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6" name="Text Box 3098">
          <a:extLst>
            <a:ext uri="{FF2B5EF4-FFF2-40B4-BE49-F238E27FC236}">
              <a16:creationId xmlns="" xmlns:a16="http://schemas.microsoft.com/office/drawing/2014/main" id="{00000000-0008-0000-0000-00000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7" name="Text Box 3099">
          <a:extLst>
            <a:ext uri="{FF2B5EF4-FFF2-40B4-BE49-F238E27FC236}">
              <a16:creationId xmlns="" xmlns:a16="http://schemas.microsoft.com/office/drawing/2014/main" id="{00000000-0008-0000-0000-00000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8" name="Text Box 3100">
          <a:extLst>
            <a:ext uri="{FF2B5EF4-FFF2-40B4-BE49-F238E27FC236}">
              <a16:creationId xmlns="" xmlns:a16="http://schemas.microsoft.com/office/drawing/2014/main" id="{00000000-0008-0000-0000-00000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9" name="Text Box 3101">
          <a:extLst>
            <a:ext uri="{FF2B5EF4-FFF2-40B4-BE49-F238E27FC236}">
              <a16:creationId xmlns="" xmlns:a16="http://schemas.microsoft.com/office/drawing/2014/main" id="{00000000-0008-0000-0000-00000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870" name="Text Box 3102">
          <a:extLst>
            <a:ext uri="{FF2B5EF4-FFF2-40B4-BE49-F238E27FC236}">
              <a16:creationId xmlns="" xmlns:a16="http://schemas.microsoft.com/office/drawing/2014/main" id="{00000000-0008-0000-0000-00000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1" name="Text Box 59">
          <a:extLst>
            <a:ext uri="{FF2B5EF4-FFF2-40B4-BE49-F238E27FC236}">
              <a16:creationId xmlns="" xmlns:a16="http://schemas.microsoft.com/office/drawing/2014/main" id="{00000000-0008-0000-0000-00000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2" name="Text Box 60">
          <a:extLst>
            <a:ext uri="{FF2B5EF4-FFF2-40B4-BE49-F238E27FC236}">
              <a16:creationId xmlns="" xmlns:a16="http://schemas.microsoft.com/office/drawing/2014/main" id="{00000000-0008-0000-0000-00000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3" name="Text Box 61">
          <a:extLst>
            <a:ext uri="{FF2B5EF4-FFF2-40B4-BE49-F238E27FC236}">
              <a16:creationId xmlns="" xmlns:a16="http://schemas.microsoft.com/office/drawing/2014/main" id="{00000000-0008-0000-0000-00000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4" name="Text Box 62">
          <a:extLst>
            <a:ext uri="{FF2B5EF4-FFF2-40B4-BE49-F238E27FC236}">
              <a16:creationId xmlns="" xmlns:a16="http://schemas.microsoft.com/office/drawing/2014/main" id="{00000000-0008-0000-0000-00000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5" name="Text Box 63">
          <a:extLst>
            <a:ext uri="{FF2B5EF4-FFF2-40B4-BE49-F238E27FC236}">
              <a16:creationId xmlns="" xmlns:a16="http://schemas.microsoft.com/office/drawing/2014/main" id="{00000000-0008-0000-0000-00000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6" name="Text Box 64">
          <a:extLst>
            <a:ext uri="{FF2B5EF4-FFF2-40B4-BE49-F238E27FC236}">
              <a16:creationId xmlns="" xmlns:a16="http://schemas.microsoft.com/office/drawing/2014/main" id="{00000000-0008-0000-0000-00000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7" name="Text Box 65">
          <a:extLst>
            <a:ext uri="{FF2B5EF4-FFF2-40B4-BE49-F238E27FC236}">
              <a16:creationId xmlns="" xmlns:a16="http://schemas.microsoft.com/office/drawing/2014/main" id="{00000000-0008-0000-0000-00000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8" name="Text Box 66">
          <a:extLst>
            <a:ext uri="{FF2B5EF4-FFF2-40B4-BE49-F238E27FC236}">
              <a16:creationId xmlns="" xmlns:a16="http://schemas.microsoft.com/office/drawing/2014/main" id="{00000000-0008-0000-0000-00000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9" name="Text Box 67">
          <a:extLst>
            <a:ext uri="{FF2B5EF4-FFF2-40B4-BE49-F238E27FC236}">
              <a16:creationId xmlns="" xmlns:a16="http://schemas.microsoft.com/office/drawing/2014/main" id="{00000000-0008-0000-0000-00000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0" name="Text Box 68">
          <a:extLst>
            <a:ext uri="{FF2B5EF4-FFF2-40B4-BE49-F238E27FC236}">
              <a16:creationId xmlns="" xmlns:a16="http://schemas.microsoft.com/office/drawing/2014/main" id="{00000000-0008-0000-0000-00001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1" name="Text Box 69">
          <a:extLst>
            <a:ext uri="{FF2B5EF4-FFF2-40B4-BE49-F238E27FC236}">
              <a16:creationId xmlns="" xmlns:a16="http://schemas.microsoft.com/office/drawing/2014/main" id="{00000000-0008-0000-0000-00001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2" name="Text Box 70">
          <a:extLst>
            <a:ext uri="{FF2B5EF4-FFF2-40B4-BE49-F238E27FC236}">
              <a16:creationId xmlns="" xmlns:a16="http://schemas.microsoft.com/office/drawing/2014/main" id="{00000000-0008-0000-0000-00001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3" name="Text Box 71">
          <a:extLst>
            <a:ext uri="{FF2B5EF4-FFF2-40B4-BE49-F238E27FC236}">
              <a16:creationId xmlns="" xmlns:a16="http://schemas.microsoft.com/office/drawing/2014/main" id="{00000000-0008-0000-0000-00001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4" name="Text Box 72">
          <a:extLst>
            <a:ext uri="{FF2B5EF4-FFF2-40B4-BE49-F238E27FC236}">
              <a16:creationId xmlns="" xmlns:a16="http://schemas.microsoft.com/office/drawing/2014/main" id="{00000000-0008-0000-0000-00001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5" name="Text Box 73">
          <a:extLst>
            <a:ext uri="{FF2B5EF4-FFF2-40B4-BE49-F238E27FC236}">
              <a16:creationId xmlns="" xmlns:a16="http://schemas.microsoft.com/office/drawing/2014/main" id="{00000000-0008-0000-0000-00001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6" name="Text Box 74">
          <a:extLst>
            <a:ext uri="{FF2B5EF4-FFF2-40B4-BE49-F238E27FC236}">
              <a16:creationId xmlns="" xmlns:a16="http://schemas.microsoft.com/office/drawing/2014/main" id="{00000000-0008-0000-0000-00001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7" name="Text Box 75">
          <a:extLst>
            <a:ext uri="{FF2B5EF4-FFF2-40B4-BE49-F238E27FC236}">
              <a16:creationId xmlns="" xmlns:a16="http://schemas.microsoft.com/office/drawing/2014/main" id="{00000000-0008-0000-0000-00001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8" name="Text Box 76">
          <a:extLst>
            <a:ext uri="{FF2B5EF4-FFF2-40B4-BE49-F238E27FC236}">
              <a16:creationId xmlns="" xmlns:a16="http://schemas.microsoft.com/office/drawing/2014/main" id="{00000000-0008-0000-0000-00001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9" name="Text Box 77">
          <a:extLst>
            <a:ext uri="{FF2B5EF4-FFF2-40B4-BE49-F238E27FC236}">
              <a16:creationId xmlns="" xmlns:a16="http://schemas.microsoft.com/office/drawing/2014/main" id="{00000000-0008-0000-0000-00001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0" name="Text Box 78">
          <a:extLst>
            <a:ext uri="{FF2B5EF4-FFF2-40B4-BE49-F238E27FC236}">
              <a16:creationId xmlns="" xmlns:a16="http://schemas.microsoft.com/office/drawing/2014/main" id="{00000000-0008-0000-0000-00001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1" name="Text Box 79">
          <a:extLst>
            <a:ext uri="{FF2B5EF4-FFF2-40B4-BE49-F238E27FC236}">
              <a16:creationId xmlns="" xmlns:a16="http://schemas.microsoft.com/office/drawing/2014/main" id="{00000000-0008-0000-0000-00001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2" name="Text Box 80">
          <a:extLst>
            <a:ext uri="{FF2B5EF4-FFF2-40B4-BE49-F238E27FC236}">
              <a16:creationId xmlns="" xmlns:a16="http://schemas.microsoft.com/office/drawing/2014/main" id="{00000000-0008-0000-0000-00001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3" name="Text Box 81">
          <a:extLst>
            <a:ext uri="{FF2B5EF4-FFF2-40B4-BE49-F238E27FC236}">
              <a16:creationId xmlns="" xmlns:a16="http://schemas.microsoft.com/office/drawing/2014/main" id="{00000000-0008-0000-0000-00001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894" name="Text Box 82">
          <a:extLst>
            <a:ext uri="{FF2B5EF4-FFF2-40B4-BE49-F238E27FC236}">
              <a16:creationId xmlns="" xmlns:a16="http://schemas.microsoft.com/office/drawing/2014/main" id="{00000000-0008-0000-0000-00001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5" name="Text Box 3079">
          <a:extLst>
            <a:ext uri="{FF2B5EF4-FFF2-40B4-BE49-F238E27FC236}">
              <a16:creationId xmlns="" xmlns:a16="http://schemas.microsoft.com/office/drawing/2014/main" id="{00000000-0008-0000-0000-00001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6" name="Text Box 3080">
          <a:extLst>
            <a:ext uri="{FF2B5EF4-FFF2-40B4-BE49-F238E27FC236}">
              <a16:creationId xmlns="" xmlns:a16="http://schemas.microsoft.com/office/drawing/2014/main" id="{00000000-0008-0000-0000-00002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7" name="Text Box 3081">
          <a:extLst>
            <a:ext uri="{FF2B5EF4-FFF2-40B4-BE49-F238E27FC236}">
              <a16:creationId xmlns="" xmlns:a16="http://schemas.microsoft.com/office/drawing/2014/main" id="{00000000-0008-0000-0000-00002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8" name="Text Box 3082">
          <a:extLst>
            <a:ext uri="{FF2B5EF4-FFF2-40B4-BE49-F238E27FC236}">
              <a16:creationId xmlns="" xmlns:a16="http://schemas.microsoft.com/office/drawing/2014/main" id="{00000000-0008-0000-0000-00002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9" name="Text Box 3083">
          <a:extLst>
            <a:ext uri="{FF2B5EF4-FFF2-40B4-BE49-F238E27FC236}">
              <a16:creationId xmlns="" xmlns:a16="http://schemas.microsoft.com/office/drawing/2014/main" id="{00000000-0008-0000-0000-00002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0" name="Text Box 3084">
          <a:extLst>
            <a:ext uri="{FF2B5EF4-FFF2-40B4-BE49-F238E27FC236}">
              <a16:creationId xmlns="" xmlns:a16="http://schemas.microsoft.com/office/drawing/2014/main" id="{00000000-0008-0000-0000-00002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1" name="Text Box 3085">
          <a:extLst>
            <a:ext uri="{FF2B5EF4-FFF2-40B4-BE49-F238E27FC236}">
              <a16:creationId xmlns="" xmlns:a16="http://schemas.microsoft.com/office/drawing/2014/main" id="{00000000-0008-0000-0000-00002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2" name="Text Box 3086">
          <a:extLst>
            <a:ext uri="{FF2B5EF4-FFF2-40B4-BE49-F238E27FC236}">
              <a16:creationId xmlns="" xmlns:a16="http://schemas.microsoft.com/office/drawing/2014/main" id="{00000000-0008-0000-0000-00002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3" name="Text Box 3087">
          <a:extLst>
            <a:ext uri="{FF2B5EF4-FFF2-40B4-BE49-F238E27FC236}">
              <a16:creationId xmlns="" xmlns:a16="http://schemas.microsoft.com/office/drawing/2014/main" id="{00000000-0008-0000-0000-00002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4" name="Text Box 3088">
          <a:extLst>
            <a:ext uri="{FF2B5EF4-FFF2-40B4-BE49-F238E27FC236}">
              <a16:creationId xmlns="" xmlns:a16="http://schemas.microsoft.com/office/drawing/2014/main" id="{00000000-0008-0000-0000-00002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5" name="Text Box 3089">
          <a:extLst>
            <a:ext uri="{FF2B5EF4-FFF2-40B4-BE49-F238E27FC236}">
              <a16:creationId xmlns="" xmlns:a16="http://schemas.microsoft.com/office/drawing/2014/main" id="{00000000-0008-0000-0000-00002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6" name="Text Box 3090">
          <a:extLst>
            <a:ext uri="{FF2B5EF4-FFF2-40B4-BE49-F238E27FC236}">
              <a16:creationId xmlns="" xmlns:a16="http://schemas.microsoft.com/office/drawing/2014/main" id="{00000000-0008-0000-0000-00002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7" name="Text Box 3091">
          <a:extLst>
            <a:ext uri="{FF2B5EF4-FFF2-40B4-BE49-F238E27FC236}">
              <a16:creationId xmlns="" xmlns:a16="http://schemas.microsoft.com/office/drawing/2014/main" id="{00000000-0008-0000-0000-00002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8" name="Text Box 3092">
          <a:extLst>
            <a:ext uri="{FF2B5EF4-FFF2-40B4-BE49-F238E27FC236}">
              <a16:creationId xmlns="" xmlns:a16="http://schemas.microsoft.com/office/drawing/2014/main" id="{00000000-0008-0000-0000-00002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9" name="Text Box 3093">
          <a:extLst>
            <a:ext uri="{FF2B5EF4-FFF2-40B4-BE49-F238E27FC236}">
              <a16:creationId xmlns="" xmlns:a16="http://schemas.microsoft.com/office/drawing/2014/main" id="{00000000-0008-0000-0000-00002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0" name="Text Box 3094">
          <a:extLst>
            <a:ext uri="{FF2B5EF4-FFF2-40B4-BE49-F238E27FC236}">
              <a16:creationId xmlns="" xmlns:a16="http://schemas.microsoft.com/office/drawing/2014/main" id="{00000000-0008-0000-0000-00002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1" name="Text Box 3095">
          <a:extLst>
            <a:ext uri="{FF2B5EF4-FFF2-40B4-BE49-F238E27FC236}">
              <a16:creationId xmlns="" xmlns:a16="http://schemas.microsoft.com/office/drawing/2014/main" id="{00000000-0008-0000-0000-00002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2" name="Text Box 3096">
          <a:extLst>
            <a:ext uri="{FF2B5EF4-FFF2-40B4-BE49-F238E27FC236}">
              <a16:creationId xmlns="" xmlns:a16="http://schemas.microsoft.com/office/drawing/2014/main" id="{00000000-0008-0000-0000-00003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3" name="Text Box 3097">
          <a:extLst>
            <a:ext uri="{FF2B5EF4-FFF2-40B4-BE49-F238E27FC236}">
              <a16:creationId xmlns="" xmlns:a16="http://schemas.microsoft.com/office/drawing/2014/main" id="{00000000-0008-0000-0000-00003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4" name="Text Box 3098">
          <a:extLst>
            <a:ext uri="{FF2B5EF4-FFF2-40B4-BE49-F238E27FC236}">
              <a16:creationId xmlns="" xmlns:a16="http://schemas.microsoft.com/office/drawing/2014/main" id="{00000000-0008-0000-0000-00003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5" name="Text Box 3099">
          <a:extLst>
            <a:ext uri="{FF2B5EF4-FFF2-40B4-BE49-F238E27FC236}">
              <a16:creationId xmlns="" xmlns:a16="http://schemas.microsoft.com/office/drawing/2014/main" id="{00000000-0008-0000-0000-00003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6" name="Text Box 3100">
          <a:extLst>
            <a:ext uri="{FF2B5EF4-FFF2-40B4-BE49-F238E27FC236}">
              <a16:creationId xmlns="" xmlns:a16="http://schemas.microsoft.com/office/drawing/2014/main" id="{00000000-0008-0000-0000-00003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7" name="Text Box 3101">
          <a:extLst>
            <a:ext uri="{FF2B5EF4-FFF2-40B4-BE49-F238E27FC236}">
              <a16:creationId xmlns="" xmlns:a16="http://schemas.microsoft.com/office/drawing/2014/main" id="{00000000-0008-0000-0000-00003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918" name="Text Box 3102">
          <a:extLst>
            <a:ext uri="{FF2B5EF4-FFF2-40B4-BE49-F238E27FC236}">
              <a16:creationId xmlns="" xmlns:a16="http://schemas.microsoft.com/office/drawing/2014/main" id="{00000000-0008-0000-0000-00003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19" name="Text Box 59">
          <a:extLst>
            <a:ext uri="{FF2B5EF4-FFF2-40B4-BE49-F238E27FC236}">
              <a16:creationId xmlns="" xmlns:a16="http://schemas.microsoft.com/office/drawing/2014/main" id="{00000000-0008-0000-0000-00003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0" name="Text Box 60">
          <a:extLst>
            <a:ext uri="{FF2B5EF4-FFF2-40B4-BE49-F238E27FC236}">
              <a16:creationId xmlns="" xmlns:a16="http://schemas.microsoft.com/office/drawing/2014/main" id="{00000000-0008-0000-0000-00003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1" name="Text Box 61">
          <a:extLst>
            <a:ext uri="{FF2B5EF4-FFF2-40B4-BE49-F238E27FC236}">
              <a16:creationId xmlns="" xmlns:a16="http://schemas.microsoft.com/office/drawing/2014/main" id="{00000000-0008-0000-0000-00003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2" name="Text Box 62">
          <a:extLst>
            <a:ext uri="{FF2B5EF4-FFF2-40B4-BE49-F238E27FC236}">
              <a16:creationId xmlns="" xmlns:a16="http://schemas.microsoft.com/office/drawing/2014/main" id="{00000000-0008-0000-0000-00003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3" name="Text Box 63">
          <a:extLst>
            <a:ext uri="{FF2B5EF4-FFF2-40B4-BE49-F238E27FC236}">
              <a16:creationId xmlns="" xmlns:a16="http://schemas.microsoft.com/office/drawing/2014/main" id="{00000000-0008-0000-0000-00003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4" name="Text Box 64">
          <a:extLst>
            <a:ext uri="{FF2B5EF4-FFF2-40B4-BE49-F238E27FC236}">
              <a16:creationId xmlns="" xmlns:a16="http://schemas.microsoft.com/office/drawing/2014/main" id="{00000000-0008-0000-0000-00003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5" name="Text Box 65">
          <a:extLst>
            <a:ext uri="{FF2B5EF4-FFF2-40B4-BE49-F238E27FC236}">
              <a16:creationId xmlns="" xmlns:a16="http://schemas.microsoft.com/office/drawing/2014/main" id="{00000000-0008-0000-0000-00003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6" name="Text Box 66">
          <a:extLst>
            <a:ext uri="{FF2B5EF4-FFF2-40B4-BE49-F238E27FC236}">
              <a16:creationId xmlns="" xmlns:a16="http://schemas.microsoft.com/office/drawing/2014/main" id="{00000000-0008-0000-0000-00003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7" name="Text Box 67">
          <a:extLst>
            <a:ext uri="{FF2B5EF4-FFF2-40B4-BE49-F238E27FC236}">
              <a16:creationId xmlns="" xmlns:a16="http://schemas.microsoft.com/office/drawing/2014/main" id="{00000000-0008-0000-0000-00003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8" name="Text Box 68">
          <a:extLst>
            <a:ext uri="{FF2B5EF4-FFF2-40B4-BE49-F238E27FC236}">
              <a16:creationId xmlns="" xmlns:a16="http://schemas.microsoft.com/office/drawing/2014/main" id="{00000000-0008-0000-0000-00004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9" name="Text Box 69">
          <a:extLst>
            <a:ext uri="{FF2B5EF4-FFF2-40B4-BE49-F238E27FC236}">
              <a16:creationId xmlns="" xmlns:a16="http://schemas.microsoft.com/office/drawing/2014/main" id="{00000000-0008-0000-0000-00004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0" name="Text Box 70">
          <a:extLst>
            <a:ext uri="{FF2B5EF4-FFF2-40B4-BE49-F238E27FC236}">
              <a16:creationId xmlns="" xmlns:a16="http://schemas.microsoft.com/office/drawing/2014/main" id="{00000000-0008-0000-0000-00004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1" name="Text Box 71">
          <a:extLst>
            <a:ext uri="{FF2B5EF4-FFF2-40B4-BE49-F238E27FC236}">
              <a16:creationId xmlns="" xmlns:a16="http://schemas.microsoft.com/office/drawing/2014/main" id="{00000000-0008-0000-0000-00004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2" name="Text Box 72">
          <a:extLst>
            <a:ext uri="{FF2B5EF4-FFF2-40B4-BE49-F238E27FC236}">
              <a16:creationId xmlns="" xmlns:a16="http://schemas.microsoft.com/office/drawing/2014/main" id="{00000000-0008-0000-0000-00004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3" name="Text Box 73">
          <a:extLst>
            <a:ext uri="{FF2B5EF4-FFF2-40B4-BE49-F238E27FC236}">
              <a16:creationId xmlns="" xmlns:a16="http://schemas.microsoft.com/office/drawing/2014/main" id="{00000000-0008-0000-0000-00004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4" name="Text Box 74">
          <a:extLst>
            <a:ext uri="{FF2B5EF4-FFF2-40B4-BE49-F238E27FC236}">
              <a16:creationId xmlns="" xmlns:a16="http://schemas.microsoft.com/office/drawing/2014/main" id="{00000000-0008-0000-0000-00004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5" name="Text Box 75">
          <a:extLst>
            <a:ext uri="{FF2B5EF4-FFF2-40B4-BE49-F238E27FC236}">
              <a16:creationId xmlns="" xmlns:a16="http://schemas.microsoft.com/office/drawing/2014/main" id="{00000000-0008-0000-0000-00004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6" name="Text Box 76">
          <a:extLst>
            <a:ext uri="{FF2B5EF4-FFF2-40B4-BE49-F238E27FC236}">
              <a16:creationId xmlns="" xmlns:a16="http://schemas.microsoft.com/office/drawing/2014/main" id="{00000000-0008-0000-0000-00004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7" name="Text Box 77">
          <a:extLst>
            <a:ext uri="{FF2B5EF4-FFF2-40B4-BE49-F238E27FC236}">
              <a16:creationId xmlns="" xmlns:a16="http://schemas.microsoft.com/office/drawing/2014/main" id="{00000000-0008-0000-0000-00004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8" name="Text Box 78">
          <a:extLst>
            <a:ext uri="{FF2B5EF4-FFF2-40B4-BE49-F238E27FC236}">
              <a16:creationId xmlns="" xmlns:a16="http://schemas.microsoft.com/office/drawing/2014/main" id="{00000000-0008-0000-0000-00004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9" name="Text Box 79">
          <a:extLst>
            <a:ext uri="{FF2B5EF4-FFF2-40B4-BE49-F238E27FC236}">
              <a16:creationId xmlns="" xmlns:a16="http://schemas.microsoft.com/office/drawing/2014/main" id="{00000000-0008-0000-0000-00004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40" name="Text Box 80">
          <a:extLst>
            <a:ext uri="{FF2B5EF4-FFF2-40B4-BE49-F238E27FC236}">
              <a16:creationId xmlns="" xmlns:a16="http://schemas.microsoft.com/office/drawing/2014/main" id="{00000000-0008-0000-0000-00004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41" name="Text Box 81">
          <a:extLst>
            <a:ext uri="{FF2B5EF4-FFF2-40B4-BE49-F238E27FC236}">
              <a16:creationId xmlns="" xmlns:a16="http://schemas.microsoft.com/office/drawing/2014/main" id="{00000000-0008-0000-0000-00004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2" name="Text Box 3079">
          <a:extLst>
            <a:ext uri="{FF2B5EF4-FFF2-40B4-BE49-F238E27FC236}">
              <a16:creationId xmlns="" xmlns:a16="http://schemas.microsoft.com/office/drawing/2014/main" id="{00000000-0008-0000-0000-00004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3" name="Text Box 3080">
          <a:extLst>
            <a:ext uri="{FF2B5EF4-FFF2-40B4-BE49-F238E27FC236}">
              <a16:creationId xmlns="" xmlns:a16="http://schemas.microsoft.com/office/drawing/2014/main" id="{00000000-0008-0000-0000-00004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4" name="Text Box 3081">
          <a:extLst>
            <a:ext uri="{FF2B5EF4-FFF2-40B4-BE49-F238E27FC236}">
              <a16:creationId xmlns="" xmlns:a16="http://schemas.microsoft.com/office/drawing/2014/main" id="{00000000-0008-0000-0000-00005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5" name="Text Box 3082">
          <a:extLst>
            <a:ext uri="{FF2B5EF4-FFF2-40B4-BE49-F238E27FC236}">
              <a16:creationId xmlns="" xmlns:a16="http://schemas.microsoft.com/office/drawing/2014/main" id="{00000000-0008-0000-0000-00005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6" name="Text Box 3083">
          <a:extLst>
            <a:ext uri="{FF2B5EF4-FFF2-40B4-BE49-F238E27FC236}">
              <a16:creationId xmlns="" xmlns:a16="http://schemas.microsoft.com/office/drawing/2014/main" id="{00000000-0008-0000-0000-00005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7" name="Text Box 3084">
          <a:extLst>
            <a:ext uri="{FF2B5EF4-FFF2-40B4-BE49-F238E27FC236}">
              <a16:creationId xmlns="" xmlns:a16="http://schemas.microsoft.com/office/drawing/2014/main" id="{00000000-0008-0000-0000-00005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8" name="Text Box 3085">
          <a:extLst>
            <a:ext uri="{FF2B5EF4-FFF2-40B4-BE49-F238E27FC236}">
              <a16:creationId xmlns="" xmlns:a16="http://schemas.microsoft.com/office/drawing/2014/main" id="{00000000-0008-0000-0000-00005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9" name="Text Box 3086">
          <a:extLst>
            <a:ext uri="{FF2B5EF4-FFF2-40B4-BE49-F238E27FC236}">
              <a16:creationId xmlns="" xmlns:a16="http://schemas.microsoft.com/office/drawing/2014/main" id="{00000000-0008-0000-0000-00005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0" name="Text Box 3087">
          <a:extLst>
            <a:ext uri="{FF2B5EF4-FFF2-40B4-BE49-F238E27FC236}">
              <a16:creationId xmlns="" xmlns:a16="http://schemas.microsoft.com/office/drawing/2014/main" id="{00000000-0008-0000-0000-00005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1" name="Text Box 3088">
          <a:extLst>
            <a:ext uri="{FF2B5EF4-FFF2-40B4-BE49-F238E27FC236}">
              <a16:creationId xmlns="" xmlns:a16="http://schemas.microsoft.com/office/drawing/2014/main" id="{00000000-0008-0000-0000-00005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2" name="Text Box 3089">
          <a:extLst>
            <a:ext uri="{FF2B5EF4-FFF2-40B4-BE49-F238E27FC236}">
              <a16:creationId xmlns="" xmlns:a16="http://schemas.microsoft.com/office/drawing/2014/main" id="{00000000-0008-0000-0000-00005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3" name="Text Box 3090">
          <a:extLst>
            <a:ext uri="{FF2B5EF4-FFF2-40B4-BE49-F238E27FC236}">
              <a16:creationId xmlns="" xmlns:a16="http://schemas.microsoft.com/office/drawing/2014/main" id="{00000000-0008-0000-0000-00005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4" name="Text Box 3091">
          <a:extLst>
            <a:ext uri="{FF2B5EF4-FFF2-40B4-BE49-F238E27FC236}">
              <a16:creationId xmlns="" xmlns:a16="http://schemas.microsoft.com/office/drawing/2014/main" id="{00000000-0008-0000-0000-00005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5" name="Text Box 3092">
          <a:extLst>
            <a:ext uri="{FF2B5EF4-FFF2-40B4-BE49-F238E27FC236}">
              <a16:creationId xmlns="" xmlns:a16="http://schemas.microsoft.com/office/drawing/2014/main" id="{00000000-0008-0000-0000-00005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6" name="Text Box 3093">
          <a:extLst>
            <a:ext uri="{FF2B5EF4-FFF2-40B4-BE49-F238E27FC236}">
              <a16:creationId xmlns="" xmlns:a16="http://schemas.microsoft.com/office/drawing/2014/main" id="{00000000-0008-0000-0000-00005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7" name="Text Box 3094">
          <a:extLst>
            <a:ext uri="{FF2B5EF4-FFF2-40B4-BE49-F238E27FC236}">
              <a16:creationId xmlns="" xmlns:a16="http://schemas.microsoft.com/office/drawing/2014/main" id="{00000000-0008-0000-0000-00005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8" name="Text Box 3095">
          <a:extLst>
            <a:ext uri="{FF2B5EF4-FFF2-40B4-BE49-F238E27FC236}">
              <a16:creationId xmlns="" xmlns:a16="http://schemas.microsoft.com/office/drawing/2014/main" id="{00000000-0008-0000-0000-00005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9" name="Text Box 3096">
          <a:extLst>
            <a:ext uri="{FF2B5EF4-FFF2-40B4-BE49-F238E27FC236}">
              <a16:creationId xmlns="" xmlns:a16="http://schemas.microsoft.com/office/drawing/2014/main" id="{00000000-0008-0000-0000-00005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0" name="Text Box 3097">
          <a:extLst>
            <a:ext uri="{FF2B5EF4-FFF2-40B4-BE49-F238E27FC236}">
              <a16:creationId xmlns="" xmlns:a16="http://schemas.microsoft.com/office/drawing/2014/main" id="{00000000-0008-0000-0000-00006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1" name="Text Box 3098">
          <a:extLst>
            <a:ext uri="{FF2B5EF4-FFF2-40B4-BE49-F238E27FC236}">
              <a16:creationId xmlns="" xmlns:a16="http://schemas.microsoft.com/office/drawing/2014/main" id="{00000000-0008-0000-0000-00006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2" name="Text Box 3099">
          <a:extLst>
            <a:ext uri="{FF2B5EF4-FFF2-40B4-BE49-F238E27FC236}">
              <a16:creationId xmlns="" xmlns:a16="http://schemas.microsoft.com/office/drawing/2014/main" id="{00000000-0008-0000-0000-00006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3" name="Text Box 3100">
          <a:extLst>
            <a:ext uri="{FF2B5EF4-FFF2-40B4-BE49-F238E27FC236}">
              <a16:creationId xmlns="" xmlns:a16="http://schemas.microsoft.com/office/drawing/2014/main" id="{00000000-0008-0000-0000-00006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4" name="Text Box 3101">
          <a:extLst>
            <a:ext uri="{FF2B5EF4-FFF2-40B4-BE49-F238E27FC236}">
              <a16:creationId xmlns="" xmlns:a16="http://schemas.microsoft.com/office/drawing/2014/main" id="{00000000-0008-0000-0000-00006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965" name="Text Box 3102">
          <a:extLst>
            <a:ext uri="{FF2B5EF4-FFF2-40B4-BE49-F238E27FC236}">
              <a16:creationId xmlns="" xmlns:a16="http://schemas.microsoft.com/office/drawing/2014/main" id="{00000000-0008-0000-0000-00006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6" name="Text Box 59">
          <a:extLst>
            <a:ext uri="{FF2B5EF4-FFF2-40B4-BE49-F238E27FC236}">
              <a16:creationId xmlns="" xmlns:a16="http://schemas.microsoft.com/office/drawing/2014/main" id="{00000000-0008-0000-0000-00006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7" name="Text Box 60">
          <a:extLst>
            <a:ext uri="{FF2B5EF4-FFF2-40B4-BE49-F238E27FC236}">
              <a16:creationId xmlns="" xmlns:a16="http://schemas.microsoft.com/office/drawing/2014/main" id="{00000000-0008-0000-0000-00006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8" name="Text Box 61">
          <a:extLst>
            <a:ext uri="{FF2B5EF4-FFF2-40B4-BE49-F238E27FC236}">
              <a16:creationId xmlns="" xmlns:a16="http://schemas.microsoft.com/office/drawing/2014/main" id="{00000000-0008-0000-0000-00006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9" name="Text Box 62">
          <a:extLst>
            <a:ext uri="{FF2B5EF4-FFF2-40B4-BE49-F238E27FC236}">
              <a16:creationId xmlns="" xmlns:a16="http://schemas.microsoft.com/office/drawing/2014/main" id="{00000000-0008-0000-0000-00006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0" name="Text Box 63">
          <a:extLst>
            <a:ext uri="{FF2B5EF4-FFF2-40B4-BE49-F238E27FC236}">
              <a16:creationId xmlns="" xmlns:a16="http://schemas.microsoft.com/office/drawing/2014/main" id="{00000000-0008-0000-0000-00006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1" name="Text Box 64">
          <a:extLst>
            <a:ext uri="{FF2B5EF4-FFF2-40B4-BE49-F238E27FC236}">
              <a16:creationId xmlns="" xmlns:a16="http://schemas.microsoft.com/office/drawing/2014/main" id="{00000000-0008-0000-0000-00006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2" name="Text Box 65">
          <a:extLst>
            <a:ext uri="{FF2B5EF4-FFF2-40B4-BE49-F238E27FC236}">
              <a16:creationId xmlns="" xmlns:a16="http://schemas.microsoft.com/office/drawing/2014/main" id="{00000000-0008-0000-0000-00006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3" name="Text Box 66">
          <a:extLst>
            <a:ext uri="{FF2B5EF4-FFF2-40B4-BE49-F238E27FC236}">
              <a16:creationId xmlns="" xmlns:a16="http://schemas.microsoft.com/office/drawing/2014/main" id="{00000000-0008-0000-0000-00006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4" name="Text Box 67">
          <a:extLst>
            <a:ext uri="{FF2B5EF4-FFF2-40B4-BE49-F238E27FC236}">
              <a16:creationId xmlns="" xmlns:a16="http://schemas.microsoft.com/office/drawing/2014/main" id="{00000000-0008-0000-0000-00006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5" name="Text Box 68">
          <a:extLst>
            <a:ext uri="{FF2B5EF4-FFF2-40B4-BE49-F238E27FC236}">
              <a16:creationId xmlns="" xmlns:a16="http://schemas.microsoft.com/office/drawing/2014/main" id="{00000000-0008-0000-0000-00006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6" name="Text Box 69">
          <a:extLst>
            <a:ext uri="{FF2B5EF4-FFF2-40B4-BE49-F238E27FC236}">
              <a16:creationId xmlns="" xmlns:a16="http://schemas.microsoft.com/office/drawing/2014/main" id="{00000000-0008-0000-0000-00007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7" name="Text Box 70">
          <a:extLst>
            <a:ext uri="{FF2B5EF4-FFF2-40B4-BE49-F238E27FC236}">
              <a16:creationId xmlns="" xmlns:a16="http://schemas.microsoft.com/office/drawing/2014/main" id="{00000000-0008-0000-0000-00007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8" name="Text Box 71">
          <a:extLst>
            <a:ext uri="{FF2B5EF4-FFF2-40B4-BE49-F238E27FC236}">
              <a16:creationId xmlns="" xmlns:a16="http://schemas.microsoft.com/office/drawing/2014/main" id="{00000000-0008-0000-0000-00007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9" name="Text Box 72">
          <a:extLst>
            <a:ext uri="{FF2B5EF4-FFF2-40B4-BE49-F238E27FC236}">
              <a16:creationId xmlns="" xmlns:a16="http://schemas.microsoft.com/office/drawing/2014/main" id="{00000000-0008-0000-0000-00007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0" name="Text Box 73">
          <a:extLst>
            <a:ext uri="{FF2B5EF4-FFF2-40B4-BE49-F238E27FC236}">
              <a16:creationId xmlns="" xmlns:a16="http://schemas.microsoft.com/office/drawing/2014/main" id="{00000000-0008-0000-0000-00007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1" name="Text Box 74">
          <a:extLst>
            <a:ext uri="{FF2B5EF4-FFF2-40B4-BE49-F238E27FC236}">
              <a16:creationId xmlns="" xmlns:a16="http://schemas.microsoft.com/office/drawing/2014/main" id="{00000000-0008-0000-0000-00007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2" name="Text Box 75">
          <a:extLst>
            <a:ext uri="{FF2B5EF4-FFF2-40B4-BE49-F238E27FC236}">
              <a16:creationId xmlns="" xmlns:a16="http://schemas.microsoft.com/office/drawing/2014/main" id="{00000000-0008-0000-0000-00007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3" name="Text Box 76">
          <a:extLst>
            <a:ext uri="{FF2B5EF4-FFF2-40B4-BE49-F238E27FC236}">
              <a16:creationId xmlns="" xmlns:a16="http://schemas.microsoft.com/office/drawing/2014/main" id="{00000000-0008-0000-0000-00007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4" name="Text Box 77">
          <a:extLst>
            <a:ext uri="{FF2B5EF4-FFF2-40B4-BE49-F238E27FC236}">
              <a16:creationId xmlns="" xmlns:a16="http://schemas.microsoft.com/office/drawing/2014/main" id="{00000000-0008-0000-0000-00007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5" name="Text Box 78">
          <a:extLst>
            <a:ext uri="{FF2B5EF4-FFF2-40B4-BE49-F238E27FC236}">
              <a16:creationId xmlns="" xmlns:a16="http://schemas.microsoft.com/office/drawing/2014/main" id="{00000000-0008-0000-0000-00007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6" name="Text Box 79">
          <a:extLst>
            <a:ext uri="{FF2B5EF4-FFF2-40B4-BE49-F238E27FC236}">
              <a16:creationId xmlns="" xmlns:a16="http://schemas.microsoft.com/office/drawing/2014/main" id="{00000000-0008-0000-0000-00007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7" name="Text Box 80">
          <a:extLst>
            <a:ext uri="{FF2B5EF4-FFF2-40B4-BE49-F238E27FC236}">
              <a16:creationId xmlns="" xmlns:a16="http://schemas.microsoft.com/office/drawing/2014/main" id="{00000000-0008-0000-0000-00007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8" name="Text Box 81">
          <a:extLst>
            <a:ext uri="{FF2B5EF4-FFF2-40B4-BE49-F238E27FC236}">
              <a16:creationId xmlns="" xmlns:a16="http://schemas.microsoft.com/office/drawing/2014/main" id="{00000000-0008-0000-0000-00007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989" name="Text Box 82">
          <a:extLst>
            <a:ext uri="{FF2B5EF4-FFF2-40B4-BE49-F238E27FC236}">
              <a16:creationId xmlns="" xmlns:a16="http://schemas.microsoft.com/office/drawing/2014/main" id="{00000000-0008-0000-0000-00007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0" name="Text Box 3079">
          <a:extLst>
            <a:ext uri="{FF2B5EF4-FFF2-40B4-BE49-F238E27FC236}">
              <a16:creationId xmlns="" xmlns:a16="http://schemas.microsoft.com/office/drawing/2014/main" id="{00000000-0008-0000-0000-00007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1" name="Text Box 3080">
          <a:extLst>
            <a:ext uri="{FF2B5EF4-FFF2-40B4-BE49-F238E27FC236}">
              <a16:creationId xmlns="" xmlns:a16="http://schemas.microsoft.com/office/drawing/2014/main" id="{00000000-0008-0000-0000-00007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2" name="Text Box 3081">
          <a:extLst>
            <a:ext uri="{FF2B5EF4-FFF2-40B4-BE49-F238E27FC236}">
              <a16:creationId xmlns="" xmlns:a16="http://schemas.microsoft.com/office/drawing/2014/main" id="{00000000-0008-0000-0000-00008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3" name="Text Box 3082">
          <a:extLst>
            <a:ext uri="{FF2B5EF4-FFF2-40B4-BE49-F238E27FC236}">
              <a16:creationId xmlns="" xmlns:a16="http://schemas.microsoft.com/office/drawing/2014/main" id="{00000000-0008-0000-0000-00008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4" name="Text Box 3083">
          <a:extLst>
            <a:ext uri="{FF2B5EF4-FFF2-40B4-BE49-F238E27FC236}">
              <a16:creationId xmlns="" xmlns:a16="http://schemas.microsoft.com/office/drawing/2014/main" id="{00000000-0008-0000-0000-00008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5" name="Text Box 3084">
          <a:extLst>
            <a:ext uri="{FF2B5EF4-FFF2-40B4-BE49-F238E27FC236}">
              <a16:creationId xmlns="" xmlns:a16="http://schemas.microsoft.com/office/drawing/2014/main" id="{00000000-0008-0000-0000-00008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6" name="Text Box 3085">
          <a:extLst>
            <a:ext uri="{FF2B5EF4-FFF2-40B4-BE49-F238E27FC236}">
              <a16:creationId xmlns="" xmlns:a16="http://schemas.microsoft.com/office/drawing/2014/main" id="{00000000-0008-0000-0000-00008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7" name="Text Box 3086">
          <a:extLst>
            <a:ext uri="{FF2B5EF4-FFF2-40B4-BE49-F238E27FC236}">
              <a16:creationId xmlns="" xmlns:a16="http://schemas.microsoft.com/office/drawing/2014/main" id="{00000000-0008-0000-0000-00008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8" name="Text Box 3087">
          <a:extLst>
            <a:ext uri="{FF2B5EF4-FFF2-40B4-BE49-F238E27FC236}">
              <a16:creationId xmlns="" xmlns:a16="http://schemas.microsoft.com/office/drawing/2014/main" id="{00000000-0008-0000-0000-00008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9" name="Text Box 3088">
          <a:extLst>
            <a:ext uri="{FF2B5EF4-FFF2-40B4-BE49-F238E27FC236}">
              <a16:creationId xmlns="" xmlns:a16="http://schemas.microsoft.com/office/drawing/2014/main" id="{00000000-0008-0000-0000-00008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0" name="Text Box 3089">
          <a:extLst>
            <a:ext uri="{FF2B5EF4-FFF2-40B4-BE49-F238E27FC236}">
              <a16:creationId xmlns="" xmlns:a16="http://schemas.microsoft.com/office/drawing/2014/main" id="{00000000-0008-0000-0000-00008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1" name="Text Box 3090">
          <a:extLst>
            <a:ext uri="{FF2B5EF4-FFF2-40B4-BE49-F238E27FC236}">
              <a16:creationId xmlns="" xmlns:a16="http://schemas.microsoft.com/office/drawing/2014/main" id="{00000000-0008-0000-0000-00008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2" name="Text Box 3091">
          <a:extLst>
            <a:ext uri="{FF2B5EF4-FFF2-40B4-BE49-F238E27FC236}">
              <a16:creationId xmlns="" xmlns:a16="http://schemas.microsoft.com/office/drawing/2014/main" id="{00000000-0008-0000-0000-00008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3" name="Text Box 3092">
          <a:extLst>
            <a:ext uri="{FF2B5EF4-FFF2-40B4-BE49-F238E27FC236}">
              <a16:creationId xmlns="" xmlns:a16="http://schemas.microsoft.com/office/drawing/2014/main" id="{00000000-0008-0000-0000-00008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4" name="Text Box 3093">
          <a:extLst>
            <a:ext uri="{FF2B5EF4-FFF2-40B4-BE49-F238E27FC236}">
              <a16:creationId xmlns="" xmlns:a16="http://schemas.microsoft.com/office/drawing/2014/main" id="{00000000-0008-0000-0000-00008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5" name="Text Box 3094">
          <a:extLst>
            <a:ext uri="{FF2B5EF4-FFF2-40B4-BE49-F238E27FC236}">
              <a16:creationId xmlns="" xmlns:a16="http://schemas.microsoft.com/office/drawing/2014/main" id="{00000000-0008-0000-0000-00008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6" name="Text Box 3095">
          <a:extLst>
            <a:ext uri="{FF2B5EF4-FFF2-40B4-BE49-F238E27FC236}">
              <a16:creationId xmlns="" xmlns:a16="http://schemas.microsoft.com/office/drawing/2014/main" id="{00000000-0008-0000-0000-00008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7" name="Text Box 3096">
          <a:extLst>
            <a:ext uri="{FF2B5EF4-FFF2-40B4-BE49-F238E27FC236}">
              <a16:creationId xmlns="" xmlns:a16="http://schemas.microsoft.com/office/drawing/2014/main" id="{00000000-0008-0000-0000-00008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8" name="Text Box 3097">
          <a:extLst>
            <a:ext uri="{FF2B5EF4-FFF2-40B4-BE49-F238E27FC236}">
              <a16:creationId xmlns="" xmlns:a16="http://schemas.microsoft.com/office/drawing/2014/main" id="{00000000-0008-0000-0000-00009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9" name="Text Box 3098">
          <a:extLst>
            <a:ext uri="{FF2B5EF4-FFF2-40B4-BE49-F238E27FC236}">
              <a16:creationId xmlns="" xmlns:a16="http://schemas.microsoft.com/office/drawing/2014/main" id="{00000000-0008-0000-0000-00009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0" name="Text Box 3099">
          <a:extLst>
            <a:ext uri="{FF2B5EF4-FFF2-40B4-BE49-F238E27FC236}">
              <a16:creationId xmlns="" xmlns:a16="http://schemas.microsoft.com/office/drawing/2014/main" id="{00000000-0008-0000-0000-00009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1" name="Text Box 3100">
          <a:extLst>
            <a:ext uri="{FF2B5EF4-FFF2-40B4-BE49-F238E27FC236}">
              <a16:creationId xmlns="" xmlns:a16="http://schemas.microsoft.com/office/drawing/2014/main" id="{00000000-0008-0000-0000-00009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2" name="Text Box 3101">
          <a:extLst>
            <a:ext uri="{FF2B5EF4-FFF2-40B4-BE49-F238E27FC236}">
              <a16:creationId xmlns="" xmlns:a16="http://schemas.microsoft.com/office/drawing/2014/main" id="{00000000-0008-0000-0000-00009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13" name="Text Box 3102">
          <a:extLst>
            <a:ext uri="{FF2B5EF4-FFF2-40B4-BE49-F238E27FC236}">
              <a16:creationId xmlns="" xmlns:a16="http://schemas.microsoft.com/office/drawing/2014/main" id="{00000000-0008-0000-0000-00009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4" name="Text Box 59">
          <a:extLst>
            <a:ext uri="{FF2B5EF4-FFF2-40B4-BE49-F238E27FC236}">
              <a16:creationId xmlns="" xmlns:a16="http://schemas.microsoft.com/office/drawing/2014/main" id="{00000000-0008-0000-0000-00009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5" name="Text Box 60">
          <a:extLst>
            <a:ext uri="{FF2B5EF4-FFF2-40B4-BE49-F238E27FC236}">
              <a16:creationId xmlns="" xmlns:a16="http://schemas.microsoft.com/office/drawing/2014/main" id="{00000000-0008-0000-0000-00009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6" name="Text Box 61">
          <a:extLst>
            <a:ext uri="{FF2B5EF4-FFF2-40B4-BE49-F238E27FC236}">
              <a16:creationId xmlns="" xmlns:a16="http://schemas.microsoft.com/office/drawing/2014/main" id="{00000000-0008-0000-0000-00009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7" name="Text Box 62">
          <a:extLst>
            <a:ext uri="{FF2B5EF4-FFF2-40B4-BE49-F238E27FC236}">
              <a16:creationId xmlns="" xmlns:a16="http://schemas.microsoft.com/office/drawing/2014/main" id="{00000000-0008-0000-0000-00009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8" name="Text Box 63">
          <a:extLst>
            <a:ext uri="{FF2B5EF4-FFF2-40B4-BE49-F238E27FC236}">
              <a16:creationId xmlns="" xmlns:a16="http://schemas.microsoft.com/office/drawing/2014/main" id="{00000000-0008-0000-0000-00009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9" name="Text Box 64">
          <a:extLst>
            <a:ext uri="{FF2B5EF4-FFF2-40B4-BE49-F238E27FC236}">
              <a16:creationId xmlns="" xmlns:a16="http://schemas.microsoft.com/office/drawing/2014/main" id="{00000000-0008-0000-0000-00009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0" name="Text Box 65">
          <a:extLst>
            <a:ext uri="{FF2B5EF4-FFF2-40B4-BE49-F238E27FC236}">
              <a16:creationId xmlns="" xmlns:a16="http://schemas.microsoft.com/office/drawing/2014/main" id="{00000000-0008-0000-0000-00009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1" name="Text Box 66">
          <a:extLst>
            <a:ext uri="{FF2B5EF4-FFF2-40B4-BE49-F238E27FC236}">
              <a16:creationId xmlns="" xmlns:a16="http://schemas.microsoft.com/office/drawing/2014/main" id="{00000000-0008-0000-0000-00009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2" name="Text Box 67">
          <a:extLst>
            <a:ext uri="{FF2B5EF4-FFF2-40B4-BE49-F238E27FC236}">
              <a16:creationId xmlns="" xmlns:a16="http://schemas.microsoft.com/office/drawing/2014/main" id="{00000000-0008-0000-0000-00009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3" name="Text Box 68">
          <a:extLst>
            <a:ext uri="{FF2B5EF4-FFF2-40B4-BE49-F238E27FC236}">
              <a16:creationId xmlns="" xmlns:a16="http://schemas.microsoft.com/office/drawing/2014/main" id="{00000000-0008-0000-0000-00009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4" name="Text Box 69">
          <a:extLst>
            <a:ext uri="{FF2B5EF4-FFF2-40B4-BE49-F238E27FC236}">
              <a16:creationId xmlns="" xmlns:a16="http://schemas.microsoft.com/office/drawing/2014/main" id="{00000000-0008-0000-0000-0000A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5" name="Text Box 70">
          <a:extLst>
            <a:ext uri="{FF2B5EF4-FFF2-40B4-BE49-F238E27FC236}">
              <a16:creationId xmlns="" xmlns:a16="http://schemas.microsoft.com/office/drawing/2014/main" id="{00000000-0008-0000-0000-0000A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6" name="Text Box 71">
          <a:extLst>
            <a:ext uri="{FF2B5EF4-FFF2-40B4-BE49-F238E27FC236}">
              <a16:creationId xmlns="" xmlns:a16="http://schemas.microsoft.com/office/drawing/2014/main" id="{00000000-0008-0000-0000-0000A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7" name="Text Box 72">
          <a:extLst>
            <a:ext uri="{FF2B5EF4-FFF2-40B4-BE49-F238E27FC236}">
              <a16:creationId xmlns="" xmlns:a16="http://schemas.microsoft.com/office/drawing/2014/main" id="{00000000-0008-0000-0000-0000A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8" name="Text Box 73">
          <a:extLst>
            <a:ext uri="{FF2B5EF4-FFF2-40B4-BE49-F238E27FC236}">
              <a16:creationId xmlns="" xmlns:a16="http://schemas.microsoft.com/office/drawing/2014/main" id="{00000000-0008-0000-0000-0000A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9" name="Text Box 74">
          <a:extLst>
            <a:ext uri="{FF2B5EF4-FFF2-40B4-BE49-F238E27FC236}">
              <a16:creationId xmlns="" xmlns:a16="http://schemas.microsoft.com/office/drawing/2014/main" id="{00000000-0008-0000-0000-0000A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0" name="Text Box 75">
          <a:extLst>
            <a:ext uri="{FF2B5EF4-FFF2-40B4-BE49-F238E27FC236}">
              <a16:creationId xmlns="" xmlns:a16="http://schemas.microsoft.com/office/drawing/2014/main" id="{00000000-0008-0000-0000-0000A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1" name="Text Box 76">
          <a:extLst>
            <a:ext uri="{FF2B5EF4-FFF2-40B4-BE49-F238E27FC236}">
              <a16:creationId xmlns="" xmlns:a16="http://schemas.microsoft.com/office/drawing/2014/main" id="{00000000-0008-0000-0000-0000A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2" name="Text Box 77">
          <a:extLst>
            <a:ext uri="{FF2B5EF4-FFF2-40B4-BE49-F238E27FC236}">
              <a16:creationId xmlns="" xmlns:a16="http://schemas.microsoft.com/office/drawing/2014/main" id="{00000000-0008-0000-0000-0000A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3" name="Text Box 78">
          <a:extLst>
            <a:ext uri="{FF2B5EF4-FFF2-40B4-BE49-F238E27FC236}">
              <a16:creationId xmlns="" xmlns:a16="http://schemas.microsoft.com/office/drawing/2014/main" id="{00000000-0008-0000-0000-0000A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4" name="Text Box 79">
          <a:extLst>
            <a:ext uri="{FF2B5EF4-FFF2-40B4-BE49-F238E27FC236}">
              <a16:creationId xmlns="" xmlns:a16="http://schemas.microsoft.com/office/drawing/2014/main" id="{00000000-0008-0000-0000-0000A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5" name="Text Box 80">
          <a:extLst>
            <a:ext uri="{FF2B5EF4-FFF2-40B4-BE49-F238E27FC236}">
              <a16:creationId xmlns="" xmlns:a16="http://schemas.microsoft.com/office/drawing/2014/main" id="{00000000-0008-0000-0000-0000A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6" name="Text Box 81">
          <a:extLst>
            <a:ext uri="{FF2B5EF4-FFF2-40B4-BE49-F238E27FC236}">
              <a16:creationId xmlns="" xmlns:a16="http://schemas.microsoft.com/office/drawing/2014/main" id="{00000000-0008-0000-0000-0000A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7" name="Text Box 3079">
          <a:extLst>
            <a:ext uri="{FF2B5EF4-FFF2-40B4-BE49-F238E27FC236}">
              <a16:creationId xmlns="" xmlns:a16="http://schemas.microsoft.com/office/drawing/2014/main" id="{00000000-0008-0000-0000-0000A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8" name="Text Box 3080">
          <a:extLst>
            <a:ext uri="{FF2B5EF4-FFF2-40B4-BE49-F238E27FC236}">
              <a16:creationId xmlns="" xmlns:a16="http://schemas.microsoft.com/office/drawing/2014/main" id="{00000000-0008-0000-0000-0000A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9" name="Text Box 3081">
          <a:extLst>
            <a:ext uri="{FF2B5EF4-FFF2-40B4-BE49-F238E27FC236}">
              <a16:creationId xmlns="" xmlns:a16="http://schemas.microsoft.com/office/drawing/2014/main" id="{00000000-0008-0000-0000-0000A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0" name="Text Box 3082">
          <a:extLst>
            <a:ext uri="{FF2B5EF4-FFF2-40B4-BE49-F238E27FC236}">
              <a16:creationId xmlns="" xmlns:a16="http://schemas.microsoft.com/office/drawing/2014/main" id="{00000000-0008-0000-0000-0000B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1" name="Text Box 3083">
          <a:extLst>
            <a:ext uri="{FF2B5EF4-FFF2-40B4-BE49-F238E27FC236}">
              <a16:creationId xmlns="" xmlns:a16="http://schemas.microsoft.com/office/drawing/2014/main" id="{00000000-0008-0000-0000-0000B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2" name="Text Box 3084">
          <a:extLst>
            <a:ext uri="{FF2B5EF4-FFF2-40B4-BE49-F238E27FC236}">
              <a16:creationId xmlns="" xmlns:a16="http://schemas.microsoft.com/office/drawing/2014/main" id="{00000000-0008-0000-0000-0000B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3" name="Text Box 3085">
          <a:extLst>
            <a:ext uri="{FF2B5EF4-FFF2-40B4-BE49-F238E27FC236}">
              <a16:creationId xmlns="" xmlns:a16="http://schemas.microsoft.com/office/drawing/2014/main" id="{00000000-0008-0000-0000-0000B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4" name="Text Box 3086">
          <a:extLst>
            <a:ext uri="{FF2B5EF4-FFF2-40B4-BE49-F238E27FC236}">
              <a16:creationId xmlns="" xmlns:a16="http://schemas.microsoft.com/office/drawing/2014/main" id="{00000000-0008-0000-0000-0000B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5" name="Text Box 3087">
          <a:extLst>
            <a:ext uri="{FF2B5EF4-FFF2-40B4-BE49-F238E27FC236}">
              <a16:creationId xmlns="" xmlns:a16="http://schemas.microsoft.com/office/drawing/2014/main" id="{00000000-0008-0000-0000-0000B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6" name="Text Box 3088">
          <a:extLst>
            <a:ext uri="{FF2B5EF4-FFF2-40B4-BE49-F238E27FC236}">
              <a16:creationId xmlns="" xmlns:a16="http://schemas.microsoft.com/office/drawing/2014/main" id="{00000000-0008-0000-0000-0000B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7" name="Text Box 3089">
          <a:extLst>
            <a:ext uri="{FF2B5EF4-FFF2-40B4-BE49-F238E27FC236}">
              <a16:creationId xmlns="" xmlns:a16="http://schemas.microsoft.com/office/drawing/2014/main" id="{00000000-0008-0000-0000-0000B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8" name="Text Box 3090">
          <a:extLst>
            <a:ext uri="{FF2B5EF4-FFF2-40B4-BE49-F238E27FC236}">
              <a16:creationId xmlns="" xmlns:a16="http://schemas.microsoft.com/office/drawing/2014/main" id="{00000000-0008-0000-0000-0000B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9" name="Text Box 3091">
          <a:extLst>
            <a:ext uri="{FF2B5EF4-FFF2-40B4-BE49-F238E27FC236}">
              <a16:creationId xmlns="" xmlns:a16="http://schemas.microsoft.com/office/drawing/2014/main" id="{00000000-0008-0000-0000-0000B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0" name="Text Box 3092">
          <a:extLst>
            <a:ext uri="{FF2B5EF4-FFF2-40B4-BE49-F238E27FC236}">
              <a16:creationId xmlns="" xmlns:a16="http://schemas.microsoft.com/office/drawing/2014/main" id="{00000000-0008-0000-0000-0000B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1" name="Text Box 3093">
          <a:extLst>
            <a:ext uri="{FF2B5EF4-FFF2-40B4-BE49-F238E27FC236}">
              <a16:creationId xmlns="" xmlns:a16="http://schemas.microsoft.com/office/drawing/2014/main" id="{00000000-0008-0000-0000-0000B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2" name="Text Box 3094">
          <a:extLst>
            <a:ext uri="{FF2B5EF4-FFF2-40B4-BE49-F238E27FC236}">
              <a16:creationId xmlns="" xmlns:a16="http://schemas.microsoft.com/office/drawing/2014/main" id="{00000000-0008-0000-0000-0000B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3" name="Text Box 3095">
          <a:extLst>
            <a:ext uri="{FF2B5EF4-FFF2-40B4-BE49-F238E27FC236}">
              <a16:creationId xmlns="" xmlns:a16="http://schemas.microsoft.com/office/drawing/2014/main" id="{00000000-0008-0000-0000-0000B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4" name="Text Box 3096">
          <a:extLst>
            <a:ext uri="{FF2B5EF4-FFF2-40B4-BE49-F238E27FC236}">
              <a16:creationId xmlns="" xmlns:a16="http://schemas.microsoft.com/office/drawing/2014/main" id="{00000000-0008-0000-0000-0000B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5" name="Text Box 3097">
          <a:extLst>
            <a:ext uri="{FF2B5EF4-FFF2-40B4-BE49-F238E27FC236}">
              <a16:creationId xmlns="" xmlns:a16="http://schemas.microsoft.com/office/drawing/2014/main" id="{00000000-0008-0000-0000-0000B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6" name="Text Box 3098">
          <a:extLst>
            <a:ext uri="{FF2B5EF4-FFF2-40B4-BE49-F238E27FC236}">
              <a16:creationId xmlns="" xmlns:a16="http://schemas.microsoft.com/office/drawing/2014/main" id="{00000000-0008-0000-0000-0000C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7" name="Text Box 3099">
          <a:extLst>
            <a:ext uri="{FF2B5EF4-FFF2-40B4-BE49-F238E27FC236}">
              <a16:creationId xmlns="" xmlns:a16="http://schemas.microsoft.com/office/drawing/2014/main" id="{00000000-0008-0000-0000-0000C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8" name="Text Box 3100">
          <a:extLst>
            <a:ext uri="{FF2B5EF4-FFF2-40B4-BE49-F238E27FC236}">
              <a16:creationId xmlns="" xmlns:a16="http://schemas.microsoft.com/office/drawing/2014/main" id="{00000000-0008-0000-0000-0000C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9" name="Text Box 3101">
          <a:extLst>
            <a:ext uri="{FF2B5EF4-FFF2-40B4-BE49-F238E27FC236}">
              <a16:creationId xmlns="" xmlns:a16="http://schemas.microsoft.com/office/drawing/2014/main" id="{00000000-0008-0000-0000-0000C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60" name="Text Box 3102">
          <a:extLst>
            <a:ext uri="{FF2B5EF4-FFF2-40B4-BE49-F238E27FC236}">
              <a16:creationId xmlns="" xmlns:a16="http://schemas.microsoft.com/office/drawing/2014/main" id="{00000000-0008-0000-0000-0000C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1" name="Text Box 59">
          <a:extLst>
            <a:ext uri="{FF2B5EF4-FFF2-40B4-BE49-F238E27FC236}">
              <a16:creationId xmlns="" xmlns:a16="http://schemas.microsoft.com/office/drawing/2014/main" id="{00000000-0008-0000-0000-0000C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2" name="Text Box 60">
          <a:extLst>
            <a:ext uri="{FF2B5EF4-FFF2-40B4-BE49-F238E27FC236}">
              <a16:creationId xmlns="" xmlns:a16="http://schemas.microsoft.com/office/drawing/2014/main" id="{00000000-0008-0000-0000-0000C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3" name="Text Box 61">
          <a:extLst>
            <a:ext uri="{FF2B5EF4-FFF2-40B4-BE49-F238E27FC236}">
              <a16:creationId xmlns="" xmlns:a16="http://schemas.microsoft.com/office/drawing/2014/main" id="{00000000-0008-0000-0000-0000C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4" name="Text Box 62">
          <a:extLst>
            <a:ext uri="{FF2B5EF4-FFF2-40B4-BE49-F238E27FC236}">
              <a16:creationId xmlns="" xmlns:a16="http://schemas.microsoft.com/office/drawing/2014/main" id="{00000000-0008-0000-0000-0000C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5" name="Text Box 63">
          <a:extLst>
            <a:ext uri="{FF2B5EF4-FFF2-40B4-BE49-F238E27FC236}">
              <a16:creationId xmlns="" xmlns:a16="http://schemas.microsoft.com/office/drawing/2014/main" id="{00000000-0008-0000-0000-0000C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6" name="Text Box 64">
          <a:extLst>
            <a:ext uri="{FF2B5EF4-FFF2-40B4-BE49-F238E27FC236}">
              <a16:creationId xmlns="" xmlns:a16="http://schemas.microsoft.com/office/drawing/2014/main" id="{00000000-0008-0000-0000-0000C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7" name="Text Box 65">
          <a:extLst>
            <a:ext uri="{FF2B5EF4-FFF2-40B4-BE49-F238E27FC236}">
              <a16:creationId xmlns="" xmlns:a16="http://schemas.microsoft.com/office/drawing/2014/main" id="{00000000-0008-0000-0000-0000C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8" name="Text Box 66">
          <a:extLst>
            <a:ext uri="{FF2B5EF4-FFF2-40B4-BE49-F238E27FC236}">
              <a16:creationId xmlns="" xmlns:a16="http://schemas.microsoft.com/office/drawing/2014/main" id="{00000000-0008-0000-0000-0000C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9" name="Text Box 67">
          <a:extLst>
            <a:ext uri="{FF2B5EF4-FFF2-40B4-BE49-F238E27FC236}">
              <a16:creationId xmlns="" xmlns:a16="http://schemas.microsoft.com/office/drawing/2014/main" id="{00000000-0008-0000-0000-0000C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0" name="Text Box 68">
          <a:extLst>
            <a:ext uri="{FF2B5EF4-FFF2-40B4-BE49-F238E27FC236}">
              <a16:creationId xmlns="" xmlns:a16="http://schemas.microsoft.com/office/drawing/2014/main" id="{00000000-0008-0000-0000-0000C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1" name="Text Box 69">
          <a:extLst>
            <a:ext uri="{FF2B5EF4-FFF2-40B4-BE49-F238E27FC236}">
              <a16:creationId xmlns="" xmlns:a16="http://schemas.microsoft.com/office/drawing/2014/main" id="{00000000-0008-0000-0000-0000C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2" name="Text Box 70">
          <a:extLst>
            <a:ext uri="{FF2B5EF4-FFF2-40B4-BE49-F238E27FC236}">
              <a16:creationId xmlns="" xmlns:a16="http://schemas.microsoft.com/office/drawing/2014/main" id="{00000000-0008-0000-0000-0000D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3" name="Text Box 71">
          <a:extLst>
            <a:ext uri="{FF2B5EF4-FFF2-40B4-BE49-F238E27FC236}">
              <a16:creationId xmlns="" xmlns:a16="http://schemas.microsoft.com/office/drawing/2014/main" id="{00000000-0008-0000-0000-0000D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4" name="Text Box 72">
          <a:extLst>
            <a:ext uri="{FF2B5EF4-FFF2-40B4-BE49-F238E27FC236}">
              <a16:creationId xmlns="" xmlns:a16="http://schemas.microsoft.com/office/drawing/2014/main" id="{00000000-0008-0000-0000-0000D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5" name="Text Box 73">
          <a:extLst>
            <a:ext uri="{FF2B5EF4-FFF2-40B4-BE49-F238E27FC236}">
              <a16:creationId xmlns="" xmlns:a16="http://schemas.microsoft.com/office/drawing/2014/main" id="{00000000-0008-0000-0000-0000D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6" name="Text Box 74">
          <a:extLst>
            <a:ext uri="{FF2B5EF4-FFF2-40B4-BE49-F238E27FC236}">
              <a16:creationId xmlns="" xmlns:a16="http://schemas.microsoft.com/office/drawing/2014/main" id="{00000000-0008-0000-0000-0000D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7" name="Text Box 75">
          <a:extLst>
            <a:ext uri="{FF2B5EF4-FFF2-40B4-BE49-F238E27FC236}">
              <a16:creationId xmlns="" xmlns:a16="http://schemas.microsoft.com/office/drawing/2014/main" id="{00000000-0008-0000-0000-0000D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8" name="Text Box 76">
          <a:extLst>
            <a:ext uri="{FF2B5EF4-FFF2-40B4-BE49-F238E27FC236}">
              <a16:creationId xmlns="" xmlns:a16="http://schemas.microsoft.com/office/drawing/2014/main" id="{00000000-0008-0000-0000-0000D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9" name="Text Box 77">
          <a:extLst>
            <a:ext uri="{FF2B5EF4-FFF2-40B4-BE49-F238E27FC236}">
              <a16:creationId xmlns="" xmlns:a16="http://schemas.microsoft.com/office/drawing/2014/main" id="{00000000-0008-0000-0000-0000D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0" name="Text Box 78">
          <a:extLst>
            <a:ext uri="{FF2B5EF4-FFF2-40B4-BE49-F238E27FC236}">
              <a16:creationId xmlns="" xmlns:a16="http://schemas.microsoft.com/office/drawing/2014/main" id="{00000000-0008-0000-0000-0000D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1" name="Text Box 79">
          <a:extLst>
            <a:ext uri="{FF2B5EF4-FFF2-40B4-BE49-F238E27FC236}">
              <a16:creationId xmlns="" xmlns:a16="http://schemas.microsoft.com/office/drawing/2014/main" id="{00000000-0008-0000-0000-0000D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2" name="Text Box 80">
          <a:extLst>
            <a:ext uri="{FF2B5EF4-FFF2-40B4-BE49-F238E27FC236}">
              <a16:creationId xmlns="" xmlns:a16="http://schemas.microsoft.com/office/drawing/2014/main" id="{00000000-0008-0000-0000-0000D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3" name="Text Box 81">
          <a:extLst>
            <a:ext uri="{FF2B5EF4-FFF2-40B4-BE49-F238E27FC236}">
              <a16:creationId xmlns="" xmlns:a16="http://schemas.microsoft.com/office/drawing/2014/main" id="{00000000-0008-0000-0000-0000D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084" name="Text Box 82">
          <a:extLst>
            <a:ext uri="{FF2B5EF4-FFF2-40B4-BE49-F238E27FC236}">
              <a16:creationId xmlns="" xmlns:a16="http://schemas.microsoft.com/office/drawing/2014/main" id="{00000000-0008-0000-0000-0000D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5" name="Text Box 3079">
          <a:extLst>
            <a:ext uri="{FF2B5EF4-FFF2-40B4-BE49-F238E27FC236}">
              <a16:creationId xmlns="" xmlns:a16="http://schemas.microsoft.com/office/drawing/2014/main" id="{00000000-0008-0000-0000-0000D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6" name="Text Box 3080">
          <a:extLst>
            <a:ext uri="{FF2B5EF4-FFF2-40B4-BE49-F238E27FC236}">
              <a16:creationId xmlns="" xmlns:a16="http://schemas.microsoft.com/office/drawing/2014/main" id="{00000000-0008-0000-0000-0000D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7" name="Text Box 3081">
          <a:extLst>
            <a:ext uri="{FF2B5EF4-FFF2-40B4-BE49-F238E27FC236}">
              <a16:creationId xmlns="" xmlns:a16="http://schemas.microsoft.com/office/drawing/2014/main" id="{00000000-0008-0000-0000-0000D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8" name="Text Box 3082">
          <a:extLst>
            <a:ext uri="{FF2B5EF4-FFF2-40B4-BE49-F238E27FC236}">
              <a16:creationId xmlns="" xmlns:a16="http://schemas.microsoft.com/office/drawing/2014/main" id="{00000000-0008-0000-0000-0000E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9" name="Text Box 3083">
          <a:extLst>
            <a:ext uri="{FF2B5EF4-FFF2-40B4-BE49-F238E27FC236}">
              <a16:creationId xmlns="" xmlns:a16="http://schemas.microsoft.com/office/drawing/2014/main" id="{00000000-0008-0000-0000-0000E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0" name="Text Box 3084">
          <a:extLst>
            <a:ext uri="{FF2B5EF4-FFF2-40B4-BE49-F238E27FC236}">
              <a16:creationId xmlns="" xmlns:a16="http://schemas.microsoft.com/office/drawing/2014/main" id="{00000000-0008-0000-0000-0000E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1" name="Text Box 3085">
          <a:extLst>
            <a:ext uri="{FF2B5EF4-FFF2-40B4-BE49-F238E27FC236}">
              <a16:creationId xmlns="" xmlns:a16="http://schemas.microsoft.com/office/drawing/2014/main" id="{00000000-0008-0000-0000-0000E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2" name="Text Box 3086">
          <a:extLst>
            <a:ext uri="{FF2B5EF4-FFF2-40B4-BE49-F238E27FC236}">
              <a16:creationId xmlns="" xmlns:a16="http://schemas.microsoft.com/office/drawing/2014/main" id="{00000000-0008-0000-0000-0000E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3" name="Text Box 3087">
          <a:extLst>
            <a:ext uri="{FF2B5EF4-FFF2-40B4-BE49-F238E27FC236}">
              <a16:creationId xmlns="" xmlns:a16="http://schemas.microsoft.com/office/drawing/2014/main" id="{00000000-0008-0000-0000-0000E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4" name="Text Box 3088">
          <a:extLst>
            <a:ext uri="{FF2B5EF4-FFF2-40B4-BE49-F238E27FC236}">
              <a16:creationId xmlns="" xmlns:a16="http://schemas.microsoft.com/office/drawing/2014/main" id="{00000000-0008-0000-0000-0000E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5" name="Text Box 3089">
          <a:extLst>
            <a:ext uri="{FF2B5EF4-FFF2-40B4-BE49-F238E27FC236}">
              <a16:creationId xmlns="" xmlns:a16="http://schemas.microsoft.com/office/drawing/2014/main" id="{00000000-0008-0000-0000-0000E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6" name="Text Box 3090">
          <a:extLst>
            <a:ext uri="{FF2B5EF4-FFF2-40B4-BE49-F238E27FC236}">
              <a16:creationId xmlns="" xmlns:a16="http://schemas.microsoft.com/office/drawing/2014/main" id="{00000000-0008-0000-0000-0000E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7" name="Text Box 3091">
          <a:extLst>
            <a:ext uri="{FF2B5EF4-FFF2-40B4-BE49-F238E27FC236}">
              <a16:creationId xmlns="" xmlns:a16="http://schemas.microsoft.com/office/drawing/2014/main" id="{00000000-0008-0000-0000-0000E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8" name="Text Box 3092">
          <a:extLst>
            <a:ext uri="{FF2B5EF4-FFF2-40B4-BE49-F238E27FC236}">
              <a16:creationId xmlns="" xmlns:a16="http://schemas.microsoft.com/office/drawing/2014/main" id="{00000000-0008-0000-0000-0000E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9" name="Text Box 3093">
          <a:extLst>
            <a:ext uri="{FF2B5EF4-FFF2-40B4-BE49-F238E27FC236}">
              <a16:creationId xmlns="" xmlns:a16="http://schemas.microsoft.com/office/drawing/2014/main" id="{00000000-0008-0000-0000-0000E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0" name="Text Box 3094">
          <a:extLst>
            <a:ext uri="{FF2B5EF4-FFF2-40B4-BE49-F238E27FC236}">
              <a16:creationId xmlns="" xmlns:a16="http://schemas.microsoft.com/office/drawing/2014/main" id="{00000000-0008-0000-0000-0000E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1" name="Text Box 3095">
          <a:extLst>
            <a:ext uri="{FF2B5EF4-FFF2-40B4-BE49-F238E27FC236}">
              <a16:creationId xmlns="" xmlns:a16="http://schemas.microsoft.com/office/drawing/2014/main" id="{00000000-0008-0000-0000-0000E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2" name="Text Box 3096">
          <a:extLst>
            <a:ext uri="{FF2B5EF4-FFF2-40B4-BE49-F238E27FC236}">
              <a16:creationId xmlns="" xmlns:a16="http://schemas.microsoft.com/office/drawing/2014/main" id="{00000000-0008-0000-0000-0000E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3" name="Text Box 3097">
          <a:extLst>
            <a:ext uri="{FF2B5EF4-FFF2-40B4-BE49-F238E27FC236}">
              <a16:creationId xmlns="" xmlns:a16="http://schemas.microsoft.com/office/drawing/2014/main" id="{00000000-0008-0000-0000-0000E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4" name="Text Box 3098">
          <a:extLst>
            <a:ext uri="{FF2B5EF4-FFF2-40B4-BE49-F238E27FC236}">
              <a16:creationId xmlns="" xmlns:a16="http://schemas.microsoft.com/office/drawing/2014/main" id="{00000000-0008-0000-0000-0000F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5" name="Text Box 3099">
          <a:extLst>
            <a:ext uri="{FF2B5EF4-FFF2-40B4-BE49-F238E27FC236}">
              <a16:creationId xmlns="" xmlns:a16="http://schemas.microsoft.com/office/drawing/2014/main" id="{00000000-0008-0000-0000-0000F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6" name="Text Box 3100">
          <a:extLst>
            <a:ext uri="{FF2B5EF4-FFF2-40B4-BE49-F238E27FC236}">
              <a16:creationId xmlns="" xmlns:a16="http://schemas.microsoft.com/office/drawing/2014/main" id="{00000000-0008-0000-0000-0000F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7" name="Text Box 3101">
          <a:extLst>
            <a:ext uri="{FF2B5EF4-FFF2-40B4-BE49-F238E27FC236}">
              <a16:creationId xmlns="" xmlns:a16="http://schemas.microsoft.com/office/drawing/2014/main" id="{00000000-0008-0000-0000-0000F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108" name="Text Box 3102">
          <a:extLst>
            <a:ext uri="{FF2B5EF4-FFF2-40B4-BE49-F238E27FC236}">
              <a16:creationId xmlns="" xmlns:a16="http://schemas.microsoft.com/office/drawing/2014/main" id="{00000000-0008-0000-0000-0000F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09" name="Text Box 59">
          <a:extLst>
            <a:ext uri="{FF2B5EF4-FFF2-40B4-BE49-F238E27FC236}">
              <a16:creationId xmlns="" xmlns:a16="http://schemas.microsoft.com/office/drawing/2014/main" id="{00000000-0008-0000-0000-0000F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0" name="Text Box 60">
          <a:extLst>
            <a:ext uri="{FF2B5EF4-FFF2-40B4-BE49-F238E27FC236}">
              <a16:creationId xmlns="" xmlns:a16="http://schemas.microsoft.com/office/drawing/2014/main" id="{00000000-0008-0000-0000-0000F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1" name="Text Box 61">
          <a:extLst>
            <a:ext uri="{FF2B5EF4-FFF2-40B4-BE49-F238E27FC236}">
              <a16:creationId xmlns="" xmlns:a16="http://schemas.microsoft.com/office/drawing/2014/main" id="{00000000-0008-0000-0000-0000F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2" name="Text Box 62">
          <a:extLst>
            <a:ext uri="{FF2B5EF4-FFF2-40B4-BE49-F238E27FC236}">
              <a16:creationId xmlns="" xmlns:a16="http://schemas.microsoft.com/office/drawing/2014/main" id="{00000000-0008-0000-0000-0000F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3" name="Text Box 63">
          <a:extLst>
            <a:ext uri="{FF2B5EF4-FFF2-40B4-BE49-F238E27FC236}">
              <a16:creationId xmlns="" xmlns:a16="http://schemas.microsoft.com/office/drawing/2014/main" id="{00000000-0008-0000-0000-0000F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4" name="Text Box 64">
          <a:extLst>
            <a:ext uri="{FF2B5EF4-FFF2-40B4-BE49-F238E27FC236}">
              <a16:creationId xmlns="" xmlns:a16="http://schemas.microsoft.com/office/drawing/2014/main" id="{00000000-0008-0000-0000-0000F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5" name="Text Box 65">
          <a:extLst>
            <a:ext uri="{FF2B5EF4-FFF2-40B4-BE49-F238E27FC236}">
              <a16:creationId xmlns="" xmlns:a16="http://schemas.microsoft.com/office/drawing/2014/main" id="{00000000-0008-0000-0000-0000F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6" name="Text Box 66">
          <a:extLst>
            <a:ext uri="{FF2B5EF4-FFF2-40B4-BE49-F238E27FC236}">
              <a16:creationId xmlns="" xmlns:a16="http://schemas.microsoft.com/office/drawing/2014/main" id="{00000000-0008-0000-0000-0000F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7" name="Text Box 67">
          <a:extLst>
            <a:ext uri="{FF2B5EF4-FFF2-40B4-BE49-F238E27FC236}">
              <a16:creationId xmlns="" xmlns:a16="http://schemas.microsoft.com/office/drawing/2014/main" id="{00000000-0008-0000-0000-0000F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8" name="Text Box 68">
          <a:extLst>
            <a:ext uri="{FF2B5EF4-FFF2-40B4-BE49-F238E27FC236}">
              <a16:creationId xmlns="" xmlns:a16="http://schemas.microsoft.com/office/drawing/2014/main" id="{00000000-0008-0000-0000-0000F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9" name="Text Box 69">
          <a:extLst>
            <a:ext uri="{FF2B5EF4-FFF2-40B4-BE49-F238E27FC236}">
              <a16:creationId xmlns="" xmlns:a16="http://schemas.microsoft.com/office/drawing/2014/main" id="{00000000-0008-0000-0000-0000F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0" name="Text Box 70">
          <a:extLst>
            <a:ext uri="{FF2B5EF4-FFF2-40B4-BE49-F238E27FC236}">
              <a16:creationId xmlns="" xmlns:a16="http://schemas.microsoft.com/office/drawing/2014/main" id="{00000000-0008-0000-0000-00000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1" name="Text Box 71">
          <a:extLst>
            <a:ext uri="{FF2B5EF4-FFF2-40B4-BE49-F238E27FC236}">
              <a16:creationId xmlns="" xmlns:a16="http://schemas.microsoft.com/office/drawing/2014/main" id="{00000000-0008-0000-0000-00000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2" name="Text Box 72">
          <a:extLst>
            <a:ext uri="{FF2B5EF4-FFF2-40B4-BE49-F238E27FC236}">
              <a16:creationId xmlns="" xmlns:a16="http://schemas.microsoft.com/office/drawing/2014/main" id="{00000000-0008-0000-0000-00000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3" name="Text Box 73">
          <a:extLst>
            <a:ext uri="{FF2B5EF4-FFF2-40B4-BE49-F238E27FC236}">
              <a16:creationId xmlns="" xmlns:a16="http://schemas.microsoft.com/office/drawing/2014/main" id="{00000000-0008-0000-0000-00000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4" name="Text Box 74">
          <a:extLst>
            <a:ext uri="{FF2B5EF4-FFF2-40B4-BE49-F238E27FC236}">
              <a16:creationId xmlns="" xmlns:a16="http://schemas.microsoft.com/office/drawing/2014/main" id="{00000000-0008-0000-0000-00000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5" name="Text Box 75">
          <a:extLst>
            <a:ext uri="{FF2B5EF4-FFF2-40B4-BE49-F238E27FC236}">
              <a16:creationId xmlns="" xmlns:a16="http://schemas.microsoft.com/office/drawing/2014/main" id="{00000000-0008-0000-0000-00000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6" name="Text Box 76">
          <a:extLst>
            <a:ext uri="{FF2B5EF4-FFF2-40B4-BE49-F238E27FC236}">
              <a16:creationId xmlns="" xmlns:a16="http://schemas.microsoft.com/office/drawing/2014/main" id="{00000000-0008-0000-0000-00000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7" name="Text Box 77">
          <a:extLst>
            <a:ext uri="{FF2B5EF4-FFF2-40B4-BE49-F238E27FC236}">
              <a16:creationId xmlns="" xmlns:a16="http://schemas.microsoft.com/office/drawing/2014/main" id="{00000000-0008-0000-0000-00000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8" name="Text Box 78">
          <a:extLst>
            <a:ext uri="{FF2B5EF4-FFF2-40B4-BE49-F238E27FC236}">
              <a16:creationId xmlns="" xmlns:a16="http://schemas.microsoft.com/office/drawing/2014/main" id="{00000000-0008-0000-0000-00000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9" name="Text Box 79">
          <a:extLst>
            <a:ext uri="{FF2B5EF4-FFF2-40B4-BE49-F238E27FC236}">
              <a16:creationId xmlns="" xmlns:a16="http://schemas.microsoft.com/office/drawing/2014/main" id="{00000000-0008-0000-0000-00000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0" name="Text Box 80">
          <a:extLst>
            <a:ext uri="{FF2B5EF4-FFF2-40B4-BE49-F238E27FC236}">
              <a16:creationId xmlns="" xmlns:a16="http://schemas.microsoft.com/office/drawing/2014/main" id="{00000000-0008-0000-0000-00000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1" name="Text Box 81">
          <a:extLst>
            <a:ext uri="{FF2B5EF4-FFF2-40B4-BE49-F238E27FC236}">
              <a16:creationId xmlns="" xmlns:a16="http://schemas.microsoft.com/office/drawing/2014/main" id="{00000000-0008-0000-0000-00000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2" name="Text Box 3079">
          <a:extLst>
            <a:ext uri="{FF2B5EF4-FFF2-40B4-BE49-F238E27FC236}">
              <a16:creationId xmlns="" xmlns:a16="http://schemas.microsoft.com/office/drawing/2014/main" id="{00000000-0008-0000-0000-00000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3" name="Text Box 3080">
          <a:extLst>
            <a:ext uri="{FF2B5EF4-FFF2-40B4-BE49-F238E27FC236}">
              <a16:creationId xmlns="" xmlns:a16="http://schemas.microsoft.com/office/drawing/2014/main" id="{00000000-0008-0000-0000-00000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4" name="Text Box 3081">
          <a:extLst>
            <a:ext uri="{FF2B5EF4-FFF2-40B4-BE49-F238E27FC236}">
              <a16:creationId xmlns="" xmlns:a16="http://schemas.microsoft.com/office/drawing/2014/main" id="{00000000-0008-0000-0000-00000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5" name="Text Box 3082">
          <a:extLst>
            <a:ext uri="{FF2B5EF4-FFF2-40B4-BE49-F238E27FC236}">
              <a16:creationId xmlns="" xmlns:a16="http://schemas.microsoft.com/office/drawing/2014/main" id="{00000000-0008-0000-0000-00000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6" name="Text Box 3083">
          <a:extLst>
            <a:ext uri="{FF2B5EF4-FFF2-40B4-BE49-F238E27FC236}">
              <a16:creationId xmlns="" xmlns:a16="http://schemas.microsoft.com/office/drawing/2014/main" id="{00000000-0008-0000-0000-00001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7" name="Text Box 3084">
          <a:extLst>
            <a:ext uri="{FF2B5EF4-FFF2-40B4-BE49-F238E27FC236}">
              <a16:creationId xmlns="" xmlns:a16="http://schemas.microsoft.com/office/drawing/2014/main" id="{00000000-0008-0000-0000-00001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8" name="Text Box 3085">
          <a:extLst>
            <a:ext uri="{FF2B5EF4-FFF2-40B4-BE49-F238E27FC236}">
              <a16:creationId xmlns="" xmlns:a16="http://schemas.microsoft.com/office/drawing/2014/main" id="{00000000-0008-0000-0000-00001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9" name="Text Box 3086">
          <a:extLst>
            <a:ext uri="{FF2B5EF4-FFF2-40B4-BE49-F238E27FC236}">
              <a16:creationId xmlns="" xmlns:a16="http://schemas.microsoft.com/office/drawing/2014/main" id="{00000000-0008-0000-0000-00001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0" name="Text Box 3087">
          <a:extLst>
            <a:ext uri="{FF2B5EF4-FFF2-40B4-BE49-F238E27FC236}">
              <a16:creationId xmlns="" xmlns:a16="http://schemas.microsoft.com/office/drawing/2014/main" id="{00000000-0008-0000-0000-00001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1" name="Text Box 3088">
          <a:extLst>
            <a:ext uri="{FF2B5EF4-FFF2-40B4-BE49-F238E27FC236}">
              <a16:creationId xmlns="" xmlns:a16="http://schemas.microsoft.com/office/drawing/2014/main" id="{00000000-0008-0000-0000-00001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2" name="Text Box 3089">
          <a:extLst>
            <a:ext uri="{FF2B5EF4-FFF2-40B4-BE49-F238E27FC236}">
              <a16:creationId xmlns="" xmlns:a16="http://schemas.microsoft.com/office/drawing/2014/main" id="{00000000-0008-0000-0000-00001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3" name="Text Box 3090">
          <a:extLst>
            <a:ext uri="{FF2B5EF4-FFF2-40B4-BE49-F238E27FC236}">
              <a16:creationId xmlns="" xmlns:a16="http://schemas.microsoft.com/office/drawing/2014/main" id="{00000000-0008-0000-0000-00001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4" name="Text Box 3091">
          <a:extLst>
            <a:ext uri="{FF2B5EF4-FFF2-40B4-BE49-F238E27FC236}">
              <a16:creationId xmlns="" xmlns:a16="http://schemas.microsoft.com/office/drawing/2014/main" id="{00000000-0008-0000-0000-00001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5" name="Text Box 3092">
          <a:extLst>
            <a:ext uri="{FF2B5EF4-FFF2-40B4-BE49-F238E27FC236}">
              <a16:creationId xmlns="" xmlns:a16="http://schemas.microsoft.com/office/drawing/2014/main" id="{00000000-0008-0000-0000-00001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6" name="Text Box 3093">
          <a:extLst>
            <a:ext uri="{FF2B5EF4-FFF2-40B4-BE49-F238E27FC236}">
              <a16:creationId xmlns="" xmlns:a16="http://schemas.microsoft.com/office/drawing/2014/main" id="{00000000-0008-0000-0000-00001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7" name="Text Box 3094">
          <a:extLst>
            <a:ext uri="{FF2B5EF4-FFF2-40B4-BE49-F238E27FC236}">
              <a16:creationId xmlns="" xmlns:a16="http://schemas.microsoft.com/office/drawing/2014/main" id="{00000000-0008-0000-0000-00001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8" name="Text Box 3095">
          <a:extLst>
            <a:ext uri="{FF2B5EF4-FFF2-40B4-BE49-F238E27FC236}">
              <a16:creationId xmlns="" xmlns:a16="http://schemas.microsoft.com/office/drawing/2014/main" id="{00000000-0008-0000-0000-00001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9" name="Text Box 3096">
          <a:extLst>
            <a:ext uri="{FF2B5EF4-FFF2-40B4-BE49-F238E27FC236}">
              <a16:creationId xmlns="" xmlns:a16="http://schemas.microsoft.com/office/drawing/2014/main" id="{00000000-0008-0000-0000-00001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0" name="Text Box 3097">
          <a:extLst>
            <a:ext uri="{FF2B5EF4-FFF2-40B4-BE49-F238E27FC236}">
              <a16:creationId xmlns="" xmlns:a16="http://schemas.microsoft.com/office/drawing/2014/main" id="{00000000-0008-0000-0000-00001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1" name="Text Box 3098">
          <a:extLst>
            <a:ext uri="{FF2B5EF4-FFF2-40B4-BE49-F238E27FC236}">
              <a16:creationId xmlns="" xmlns:a16="http://schemas.microsoft.com/office/drawing/2014/main" id="{00000000-0008-0000-0000-00001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2" name="Text Box 3099">
          <a:extLst>
            <a:ext uri="{FF2B5EF4-FFF2-40B4-BE49-F238E27FC236}">
              <a16:creationId xmlns="" xmlns:a16="http://schemas.microsoft.com/office/drawing/2014/main" id="{00000000-0008-0000-0000-00002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3" name="Text Box 3100">
          <a:extLst>
            <a:ext uri="{FF2B5EF4-FFF2-40B4-BE49-F238E27FC236}">
              <a16:creationId xmlns="" xmlns:a16="http://schemas.microsoft.com/office/drawing/2014/main" id="{00000000-0008-0000-0000-00002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4" name="Text Box 3101">
          <a:extLst>
            <a:ext uri="{FF2B5EF4-FFF2-40B4-BE49-F238E27FC236}">
              <a16:creationId xmlns="" xmlns:a16="http://schemas.microsoft.com/office/drawing/2014/main" id="{00000000-0008-0000-0000-00002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155" name="Text Box 3102">
          <a:extLst>
            <a:ext uri="{FF2B5EF4-FFF2-40B4-BE49-F238E27FC236}">
              <a16:creationId xmlns="" xmlns:a16="http://schemas.microsoft.com/office/drawing/2014/main" id="{00000000-0008-0000-0000-00002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6" name="Text Box 59">
          <a:extLst>
            <a:ext uri="{FF2B5EF4-FFF2-40B4-BE49-F238E27FC236}">
              <a16:creationId xmlns="" xmlns:a16="http://schemas.microsoft.com/office/drawing/2014/main" id="{00000000-0008-0000-0000-00002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7" name="Text Box 60">
          <a:extLst>
            <a:ext uri="{FF2B5EF4-FFF2-40B4-BE49-F238E27FC236}">
              <a16:creationId xmlns="" xmlns:a16="http://schemas.microsoft.com/office/drawing/2014/main" id="{00000000-0008-0000-0000-00002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8" name="Text Box 61">
          <a:extLst>
            <a:ext uri="{FF2B5EF4-FFF2-40B4-BE49-F238E27FC236}">
              <a16:creationId xmlns="" xmlns:a16="http://schemas.microsoft.com/office/drawing/2014/main" id="{00000000-0008-0000-0000-00002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9" name="Text Box 62">
          <a:extLst>
            <a:ext uri="{FF2B5EF4-FFF2-40B4-BE49-F238E27FC236}">
              <a16:creationId xmlns="" xmlns:a16="http://schemas.microsoft.com/office/drawing/2014/main" id="{00000000-0008-0000-0000-00002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0" name="Text Box 63">
          <a:extLst>
            <a:ext uri="{FF2B5EF4-FFF2-40B4-BE49-F238E27FC236}">
              <a16:creationId xmlns="" xmlns:a16="http://schemas.microsoft.com/office/drawing/2014/main" id="{00000000-0008-0000-0000-00002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1" name="Text Box 64">
          <a:extLst>
            <a:ext uri="{FF2B5EF4-FFF2-40B4-BE49-F238E27FC236}">
              <a16:creationId xmlns="" xmlns:a16="http://schemas.microsoft.com/office/drawing/2014/main" id="{00000000-0008-0000-0000-00002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2" name="Text Box 65">
          <a:extLst>
            <a:ext uri="{FF2B5EF4-FFF2-40B4-BE49-F238E27FC236}">
              <a16:creationId xmlns="" xmlns:a16="http://schemas.microsoft.com/office/drawing/2014/main" id="{00000000-0008-0000-0000-00002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3" name="Text Box 66">
          <a:extLst>
            <a:ext uri="{FF2B5EF4-FFF2-40B4-BE49-F238E27FC236}">
              <a16:creationId xmlns="" xmlns:a16="http://schemas.microsoft.com/office/drawing/2014/main" id="{00000000-0008-0000-0000-00002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4" name="Text Box 67">
          <a:extLst>
            <a:ext uri="{FF2B5EF4-FFF2-40B4-BE49-F238E27FC236}">
              <a16:creationId xmlns="" xmlns:a16="http://schemas.microsoft.com/office/drawing/2014/main" id="{00000000-0008-0000-0000-00002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5" name="Text Box 68">
          <a:extLst>
            <a:ext uri="{FF2B5EF4-FFF2-40B4-BE49-F238E27FC236}">
              <a16:creationId xmlns="" xmlns:a16="http://schemas.microsoft.com/office/drawing/2014/main" id="{00000000-0008-0000-0000-00002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6" name="Text Box 69">
          <a:extLst>
            <a:ext uri="{FF2B5EF4-FFF2-40B4-BE49-F238E27FC236}">
              <a16:creationId xmlns="" xmlns:a16="http://schemas.microsoft.com/office/drawing/2014/main" id="{00000000-0008-0000-0000-00002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7" name="Text Box 70">
          <a:extLst>
            <a:ext uri="{FF2B5EF4-FFF2-40B4-BE49-F238E27FC236}">
              <a16:creationId xmlns="" xmlns:a16="http://schemas.microsoft.com/office/drawing/2014/main" id="{00000000-0008-0000-0000-00002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8" name="Text Box 71">
          <a:extLst>
            <a:ext uri="{FF2B5EF4-FFF2-40B4-BE49-F238E27FC236}">
              <a16:creationId xmlns="" xmlns:a16="http://schemas.microsoft.com/office/drawing/2014/main" id="{00000000-0008-0000-0000-00003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9" name="Text Box 72">
          <a:extLst>
            <a:ext uri="{FF2B5EF4-FFF2-40B4-BE49-F238E27FC236}">
              <a16:creationId xmlns="" xmlns:a16="http://schemas.microsoft.com/office/drawing/2014/main" id="{00000000-0008-0000-0000-00003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0" name="Text Box 73">
          <a:extLst>
            <a:ext uri="{FF2B5EF4-FFF2-40B4-BE49-F238E27FC236}">
              <a16:creationId xmlns="" xmlns:a16="http://schemas.microsoft.com/office/drawing/2014/main" id="{00000000-0008-0000-0000-00003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1" name="Text Box 74">
          <a:extLst>
            <a:ext uri="{FF2B5EF4-FFF2-40B4-BE49-F238E27FC236}">
              <a16:creationId xmlns="" xmlns:a16="http://schemas.microsoft.com/office/drawing/2014/main" id="{00000000-0008-0000-0000-00003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2" name="Text Box 75">
          <a:extLst>
            <a:ext uri="{FF2B5EF4-FFF2-40B4-BE49-F238E27FC236}">
              <a16:creationId xmlns="" xmlns:a16="http://schemas.microsoft.com/office/drawing/2014/main" id="{00000000-0008-0000-0000-00003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3" name="Text Box 76">
          <a:extLst>
            <a:ext uri="{FF2B5EF4-FFF2-40B4-BE49-F238E27FC236}">
              <a16:creationId xmlns="" xmlns:a16="http://schemas.microsoft.com/office/drawing/2014/main" id="{00000000-0008-0000-0000-00003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4" name="Text Box 77">
          <a:extLst>
            <a:ext uri="{FF2B5EF4-FFF2-40B4-BE49-F238E27FC236}">
              <a16:creationId xmlns="" xmlns:a16="http://schemas.microsoft.com/office/drawing/2014/main" id="{00000000-0008-0000-0000-00003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5" name="Text Box 78">
          <a:extLst>
            <a:ext uri="{FF2B5EF4-FFF2-40B4-BE49-F238E27FC236}">
              <a16:creationId xmlns="" xmlns:a16="http://schemas.microsoft.com/office/drawing/2014/main" id="{00000000-0008-0000-0000-00003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6" name="Text Box 79">
          <a:extLst>
            <a:ext uri="{FF2B5EF4-FFF2-40B4-BE49-F238E27FC236}">
              <a16:creationId xmlns="" xmlns:a16="http://schemas.microsoft.com/office/drawing/2014/main" id="{00000000-0008-0000-0000-00003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7" name="Text Box 80">
          <a:extLst>
            <a:ext uri="{FF2B5EF4-FFF2-40B4-BE49-F238E27FC236}">
              <a16:creationId xmlns="" xmlns:a16="http://schemas.microsoft.com/office/drawing/2014/main" id="{00000000-0008-0000-0000-00003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8" name="Text Box 81">
          <a:extLst>
            <a:ext uri="{FF2B5EF4-FFF2-40B4-BE49-F238E27FC236}">
              <a16:creationId xmlns="" xmlns:a16="http://schemas.microsoft.com/office/drawing/2014/main" id="{00000000-0008-0000-0000-00003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179" name="Text Box 82">
          <a:extLst>
            <a:ext uri="{FF2B5EF4-FFF2-40B4-BE49-F238E27FC236}">
              <a16:creationId xmlns="" xmlns:a16="http://schemas.microsoft.com/office/drawing/2014/main" id="{00000000-0008-0000-0000-00003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0" name="Text Box 3079">
          <a:extLst>
            <a:ext uri="{FF2B5EF4-FFF2-40B4-BE49-F238E27FC236}">
              <a16:creationId xmlns="" xmlns:a16="http://schemas.microsoft.com/office/drawing/2014/main" id="{00000000-0008-0000-0000-00003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1" name="Text Box 3080">
          <a:extLst>
            <a:ext uri="{FF2B5EF4-FFF2-40B4-BE49-F238E27FC236}">
              <a16:creationId xmlns="" xmlns:a16="http://schemas.microsoft.com/office/drawing/2014/main" id="{00000000-0008-0000-0000-00003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2" name="Text Box 3081">
          <a:extLst>
            <a:ext uri="{FF2B5EF4-FFF2-40B4-BE49-F238E27FC236}">
              <a16:creationId xmlns="" xmlns:a16="http://schemas.microsoft.com/office/drawing/2014/main" id="{00000000-0008-0000-0000-00003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3" name="Text Box 3082">
          <a:extLst>
            <a:ext uri="{FF2B5EF4-FFF2-40B4-BE49-F238E27FC236}">
              <a16:creationId xmlns="" xmlns:a16="http://schemas.microsoft.com/office/drawing/2014/main" id="{00000000-0008-0000-0000-00003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4" name="Text Box 3083">
          <a:extLst>
            <a:ext uri="{FF2B5EF4-FFF2-40B4-BE49-F238E27FC236}">
              <a16:creationId xmlns="" xmlns:a16="http://schemas.microsoft.com/office/drawing/2014/main" id="{00000000-0008-0000-0000-00004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5" name="Text Box 3084">
          <a:extLst>
            <a:ext uri="{FF2B5EF4-FFF2-40B4-BE49-F238E27FC236}">
              <a16:creationId xmlns="" xmlns:a16="http://schemas.microsoft.com/office/drawing/2014/main" id="{00000000-0008-0000-0000-00004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6" name="Text Box 3079">
          <a:extLst>
            <a:ext uri="{FF2B5EF4-FFF2-40B4-BE49-F238E27FC236}">
              <a16:creationId xmlns="" xmlns:a16="http://schemas.microsoft.com/office/drawing/2014/main" id="{00000000-0008-0000-0000-00004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7" name="Text Box 3080">
          <a:extLst>
            <a:ext uri="{FF2B5EF4-FFF2-40B4-BE49-F238E27FC236}">
              <a16:creationId xmlns="" xmlns:a16="http://schemas.microsoft.com/office/drawing/2014/main" id="{00000000-0008-0000-0000-00004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8" name="Text Box 3081">
          <a:extLst>
            <a:ext uri="{FF2B5EF4-FFF2-40B4-BE49-F238E27FC236}">
              <a16:creationId xmlns="" xmlns:a16="http://schemas.microsoft.com/office/drawing/2014/main" id="{00000000-0008-0000-0000-00004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9" name="Text Box 3082">
          <a:extLst>
            <a:ext uri="{FF2B5EF4-FFF2-40B4-BE49-F238E27FC236}">
              <a16:creationId xmlns="" xmlns:a16="http://schemas.microsoft.com/office/drawing/2014/main" id="{00000000-0008-0000-0000-00004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0" name="Text Box 3083">
          <a:extLst>
            <a:ext uri="{FF2B5EF4-FFF2-40B4-BE49-F238E27FC236}">
              <a16:creationId xmlns="" xmlns:a16="http://schemas.microsoft.com/office/drawing/2014/main" id="{00000000-0008-0000-0000-00004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1" name="Text Box 3084">
          <a:extLst>
            <a:ext uri="{FF2B5EF4-FFF2-40B4-BE49-F238E27FC236}">
              <a16:creationId xmlns="" xmlns:a16="http://schemas.microsoft.com/office/drawing/2014/main" id="{00000000-0008-0000-0000-00004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2" name="Text Box 3085">
          <a:extLst>
            <a:ext uri="{FF2B5EF4-FFF2-40B4-BE49-F238E27FC236}">
              <a16:creationId xmlns="" xmlns:a16="http://schemas.microsoft.com/office/drawing/2014/main" id="{00000000-0008-0000-0000-00004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3" name="Text Box 3086">
          <a:extLst>
            <a:ext uri="{FF2B5EF4-FFF2-40B4-BE49-F238E27FC236}">
              <a16:creationId xmlns="" xmlns:a16="http://schemas.microsoft.com/office/drawing/2014/main" id="{00000000-0008-0000-0000-00004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4" name="Text Box 3087">
          <a:extLst>
            <a:ext uri="{FF2B5EF4-FFF2-40B4-BE49-F238E27FC236}">
              <a16:creationId xmlns="" xmlns:a16="http://schemas.microsoft.com/office/drawing/2014/main" id="{00000000-0008-0000-0000-00004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5" name="Text Box 3088">
          <a:extLst>
            <a:ext uri="{FF2B5EF4-FFF2-40B4-BE49-F238E27FC236}">
              <a16:creationId xmlns="" xmlns:a16="http://schemas.microsoft.com/office/drawing/2014/main" id="{00000000-0008-0000-0000-00004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6" name="Text Box 3089">
          <a:extLst>
            <a:ext uri="{FF2B5EF4-FFF2-40B4-BE49-F238E27FC236}">
              <a16:creationId xmlns="" xmlns:a16="http://schemas.microsoft.com/office/drawing/2014/main" id="{00000000-0008-0000-0000-00004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7" name="Text Box 3090">
          <a:extLst>
            <a:ext uri="{FF2B5EF4-FFF2-40B4-BE49-F238E27FC236}">
              <a16:creationId xmlns="" xmlns:a16="http://schemas.microsoft.com/office/drawing/2014/main" id="{00000000-0008-0000-0000-00004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8" name="Text Box 3091">
          <a:extLst>
            <a:ext uri="{FF2B5EF4-FFF2-40B4-BE49-F238E27FC236}">
              <a16:creationId xmlns="" xmlns:a16="http://schemas.microsoft.com/office/drawing/2014/main" id="{00000000-0008-0000-0000-00004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9" name="Text Box 3092">
          <a:extLst>
            <a:ext uri="{FF2B5EF4-FFF2-40B4-BE49-F238E27FC236}">
              <a16:creationId xmlns="" xmlns:a16="http://schemas.microsoft.com/office/drawing/2014/main" id="{00000000-0008-0000-0000-00004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0" name="Text Box 3093">
          <a:extLst>
            <a:ext uri="{FF2B5EF4-FFF2-40B4-BE49-F238E27FC236}">
              <a16:creationId xmlns="" xmlns:a16="http://schemas.microsoft.com/office/drawing/2014/main" id="{00000000-0008-0000-0000-00005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1" name="Text Box 3094">
          <a:extLst>
            <a:ext uri="{FF2B5EF4-FFF2-40B4-BE49-F238E27FC236}">
              <a16:creationId xmlns="" xmlns:a16="http://schemas.microsoft.com/office/drawing/2014/main" id="{00000000-0008-0000-0000-00005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2" name="Text Box 3095">
          <a:extLst>
            <a:ext uri="{FF2B5EF4-FFF2-40B4-BE49-F238E27FC236}">
              <a16:creationId xmlns="" xmlns:a16="http://schemas.microsoft.com/office/drawing/2014/main" id="{00000000-0008-0000-0000-00005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3" name="Text Box 3096">
          <a:extLst>
            <a:ext uri="{FF2B5EF4-FFF2-40B4-BE49-F238E27FC236}">
              <a16:creationId xmlns="" xmlns:a16="http://schemas.microsoft.com/office/drawing/2014/main" id="{00000000-0008-0000-0000-00005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4" name="Text Box 3097">
          <a:extLst>
            <a:ext uri="{FF2B5EF4-FFF2-40B4-BE49-F238E27FC236}">
              <a16:creationId xmlns="" xmlns:a16="http://schemas.microsoft.com/office/drawing/2014/main" id="{00000000-0008-0000-0000-00005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5" name="Text Box 3098">
          <a:extLst>
            <a:ext uri="{FF2B5EF4-FFF2-40B4-BE49-F238E27FC236}">
              <a16:creationId xmlns="" xmlns:a16="http://schemas.microsoft.com/office/drawing/2014/main" id="{00000000-0008-0000-0000-00005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6" name="Text Box 3099">
          <a:extLst>
            <a:ext uri="{FF2B5EF4-FFF2-40B4-BE49-F238E27FC236}">
              <a16:creationId xmlns="" xmlns:a16="http://schemas.microsoft.com/office/drawing/2014/main" id="{00000000-0008-0000-0000-00005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7" name="Text Box 3100">
          <a:extLst>
            <a:ext uri="{FF2B5EF4-FFF2-40B4-BE49-F238E27FC236}">
              <a16:creationId xmlns="" xmlns:a16="http://schemas.microsoft.com/office/drawing/2014/main" id="{00000000-0008-0000-0000-00005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8" name="Text Box 3101">
          <a:extLst>
            <a:ext uri="{FF2B5EF4-FFF2-40B4-BE49-F238E27FC236}">
              <a16:creationId xmlns="" xmlns:a16="http://schemas.microsoft.com/office/drawing/2014/main" id="{00000000-0008-0000-0000-00005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209" name="Text Box 3102">
          <a:extLst>
            <a:ext uri="{FF2B5EF4-FFF2-40B4-BE49-F238E27FC236}">
              <a16:creationId xmlns="" xmlns:a16="http://schemas.microsoft.com/office/drawing/2014/main" id="{00000000-0008-0000-0000-00005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0" name="Text Box 59">
          <a:extLst>
            <a:ext uri="{FF2B5EF4-FFF2-40B4-BE49-F238E27FC236}">
              <a16:creationId xmlns="" xmlns:a16="http://schemas.microsoft.com/office/drawing/2014/main" id="{00000000-0008-0000-0000-00005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1" name="Text Box 60">
          <a:extLst>
            <a:ext uri="{FF2B5EF4-FFF2-40B4-BE49-F238E27FC236}">
              <a16:creationId xmlns="" xmlns:a16="http://schemas.microsoft.com/office/drawing/2014/main" id="{00000000-0008-0000-0000-00005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2" name="Text Box 61">
          <a:extLst>
            <a:ext uri="{FF2B5EF4-FFF2-40B4-BE49-F238E27FC236}">
              <a16:creationId xmlns="" xmlns:a16="http://schemas.microsoft.com/office/drawing/2014/main" id="{00000000-0008-0000-0000-00005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3" name="Text Box 62">
          <a:extLst>
            <a:ext uri="{FF2B5EF4-FFF2-40B4-BE49-F238E27FC236}">
              <a16:creationId xmlns="" xmlns:a16="http://schemas.microsoft.com/office/drawing/2014/main" id="{00000000-0008-0000-0000-00005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4" name="Text Box 63">
          <a:extLst>
            <a:ext uri="{FF2B5EF4-FFF2-40B4-BE49-F238E27FC236}">
              <a16:creationId xmlns="" xmlns:a16="http://schemas.microsoft.com/office/drawing/2014/main" id="{00000000-0008-0000-0000-00005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5" name="Text Box 64">
          <a:extLst>
            <a:ext uri="{FF2B5EF4-FFF2-40B4-BE49-F238E27FC236}">
              <a16:creationId xmlns="" xmlns:a16="http://schemas.microsoft.com/office/drawing/2014/main" id="{00000000-0008-0000-0000-00005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6" name="Text Box 65">
          <a:extLst>
            <a:ext uri="{FF2B5EF4-FFF2-40B4-BE49-F238E27FC236}">
              <a16:creationId xmlns="" xmlns:a16="http://schemas.microsoft.com/office/drawing/2014/main" id="{00000000-0008-0000-0000-00006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7" name="Text Box 66">
          <a:extLst>
            <a:ext uri="{FF2B5EF4-FFF2-40B4-BE49-F238E27FC236}">
              <a16:creationId xmlns="" xmlns:a16="http://schemas.microsoft.com/office/drawing/2014/main" id="{00000000-0008-0000-0000-00006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8" name="Text Box 67">
          <a:extLst>
            <a:ext uri="{FF2B5EF4-FFF2-40B4-BE49-F238E27FC236}">
              <a16:creationId xmlns="" xmlns:a16="http://schemas.microsoft.com/office/drawing/2014/main" id="{00000000-0008-0000-0000-00006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9" name="Text Box 68">
          <a:extLst>
            <a:ext uri="{FF2B5EF4-FFF2-40B4-BE49-F238E27FC236}">
              <a16:creationId xmlns="" xmlns:a16="http://schemas.microsoft.com/office/drawing/2014/main" id="{00000000-0008-0000-0000-00006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0" name="Text Box 69">
          <a:extLst>
            <a:ext uri="{FF2B5EF4-FFF2-40B4-BE49-F238E27FC236}">
              <a16:creationId xmlns="" xmlns:a16="http://schemas.microsoft.com/office/drawing/2014/main" id="{00000000-0008-0000-0000-00006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1" name="Text Box 70">
          <a:extLst>
            <a:ext uri="{FF2B5EF4-FFF2-40B4-BE49-F238E27FC236}">
              <a16:creationId xmlns="" xmlns:a16="http://schemas.microsoft.com/office/drawing/2014/main" id="{00000000-0008-0000-0000-00006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2" name="Text Box 71">
          <a:extLst>
            <a:ext uri="{FF2B5EF4-FFF2-40B4-BE49-F238E27FC236}">
              <a16:creationId xmlns="" xmlns:a16="http://schemas.microsoft.com/office/drawing/2014/main" id="{00000000-0008-0000-0000-00006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3" name="Text Box 72">
          <a:extLst>
            <a:ext uri="{FF2B5EF4-FFF2-40B4-BE49-F238E27FC236}">
              <a16:creationId xmlns="" xmlns:a16="http://schemas.microsoft.com/office/drawing/2014/main" id="{00000000-0008-0000-0000-00006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4" name="Text Box 73">
          <a:extLst>
            <a:ext uri="{FF2B5EF4-FFF2-40B4-BE49-F238E27FC236}">
              <a16:creationId xmlns="" xmlns:a16="http://schemas.microsoft.com/office/drawing/2014/main" id="{00000000-0008-0000-0000-00006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5" name="Text Box 74">
          <a:extLst>
            <a:ext uri="{FF2B5EF4-FFF2-40B4-BE49-F238E27FC236}">
              <a16:creationId xmlns="" xmlns:a16="http://schemas.microsoft.com/office/drawing/2014/main" id="{00000000-0008-0000-0000-00006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6" name="Text Box 75">
          <a:extLst>
            <a:ext uri="{FF2B5EF4-FFF2-40B4-BE49-F238E27FC236}">
              <a16:creationId xmlns="" xmlns:a16="http://schemas.microsoft.com/office/drawing/2014/main" id="{00000000-0008-0000-0000-00006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7" name="Text Box 76">
          <a:extLst>
            <a:ext uri="{FF2B5EF4-FFF2-40B4-BE49-F238E27FC236}">
              <a16:creationId xmlns="" xmlns:a16="http://schemas.microsoft.com/office/drawing/2014/main" id="{00000000-0008-0000-0000-00006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8" name="Text Box 77">
          <a:extLst>
            <a:ext uri="{FF2B5EF4-FFF2-40B4-BE49-F238E27FC236}">
              <a16:creationId xmlns="" xmlns:a16="http://schemas.microsoft.com/office/drawing/2014/main" id="{00000000-0008-0000-0000-00006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9" name="Text Box 78">
          <a:extLst>
            <a:ext uri="{FF2B5EF4-FFF2-40B4-BE49-F238E27FC236}">
              <a16:creationId xmlns="" xmlns:a16="http://schemas.microsoft.com/office/drawing/2014/main" id="{00000000-0008-0000-0000-00006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0" name="Text Box 79">
          <a:extLst>
            <a:ext uri="{FF2B5EF4-FFF2-40B4-BE49-F238E27FC236}">
              <a16:creationId xmlns="" xmlns:a16="http://schemas.microsoft.com/office/drawing/2014/main" id="{00000000-0008-0000-0000-00006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1" name="Text Box 80">
          <a:extLst>
            <a:ext uri="{FF2B5EF4-FFF2-40B4-BE49-F238E27FC236}">
              <a16:creationId xmlns="" xmlns:a16="http://schemas.microsoft.com/office/drawing/2014/main" id="{00000000-0008-0000-0000-00006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2" name="Text Box 81">
          <a:extLst>
            <a:ext uri="{FF2B5EF4-FFF2-40B4-BE49-F238E27FC236}">
              <a16:creationId xmlns="" xmlns:a16="http://schemas.microsoft.com/office/drawing/2014/main" id="{00000000-0008-0000-0000-00007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233" name="Text Box 82">
          <a:extLst>
            <a:ext uri="{FF2B5EF4-FFF2-40B4-BE49-F238E27FC236}">
              <a16:creationId xmlns="" xmlns:a16="http://schemas.microsoft.com/office/drawing/2014/main" id="{00000000-0008-0000-0000-00007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4" name="Text Box 3079">
          <a:extLst>
            <a:ext uri="{FF2B5EF4-FFF2-40B4-BE49-F238E27FC236}">
              <a16:creationId xmlns="" xmlns:a16="http://schemas.microsoft.com/office/drawing/2014/main" id="{00000000-0008-0000-0000-00007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5" name="Text Box 3080">
          <a:extLst>
            <a:ext uri="{FF2B5EF4-FFF2-40B4-BE49-F238E27FC236}">
              <a16:creationId xmlns="" xmlns:a16="http://schemas.microsoft.com/office/drawing/2014/main" id="{00000000-0008-0000-0000-00007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6" name="Text Box 3081">
          <a:extLst>
            <a:ext uri="{FF2B5EF4-FFF2-40B4-BE49-F238E27FC236}">
              <a16:creationId xmlns="" xmlns:a16="http://schemas.microsoft.com/office/drawing/2014/main" id="{00000000-0008-0000-0000-00007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7" name="Text Box 3082">
          <a:extLst>
            <a:ext uri="{FF2B5EF4-FFF2-40B4-BE49-F238E27FC236}">
              <a16:creationId xmlns="" xmlns:a16="http://schemas.microsoft.com/office/drawing/2014/main" id="{00000000-0008-0000-0000-00007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8" name="Text Box 3083">
          <a:extLst>
            <a:ext uri="{FF2B5EF4-FFF2-40B4-BE49-F238E27FC236}">
              <a16:creationId xmlns="" xmlns:a16="http://schemas.microsoft.com/office/drawing/2014/main" id="{00000000-0008-0000-0000-00007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9" name="Text Box 3084">
          <a:extLst>
            <a:ext uri="{FF2B5EF4-FFF2-40B4-BE49-F238E27FC236}">
              <a16:creationId xmlns="" xmlns:a16="http://schemas.microsoft.com/office/drawing/2014/main" id="{00000000-0008-0000-0000-00007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0" name="Text Box 3085">
          <a:extLst>
            <a:ext uri="{FF2B5EF4-FFF2-40B4-BE49-F238E27FC236}">
              <a16:creationId xmlns="" xmlns:a16="http://schemas.microsoft.com/office/drawing/2014/main" id="{00000000-0008-0000-0000-00007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1" name="Text Box 3086">
          <a:extLst>
            <a:ext uri="{FF2B5EF4-FFF2-40B4-BE49-F238E27FC236}">
              <a16:creationId xmlns="" xmlns:a16="http://schemas.microsoft.com/office/drawing/2014/main" id="{00000000-0008-0000-0000-00007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2" name="Text Box 3087">
          <a:extLst>
            <a:ext uri="{FF2B5EF4-FFF2-40B4-BE49-F238E27FC236}">
              <a16:creationId xmlns="" xmlns:a16="http://schemas.microsoft.com/office/drawing/2014/main" id="{00000000-0008-0000-0000-00007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3" name="Text Box 3088">
          <a:extLst>
            <a:ext uri="{FF2B5EF4-FFF2-40B4-BE49-F238E27FC236}">
              <a16:creationId xmlns="" xmlns:a16="http://schemas.microsoft.com/office/drawing/2014/main" id="{00000000-0008-0000-0000-00007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4" name="Text Box 3089">
          <a:extLst>
            <a:ext uri="{FF2B5EF4-FFF2-40B4-BE49-F238E27FC236}">
              <a16:creationId xmlns="" xmlns:a16="http://schemas.microsoft.com/office/drawing/2014/main" id="{00000000-0008-0000-0000-00007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5" name="Text Box 3090">
          <a:extLst>
            <a:ext uri="{FF2B5EF4-FFF2-40B4-BE49-F238E27FC236}">
              <a16:creationId xmlns="" xmlns:a16="http://schemas.microsoft.com/office/drawing/2014/main" id="{00000000-0008-0000-0000-00007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6" name="Text Box 3091">
          <a:extLst>
            <a:ext uri="{FF2B5EF4-FFF2-40B4-BE49-F238E27FC236}">
              <a16:creationId xmlns="" xmlns:a16="http://schemas.microsoft.com/office/drawing/2014/main" id="{00000000-0008-0000-0000-00007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7" name="Text Box 3092">
          <a:extLst>
            <a:ext uri="{FF2B5EF4-FFF2-40B4-BE49-F238E27FC236}">
              <a16:creationId xmlns="" xmlns:a16="http://schemas.microsoft.com/office/drawing/2014/main" id="{00000000-0008-0000-0000-00007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8" name="Text Box 3093">
          <a:extLst>
            <a:ext uri="{FF2B5EF4-FFF2-40B4-BE49-F238E27FC236}">
              <a16:creationId xmlns="" xmlns:a16="http://schemas.microsoft.com/office/drawing/2014/main" id="{00000000-0008-0000-0000-00008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9" name="Text Box 3094">
          <a:extLst>
            <a:ext uri="{FF2B5EF4-FFF2-40B4-BE49-F238E27FC236}">
              <a16:creationId xmlns="" xmlns:a16="http://schemas.microsoft.com/office/drawing/2014/main" id="{00000000-0008-0000-0000-00008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0" name="Text Box 3095">
          <a:extLst>
            <a:ext uri="{FF2B5EF4-FFF2-40B4-BE49-F238E27FC236}">
              <a16:creationId xmlns="" xmlns:a16="http://schemas.microsoft.com/office/drawing/2014/main" id="{00000000-0008-0000-0000-00008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1" name="Text Box 3096">
          <a:extLst>
            <a:ext uri="{FF2B5EF4-FFF2-40B4-BE49-F238E27FC236}">
              <a16:creationId xmlns="" xmlns:a16="http://schemas.microsoft.com/office/drawing/2014/main" id="{00000000-0008-0000-0000-00008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2" name="Text Box 3097">
          <a:extLst>
            <a:ext uri="{FF2B5EF4-FFF2-40B4-BE49-F238E27FC236}">
              <a16:creationId xmlns="" xmlns:a16="http://schemas.microsoft.com/office/drawing/2014/main" id="{00000000-0008-0000-0000-00008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3" name="Text Box 3098">
          <a:extLst>
            <a:ext uri="{FF2B5EF4-FFF2-40B4-BE49-F238E27FC236}">
              <a16:creationId xmlns="" xmlns:a16="http://schemas.microsoft.com/office/drawing/2014/main" id="{00000000-0008-0000-0000-00008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4" name="Text Box 3099">
          <a:extLst>
            <a:ext uri="{FF2B5EF4-FFF2-40B4-BE49-F238E27FC236}">
              <a16:creationId xmlns="" xmlns:a16="http://schemas.microsoft.com/office/drawing/2014/main" id="{00000000-0008-0000-0000-00008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5" name="Text Box 3100">
          <a:extLst>
            <a:ext uri="{FF2B5EF4-FFF2-40B4-BE49-F238E27FC236}">
              <a16:creationId xmlns="" xmlns:a16="http://schemas.microsoft.com/office/drawing/2014/main" id="{00000000-0008-0000-0000-00008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6" name="Text Box 3101">
          <a:extLst>
            <a:ext uri="{FF2B5EF4-FFF2-40B4-BE49-F238E27FC236}">
              <a16:creationId xmlns="" xmlns:a16="http://schemas.microsoft.com/office/drawing/2014/main" id="{00000000-0008-0000-0000-00008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257" name="Text Box 3102">
          <a:extLst>
            <a:ext uri="{FF2B5EF4-FFF2-40B4-BE49-F238E27FC236}">
              <a16:creationId xmlns="" xmlns:a16="http://schemas.microsoft.com/office/drawing/2014/main" id="{00000000-0008-0000-0000-00008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58" name="Text Box 59">
          <a:extLst>
            <a:ext uri="{FF2B5EF4-FFF2-40B4-BE49-F238E27FC236}">
              <a16:creationId xmlns="" xmlns:a16="http://schemas.microsoft.com/office/drawing/2014/main" id="{00000000-0008-0000-0000-00008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59" name="Text Box 60">
          <a:extLst>
            <a:ext uri="{FF2B5EF4-FFF2-40B4-BE49-F238E27FC236}">
              <a16:creationId xmlns="" xmlns:a16="http://schemas.microsoft.com/office/drawing/2014/main" id="{00000000-0008-0000-0000-00008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0" name="Text Box 61">
          <a:extLst>
            <a:ext uri="{FF2B5EF4-FFF2-40B4-BE49-F238E27FC236}">
              <a16:creationId xmlns="" xmlns:a16="http://schemas.microsoft.com/office/drawing/2014/main" id="{00000000-0008-0000-0000-00008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1" name="Text Box 62">
          <a:extLst>
            <a:ext uri="{FF2B5EF4-FFF2-40B4-BE49-F238E27FC236}">
              <a16:creationId xmlns="" xmlns:a16="http://schemas.microsoft.com/office/drawing/2014/main" id="{00000000-0008-0000-0000-00008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2" name="Text Box 63">
          <a:extLst>
            <a:ext uri="{FF2B5EF4-FFF2-40B4-BE49-F238E27FC236}">
              <a16:creationId xmlns="" xmlns:a16="http://schemas.microsoft.com/office/drawing/2014/main" id="{00000000-0008-0000-0000-00008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3" name="Text Box 64">
          <a:extLst>
            <a:ext uri="{FF2B5EF4-FFF2-40B4-BE49-F238E27FC236}">
              <a16:creationId xmlns="" xmlns:a16="http://schemas.microsoft.com/office/drawing/2014/main" id="{00000000-0008-0000-0000-00008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4" name="Text Box 65">
          <a:extLst>
            <a:ext uri="{FF2B5EF4-FFF2-40B4-BE49-F238E27FC236}">
              <a16:creationId xmlns="" xmlns:a16="http://schemas.microsoft.com/office/drawing/2014/main" id="{00000000-0008-0000-0000-00009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5" name="Text Box 66">
          <a:extLst>
            <a:ext uri="{FF2B5EF4-FFF2-40B4-BE49-F238E27FC236}">
              <a16:creationId xmlns="" xmlns:a16="http://schemas.microsoft.com/office/drawing/2014/main" id="{00000000-0008-0000-0000-00009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6" name="Text Box 67">
          <a:extLst>
            <a:ext uri="{FF2B5EF4-FFF2-40B4-BE49-F238E27FC236}">
              <a16:creationId xmlns="" xmlns:a16="http://schemas.microsoft.com/office/drawing/2014/main" id="{00000000-0008-0000-0000-00009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7" name="Text Box 68">
          <a:extLst>
            <a:ext uri="{FF2B5EF4-FFF2-40B4-BE49-F238E27FC236}">
              <a16:creationId xmlns="" xmlns:a16="http://schemas.microsoft.com/office/drawing/2014/main" id="{00000000-0008-0000-0000-00009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8" name="Text Box 69">
          <a:extLst>
            <a:ext uri="{FF2B5EF4-FFF2-40B4-BE49-F238E27FC236}">
              <a16:creationId xmlns="" xmlns:a16="http://schemas.microsoft.com/office/drawing/2014/main" id="{00000000-0008-0000-0000-00009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9" name="Text Box 70">
          <a:extLst>
            <a:ext uri="{FF2B5EF4-FFF2-40B4-BE49-F238E27FC236}">
              <a16:creationId xmlns="" xmlns:a16="http://schemas.microsoft.com/office/drawing/2014/main" id="{00000000-0008-0000-0000-00009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0" name="Text Box 71">
          <a:extLst>
            <a:ext uri="{FF2B5EF4-FFF2-40B4-BE49-F238E27FC236}">
              <a16:creationId xmlns="" xmlns:a16="http://schemas.microsoft.com/office/drawing/2014/main" id="{00000000-0008-0000-0000-00009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1" name="Text Box 72">
          <a:extLst>
            <a:ext uri="{FF2B5EF4-FFF2-40B4-BE49-F238E27FC236}">
              <a16:creationId xmlns="" xmlns:a16="http://schemas.microsoft.com/office/drawing/2014/main" id="{00000000-0008-0000-0000-00009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2" name="Text Box 73">
          <a:extLst>
            <a:ext uri="{FF2B5EF4-FFF2-40B4-BE49-F238E27FC236}">
              <a16:creationId xmlns="" xmlns:a16="http://schemas.microsoft.com/office/drawing/2014/main" id="{00000000-0008-0000-0000-00009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3" name="Text Box 74">
          <a:extLst>
            <a:ext uri="{FF2B5EF4-FFF2-40B4-BE49-F238E27FC236}">
              <a16:creationId xmlns="" xmlns:a16="http://schemas.microsoft.com/office/drawing/2014/main" id="{00000000-0008-0000-0000-00009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4" name="Text Box 75">
          <a:extLst>
            <a:ext uri="{FF2B5EF4-FFF2-40B4-BE49-F238E27FC236}">
              <a16:creationId xmlns="" xmlns:a16="http://schemas.microsoft.com/office/drawing/2014/main" id="{00000000-0008-0000-0000-00009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5" name="Text Box 76">
          <a:extLst>
            <a:ext uri="{FF2B5EF4-FFF2-40B4-BE49-F238E27FC236}">
              <a16:creationId xmlns="" xmlns:a16="http://schemas.microsoft.com/office/drawing/2014/main" id="{00000000-0008-0000-0000-00009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6" name="Text Box 77">
          <a:extLst>
            <a:ext uri="{FF2B5EF4-FFF2-40B4-BE49-F238E27FC236}">
              <a16:creationId xmlns="" xmlns:a16="http://schemas.microsoft.com/office/drawing/2014/main" id="{00000000-0008-0000-0000-00009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7" name="Text Box 78">
          <a:extLst>
            <a:ext uri="{FF2B5EF4-FFF2-40B4-BE49-F238E27FC236}">
              <a16:creationId xmlns="" xmlns:a16="http://schemas.microsoft.com/office/drawing/2014/main" id="{00000000-0008-0000-0000-00009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8" name="Text Box 79">
          <a:extLst>
            <a:ext uri="{FF2B5EF4-FFF2-40B4-BE49-F238E27FC236}">
              <a16:creationId xmlns="" xmlns:a16="http://schemas.microsoft.com/office/drawing/2014/main" id="{00000000-0008-0000-0000-00009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9" name="Text Box 80">
          <a:extLst>
            <a:ext uri="{FF2B5EF4-FFF2-40B4-BE49-F238E27FC236}">
              <a16:creationId xmlns="" xmlns:a16="http://schemas.microsoft.com/office/drawing/2014/main" id="{00000000-0008-0000-0000-00009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80" name="Text Box 81">
          <a:extLst>
            <a:ext uri="{FF2B5EF4-FFF2-40B4-BE49-F238E27FC236}">
              <a16:creationId xmlns="" xmlns:a16="http://schemas.microsoft.com/office/drawing/2014/main" id="{00000000-0008-0000-0000-0000A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1" name="Text Box 3079">
          <a:extLst>
            <a:ext uri="{FF2B5EF4-FFF2-40B4-BE49-F238E27FC236}">
              <a16:creationId xmlns="" xmlns:a16="http://schemas.microsoft.com/office/drawing/2014/main" id="{00000000-0008-0000-0000-0000A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2" name="Text Box 3080">
          <a:extLst>
            <a:ext uri="{FF2B5EF4-FFF2-40B4-BE49-F238E27FC236}">
              <a16:creationId xmlns="" xmlns:a16="http://schemas.microsoft.com/office/drawing/2014/main" id="{00000000-0008-0000-0000-0000A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3" name="Text Box 3081">
          <a:extLst>
            <a:ext uri="{FF2B5EF4-FFF2-40B4-BE49-F238E27FC236}">
              <a16:creationId xmlns="" xmlns:a16="http://schemas.microsoft.com/office/drawing/2014/main" id="{00000000-0008-0000-0000-0000A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4" name="Text Box 3082">
          <a:extLst>
            <a:ext uri="{FF2B5EF4-FFF2-40B4-BE49-F238E27FC236}">
              <a16:creationId xmlns="" xmlns:a16="http://schemas.microsoft.com/office/drawing/2014/main" id="{00000000-0008-0000-0000-0000A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5" name="Text Box 3083">
          <a:extLst>
            <a:ext uri="{FF2B5EF4-FFF2-40B4-BE49-F238E27FC236}">
              <a16:creationId xmlns="" xmlns:a16="http://schemas.microsoft.com/office/drawing/2014/main" id="{00000000-0008-0000-0000-0000A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6" name="Text Box 3084">
          <a:extLst>
            <a:ext uri="{FF2B5EF4-FFF2-40B4-BE49-F238E27FC236}">
              <a16:creationId xmlns="" xmlns:a16="http://schemas.microsoft.com/office/drawing/2014/main" id="{00000000-0008-0000-0000-0000A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7" name="Text Box 3085">
          <a:extLst>
            <a:ext uri="{FF2B5EF4-FFF2-40B4-BE49-F238E27FC236}">
              <a16:creationId xmlns="" xmlns:a16="http://schemas.microsoft.com/office/drawing/2014/main" id="{00000000-0008-0000-0000-0000A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8" name="Text Box 3086">
          <a:extLst>
            <a:ext uri="{FF2B5EF4-FFF2-40B4-BE49-F238E27FC236}">
              <a16:creationId xmlns="" xmlns:a16="http://schemas.microsoft.com/office/drawing/2014/main" id="{00000000-0008-0000-0000-0000A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9" name="Text Box 3087">
          <a:extLst>
            <a:ext uri="{FF2B5EF4-FFF2-40B4-BE49-F238E27FC236}">
              <a16:creationId xmlns="" xmlns:a16="http://schemas.microsoft.com/office/drawing/2014/main" id="{00000000-0008-0000-0000-0000A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0" name="Text Box 3088">
          <a:extLst>
            <a:ext uri="{FF2B5EF4-FFF2-40B4-BE49-F238E27FC236}">
              <a16:creationId xmlns="" xmlns:a16="http://schemas.microsoft.com/office/drawing/2014/main" id="{00000000-0008-0000-0000-0000A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1" name="Text Box 3089">
          <a:extLst>
            <a:ext uri="{FF2B5EF4-FFF2-40B4-BE49-F238E27FC236}">
              <a16:creationId xmlns="" xmlns:a16="http://schemas.microsoft.com/office/drawing/2014/main" id="{00000000-0008-0000-0000-0000A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2" name="Text Box 3090">
          <a:extLst>
            <a:ext uri="{FF2B5EF4-FFF2-40B4-BE49-F238E27FC236}">
              <a16:creationId xmlns="" xmlns:a16="http://schemas.microsoft.com/office/drawing/2014/main" id="{00000000-0008-0000-0000-0000A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3" name="Text Box 3091">
          <a:extLst>
            <a:ext uri="{FF2B5EF4-FFF2-40B4-BE49-F238E27FC236}">
              <a16:creationId xmlns="" xmlns:a16="http://schemas.microsoft.com/office/drawing/2014/main" id="{00000000-0008-0000-0000-0000A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4" name="Text Box 3092">
          <a:extLst>
            <a:ext uri="{FF2B5EF4-FFF2-40B4-BE49-F238E27FC236}">
              <a16:creationId xmlns="" xmlns:a16="http://schemas.microsoft.com/office/drawing/2014/main" id="{00000000-0008-0000-0000-0000A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5" name="Text Box 3093">
          <a:extLst>
            <a:ext uri="{FF2B5EF4-FFF2-40B4-BE49-F238E27FC236}">
              <a16:creationId xmlns="" xmlns:a16="http://schemas.microsoft.com/office/drawing/2014/main" id="{00000000-0008-0000-0000-0000A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6" name="Text Box 3094">
          <a:extLst>
            <a:ext uri="{FF2B5EF4-FFF2-40B4-BE49-F238E27FC236}">
              <a16:creationId xmlns="" xmlns:a16="http://schemas.microsoft.com/office/drawing/2014/main" id="{00000000-0008-0000-0000-0000B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7" name="Text Box 3095">
          <a:extLst>
            <a:ext uri="{FF2B5EF4-FFF2-40B4-BE49-F238E27FC236}">
              <a16:creationId xmlns="" xmlns:a16="http://schemas.microsoft.com/office/drawing/2014/main" id="{00000000-0008-0000-0000-0000B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8" name="Text Box 3096">
          <a:extLst>
            <a:ext uri="{FF2B5EF4-FFF2-40B4-BE49-F238E27FC236}">
              <a16:creationId xmlns="" xmlns:a16="http://schemas.microsoft.com/office/drawing/2014/main" id="{00000000-0008-0000-0000-0000B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9" name="Text Box 3097">
          <a:extLst>
            <a:ext uri="{FF2B5EF4-FFF2-40B4-BE49-F238E27FC236}">
              <a16:creationId xmlns="" xmlns:a16="http://schemas.microsoft.com/office/drawing/2014/main" id="{00000000-0008-0000-0000-0000B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0" name="Text Box 3098">
          <a:extLst>
            <a:ext uri="{FF2B5EF4-FFF2-40B4-BE49-F238E27FC236}">
              <a16:creationId xmlns="" xmlns:a16="http://schemas.microsoft.com/office/drawing/2014/main" id="{00000000-0008-0000-0000-0000B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1" name="Text Box 3099">
          <a:extLst>
            <a:ext uri="{FF2B5EF4-FFF2-40B4-BE49-F238E27FC236}">
              <a16:creationId xmlns="" xmlns:a16="http://schemas.microsoft.com/office/drawing/2014/main" id="{00000000-0008-0000-0000-0000B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2" name="Text Box 3100">
          <a:extLst>
            <a:ext uri="{FF2B5EF4-FFF2-40B4-BE49-F238E27FC236}">
              <a16:creationId xmlns="" xmlns:a16="http://schemas.microsoft.com/office/drawing/2014/main" id="{00000000-0008-0000-0000-0000B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3" name="Text Box 3101">
          <a:extLst>
            <a:ext uri="{FF2B5EF4-FFF2-40B4-BE49-F238E27FC236}">
              <a16:creationId xmlns="" xmlns:a16="http://schemas.microsoft.com/office/drawing/2014/main" id="{00000000-0008-0000-0000-0000B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04" name="Text Box 3102">
          <a:extLst>
            <a:ext uri="{FF2B5EF4-FFF2-40B4-BE49-F238E27FC236}">
              <a16:creationId xmlns="" xmlns:a16="http://schemas.microsoft.com/office/drawing/2014/main" id="{00000000-0008-0000-0000-0000B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5" name="Text Box 59">
          <a:extLst>
            <a:ext uri="{FF2B5EF4-FFF2-40B4-BE49-F238E27FC236}">
              <a16:creationId xmlns="" xmlns:a16="http://schemas.microsoft.com/office/drawing/2014/main" id="{00000000-0008-0000-0000-0000B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6" name="Text Box 60">
          <a:extLst>
            <a:ext uri="{FF2B5EF4-FFF2-40B4-BE49-F238E27FC236}">
              <a16:creationId xmlns="" xmlns:a16="http://schemas.microsoft.com/office/drawing/2014/main" id="{00000000-0008-0000-0000-0000B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7" name="Text Box 61">
          <a:extLst>
            <a:ext uri="{FF2B5EF4-FFF2-40B4-BE49-F238E27FC236}">
              <a16:creationId xmlns="" xmlns:a16="http://schemas.microsoft.com/office/drawing/2014/main" id="{00000000-0008-0000-0000-0000B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8" name="Text Box 62">
          <a:extLst>
            <a:ext uri="{FF2B5EF4-FFF2-40B4-BE49-F238E27FC236}">
              <a16:creationId xmlns="" xmlns:a16="http://schemas.microsoft.com/office/drawing/2014/main" id="{00000000-0008-0000-0000-0000B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9" name="Text Box 63">
          <a:extLst>
            <a:ext uri="{FF2B5EF4-FFF2-40B4-BE49-F238E27FC236}">
              <a16:creationId xmlns="" xmlns:a16="http://schemas.microsoft.com/office/drawing/2014/main" id="{00000000-0008-0000-0000-0000B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0" name="Text Box 64">
          <a:extLst>
            <a:ext uri="{FF2B5EF4-FFF2-40B4-BE49-F238E27FC236}">
              <a16:creationId xmlns="" xmlns:a16="http://schemas.microsoft.com/office/drawing/2014/main" id="{00000000-0008-0000-0000-0000B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1" name="Text Box 65">
          <a:extLst>
            <a:ext uri="{FF2B5EF4-FFF2-40B4-BE49-F238E27FC236}">
              <a16:creationId xmlns="" xmlns:a16="http://schemas.microsoft.com/office/drawing/2014/main" id="{00000000-0008-0000-0000-0000B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2" name="Text Box 66">
          <a:extLst>
            <a:ext uri="{FF2B5EF4-FFF2-40B4-BE49-F238E27FC236}">
              <a16:creationId xmlns="" xmlns:a16="http://schemas.microsoft.com/office/drawing/2014/main" id="{00000000-0008-0000-0000-0000C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3" name="Text Box 67">
          <a:extLst>
            <a:ext uri="{FF2B5EF4-FFF2-40B4-BE49-F238E27FC236}">
              <a16:creationId xmlns="" xmlns:a16="http://schemas.microsoft.com/office/drawing/2014/main" id="{00000000-0008-0000-0000-0000C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4" name="Text Box 68">
          <a:extLst>
            <a:ext uri="{FF2B5EF4-FFF2-40B4-BE49-F238E27FC236}">
              <a16:creationId xmlns="" xmlns:a16="http://schemas.microsoft.com/office/drawing/2014/main" id="{00000000-0008-0000-0000-0000C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5" name="Text Box 69">
          <a:extLst>
            <a:ext uri="{FF2B5EF4-FFF2-40B4-BE49-F238E27FC236}">
              <a16:creationId xmlns="" xmlns:a16="http://schemas.microsoft.com/office/drawing/2014/main" id="{00000000-0008-0000-0000-0000C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6" name="Text Box 70">
          <a:extLst>
            <a:ext uri="{FF2B5EF4-FFF2-40B4-BE49-F238E27FC236}">
              <a16:creationId xmlns="" xmlns:a16="http://schemas.microsoft.com/office/drawing/2014/main" id="{00000000-0008-0000-0000-0000C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7" name="Text Box 71">
          <a:extLst>
            <a:ext uri="{FF2B5EF4-FFF2-40B4-BE49-F238E27FC236}">
              <a16:creationId xmlns="" xmlns:a16="http://schemas.microsoft.com/office/drawing/2014/main" id="{00000000-0008-0000-0000-0000C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8" name="Text Box 72">
          <a:extLst>
            <a:ext uri="{FF2B5EF4-FFF2-40B4-BE49-F238E27FC236}">
              <a16:creationId xmlns="" xmlns:a16="http://schemas.microsoft.com/office/drawing/2014/main" id="{00000000-0008-0000-0000-0000C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9" name="Text Box 73">
          <a:extLst>
            <a:ext uri="{FF2B5EF4-FFF2-40B4-BE49-F238E27FC236}">
              <a16:creationId xmlns="" xmlns:a16="http://schemas.microsoft.com/office/drawing/2014/main" id="{00000000-0008-0000-0000-0000C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0" name="Text Box 74">
          <a:extLst>
            <a:ext uri="{FF2B5EF4-FFF2-40B4-BE49-F238E27FC236}">
              <a16:creationId xmlns="" xmlns:a16="http://schemas.microsoft.com/office/drawing/2014/main" id="{00000000-0008-0000-0000-0000C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1" name="Text Box 75">
          <a:extLst>
            <a:ext uri="{FF2B5EF4-FFF2-40B4-BE49-F238E27FC236}">
              <a16:creationId xmlns="" xmlns:a16="http://schemas.microsoft.com/office/drawing/2014/main" id="{00000000-0008-0000-0000-0000C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2" name="Text Box 76">
          <a:extLst>
            <a:ext uri="{FF2B5EF4-FFF2-40B4-BE49-F238E27FC236}">
              <a16:creationId xmlns="" xmlns:a16="http://schemas.microsoft.com/office/drawing/2014/main" id="{00000000-0008-0000-0000-0000C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3" name="Text Box 77">
          <a:extLst>
            <a:ext uri="{FF2B5EF4-FFF2-40B4-BE49-F238E27FC236}">
              <a16:creationId xmlns="" xmlns:a16="http://schemas.microsoft.com/office/drawing/2014/main" id="{00000000-0008-0000-0000-0000C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4" name="Text Box 78">
          <a:extLst>
            <a:ext uri="{FF2B5EF4-FFF2-40B4-BE49-F238E27FC236}">
              <a16:creationId xmlns="" xmlns:a16="http://schemas.microsoft.com/office/drawing/2014/main" id="{00000000-0008-0000-0000-0000C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5" name="Text Box 79">
          <a:extLst>
            <a:ext uri="{FF2B5EF4-FFF2-40B4-BE49-F238E27FC236}">
              <a16:creationId xmlns="" xmlns:a16="http://schemas.microsoft.com/office/drawing/2014/main" id="{00000000-0008-0000-0000-0000C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6" name="Text Box 80">
          <a:extLst>
            <a:ext uri="{FF2B5EF4-FFF2-40B4-BE49-F238E27FC236}">
              <a16:creationId xmlns="" xmlns:a16="http://schemas.microsoft.com/office/drawing/2014/main" id="{00000000-0008-0000-0000-0000C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7" name="Text Box 81">
          <a:extLst>
            <a:ext uri="{FF2B5EF4-FFF2-40B4-BE49-F238E27FC236}">
              <a16:creationId xmlns="" xmlns:a16="http://schemas.microsoft.com/office/drawing/2014/main" id="{00000000-0008-0000-0000-0000C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328" name="Text Box 82">
          <a:extLst>
            <a:ext uri="{FF2B5EF4-FFF2-40B4-BE49-F238E27FC236}">
              <a16:creationId xmlns="" xmlns:a16="http://schemas.microsoft.com/office/drawing/2014/main" id="{00000000-0008-0000-0000-0000D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29" name="Text Box 3079">
          <a:extLst>
            <a:ext uri="{FF2B5EF4-FFF2-40B4-BE49-F238E27FC236}">
              <a16:creationId xmlns="" xmlns:a16="http://schemas.microsoft.com/office/drawing/2014/main" id="{00000000-0008-0000-0000-0000D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0" name="Text Box 3080">
          <a:extLst>
            <a:ext uri="{FF2B5EF4-FFF2-40B4-BE49-F238E27FC236}">
              <a16:creationId xmlns="" xmlns:a16="http://schemas.microsoft.com/office/drawing/2014/main" id="{00000000-0008-0000-0000-0000D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1" name="Text Box 3081">
          <a:extLst>
            <a:ext uri="{FF2B5EF4-FFF2-40B4-BE49-F238E27FC236}">
              <a16:creationId xmlns="" xmlns:a16="http://schemas.microsoft.com/office/drawing/2014/main" id="{00000000-0008-0000-0000-0000D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2" name="Text Box 3082">
          <a:extLst>
            <a:ext uri="{FF2B5EF4-FFF2-40B4-BE49-F238E27FC236}">
              <a16:creationId xmlns="" xmlns:a16="http://schemas.microsoft.com/office/drawing/2014/main" id="{00000000-0008-0000-0000-0000D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3" name="Text Box 3083">
          <a:extLst>
            <a:ext uri="{FF2B5EF4-FFF2-40B4-BE49-F238E27FC236}">
              <a16:creationId xmlns="" xmlns:a16="http://schemas.microsoft.com/office/drawing/2014/main" id="{00000000-0008-0000-0000-0000D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4" name="Text Box 3084">
          <a:extLst>
            <a:ext uri="{FF2B5EF4-FFF2-40B4-BE49-F238E27FC236}">
              <a16:creationId xmlns="" xmlns:a16="http://schemas.microsoft.com/office/drawing/2014/main" id="{00000000-0008-0000-0000-0000D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5" name="Text Box 3085">
          <a:extLst>
            <a:ext uri="{FF2B5EF4-FFF2-40B4-BE49-F238E27FC236}">
              <a16:creationId xmlns="" xmlns:a16="http://schemas.microsoft.com/office/drawing/2014/main" id="{00000000-0008-0000-0000-0000D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6" name="Text Box 3086">
          <a:extLst>
            <a:ext uri="{FF2B5EF4-FFF2-40B4-BE49-F238E27FC236}">
              <a16:creationId xmlns="" xmlns:a16="http://schemas.microsoft.com/office/drawing/2014/main" id="{00000000-0008-0000-0000-0000D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7" name="Text Box 3087">
          <a:extLst>
            <a:ext uri="{FF2B5EF4-FFF2-40B4-BE49-F238E27FC236}">
              <a16:creationId xmlns="" xmlns:a16="http://schemas.microsoft.com/office/drawing/2014/main" id="{00000000-0008-0000-0000-0000D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8" name="Text Box 3088">
          <a:extLst>
            <a:ext uri="{FF2B5EF4-FFF2-40B4-BE49-F238E27FC236}">
              <a16:creationId xmlns="" xmlns:a16="http://schemas.microsoft.com/office/drawing/2014/main" id="{00000000-0008-0000-0000-0000D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9" name="Text Box 3089">
          <a:extLst>
            <a:ext uri="{FF2B5EF4-FFF2-40B4-BE49-F238E27FC236}">
              <a16:creationId xmlns="" xmlns:a16="http://schemas.microsoft.com/office/drawing/2014/main" id="{00000000-0008-0000-0000-0000D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0" name="Text Box 3090">
          <a:extLst>
            <a:ext uri="{FF2B5EF4-FFF2-40B4-BE49-F238E27FC236}">
              <a16:creationId xmlns="" xmlns:a16="http://schemas.microsoft.com/office/drawing/2014/main" id="{00000000-0008-0000-0000-0000D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1" name="Text Box 3091">
          <a:extLst>
            <a:ext uri="{FF2B5EF4-FFF2-40B4-BE49-F238E27FC236}">
              <a16:creationId xmlns="" xmlns:a16="http://schemas.microsoft.com/office/drawing/2014/main" id="{00000000-0008-0000-0000-0000D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2" name="Text Box 3092">
          <a:extLst>
            <a:ext uri="{FF2B5EF4-FFF2-40B4-BE49-F238E27FC236}">
              <a16:creationId xmlns="" xmlns:a16="http://schemas.microsoft.com/office/drawing/2014/main" id="{00000000-0008-0000-0000-0000D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3" name="Text Box 3093">
          <a:extLst>
            <a:ext uri="{FF2B5EF4-FFF2-40B4-BE49-F238E27FC236}">
              <a16:creationId xmlns="" xmlns:a16="http://schemas.microsoft.com/office/drawing/2014/main" id="{00000000-0008-0000-0000-0000D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4" name="Text Box 3094">
          <a:extLst>
            <a:ext uri="{FF2B5EF4-FFF2-40B4-BE49-F238E27FC236}">
              <a16:creationId xmlns="" xmlns:a16="http://schemas.microsoft.com/office/drawing/2014/main" id="{00000000-0008-0000-0000-0000E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5" name="Text Box 3095">
          <a:extLst>
            <a:ext uri="{FF2B5EF4-FFF2-40B4-BE49-F238E27FC236}">
              <a16:creationId xmlns="" xmlns:a16="http://schemas.microsoft.com/office/drawing/2014/main" id="{00000000-0008-0000-0000-0000E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6" name="Text Box 3096">
          <a:extLst>
            <a:ext uri="{FF2B5EF4-FFF2-40B4-BE49-F238E27FC236}">
              <a16:creationId xmlns="" xmlns:a16="http://schemas.microsoft.com/office/drawing/2014/main" id="{00000000-0008-0000-0000-0000E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7" name="Text Box 3097">
          <a:extLst>
            <a:ext uri="{FF2B5EF4-FFF2-40B4-BE49-F238E27FC236}">
              <a16:creationId xmlns="" xmlns:a16="http://schemas.microsoft.com/office/drawing/2014/main" id="{00000000-0008-0000-0000-0000E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8" name="Text Box 3098">
          <a:extLst>
            <a:ext uri="{FF2B5EF4-FFF2-40B4-BE49-F238E27FC236}">
              <a16:creationId xmlns="" xmlns:a16="http://schemas.microsoft.com/office/drawing/2014/main" id="{00000000-0008-0000-0000-0000E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9" name="Text Box 3099">
          <a:extLst>
            <a:ext uri="{FF2B5EF4-FFF2-40B4-BE49-F238E27FC236}">
              <a16:creationId xmlns="" xmlns:a16="http://schemas.microsoft.com/office/drawing/2014/main" id="{00000000-0008-0000-0000-0000E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50" name="Text Box 3100">
          <a:extLst>
            <a:ext uri="{FF2B5EF4-FFF2-40B4-BE49-F238E27FC236}">
              <a16:creationId xmlns="" xmlns:a16="http://schemas.microsoft.com/office/drawing/2014/main" id="{00000000-0008-0000-0000-0000E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51" name="Text Box 3101">
          <a:extLst>
            <a:ext uri="{FF2B5EF4-FFF2-40B4-BE49-F238E27FC236}">
              <a16:creationId xmlns="" xmlns:a16="http://schemas.microsoft.com/office/drawing/2014/main" id="{00000000-0008-0000-0000-0000E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52" name="Text Box 3102">
          <a:extLst>
            <a:ext uri="{FF2B5EF4-FFF2-40B4-BE49-F238E27FC236}">
              <a16:creationId xmlns="" xmlns:a16="http://schemas.microsoft.com/office/drawing/2014/main" id="{00000000-0008-0000-0000-0000E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3" name="Text Box 59">
          <a:extLst>
            <a:ext uri="{FF2B5EF4-FFF2-40B4-BE49-F238E27FC236}">
              <a16:creationId xmlns="" xmlns:a16="http://schemas.microsoft.com/office/drawing/2014/main" id="{00000000-0008-0000-0000-0000E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4" name="Text Box 60">
          <a:extLst>
            <a:ext uri="{FF2B5EF4-FFF2-40B4-BE49-F238E27FC236}">
              <a16:creationId xmlns="" xmlns:a16="http://schemas.microsoft.com/office/drawing/2014/main" id="{00000000-0008-0000-0000-0000E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5" name="Text Box 61">
          <a:extLst>
            <a:ext uri="{FF2B5EF4-FFF2-40B4-BE49-F238E27FC236}">
              <a16:creationId xmlns="" xmlns:a16="http://schemas.microsoft.com/office/drawing/2014/main" id="{00000000-0008-0000-0000-0000E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6" name="Text Box 62">
          <a:extLst>
            <a:ext uri="{FF2B5EF4-FFF2-40B4-BE49-F238E27FC236}">
              <a16:creationId xmlns="" xmlns:a16="http://schemas.microsoft.com/office/drawing/2014/main" id="{00000000-0008-0000-0000-0000E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7" name="Text Box 63">
          <a:extLst>
            <a:ext uri="{FF2B5EF4-FFF2-40B4-BE49-F238E27FC236}">
              <a16:creationId xmlns="" xmlns:a16="http://schemas.microsoft.com/office/drawing/2014/main" id="{00000000-0008-0000-0000-0000E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8" name="Text Box 64">
          <a:extLst>
            <a:ext uri="{FF2B5EF4-FFF2-40B4-BE49-F238E27FC236}">
              <a16:creationId xmlns="" xmlns:a16="http://schemas.microsoft.com/office/drawing/2014/main" id="{00000000-0008-0000-0000-0000E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9" name="Text Box 65">
          <a:extLst>
            <a:ext uri="{FF2B5EF4-FFF2-40B4-BE49-F238E27FC236}">
              <a16:creationId xmlns="" xmlns:a16="http://schemas.microsoft.com/office/drawing/2014/main" id="{00000000-0008-0000-0000-0000E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0" name="Text Box 66">
          <a:extLst>
            <a:ext uri="{FF2B5EF4-FFF2-40B4-BE49-F238E27FC236}">
              <a16:creationId xmlns="" xmlns:a16="http://schemas.microsoft.com/office/drawing/2014/main" id="{00000000-0008-0000-0000-0000F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1" name="Text Box 67">
          <a:extLst>
            <a:ext uri="{FF2B5EF4-FFF2-40B4-BE49-F238E27FC236}">
              <a16:creationId xmlns="" xmlns:a16="http://schemas.microsoft.com/office/drawing/2014/main" id="{00000000-0008-0000-0000-0000F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2" name="Text Box 68">
          <a:extLst>
            <a:ext uri="{FF2B5EF4-FFF2-40B4-BE49-F238E27FC236}">
              <a16:creationId xmlns="" xmlns:a16="http://schemas.microsoft.com/office/drawing/2014/main" id="{00000000-0008-0000-0000-0000F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3" name="Text Box 69">
          <a:extLst>
            <a:ext uri="{FF2B5EF4-FFF2-40B4-BE49-F238E27FC236}">
              <a16:creationId xmlns="" xmlns:a16="http://schemas.microsoft.com/office/drawing/2014/main" id="{00000000-0008-0000-0000-0000F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4" name="Text Box 70">
          <a:extLst>
            <a:ext uri="{FF2B5EF4-FFF2-40B4-BE49-F238E27FC236}">
              <a16:creationId xmlns="" xmlns:a16="http://schemas.microsoft.com/office/drawing/2014/main" id="{00000000-0008-0000-0000-0000F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5" name="Text Box 71">
          <a:extLst>
            <a:ext uri="{FF2B5EF4-FFF2-40B4-BE49-F238E27FC236}">
              <a16:creationId xmlns="" xmlns:a16="http://schemas.microsoft.com/office/drawing/2014/main" id="{00000000-0008-0000-0000-0000F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6" name="Text Box 72">
          <a:extLst>
            <a:ext uri="{FF2B5EF4-FFF2-40B4-BE49-F238E27FC236}">
              <a16:creationId xmlns="" xmlns:a16="http://schemas.microsoft.com/office/drawing/2014/main" id="{00000000-0008-0000-0000-0000F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7" name="Text Box 73">
          <a:extLst>
            <a:ext uri="{FF2B5EF4-FFF2-40B4-BE49-F238E27FC236}">
              <a16:creationId xmlns="" xmlns:a16="http://schemas.microsoft.com/office/drawing/2014/main" id="{00000000-0008-0000-0000-0000F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8" name="Text Box 74">
          <a:extLst>
            <a:ext uri="{FF2B5EF4-FFF2-40B4-BE49-F238E27FC236}">
              <a16:creationId xmlns="" xmlns:a16="http://schemas.microsoft.com/office/drawing/2014/main" id="{00000000-0008-0000-0000-0000F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9" name="Text Box 75">
          <a:extLst>
            <a:ext uri="{FF2B5EF4-FFF2-40B4-BE49-F238E27FC236}">
              <a16:creationId xmlns="" xmlns:a16="http://schemas.microsoft.com/office/drawing/2014/main" id="{00000000-0008-0000-0000-0000F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0" name="Text Box 76">
          <a:extLst>
            <a:ext uri="{FF2B5EF4-FFF2-40B4-BE49-F238E27FC236}">
              <a16:creationId xmlns="" xmlns:a16="http://schemas.microsoft.com/office/drawing/2014/main" id="{00000000-0008-0000-0000-0000F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1" name="Text Box 77">
          <a:extLst>
            <a:ext uri="{FF2B5EF4-FFF2-40B4-BE49-F238E27FC236}">
              <a16:creationId xmlns="" xmlns:a16="http://schemas.microsoft.com/office/drawing/2014/main" id="{00000000-0008-0000-0000-0000F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2" name="Text Box 78">
          <a:extLst>
            <a:ext uri="{FF2B5EF4-FFF2-40B4-BE49-F238E27FC236}">
              <a16:creationId xmlns="" xmlns:a16="http://schemas.microsoft.com/office/drawing/2014/main" id="{00000000-0008-0000-0000-0000F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3" name="Text Box 79">
          <a:extLst>
            <a:ext uri="{FF2B5EF4-FFF2-40B4-BE49-F238E27FC236}">
              <a16:creationId xmlns="" xmlns:a16="http://schemas.microsoft.com/office/drawing/2014/main" id="{00000000-0008-0000-0000-0000F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4" name="Text Box 80">
          <a:extLst>
            <a:ext uri="{FF2B5EF4-FFF2-40B4-BE49-F238E27FC236}">
              <a16:creationId xmlns="" xmlns:a16="http://schemas.microsoft.com/office/drawing/2014/main" id="{00000000-0008-0000-0000-0000F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5" name="Text Box 81">
          <a:extLst>
            <a:ext uri="{FF2B5EF4-FFF2-40B4-BE49-F238E27FC236}">
              <a16:creationId xmlns="" xmlns:a16="http://schemas.microsoft.com/office/drawing/2014/main" id="{00000000-0008-0000-0000-0000F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6" name="Text Box 3079">
          <a:extLst>
            <a:ext uri="{FF2B5EF4-FFF2-40B4-BE49-F238E27FC236}">
              <a16:creationId xmlns="" xmlns:a16="http://schemas.microsoft.com/office/drawing/2014/main" id="{00000000-0008-0000-0000-00000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7" name="Text Box 3080">
          <a:extLst>
            <a:ext uri="{FF2B5EF4-FFF2-40B4-BE49-F238E27FC236}">
              <a16:creationId xmlns="" xmlns:a16="http://schemas.microsoft.com/office/drawing/2014/main" id="{00000000-0008-0000-0000-00000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8" name="Text Box 3081">
          <a:extLst>
            <a:ext uri="{FF2B5EF4-FFF2-40B4-BE49-F238E27FC236}">
              <a16:creationId xmlns="" xmlns:a16="http://schemas.microsoft.com/office/drawing/2014/main" id="{00000000-0008-0000-0000-00000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9" name="Text Box 3082">
          <a:extLst>
            <a:ext uri="{FF2B5EF4-FFF2-40B4-BE49-F238E27FC236}">
              <a16:creationId xmlns="" xmlns:a16="http://schemas.microsoft.com/office/drawing/2014/main" id="{00000000-0008-0000-0000-00000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0" name="Text Box 3083">
          <a:extLst>
            <a:ext uri="{FF2B5EF4-FFF2-40B4-BE49-F238E27FC236}">
              <a16:creationId xmlns="" xmlns:a16="http://schemas.microsoft.com/office/drawing/2014/main" id="{00000000-0008-0000-0000-00000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1" name="Text Box 3084">
          <a:extLst>
            <a:ext uri="{FF2B5EF4-FFF2-40B4-BE49-F238E27FC236}">
              <a16:creationId xmlns="" xmlns:a16="http://schemas.microsoft.com/office/drawing/2014/main" id="{00000000-0008-0000-0000-00000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2" name="Text Box 3085">
          <a:extLst>
            <a:ext uri="{FF2B5EF4-FFF2-40B4-BE49-F238E27FC236}">
              <a16:creationId xmlns="" xmlns:a16="http://schemas.microsoft.com/office/drawing/2014/main" id="{00000000-0008-0000-0000-00000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3" name="Text Box 3086">
          <a:extLst>
            <a:ext uri="{FF2B5EF4-FFF2-40B4-BE49-F238E27FC236}">
              <a16:creationId xmlns="" xmlns:a16="http://schemas.microsoft.com/office/drawing/2014/main" id="{00000000-0008-0000-0000-00000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4" name="Text Box 3087">
          <a:extLst>
            <a:ext uri="{FF2B5EF4-FFF2-40B4-BE49-F238E27FC236}">
              <a16:creationId xmlns="" xmlns:a16="http://schemas.microsoft.com/office/drawing/2014/main" id="{00000000-0008-0000-0000-00000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5" name="Text Box 3088">
          <a:extLst>
            <a:ext uri="{FF2B5EF4-FFF2-40B4-BE49-F238E27FC236}">
              <a16:creationId xmlns="" xmlns:a16="http://schemas.microsoft.com/office/drawing/2014/main" id="{00000000-0008-0000-0000-00000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6" name="Text Box 3089">
          <a:extLst>
            <a:ext uri="{FF2B5EF4-FFF2-40B4-BE49-F238E27FC236}">
              <a16:creationId xmlns="" xmlns:a16="http://schemas.microsoft.com/office/drawing/2014/main" id="{00000000-0008-0000-0000-00000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7" name="Text Box 3090">
          <a:extLst>
            <a:ext uri="{FF2B5EF4-FFF2-40B4-BE49-F238E27FC236}">
              <a16:creationId xmlns="" xmlns:a16="http://schemas.microsoft.com/office/drawing/2014/main" id="{00000000-0008-0000-0000-00000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8" name="Text Box 3091">
          <a:extLst>
            <a:ext uri="{FF2B5EF4-FFF2-40B4-BE49-F238E27FC236}">
              <a16:creationId xmlns="" xmlns:a16="http://schemas.microsoft.com/office/drawing/2014/main" id="{00000000-0008-0000-0000-00000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9" name="Text Box 3092">
          <a:extLst>
            <a:ext uri="{FF2B5EF4-FFF2-40B4-BE49-F238E27FC236}">
              <a16:creationId xmlns="" xmlns:a16="http://schemas.microsoft.com/office/drawing/2014/main" id="{00000000-0008-0000-0000-00000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0" name="Text Box 3093">
          <a:extLst>
            <a:ext uri="{FF2B5EF4-FFF2-40B4-BE49-F238E27FC236}">
              <a16:creationId xmlns="" xmlns:a16="http://schemas.microsoft.com/office/drawing/2014/main" id="{00000000-0008-0000-0000-00000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1" name="Text Box 3094">
          <a:extLst>
            <a:ext uri="{FF2B5EF4-FFF2-40B4-BE49-F238E27FC236}">
              <a16:creationId xmlns="" xmlns:a16="http://schemas.microsoft.com/office/drawing/2014/main" id="{00000000-0008-0000-0000-00000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2" name="Text Box 3095">
          <a:extLst>
            <a:ext uri="{FF2B5EF4-FFF2-40B4-BE49-F238E27FC236}">
              <a16:creationId xmlns="" xmlns:a16="http://schemas.microsoft.com/office/drawing/2014/main" id="{00000000-0008-0000-0000-00001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3" name="Text Box 3096">
          <a:extLst>
            <a:ext uri="{FF2B5EF4-FFF2-40B4-BE49-F238E27FC236}">
              <a16:creationId xmlns="" xmlns:a16="http://schemas.microsoft.com/office/drawing/2014/main" id="{00000000-0008-0000-0000-00001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4" name="Text Box 3097">
          <a:extLst>
            <a:ext uri="{FF2B5EF4-FFF2-40B4-BE49-F238E27FC236}">
              <a16:creationId xmlns="" xmlns:a16="http://schemas.microsoft.com/office/drawing/2014/main" id="{00000000-0008-0000-0000-00001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5" name="Text Box 3098">
          <a:extLst>
            <a:ext uri="{FF2B5EF4-FFF2-40B4-BE49-F238E27FC236}">
              <a16:creationId xmlns="" xmlns:a16="http://schemas.microsoft.com/office/drawing/2014/main" id="{00000000-0008-0000-0000-00001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6" name="Text Box 3099">
          <a:extLst>
            <a:ext uri="{FF2B5EF4-FFF2-40B4-BE49-F238E27FC236}">
              <a16:creationId xmlns="" xmlns:a16="http://schemas.microsoft.com/office/drawing/2014/main" id="{00000000-0008-0000-0000-00001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7" name="Text Box 3100">
          <a:extLst>
            <a:ext uri="{FF2B5EF4-FFF2-40B4-BE49-F238E27FC236}">
              <a16:creationId xmlns="" xmlns:a16="http://schemas.microsoft.com/office/drawing/2014/main" id="{00000000-0008-0000-0000-00001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8" name="Text Box 3101">
          <a:extLst>
            <a:ext uri="{FF2B5EF4-FFF2-40B4-BE49-F238E27FC236}">
              <a16:creationId xmlns="" xmlns:a16="http://schemas.microsoft.com/office/drawing/2014/main" id="{00000000-0008-0000-0000-00001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99" name="Text Box 3102">
          <a:extLst>
            <a:ext uri="{FF2B5EF4-FFF2-40B4-BE49-F238E27FC236}">
              <a16:creationId xmlns="" xmlns:a16="http://schemas.microsoft.com/office/drawing/2014/main" id="{00000000-0008-0000-0000-00001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0" name="Text Box 59">
          <a:extLst>
            <a:ext uri="{FF2B5EF4-FFF2-40B4-BE49-F238E27FC236}">
              <a16:creationId xmlns="" xmlns:a16="http://schemas.microsoft.com/office/drawing/2014/main" id="{00000000-0008-0000-0000-00001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1" name="Text Box 60">
          <a:extLst>
            <a:ext uri="{FF2B5EF4-FFF2-40B4-BE49-F238E27FC236}">
              <a16:creationId xmlns="" xmlns:a16="http://schemas.microsoft.com/office/drawing/2014/main" id="{00000000-0008-0000-0000-00001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2" name="Text Box 61">
          <a:extLst>
            <a:ext uri="{FF2B5EF4-FFF2-40B4-BE49-F238E27FC236}">
              <a16:creationId xmlns="" xmlns:a16="http://schemas.microsoft.com/office/drawing/2014/main" id="{00000000-0008-0000-0000-00001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3" name="Text Box 62">
          <a:extLst>
            <a:ext uri="{FF2B5EF4-FFF2-40B4-BE49-F238E27FC236}">
              <a16:creationId xmlns="" xmlns:a16="http://schemas.microsoft.com/office/drawing/2014/main" id="{00000000-0008-0000-0000-00001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4" name="Text Box 63">
          <a:extLst>
            <a:ext uri="{FF2B5EF4-FFF2-40B4-BE49-F238E27FC236}">
              <a16:creationId xmlns="" xmlns:a16="http://schemas.microsoft.com/office/drawing/2014/main" id="{00000000-0008-0000-0000-00001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5" name="Text Box 64">
          <a:extLst>
            <a:ext uri="{FF2B5EF4-FFF2-40B4-BE49-F238E27FC236}">
              <a16:creationId xmlns="" xmlns:a16="http://schemas.microsoft.com/office/drawing/2014/main" id="{00000000-0008-0000-0000-00001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6" name="Text Box 65">
          <a:extLst>
            <a:ext uri="{FF2B5EF4-FFF2-40B4-BE49-F238E27FC236}">
              <a16:creationId xmlns="" xmlns:a16="http://schemas.microsoft.com/office/drawing/2014/main" id="{00000000-0008-0000-0000-00001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7" name="Text Box 66">
          <a:extLst>
            <a:ext uri="{FF2B5EF4-FFF2-40B4-BE49-F238E27FC236}">
              <a16:creationId xmlns="" xmlns:a16="http://schemas.microsoft.com/office/drawing/2014/main" id="{00000000-0008-0000-0000-00001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8" name="Text Box 67">
          <a:extLst>
            <a:ext uri="{FF2B5EF4-FFF2-40B4-BE49-F238E27FC236}">
              <a16:creationId xmlns="" xmlns:a16="http://schemas.microsoft.com/office/drawing/2014/main" id="{00000000-0008-0000-0000-00002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9" name="Text Box 68">
          <a:extLst>
            <a:ext uri="{FF2B5EF4-FFF2-40B4-BE49-F238E27FC236}">
              <a16:creationId xmlns="" xmlns:a16="http://schemas.microsoft.com/office/drawing/2014/main" id="{00000000-0008-0000-0000-00002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0" name="Text Box 69">
          <a:extLst>
            <a:ext uri="{FF2B5EF4-FFF2-40B4-BE49-F238E27FC236}">
              <a16:creationId xmlns="" xmlns:a16="http://schemas.microsoft.com/office/drawing/2014/main" id="{00000000-0008-0000-0000-00002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1" name="Text Box 70">
          <a:extLst>
            <a:ext uri="{FF2B5EF4-FFF2-40B4-BE49-F238E27FC236}">
              <a16:creationId xmlns="" xmlns:a16="http://schemas.microsoft.com/office/drawing/2014/main" id="{00000000-0008-0000-0000-00002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2" name="Text Box 71">
          <a:extLst>
            <a:ext uri="{FF2B5EF4-FFF2-40B4-BE49-F238E27FC236}">
              <a16:creationId xmlns="" xmlns:a16="http://schemas.microsoft.com/office/drawing/2014/main" id="{00000000-0008-0000-0000-00002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3" name="Text Box 72">
          <a:extLst>
            <a:ext uri="{FF2B5EF4-FFF2-40B4-BE49-F238E27FC236}">
              <a16:creationId xmlns="" xmlns:a16="http://schemas.microsoft.com/office/drawing/2014/main" id="{00000000-0008-0000-0000-00002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4" name="Text Box 73">
          <a:extLst>
            <a:ext uri="{FF2B5EF4-FFF2-40B4-BE49-F238E27FC236}">
              <a16:creationId xmlns="" xmlns:a16="http://schemas.microsoft.com/office/drawing/2014/main" id="{00000000-0008-0000-0000-00002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5" name="Text Box 74">
          <a:extLst>
            <a:ext uri="{FF2B5EF4-FFF2-40B4-BE49-F238E27FC236}">
              <a16:creationId xmlns="" xmlns:a16="http://schemas.microsoft.com/office/drawing/2014/main" id="{00000000-0008-0000-0000-00002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6" name="Text Box 75">
          <a:extLst>
            <a:ext uri="{FF2B5EF4-FFF2-40B4-BE49-F238E27FC236}">
              <a16:creationId xmlns="" xmlns:a16="http://schemas.microsoft.com/office/drawing/2014/main" id="{00000000-0008-0000-0000-00002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7" name="Text Box 76">
          <a:extLst>
            <a:ext uri="{FF2B5EF4-FFF2-40B4-BE49-F238E27FC236}">
              <a16:creationId xmlns="" xmlns:a16="http://schemas.microsoft.com/office/drawing/2014/main" id="{00000000-0008-0000-0000-00002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8" name="Text Box 77">
          <a:extLst>
            <a:ext uri="{FF2B5EF4-FFF2-40B4-BE49-F238E27FC236}">
              <a16:creationId xmlns="" xmlns:a16="http://schemas.microsoft.com/office/drawing/2014/main" id="{00000000-0008-0000-0000-00002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9" name="Text Box 78">
          <a:extLst>
            <a:ext uri="{FF2B5EF4-FFF2-40B4-BE49-F238E27FC236}">
              <a16:creationId xmlns="" xmlns:a16="http://schemas.microsoft.com/office/drawing/2014/main" id="{00000000-0008-0000-0000-00002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0" name="Text Box 79">
          <a:extLst>
            <a:ext uri="{FF2B5EF4-FFF2-40B4-BE49-F238E27FC236}">
              <a16:creationId xmlns="" xmlns:a16="http://schemas.microsoft.com/office/drawing/2014/main" id="{00000000-0008-0000-0000-00002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1" name="Text Box 80">
          <a:extLst>
            <a:ext uri="{FF2B5EF4-FFF2-40B4-BE49-F238E27FC236}">
              <a16:creationId xmlns="" xmlns:a16="http://schemas.microsoft.com/office/drawing/2014/main" id="{00000000-0008-0000-0000-00002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2" name="Text Box 81">
          <a:extLst>
            <a:ext uri="{FF2B5EF4-FFF2-40B4-BE49-F238E27FC236}">
              <a16:creationId xmlns="" xmlns:a16="http://schemas.microsoft.com/office/drawing/2014/main" id="{00000000-0008-0000-0000-00002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423" name="Text Box 82">
          <a:extLst>
            <a:ext uri="{FF2B5EF4-FFF2-40B4-BE49-F238E27FC236}">
              <a16:creationId xmlns="" xmlns:a16="http://schemas.microsoft.com/office/drawing/2014/main" id="{00000000-0008-0000-0000-00002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4" name="Text Box 3079">
          <a:extLst>
            <a:ext uri="{FF2B5EF4-FFF2-40B4-BE49-F238E27FC236}">
              <a16:creationId xmlns="" xmlns:a16="http://schemas.microsoft.com/office/drawing/2014/main" id="{00000000-0008-0000-0000-00003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5" name="Text Box 3080">
          <a:extLst>
            <a:ext uri="{FF2B5EF4-FFF2-40B4-BE49-F238E27FC236}">
              <a16:creationId xmlns="" xmlns:a16="http://schemas.microsoft.com/office/drawing/2014/main" id="{00000000-0008-0000-0000-00003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6" name="Text Box 3081">
          <a:extLst>
            <a:ext uri="{FF2B5EF4-FFF2-40B4-BE49-F238E27FC236}">
              <a16:creationId xmlns="" xmlns:a16="http://schemas.microsoft.com/office/drawing/2014/main" id="{00000000-0008-0000-0000-00003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7" name="Text Box 3082">
          <a:extLst>
            <a:ext uri="{FF2B5EF4-FFF2-40B4-BE49-F238E27FC236}">
              <a16:creationId xmlns="" xmlns:a16="http://schemas.microsoft.com/office/drawing/2014/main" id="{00000000-0008-0000-0000-00003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8" name="Text Box 3083">
          <a:extLst>
            <a:ext uri="{FF2B5EF4-FFF2-40B4-BE49-F238E27FC236}">
              <a16:creationId xmlns="" xmlns:a16="http://schemas.microsoft.com/office/drawing/2014/main" id="{00000000-0008-0000-0000-00003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9" name="Text Box 3084">
          <a:extLst>
            <a:ext uri="{FF2B5EF4-FFF2-40B4-BE49-F238E27FC236}">
              <a16:creationId xmlns="" xmlns:a16="http://schemas.microsoft.com/office/drawing/2014/main" id="{00000000-0008-0000-0000-00003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0" name="Text Box 3085">
          <a:extLst>
            <a:ext uri="{FF2B5EF4-FFF2-40B4-BE49-F238E27FC236}">
              <a16:creationId xmlns="" xmlns:a16="http://schemas.microsoft.com/office/drawing/2014/main" id="{00000000-0008-0000-0000-00003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1" name="Text Box 3086">
          <a:extLst>
            <a:ext uri="{FF2B5EF4-FFF2-40B4-BE49-F238E27FC236}">
              <a16:creationId xmlns="" xmlns:a16="http://schemas.microsoft.com/office/drawing/2014/main" id="{00000000-0008-0000-0000-00003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2" name="Text Box 3087">
          <a:extLst>
            <a:ext uri="{FF2B5EF4-FFF2-40B4-BE49-F238E27FC236}">
              <a16:creationId xmlns="" xmlns:a16="http://schemas.microsoft.com/office/drawing/2014/main" id="{00000000-0008-0000-0000-00003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3" name="Text Box 3088">
          <a:extLst>
            <a:ext uri="{FF2B5EF4-FFF2-40B4-BE49-F238E27FC236}">
              <a16:creationId xmlns="" xmlns:a16="http://schemas.microsoft.com/office/drawing/2014/main" id="{00000000-0008-0000-0000-00003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4" name="Text Box 3089">
          <a:extLst>
            <a:ext uri="{FF2B5EF4-FFF2-40B4-BE49-F238E27FC236}">
              <a16:creationId xmlns="" xmlns:a16="http://schemas.microsoft.com/office/drawing/2014/main" id="{00000000-0008-0000-0000-00003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5" name="Text Box 3090">
          <a:extLst>
            <a:ext uri="{FF2B5EF4-FFF2-40B4-BE49-F238E27FC236}">
              <a16:creationId xmlns="" xmlns:a16="http://schemas.microsoft.com/office/drawing/2014/main" id="{00000000-0008-0000-0000-00003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6" name="Text Box 3091">
          <a:extLst>
            <a:ext uri="{FF2B5EF4-FFF2-40B4-BE49-F238E27FC236}">
              <a16:creationId xmlns="" xmlns:a16="http://schemas.microsoft.com/office/drawing/2014/main" id="{00000000-0008-0000-0000-00003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7" name="Text Box 3092">
          <a:extLst>
            <a:ext uri="{FF2B5EF4-FFF2-40B4-BE49-F238E27FC236}">
              <a16:creationId xmlns="" xmlns:a16="http://schemas.microsoft.com/office/drawing/2014/main" id="{00000000-0008-0000-0000-00003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8" name="Text Box 3093">
          <a:extLst>
            <a:ext uri="{FF2B5EF4-FFF2-40B4-BE49-F238E27FC236}">
              <a16:creationId xmlns="" xmlns:a16="http://schemas.microsoft.com/office/drawing/2014/main" id="{00000000-0008-0000-0000-00003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9" name="Text Box 3094">
          <a:extLst>
            <a:ext uri="{FF2B5EF4-FFF2-40B4-BE49-F238E27FC236}">
              <a16:creationId xmlns="" xmlns:a16="http://schemas.microsoft.com/office/drawing/2014/main" id="{00000000-0008-0000-0000-00003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0" name="Text Box 3095">
          <a:extLst>
            <a:ext uri="{FF2B5EF4-FFF2-40B4-BE49-F238E27FC236}">
              <a16:creationId xmlns="" xmlns:a16="http://schemas.microsoft.com/office/drawing/2014/main" id="{00000000-0008-0000-0000-00004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1" name="Text Box 3096">
          <a:extLst>
            <a:ext uri="{FF2B5EF4-FFF2-40B4-BE49-F238E27FC236}">
              <a16:creationId xmlns="" xmlns:a16="http://schemas.microsoft.com/office/drawing/2014/main" id="{00000000-0008-0000-0000-00004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2" name="Text Box 3097">
          <a:extLst>
            <a:ext uri="{FF2B5EF4-FFF2-40B4-BE49-F238E27FC236}">
              <a16:creationId xmlns="" xmlns:a16="http://schemas.microsoft.com/office/drawing/2014/main" id="{00000000-0008-0000-0000-00004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3" name="Text Box 3098">
          <a:extLst>
            <a:ext uri="{FF2B5EF4-FFF2-40B4-BE49-F238E27FC236}">
              <a16:creationId xmlns="" xmlns:a16="http://schemas.microsoft.com/office/drawing/2014/main" id="{00000000-0008-0000-0000-00004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4" name="Text Box 3099">
          <a:extLst>
            <a:ext uri="{FF2B5EF4-FFF2-40B4-BE49-F238E27FC236}">
              <a16:creationId xmlns="" xmlns:a16="http://schemas.microsoft.com/office/drawing/2014/main" id="{00000000-0008-0000-0000-00004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5" name="Text Box 3100">
          <a:extLst>
            <a:ext uri="{FF2B5EF4-FFF2-40B4-BE49-F238E27FC236}">
              <a16:creationId xmlns="" xmlns:a16="http://schemas.microsoft.com/office/drawing/2014/main" id="{00000000-0008-0000-0000-00004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6" name="Text Box 3101">
          <a:extLst>
            <a:ext uri="{FF2B5EF4-FFF2-40B4-BE49-F238E27FC236}">
              <a16:creationId xmlns="" xmlns:a16="http://schemas.microsoft.com/office/drawing/2014/main" id="{00000000-0008-0000-0000-00004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447" name="Text Box 3102">
          <a:extLst>
            <a:ext uri="{FF2B5EF4-FFF2-40B4-BE49-F238E27FC236}">
              <a16:creationId xmlns="" xmlns:a16="http://schemas.microsoft.com/office/drawing/2014/main" id="{00000000-0008-0000-0000-00004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48" name="Text Box 59">
          <a:extLst>
            <a:ext uri="{FF2B5EF4-FFF2-40B4-BE49-F238E27FC236}">
              <a16:creationId xmlns="" xmlns:a16="http://schemas.microsoft.com/office/drawing/2014/main" id="{00000000-0008-0000-0000-00004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49" name="Text Box 60">
          <a:extLst>
            <a:ext uri="{FF2B5EF4-FFF2-40B4-BE49-F238E27FC236}">
              <a16:creationId xmlns="" xmlns:a16="http://schemas.microsoft.com/office/drawing/2014/main" id="{00000000-0008-0000-0000-00004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0" name="Text Box 61">
          <a:extLst>
            <a:ext uri="{FF2B5EF4-FFF2-40B4-BE49-F238E27FC236}">
              <a16:creationId xmlns="" xmlns:a16="http://schemas.microsoft.com/office/drawing/2014/main" id="{00000000-0008-0000-0000-00004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1" name="Text Box 62">
          <a:extLst>
            <a:ext uri="{FF2B5EF4-FFF2-40B4-BE49-F238E27FC236}">
              <a16:creationId xmlns="" xmlns:a16="http://schemas.microsoft.com/office/drawing/2014/main" id="{00000000-0008-0000-0000-00004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2" name="Text Box 63">
          <a:extLst>
            <a:ext uri="{FF2B5EF4-FFF2-40B4-BE49-F238E27FC236}">
              <a16:creationId xmlns="" xmlns:a16="http://schemas.microsoft.com/office/drawing/2014/main" id="{00000000-0008-0000-0000-00004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3" name="Text Box 64">
          <a:extLst>
            <a:ext uri="{FF2B5EF4-FFF2-40B4-BE49-F238E27FC236}">
              <a16:creationId xmlns="" xmlns:a16="http://schemas.microsoft.com/office/drawing/2014/main" id="{00000000-0008-0000-0000-00004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4" name="Text Box 65">
          <a:extLst>
            <a:ext uri="{FF2B5EF4-FFF2-40B4-BE49-F238E27FC236}">
              <a16:creationId xmlns="" xmlns:a16="http://schemas.microsoft.com/office/drawing/2014/main" id="{00000000-0008-0000-0000-00004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5" name="Text Box 66">
          <a:extLst>
            <a:ext uri="{FF2B5EF4-FFF2-40B4-BE49-F238E27FC236}">
              <a16:creationId xmlns="" xmlns:a16="http://schemas.microsoft.com/office/drawing/2014/main" id="{00000000-0008-0000-0000-00004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6" name="Text Box 67">
          <a:extLst>
            <a:ext uri="{FF2B5EF4-FFF2-40B4-BE49-F238E27FC236}">
              <a16:creationId xmlns="" xmlns:a16="http://schemas.microsoft.com/office/drawing/2014/main" id="{00000000-0008-0000-0000-00005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7" name="Text Box 68">
          <a:extLst>
            <a:ext uri="{FF2B5EF4-FFF2-40B4-BE49-F238E27FC236}">
              <a16:creationId xmlns="" xmlns:a16="http://schemas.microsoft.com/office/drawing/2014/main" id="{00000000-0008-0000-0000-00005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8" name="Text Box 69">
          <a:extLst>
            <a:ext uri="{FF2B5EF4-FFF2-40B4-BE49-F238E27FC236}">
              <a16:creationId xmlns="" xmlns:a16="http://schemas.microsoft.com/office/drawing/2014/main" id="{00000000-0008-0000-0000-00005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9" name="Text Box 70">
          <a:extLst>
            <a:ext uri="{FF2B5EF4-FFF2-40B4-BE49-F238E27FC236}">
              <a16:creationId xmlns="" xmlns:a16="http://schemas.microsoft.com/office/drawing/2014/main" id="{00000000-0008-0000-0000-00005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0" name="Text Box 71">
          <a:extLst>
            <a:ext uri="{FF2B5EF4-FFF2-40B4-BE49-F238E27FC236}">
              <a16:creationId xmlns="" xmlns:a16="http://schemas.microsoft.com/office/drawing/2014/main" id="{00000000-0008-0000-0000-00005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1" name="Text Box 72">
          <a:extLst>
            <a:ext uri="{FF2B5EF4-FFF2-40B4-BE49-F238E27FC236}">
              <a16:creationId xmlns="" xmlns:a16="http://schemas.microsoft.com/office/drawing/2014/main" id="{00000000-0008-0000-0000-00005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2" name="Text Box 73">
          <a:extLst>
            <a:ext uri="{FF2B5EF4-FFF2-40B4-BE49-F238E27FC236}">
              <a16:creationId xmlns="" xmlns:a16="http://schemas.microsoft.com/office/drawing/2014/main" id="{00000000-0008-0000-0000-00005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3" name="Text Box 74">
          <a:extLst>
            <a:ext uri="{FF2B5EF4-FFF2-40B4-BE49-F238E27FC236}">
              <a16:creationId xmlns="" xmlns:a16="http://schemas.microsoft.com/office/drawing/2014/main" id="{00000000-0008-0000-0000-00005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4" name="Text Box 75">
          <a:extLst>
            <a:ext uri="{FF2B5EF4-FFF2-40B4-BE49-F238E27FC236}">
              <a16:creationId xmlns="" xmlns:a16="http://schemas.microsoft.com/office/drawing/2014/main" id="{00000000-0008-0000-0000-00005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5" name="Text Box 76">
          <a:extLst>
            <a:ext uri="{FF2B5EF4-FFF2-40B4-BE49-F238E27FC236}">
              <a16:creationId xmlns="" xmlns:a16="http://schemas.microsoft.com/office/drawing/2014/main" id="{00000000-0008-0000-0000-00005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6" name="Text Box 77">
          <a:extLst>
            <a:ext uri="{FF2B5EF4-FFF2-40B4-BE49-F238E27FC236}">
              <a16:creationId xmlns="" xmlns:a16="http://schemas.microsoft.com/office/drawing/2014/main" id="{00000000-0008-0000-0000-00005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7" name="Text Box 78">
          <a:extLst>
            <a:ext uri="{FF2B5EF4-FFF2-40B4-BE49-F238E27FC236}">
              <a16:creationId xmlns="" xmlns:a16="http://schemas.microsoft.com/office/drawing/2014/main" id="{00000000-0008-0000-0000-00005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8" name="Text Box 79">
          <a:extLst>
            <a:ext uri="{FF2B5EF4-FFF2-40B4-BE49-F238E27FC236}">
              <a16:creationId xmlns="" xmlns:a16="http://schemas.microsoft.com/office/drawing/2014/main" id="{00000000-0008-0000-0000-00005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9" name="Text Box 80">
          <a:extLst>
            <a:ext uri="{FF2B5EF4-FFF2-40B4-BE49-F238E27FC236}">
              <a16:creationId xmlns="" xmlns:a16="http://schemas.microsoft.com/office/drawing/2014/main" id="{00000000-0008-0000-0000-00005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70" name="Text Box 81">
          <a:extLst>
            <a:ext uri="{FF2B5EF4-FFF2-40B4-BE49-F238E27FC236}">
              <a16:creationId xmlns="" xmlns:a16="http://schemas.microsoft.com/office/drawing/2014/main" id="{00000000-0008-0000-0000-00005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1" name="Text Box 3079">
          <a:extLst>
            <a:ext uri="{FF2B5EF4-FFF2-40B4-BE49-F238E27FC236}">
              <a16:creationId xmlns="" xmlns:a16="http://schemas.microsoft.com/office/drawing/2014/main" id="{00000000-0008-0000-0000-00005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2" name="Text Box 3080">
          <a:extLst>
            <a:ext uri="{FF2B5EF4-FFF2-40B4-BE49-F238E27FC236}">
              <a16:creationId xmlns="" xmlns:a16="http://schemas.microsoft.com/office/drawing/2014/main" id="{00000000-0008-0000-0000-00006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3" name="Text Box 3081">
          <a:extLst>
            <a:ext uri="{FF2B5EF4-FFF2-40B4-BE49-F238E27FC236}">
              <a16:creationId xmlns="" xmlns:a16="http://schemas.microsoft.com/office/drawing/2014/main" id="{00000000-0008-0000-0000-00006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4" name="Text Box 3082">
          <a:extLst>
            <a:ext uri="{FF2B5EF4-FFF2-40B4-BE49-F238E27FC236}">
              <a16:creationId xmlns="" xmlns:a16="http://schemas.microsoft.com/office/drawing/2014/main" id="{00000000-0008-0000-0000-00006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5" name="Text Box 3083">
          <a:extLst>
            <a:ext uri="{FF2B5EF4-FFF2-40B4-BE49-F238E27FC236}">
              <a16:creationId xmlns="" xmlns:a16="http://schemas.microsoft.com/office/drawing/2014/main" id="{00000000-0008-0000-0000-00006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6" name="Text Box 3084">
          <a:extLst>
            <a:ext uri="{FF2B5EF4-FFF2-40B4-BE49-F238E27FC236}">
              <a16:creationId xmlns="" xmlns:a16="http://schemas.microsoft.com/office/drawing/2014/main" id="{00000000-0008-0000-0000-00006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7" name="Text Box 3085">
          <a:extLst>
            <a:ext uri="{FF2B5EF4-FFF2-40B4-BE49-F238E27FC236}">
              <a16:creationId xmlns="" xmlns:a16="http://schemas.microsoft.com/office/drawing/2014/main" id="{00000000-0008-0000-0000-00006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8" name="Text Box 3086">
          <a:extLst>
            <a:ext uri="{FF2B5EF4-FFF2-40B4-BE49-F238E27FC236}">
              <a16:creationId xmlns="" xmlns:a16="http://schemas.microsoft.com/office/drawing/2014/main" id="{00000000-0008-0000-0000-00006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9" name="Text Box 3087">
          <a:extLst>
            <a:ext uri="{FF2B5EF4-FFF2-40B4-BE49-F238E27FC236}">
              <a16:creationId xmlns="" xmlns:a16="http://schemas.microsoft.com/office/drawing/2014/main" id="{00000000-0008-0000-0000-00006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0" name="Text Box 3088">
          <a:extLst>
            <a:ext uri="{FF2B5EF4-FFF2-40B4-BE49-F238E27FC236}">
              <a16:creationId xmlns="" xmlns:a16="http://schemas.microsoft.com/office/drawing/2014/main" id="{00000000-0008-0000-0000-00006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1" name="Text Box 3089">
          <a:extLst>
            <a:ext uri="{FF2B5EF4-FFF2-40B4-BE49-F238E27FC236}">
              <a16:creationId xmlns="" xmlns:a16="http://schemas.microsoft.com/office/drawing/2014/main" id="{00000000-0008-0000-0000-00006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2" name="Text Box 3090">
          <a:extLst>
            <a:ext uri="{FF2B5EF4-FFF2-40B4-BE49-F238E27FC236}">
              <a16:creationId xmlns="" xmlns:a16="http://schemas.microsoft.com/office/drawing/2014/main" id="{00000000-0008-0000-0000-00006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3" name="Text Box 3091">
          <a:extLst>
            <a:ext uri="{FF2B5EF4-FFF2-40B4-BE49-F238E27FC236}">
              <a16:creationId xmlns="" xmlns:a16="http://schemas.microsoft.com/office/drawing/2014/main" id="{00000000-0008-0000-0000-00006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4" name="Text Box 3092">
          <a:extLst>
            <a:ext uri="{FF2B5EF4-FFF2-40B4-BE49-F238E27FC236}">
              <a16:creationId xmlns="" xmlns:a16="http://schemas.microsoft.com/office/drawing/2014/main" id="{00000000-0008-0000-0000-00006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5" name="Text Box 3093">
          <a:extLst>
            <a:ext uri="{FF2B5EF4-FFF2-40B4-BE49-F238E27FC236}">
              <a16:creationId xmlns="" xmlns:a16="http://schemas.microsoft.com/office/drawing/2014/main" id="{00000000-0008-0000-0000-00006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6" name="Text Box 3094">
          <a:extLst>
            <a:ext uri="{FF2B5EF4-FFF2-40B4-BE49-F238E27FC236}">
              <a16:creationId xmlns="" xmlns:a16="http://schemas.microsoft.com/office/drawing/2014/main" id="{00000000-0008-0000-0000-00006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7" name="Text Box 3095">
          <a:extLst>
            <a:ext uri="{FF2B5EF4-FFF2-40B4-BE49-F238E27FC236}">
              <a16:creationId xmlns="" xmlns:a16="http://schemas.microsoft.com/office/drawing/2014/main" id="{00000000-0008-0000-0000-00006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8" name="Text Box 3096">
          <a:extLst>
            <a:ext uri="{FF2B5EF4-FFF2-40B4-BE49-F238E27FC236}">
              <a16:creationId xmlns="" xmlns:a16="http://schemas.microsoft.com/office/drawing/2014/main" id="{00000000-0008-0000-0000-00007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9" name="Text Box 3097">
          <a:extLst>
            <a:ext uri="{FF2B5EF4-FFF2-40B4-BE49-F238E27FC236}">
              <a16:creationId xmlns="" xmlns:a16="http://schemas.microsoft.com/office/drawing/2014/main" id="{00000000-0008-0000-0000-00007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0" name="Text Box 3098">
          <a:extLst>
            <a:ext uri="{FF2B5EF4-FFF2-40B4-BE49-F238E27FC236}">
              <a16:creationId xmlns="" xmlns:a16="http://schemas.microsoft.com/office/drawing/2014/main" id="{00000000-0008-0000-0000-00007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1" name="Text Box 3099">
          <a:extLst>
            <a:ext uri="{FF2B5EF4-FFF2-40B4-BE49-F238E27FC236}">
              <a16:creationId xmlns="" xmlns:a16="http://schemas.microsoft.com/office/drawing/2014/main" id="{00000000-0008-0000-0000-00007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2" name="Text Box 3100">
          <a:extLst>
            <a:ext uri="{FF2B5EF4-FFF2-40B4-BE49-F238E27FC236}">
              <a16:creationId xmlns="" xmlns:a16="http://schemas.microsoft.com/office/drawing/2014/main" id="{00000000-0008-0000-0000-00007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3" name="Text Box 3101">
          <a:extLst>
            <a:ext uri="{FF2B5EF4-FFF2-40B4-BE49-F238E27FC236}">
              <a16:creationId xmlns="" xmlns:a16="http://schemas.microsoft.com/office/drawing/2014/main" id="{00000000-0008-0000-0000-00007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494" name="Text Box 3102">
          <a:extLst>
            <a:ext uri="{FF2B5EF4-FFF2-40B4-BE49-F238E27FC236}">
              <a16:creationId xmlns="" xmlns:a16="http://schemas.microsoft.com/office/drawing/2014/main" id="{00000000-0008-0000-0000-00007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5" name="Text Box 59">
          <a:extLst>
            <a:ext uri="{FF2B5EF4-FFF2-40B4-BE49-F238E27FC236}">
              <a16:creationId xmlns="" xmlns:a16="http://schemas.microsoft.com/office/drawing/2014/main" id="{00000000-0008-0000-0000-00007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6" name="Text Box 60">
          <a:extLst>
            <a:ext uri="{FF2B5EF4-FFF2-40B4-BE49-F238E27FC236}">
              <a16:creationId xmlns="" xmlns:a16="http://schemas.microsoft.com/office/drawing/2014/main" id="{00000000-0008-0000-0000-00007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7" name="Text Box 61">
          <a:extLst>
            <a:ext uri="{FF2B5EF4-FFF2-40B4-BE49-F238E27FC236}">
              <a16:creationId xmlns="" xmlns:a16="http://schemas.microsoft.com/office/drawing/2014/main" id="{00000000-0008-0000-0000-00007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8" name="Text Box 62">
          <a:extLst>
            <a:ext uri="{FF2B5EF4-FFF2-40B4-BE49-F238E27FC236}">
              <a16:creationId xmlns="" xmlns:a16="http://schemas.microsoft.com/office/drawing/2014/main" id="{00000000-0008-0000-0000-00007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9" name="Text Box 63">
          <a:extLst>
            <a:ext uri="{FF2B5EF4-FFF2-40B4-BE49-F238E27FC236}">
              <a16:creationId xmlns="" xmlns:a16="http://schemas.microsoft.com/office/drawing/2014/main" id="{00000000-0008-0000-0000-00007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0" name="Text Box 64">
          <a:extLst>
            <a:ext uri="{FF2B5EF4-FFF2-40B4-BE49-F238E27FC236}">
              <a16:creationId xmlns="" xmlns:a16="http://schemas.microsoft.com/office/drawing/2014/main" id="{00000000-0008-0000-0000-00007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1" name="Text Box 65">
          <a:extLst>
            <a:ext uri="{FF2B5EF4-FFF2-40B4-BE49-F238E27FC236}">
              <a16:creationId xmlns="" xmlns:a16="http://schemas.microsoft.com/office/drawing/2014/main" id="{00000000-0008-0000-0000-00007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2" name="Text Box 66">
          <a:extLst>
            <a:ext uri="{FF2B5EF4-FFF2-40B4-BE49-F238E27FC236}">
              <a16:creationId xmlns="" xmlns:a16="http://schemas.microsoft.com/office/drawing/2014/main" id="{00000000-0008-0000-0000-00007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3" name="Text Box 67">
          <a:extLst>
            <a:ext uri="{FF2B5EF4-FFF2-40B4-BE49-F238E27FC236}">
              <a16:creationId xmlns="" xmlns:a16="http://schemas.microsoft.com/office/drawing/2014/main" id="{00000000-0008-0000-0000-00007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4" name="Text Box 68">
          <a:extLst>
            <a:ext uri="{FF2B5EF4-FFF2-40B4-BE49-F238E27FC236}">
              <a16:creationId xmlns="" xmlns:a16="http://schemas.microsoft.com/office/drawing/2014/main" id="{00000000-0008-0000-0000-00008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5" name="Text Box 69">
          <a:extLst>
            <a:ext uri="{FF2B5EF4-FFF2-40B4-BE49-F238E27FC236}">
              <a16:creationId xmlns="" xmlns:a16="http://schemas.microsoft.com/office/drawing/2014/main" id="{00000000-0008-0000-0000-00008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6" name="Text Box 70">
          <a:extLst>
            <a:ext uri="{FF2B5EF4-FFF2-40B4-BE49-F238E27FC236}">
              <a16:creationId xmlns="" xmlns:a16="http://schemas.microsoft.com/office/drawing/2014/main" id="{00000000-0008-0000-0000-00008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7" name="Text Box 71">
          <a:extLst>
            <a:ext uri="{FF2B5EF4-FFF2-40B4-BE49-F238E27FC236}">
              <a16:creationId xmlns="" xmlns:a16="http://schemas.microsoft.com/office/drawing/2014/main" id="{00000000-0008-0000-0000-00008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8" name="Text Box 72">
          <a:extLst>
            <a:ext uri="{FF2B5EF4-FFF2-40B4-BE49-F238E27FC236}">
              <a16:creationId xmlns="" xmlns:a16="http://schemas.microsoft.com/office/drawing/2014/main" id="{00000000-0008-0000-0000-00008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9" name="Text Box 73">
          <a:extLst>
            <a:ext uri="{FF2B5EF4-FFF2-40B4-BE49-F238E27FC236}">
              <a16:creationId xmlns="" xmlns:a16="http://schemas.microsoft.com/office/drawing/2014/main" id="{00000000-0008-0000-0000-00008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0" name="Text Box 74">
          <a:extLst>
            <a:ext uri="{FF2B5EF4-FFF2-40B4-BE49-F238E27FC236}">
              <a16:creationId xmlns="" xmlns:a16="http://schemas.microsoft.com/office/drawing/2014/main" id="{00000000-0008-0000-0000-00008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1" name="Text Box 75">
          <a:extLst>
            <a:ext uri="{FF2B5EF4-FFF2-40B4-BE49-F238E27FC236}">
              <a16:creationId xmlns="" xmlns:a16="http://schemas.microsoft.com/office/drawing/2014/main" id="{00000000-0008-0000-0000-00008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2" name="Text Box 76">
          <a:extLst>
            <a:ext uri="{FF2B5EF4-FFF2-40B4-BE49-F238E27FC236}">
              <a16:creationId xmlns="" xmlns:a16="http://schemas.microsoft.com/office/drawing/2014/main" id="{00000000-0008-0000-0000-00008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3" name="Text Box 77">
          <a:extLst>
            <a:ext uri="{FF2B5EF4-FFF2-40B4-BE49-F238E27FC236}">
              <a16:creationId xmlns="" xmlns:a16="http://schemas.microsoft.com/office/drawing/2014/main" id="{00000000-0008-0000-0000-00008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4" name="Text Box 78">
          <a:extLst>
            <a:ext uri="{FF2B5EF4-FFF2-40B4-BE49-F238E27FC236}">
              <a16:creationId xmlns="" xmlns:a16="http://schemas.microsoft.com/office/drawing/2014/main" id="{00000000-0008-0000-0000-00008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5" name="Text Box 79">
          <a:extLst>
            <a:ext uri="{FF2B5EF4-FFF2-40B4-BE49-F238E27FC236}">
              <a16:creationId xmlns="" xmlns:a16="http://schemas.microsoft.com/office/drawing/2014/main" id="{00000000-0008-0000-0000-00008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6" name="Text Box 80">
          <a:extLst>
            <a:ext uri="{FF2B5EF4-FFF2-40B4-BE49-F238E27FC236}">
              <a16:creationId xmlns="" xmlns:a16="http://schemas.microsoft.com/office/drawing/2014/main" id="{00000000-0008-0000-0000-00008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7" name="Text Box 81">
          <a:extLst>
            <a:ext uri="{FF2B5EF4-FFF2-40B4-BE49-F238E27FC236}">
              <a16:creationId xmlns="" xmlns:a16="http://schemas.microsoft.com/office/drawing/2014/main" id="{00000000-0008-0000-0000-00008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518" name="Text Box 82">
          <a:extLst>
            <a:ext uri="{FF2B5EF4-FFF2-40B4-BE49-F238E27FC236}">
              <a16:creationId xmlns="" xmlns:a16="http://schemas.microsoft.com/office/drawing/2014/main" id="{00000000-0008-0000-0000-00008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19" name="Text Box 3079">
          <a:extLst>
            <a:ext uri="{FF2B5EF4-FFF2-40B4-BE49-F238E27FC236}">
              <a16:creationId xmlns="" xmlns:a16="http://schemas.microsoft.com/office/drawing/2014/main" id="{00000000-0008-0000-0000-00008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0" name="Text Box 3080">
          <a:extLst>
            <a:ext uri="{FF2B5EF4-FFF2-40B4-BE49-F238E27FC236}">
              <a16:creationId xmlns="" xmlns:a16="http://schemas.microsoft.com/office/drawing/2014/main" id="{00000000-0008-0000-0000-00009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1" name="Text Box 3081">
          <a:extLst>
            <a:ext uri="{FF2B5EF4-FFF2-40B4-BE49-F238E27FC236}">
              <a16:creationId xmlns="" xmlns:a16="http://schemas.microsoft.com/office/drawing/2014/main" id="{00000000-0008-0000-0000-00009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2" name="Text Box 3082">
          <a:extLst>
            <a:ext uri="{FF2B5EF4-FFF2-40B4-BE49-F238E27FC236}">
              <a16:creationId xmlns="" xmlns:a16="http://schemas.microsoft.com/office/drawing/2014/main" id="{00000000-0008-0000-0000-00009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3" name="Text Box 3083">
          <a:extLst>
            <a:ext uri="{FF2B5EF4-FFF2-40B4-BE49-F238E27FC236}">
              <a16:creationId xmlns="" xmlns:a16="http://schemas.microsoft.com/office/drawing/2014/main" id="{00000000-0008-0000-0000-00009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4" name="Text Box 3084">
          <a:extLst>
            <a:ext uri="{FF2B5EF4-FFF2-40B4-BE49-F238E27FC236}">
              <a16:creationId xmlns="" xmlns:a16="http://schemas.microsoft.com/office/drawing/2014/main" id="{00000000-0008-0000-0000-00009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5" name="Text Box 3085">
          <a:extLst>
            <a:ext uri="{FF2B5EF4-FFF2-40B4-BE49-F238E27FC236}">
              <a16:creationId xmlns="" xmlns:a16="http://schemas.microsoft.com/office/drawing/2014/main" id="{00000000-0008-0000-0000-00009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6" name="Text Box 3086">
          <a:extLst>
            <a:ext uri="{FF2B5EF4-FFF2-40B4-BE49-F238E27FC236}">
              <a16:creationId xmlns="" xmlns:a16="http://schemas.microsoft.com/office/drawing/2014/main" id="{00000000-0008-0000-0000-00009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7" name="Text Box 3087">
          <a:extLst>
            <a:ext uri="{FF2B5EF4-FFF2-40B4-BE49-F238E27FC236}">
              <a16:creationId xmlns="" xmlns:a16="http://schemas.microsoft.com/office/drawing/2014/main" id="{00000000-0008-0000-0000-00009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8" name="Text Box 3088">
          <a:extLst>
            <a:ext uri="{FF2B5EF4-FFF2-40B4-BE49-F238E27FC236}">
              <a16:creationId xmlns="" xmlns:a16="http://schemas.microsoft.com/office/drawing/2014/main" id="{00000000-0008-0000-0000-00009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9" name="Text Box 3089">
          <a:extLst>
            <a:ext uri="{FF2B5EF4-FFF2-40B4-BE49-F238E27FC236}">
              <a16:creationId xmlns="" xmlns:a16="http://schemas.microsoft.com/office/drawing/2014/main" id="{00000000-0008-0000-0000-00009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0" name="Text Box 3090">
          <a:extLst>
            <a:ext uri="{FF2B5EF4-FFF2-40B4-BE49-F238E27FC236}">
              <a16:creationId xmlns="" xmlns:a16="http://schemas.microsoft.com/office/drawing/2014/main" id="{00000000-0008-0000-0000-00009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1" name="Text Box 3091">
          <a:extLst>
            <a:ext uri="{FF2B5EF4-FFF2-40B4-BE49-F238E27FC236}">
              <a16:creationId xmlns="" xmlns:a16="http://schemas.microsoft.com/office/drawing/2014/main" id="{00000000-0008-0000-0000-00009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2" name="Text Box 3092">
          <a:extLst>
            <a:ext uri="{FF2B5EF4-FFF2-40B4-BE49-F238E27FC236}">
              <a16:creationId xmlns="" xmlns:a16="http://schemas.microsoft.com/office/drawing/2014/main" id="{00000000-0008-0000-0000-00009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3" name="Text Box 3093">
          <a:extLst>
            <a:ext uri="{FF2B5EF4-FFF2-40B4-BE49-F238E27FC236}">
              <a16:creationId xmlns="" xmlns:a16="http://schemas.microsoft.com/office/drawing/2014/main" id="{00000000-0008-0000-0000-00009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4" name="Text Box 3094">
          <a:extLst>
            <a:ext uri="{FF2B5EF4-FFF2-40B4-BE49-F238E27FC236}">
              <a16:creationId xmlns="" xmlns:a16="http://schemas.microsoft.com/office/drawing/2014/main" id="{00000000-0008-0000-0000-00009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5" name="Text Box 3095">
          <a:extLst>
            <a:ext uri="{FF2B5EF4-FFF2-40B4-BE49-F238E27FC236}">
              <a16:creationId xmlns="" xmlns:a16="http://schemas.microsoft.com/office/drawing/2014/main" id="{00000000-0008-0000-0000-00009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6" name="Text Box 3096">
          <a:extLst>
            <a:ext uri="{FF2B5EF4-FFF2-40B4-BE49-F238E27FC236}">
              <a16:creationId xmlns="" xmlns:a16="http://schemas.microsoft.com/office/drawing/2014/main" id="{00000000-0008-0000-0000-0000A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7" name="Text Box 3097">
          <a:extLst>
            <a:ext uri="{FF2B5EF4-FFF2-40B4-BE49-F238E27FC236}">
              <a16:creationId xmlns="" xmlns:a16="http://schemas.microsoft.com/office/drawing/2014/main" id="{00000000-0008-0000-0000-0000A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8" name="Text Box 3098">
          <a:extLst>
            <a:ext uri="{FF2B5EF4-FFF2-40B4-BE49-F238E27FC236}">
              <a16:creationId xmlns="" xmlns:a16="http://schemas.microsoft.com/office/drawing/2014/main" id="{00000000-0008-0000-0000-0000A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9" name="Text Box 3099">
          <a:extLst>
            <a:ext uri="{FF2B5EF4-FFF2-40B4-BE49-F238E27FC236}">
              <a16:creationId xmlns="" xmlns:a16="http://schemas.microsoft.com/office/drawing/2014/main" id="{00000000-0008-0000-0000-0000A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40" name="Text Box 3100">
          <a:extLst>
            <a:ext uri="{FF2B5EF4-FFF2-40B4-BE49-F238E27FC236}">
              <a16:creationId xmlns="" xmlns:a16="http://schemas.microsoft.com/office/drawing/2014/main" id="{00000000-0008-0000-0000-0000A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41" name="Text Box 3101">
          <a:extLst>
            <a:ext uri="{FF2B5EF4-FFF2-40B4-BE49-F238E27FC236}">
              <a16:creationId xmlns="" xmlns:a16="http://schemas.microsoft.com/office/drawing/2014/main" id="{00000000-0008-0000-0000-0000A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542" name="Text Box 3102">
          <a:extLst>
            <a:ext uri="{FF2B5EF4-FFF2-40B4-BE49-F238E27FC236}">
              <a16:creationId xmlns="" xmlns:a16="http://schemas.microsoft.com/office/drawing/2014/main" id="{00000000-0008-0000-0000-0000A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3" name="Text Box 59">
          <a:extLst>
            <a:ext uri="{FF2B5EF4-FFF2-40B4-BE49-F238E27FC236}">
              <a16:creationId xmlns="" xmlns:a16="http://schemas.microsoft.com/office/drawing/2014/main" id="{00000000-0008-0000-0000-0000A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4" name="Text Box 60">
          <a:extLst>
            <a:ext uri="{FF2B5EF4-FFF2-40B4-BE49-F238E27FC236}">
              <a16:creationId xmlns="" xmlns:a16="http://schemas.microsoft.com/office/drawing/2014/main" id="{00000000-0008-0000-0000-0000A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5" name="Text Box 61">
          <a:extLst>
            <a:ext uri="{FF2B5EF4-FFF2-40B4-BE49-F238E27FC236}">
              <a16:creationId xmlns="" xmlns:a16="http://schemas.microsoft.com/office/drawing/2014/main" id="{00000000-0008-0000-0000-0000A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6" name="Text Box 62">
          <a:extLst>
            <a:ext uri="{FF2B5EF4-FFF2-40B4-BE49-F238E27FC236}">
              <a16:creationId xmlns="" xmlns:a16="http://schemas.microsoft.com/office/drawing/2014/main" id="{00000000-0008-0000-0000-0000A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7" name="Text Box 63">
          <a:extLst>
            <a:ext uri="{FF2B5EF4-FFF2-40B4-BE49-F238E27FC236}">
              <a16:creationId xmlns="" xmlns:a16="http://schemas.microsoft.com/office/drawing/2014/main" id="{00000000-0008-0000-0000-0000A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8" name="Text Box 64">
          <a:extLst>
            <a:ext uri="{FF2B5EF4-FFF2-40B4-BE49-F238E27FC236}">
              <a16:creationId xmlns="" xmlns:a16="http://schemas.microsoft.com/office/drawing/2014/main" id="{00000000-0008-0000-0000-0000A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9" name="Text Box 65">
          <a:extLst>
            <a:ext uri="{FF2B5EF4-FFF2-40B4-BE49-F238E27FC236}">
              <a16:creationId xmlns="" xmlns:a16="http://schemas.microsoft.com/office/drawing/2014/main" id="{00000000-0008-0000-0000-0000A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0" name="Text Box 66">
          <a:extLst>
            <a:ext uri="{FF2B5EF4-FFF2-40B4-BE49-F238E27FC236}">
              <a16:creationId xmlns="" xmlns:a16="http://schemas.microsoft.com/office/drawing/2014/main" id="{00000000-0008-0000-0000-0000A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1" name="Text Box 67">
          <a:extLst>
            <a:ext uri="{FF2B5EF4-FFF2-40B4-BE49-F238E27FC236}">
              <a16:creationId xmlns="" xmlns:a16="http://schemas.microsoft.com/office/drawing/2014/main" id="{00000000-0008-0000-0000-0000A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2" name="Text Box 68">
          <a:extLst>
            <a:ext uri="{FF2B5EF4-FFF2-40B4-BE49-F238E27FC236}">
              <a16:creationId xmlns="" xmlns:a16="http://schemas.microsoft.com/office/drawing/2014/main" id="{00000000-0008-0000-0000-0000B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3" name="Text Box 69">
          <a:extLst>
            <a:ext uri="{FF2B5EF4-FFF2-40B4-BE49-F238E27FC236}">
              <a16:creationId xmlns="" xmlns:a16="http://schemas.microsoft.com/office/drawing/2014/main" id="{00000000-0008-0000-0000-0000B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4" name="Text Box 70">
          <a:extLst>
            <a:ext uri="{FF2B5EF4-FFF2-40B4-BE49-F238E27FC236}">
              <a16:creationId xmlns="" xmlns:a16="http://schemas.microsoft.com/office/drawing/2014/main" id="{00000000-0008-0000-0000-0000B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5" name="Text Box 71">
          <a:extLst>
            <a:ext uri="{FF2B5EF4-FFF2-40B4-BE49-F238E27FC236}">
              <a16:creationId xmlns="" xmlns:a16="http://schemas.microsoft.com/office/drawing/2014/main" id="{00000000-0008-0000-0000-0000B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6" name="Text Box 72">
          <a:extLst>
            <a:ext uri="{FF2B5EF4-FFF2-40B4-BE49-F238E27FC236}">
              <a16:creationId xmlns="" xmlns:a16="http://schemas.microsoft.com/office/drawing/2014/main" id="{00000000-0008-0000-0000-0000B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7" name="Text Box 73">
          <a:extLst>
            <a:ext uri="{FF2B5EF4-FFF2-40B4-BE49-F238E27FC236}">
              <a16:creationId xmlns="" xmlns:a16="http://schemas.microsoft.com/office/drawing/2014/main" id="{00000000-0008-0000-0000-0000B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8" name="Text Box 74">
          <a:extLst>
            <a:ext uri="{FF2B5EF4-FFF2-40B4-BE49-F238E27FC236}">
              <a16:creationId xmlns="" xmlns:a16="http://schemas.microsoft.com/office/drawing/2014/main" id="{00000000-0008-0000-0000-0000B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9" name="Text Box 75">
          <a:extLst>
            <a:ext uri="{FF2B5EF4-FFF2-40B4-BE49-F238E27FC236}">
              <a16:creationId xmlns="" xmlns:a16="http://schemas.microsoft.com/office/drawing/2014/main" id="{00000000-0008-0000-0000-0000B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0" name="Text Box 76">
          <a:extLst>
            <a:ext uri="{FF2B5EF4-FFF2-40B4-BE49-F238E27FC236}">
              <a16:creationId xmlns="" xmlns:a16="http://schemas.microsoft.com/office/drawing/2014/main" id="{00000000-0008-0000-0000-0000B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1" name="Text Box 77">
          <a:extLst>
            <a:ext uri="{FF2B5EF4-FFF2-40B4-BE49-F238E27FC236}">
              <a16:creationId xmlns="" xmlns:a16="http://schemas.microsoft.com/office/drawing/2014/main" id="{00000000-0008-0000-0000-0000B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2" name="Text Box 78">
          <a:extLst>
            <a:ext uri="{FF2B5EF4-FFF2-40B4-BE49-F238E27FC236}">
              <a16:creationId xmlns="" xmlns:a16="http://schemas.microsoft.com/office/drawing/2014/main" id="{00000000-0008-0000-0000-0000B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3" name="Text Box 79">
          <a:extLst>
            <a:ext uri="{FF2B5EF4-FFF2-40B4-BE49-F238E27FC236}">
              <a16:creationId xmlns="" xmlns:a16="http://schemas.microsoft.com/office/drawing/2014/main" id="{00000000-0008-0000-0000-0000B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4" name="Text Box 80">
          <a:extLst>
            <a:ext uri="{FF2B5EF4-FFF2-40B4-BE49-F238E27FC236}">
              <a16:creationId xmlns="" xmlns:a16="http://schemas.microsoft.com/office/drawing/2014/main" id="{00000000-0008-0000-0000-0000B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5" name="Text Box 81">
          <a:extLst>
            <a:ext uri="{FF2B5EF4-FFF2-40B4-BE49-F238E27FC236}">
              <a16:creationId xmlns="" xmlns:a16="http://schemas.microsoft.com/office/drawing/2014/main" id="{00000000-0008-0000-0000-0000B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6" name="Text Box 3079">
          <a:extLst>
            <a:ext uri="{FF2B5EF4-FFF2-40B4-BE49-F238E27FC236}">
              <a16:creationId xmlns="" xmlns:a16="http://schemas.microsoft.com/office/drawing/2014/main" id="{00000000-0008-0000-0000-0000B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7" name="Text Box 3080">
          <a:extLst>
            <a:ext uri="{FF2B5EF4-FFF2-40B4-BE49-F238E27FC236}">
              <a16:creationId xmlns="" xmlns:a16="http://schemas.microsoft.com/office/drawing/2014/main" id="{00000000-0008-0000-0000-0000B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8" name="Text Box 3081">
          <a:extLst>
            <a:ext uri="{FF2B5EF4-FFF2-40B4-BE49-F238E27FC236}">
              <a16:creationId xmlns="" xmlns:a16="http://schemas.microsoft.com/office/drawing/2014/main" id="{00000000-0008-0000-0000-0000C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9" name="Text Box 3082">
          <a:extLst>
            <a:ext uri="{FF2B5EF4-FFF2-40B4-BE49-F238E27FC236}">
              <a16:creationId xmlns="" xmlns:a16="http://schemas.microsoft.com/office/drawing/2014/main" id="{00000000-0008-0000-0000-0000C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0" name="Text Box 3083">
          <a:extLst>
            <a:ext uri="{FF2B5EF4-FFF2-40B4-BE49-F238E27FC236}">
              <a16:creationId xmlns="" xmlns:a16="http://schemas.microsoft.com/office/drawing/2014/main" id="{00000000-0008-0000-0000-0000C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1" name="Text Box 3084">
          <a:extLst>
            <a:ext uri="{FF2B5EF4-FFF2-40B4-BE49-F238E27FC236}">
              <a16:creationId xmlns="" xmlns:a16="http://schemas.microsoft.com/office/drawing/2014/main" id="{00000000-0008-0000-0000-0000C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2" name="Text Box 3085">
          <a:extLst>
            <a:ext uri="{FF2B5EF4-FFF2-40B4-BE49-F238E27FC236}">
              <a16:creationId xmlns="" xmlns:a16="http://schemas.microsoft.com/office/drawing/2014/main" id="{00000000-0008-0000-0000-0000C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3" name="Text Box 3086">
          <a:extLst>
            <a:ext uri="{FF2B5EF4-FFF2-40B4-BE49-F238E27FC236}">
              <a16:creationId xmlns="" xmlns:a16="http://schemas.microsoft.com/office/drawing/2014/main" id="{00000000-0008-0000-0000-0000C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4" name="Text Box 3087">
          <a:extLst>
            <a:ext uri="{FF2B5EF4-FFF2-40B4-BE49-F238E27FC236}">
              <a16:creationId xmlns="" xmlns:a16="http://schemas.microsoft.com/office/drawing/2014/main" id="{00000000-0008-0000-0000-0000C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5" name="Text Box 3088">
          <a:extLst>
            <a:ext uri="{FF2B5EF4-FFF2-40B4-BE49-F238E27FC236}">
              <a16:creationId xmlns="" xmlns:a16="http://schemas.microsoft.com/office/drawing/2014/main" id="{00000000-0008-0000-0000-0000C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6" name="Text Box 3089">
          <a:extLst>
            <a:ext uri="{FF2B5EF4-FFF2-40B4-BE49-F238E27FC236}">
              <a16:creationId xmlns="" xmlns:a16="http://schemas.microsoft.com/office/drawing/2014/main" id="{00000000-0008-0000-0000-0000C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7" name="Text Box 3090">
          <a:extLst>
            <a:ext uri="{FF2B5EF4-FFF2-40B4-BE49-F238E27FC236}">
              <a16:creationId xmlns="" xmlns:a16="http://schemas.microsoft.com/office/drawing/2014/main" id="{00000000-0008-0000-0000-0000C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8" name="Text Box 3091">
          <a:extLst>
            <a:ext uri="{FF2B5EF4-FFF2-40B4-BE49-F238E27FC236}">
              <a16:creationId xmlns="" xmlns:a16="http://schemas.microsoft.com/office/drawing/2014/main" id="{00000000-0008-0000-0000-0000C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9" name="Text Box 3092">
          <a:extLst>
            <a:ext uri="{FF2B5EF4-FFF2-40B4-BE49-F238E27FC236}">
              <a16:creationId xmlns="" xmlns:a16="http://schemas.microsoft.com/office/drawing/2014/main" id="{00000000-0008-0000-0000-0000C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0" name="Text Box 3093">
          <a:extLst>
            <a:ext uri="{FF2B5EF4-FFF2-40B4-BE49-F238E27FC236}">
              <a16:creationId xmlns="" xmlns:a16="http://schemas.microsoft.com/office/drawing/2014/main" id="{00000000-0008-0000-0000-0000C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1" name="Text Box 3094">
          <a:extLst>
            <a:ext uri="{FF2B5EF4-FFF2-40B4-BE49-F238E27FC236}">
              <a16:creationId xmlns="" xmlns:a16="http://schemas.microsoft.com/office/drawing/2014/main" id="{00000000-0008-0000-0000-0000C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2" name="Text Box 3095">
          <a:extLst>
            <a:ext uri="{FF2B5EF4-FFF2-40B4-BE49-F238E27FC236}">
              <a16:creationId xmlns="" xmlns:a16="http://schemas.microsoft.com/office/drawing/2014/main" id="{00000000-0008-0000-0000-0000C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3" name="Text Box 3096">
          <a:extLst>
            <a:ext uri="{FF2B5EF4-FFF2-40B4-BE49-F238E27FC236}">
              <a16:creationId xmlns="" xmlns:a16="http://schemas.microsoft.com/office/drawing/2014/main" id="{00000000-0008-0000-0000-0000C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4" name="Text Box 3097">
          <a:extLst>
            <a:ext uri="{FF2B5EF4-FFF2-40B4-BE49-F238E27FC236}">
              <a16:creationId xmlns="" xmlns:a16="http://schemas.microsoft.com/office/drawing/2014/main" id="{00000000-0008-0000-0000-0000D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5" name="Text Box 3098">
          <a:extLst>
            <a:ext uri="{FF2B5EF4-FFF2-40B4-BE49-F238E27FC236}">
              <a16:creationId xmlns="" xmlns:a16="http://schemas.microsoft.com/office/drawing/2014/main" id="{00000000-0008-0000-0000-0000D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6" name="Text Box 3099">
          <a:extLst>
            <a:ext uri="{FF2B5EF4-FFF2-40B4-BE49-F238E27FC236}">
              <a16:creationId xmlns="" xmlns:a16="http://schemas.microsoft.com/office/drawing/2014/main" id="{00000000-0008-0000-0000-0000D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7" name="Text Box 3100">
          <a:extLst>
            <a:ext uri="{FF2B5EF4-FFF2-40B4-BE49-F238E27FC236}">
              <a16:creationId xmlns="" xmlns:a16="http://schemas.microsoft.com/office/drawing/2014/main" id="{00000000-0008-0000-0000-0000D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8" name="Text Box 3101">
          <a:extLst>
            <a:ext uri="{FF2B5EF4-FFF2-40B4-BE49-F238E27FC236}">
              <a16:creationId xmlns="" xmlns:a16="http://schemas.microsoft.com/office/drawing/2014/main" id="{00000000-0008-0000-0000-0000D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589" name="Text Box 3102">
          <a:extLst>
            <a:ext uri="{FF2B5EF4-FFF2-40B4-BE49-F238E27FC236}">
              <a16:creationId xmlns="" xmlns:a16="http://schemas.microsoft.com/office/drawing/2014/main" id="{00000000-0008-0000-0000-0000D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0" name="Text Box 59">
          <a:extLst>
            <a:ext uri="{FF2B5EF4-FFF2-40B4-BE49-F238E27FC236}">
              <a16:creationId xmlns="" xmlns:a16="http://schemas.microsoft.com/office/drawing/2014/main" id="{00000000-0008-0000-0000-0000D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1" name="Text Box 60">
          <a:extLst>
            <a:ext uri="{FF2B5EF4-FFF2-40B4-BE49-F238E27FC236}">
              <a16:creationId xmlns="" xmlns:a16="http://schemas.microsoft.com/office/drawing/2014/main" id="{00000000-0008-0000-0000-0000D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2" name="Text Box 61">
          <a:extLst>
            <a:ext uri="{FF2B5EF4-FFF2-40B4-BE49-F238E27FC236}">
              <a16:creationId xmlns="" xmlns:a16="http://schemas.microsoft.com/office/drawing/2014/main" id="{00000000-0008-0000-0000-0000D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3" name="Text Box 62">
          <a:extLst>
            <a:ext uri="{FF2B5EF4-FFF2-40B4-BE49-F238E27FC236}">
              <a16:creationId xmlns="" xmlns:a16="http://schemas.microsoft.com/office/drawing/2014/main" id="{00000000-0008-0000-0000-0000D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4" name="Text Box 63">
          <a:extLst>
            <a:ext uri="{FF2B5EF4-FFF2-40B4-BE49-F238E27FC236}">
              <a16:creationId xmlns="" xmlns:a16="http://schemas.microsoft.com/office/drawing/2014/main" id="{00000000-0008-0000-0000-0000D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5" name="Text Box 64">
          <a:extLst>
            <a:ext uri="{FF2B5EF4-FFF2-40B4-BE49-F238E27FC236}">
              <a16:creationId xmlns="" xmlns:a16="http://schemas.microsoft.com/office/drawing/2014/main" id="{00000000-0008-0000-0000-0000D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6" name="Text Box 65">
          <a:extLst>
            <a:ext uri="{FF2B5EF4-FFF2-40B4-BE49-F238E27FC236}">
              <a16:creationId xmlns="" xmlns:a16="http://schemas.microsoft.com/office/drawing/2014/main" id="{00000000-0008-0000-0000-0000D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7" name="Text Box 66">
          <a:extLst>
            <a:ext uri="{FF2B5EF4-FFF2-40B4-BE49-F238E27FC236}">
              <a16:creationId xmlns="" xmlns:a16="http://schemas.microsoft.com/office/drawing/2014/main" id="{00000000-0008-0000-0000-0000D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8" name="Text Box 67">
          <a:extLst>
            <a:ext uri="{FF2B5EF4-FFF2-40B4-BE49-F238E27FC236}">
              <a16:creationId xmlns="" xmlns:a16="http://schemas.microsoft.com/office/drawing/2014/main" id="{00000000-0008-0000-0000-0000D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9" name="Text Box 68">
          <a:extLst>
            <a:ext uri="{FF2B5EF4-FFF2-40B4-BE49-F238E27FC236}">
              <a16:creationId xmlns="" xmlns:a16="http://schemas.microsoft.com/office/drawing/2014/main" id="{00000000-0008-0000-0000-0000D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0" name="Text Box 69">
          <a:extLst>
            <a:ext uri="{FF2B5EF4-FFF2-40B4-BE49-F238E27FC236}">
              <a16:creationId xmlns="" xmlns:a16="http://schemas.microsoft.com/office/drawing/2014/main" id="{00000000-0008-0000-0000-0000E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1" name="Text Box 70">
          <a:extLst>
            <a:ext uri="{FF2B5EF4-FFF2-40B4-BE49-F238E27FC236}">
              <a16:creationId xmlns="" xmlns:a16="http://schemas.microsoft.com/office/drawing/2014/main" id="{00000000-0008-0000-0000-0000E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2" name="Text Box 71">
          <a:extLst>
            <a:ext uri="{FF2B5EF4-FFF2-40B4-BE49-F238E27FC236}">
              <a16:creationId xmlns="" xmlns:a16="http://schemas.microsoft.com/office/drawing/2014/main" id="{00000000-0008-0000-0000-0000E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3" name="Text Box 72">
          <a:extLst>
            <a:ext uri="{FF2B5EF4-FFF2-40B4-BE49-F238E27FC236}">
              <a16:creationId xmlns="" xmlns:a16="http://schemas.microsoft.com/office/drawing/2014/main" id="{00000000-0008-0000-0000-0000E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4" name="Text Box 73">
          <a:extLst>
            <a:ext uri="{FF2B5EF4-FFF2-40B4-BE49-F238E27FC236}">
              <a16:creationId xmlns="" xmlns:a16="http://schemas.microsoft.com/office/drawing/2014/main" id="{00000000-0008-0000-0000-0000E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5" name="Text Box 74">
          <a:extLst>
            <a:ext uri="{FF2B5EF4-FFF2-40B4-BE49-F238E27FC236}">
              <a16:creationId xmlns="" xmlns:a16="http://schemas.microsoft.com/office/drawing/2014/main" id="{00000000-0008-0000-0000-0000E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6" name="Text Box 75">
          <a:extLst>
            <a:ext uri="{FF2B5EF4-FFF2-40B4-BE49-F238E27FC236}">
              <a16:creationId xmlns="" xmlns:a16="http://schemas.microsoft.com/office/drawing/2014/main" id="{00000000-0008-0000-0000-0000E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7" name="Text Box 76">
          <a:extLst>
            <a:ext uri="{FF2B5EF4-FFF2-40B4-BE49-F238E27FC236}">
              <a16:creationId xmlns="" xmlns:a16="http://schemas.microsoft.com/office/drawing/2014/main" id="{00000000-0008-0000-0000-0000E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8" name="Text Box 77">
          <a:extLst>
            <a:ext uri="{FF2B5EF4-FFF2-40B4-BE49-F238E27FC236}">
              <a16:creationId xmlns="" xmlns:a16="http://schemas.microsoft.com/office/drawing/2014/main" id="{00000000-0008-0000-0000-0000E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9" name="Text Box 78">
          <a:extLst>
            <a:ext uri="{FF2B5EF4-FFF2-40B4-BE49-F238E27FC236}">
              <a16:creationId xmlns="" xmlns:a16="http://schemas.microsoft.com/office/drawing/2014/main" id="{00000000-0008-0000-0000-0000E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0" name="Text Box 79">
          <a:extLst>
            <a:ext uri="{FF2B5EF4-FFF2-40B4-BE49-F238E27FC236}">
              <a16:creationId xmlns="" xmlns:a16="http://schemas.microsoft.com/office/drawing/2014/main" id="{00000000-0008-0000-0000-0000E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1" name="Text Box 80">
          <a:extLst>
            <a:ext uri="{FF2B5EF4-FFF2-40B4-BE49-F238E27FC236}">
              <a16:creationId xmlns="" xmlns:a16="http://schemas.microsoft.com/office/drawing/2014/main" id="{00000000-0008-0000-0000-0000E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2" name="Text Box 81">
          <a:extLst>
            <a:ext uri="{FF2B5EF4-FFF2-40B4-BE49-F238E27FC236}">
              <a16:creationId xmlns="" xmlns:a16="http://schemas.microsoft.com/office/drawing/2014/main" id="{00000000-0008-0000-0000-0000E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613" name="Text Box 82">
          <a:extLst>
            <a:ext uri="{FF2B5EF4-FFF2-40B4-BE49-F238E27FC236}">
              <a16:creationId xmlns="" xmlns:a16="http://schemas.microsoft.com/office/drawing/2014/main" id="{00000000-0008-0000-0000-0000E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4" name="Text Box 3079">
          <a:extLst>
            <a:ext uri="{FF2B5EF4-FFF2-40B4-BE49-F238E27FC236}">
              <a16:creationId xmlns="" xmlns:a16="http://schemas.microsoft.com/office/drawing/2014/main" id="{00000000-0008-0000-0000-0000E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5" name="Text Box 3080">
          <a:extLst>
            <a:ext uri="{FF2B5EF4-FFF2-40B4-BE49-F238E27FC236}">
              <a16:creationId xmlns="" xmlns:a16="http://schemas.microsoft.com/office/drawing/2014/main" id="{00000000-0008-0000-0000-0000E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6" name="Text Box 3081">
          <a:extLst>
            <a:ext uri="{FF2B5EF4-FFF2-40B4-BE49-F238E27FC236}">
              <a16:creationId xmlns="" xmlns:a16="http://schemas.microsoft.com/office/drawing/2014/main" id="{00000000-0008-0000-0000-0000F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7" name="Text Box 3082">
          <a:extLst>
            <a:ext uri="{FF2B5EF4-FFF2-40B4-BE49-F238E27FC236}">
              <a16:creationId xmlns="" xmlns:a16="http://schemas.microsoft.com/office/drawing/2014/main" id="{00000000-0008-0000-0000-0000F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8" name="Text Box 3083">
          <a:extLst>
            <a:ext uri="{FF2B5EF4-FFF2-40B4-BE49-F238E27FC236}">
              <a16:creationId xmlns="" xmlns:a16="http://schemas.microsoft.com/office/drawing/2014/main" id="{00000000-0008-0000-0000-0000F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9" name="Text Box 3084">
          <a:extLst>
            <a:ext uri="{FF2B5EF4-FFF2-40B4-BE49-F238E27FC236}">
              <a16:creationId xmlns="" xmlns:a16="http://schemas.microsoft.com/office/drawing/2014/main" id="{00000000-0008-0000-0000-0000F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0" name="Text Box 3085">
          <a:extLst>
            <a:ext uri="{FF2B5EF4-FFF2-40B4-BE49-F238E27FC236}">
              <a16:creationId xmlns="" xmlns:a16="http://schemas.microsoft.com/office/drawing/2014/main" id="{00000000-0008-0000-0000-0000F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1" name="Text Box 3086">
          <a:extLst>
            <a:ext uri="{FF2B5EF4-FFF2-40B4-BE49-F238E27FC236}">
              <a16:creationId xmlns="" xmlns:a16="http://schemas.microsoft.com/office/drawing/2014/main" id="{00000000-0008-0000-0000-0000F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2" name="Text Box 3087">
          <a:extLst>
            <a:ext uri="{FF2B5EF4-FFF2-40B4-BE49-F238E27FC236}">
              <a16:creationId xmlns="" xmlns:a16="http://schemas.microsoft.com/office/drawing/2014/main" id="{00000000-0008-0000-0000-0000F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3" name="Text Box 3088">
          <a:extLst>
            <a:ext uri="{FF2B5EF4-FFF2-40B4-BE49-F238E27FC236}">
              <a16:creationId xmlns="" xmlns:a16="http://schemas.microsoft.com/office/drawing/2014/main" id="{00000000-0008-0000-0000-0000F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4" name="Text Box 3089">
          <a:extLst>
            <a:ext uri="{FF2B5EF4-FFF2-40B4-BE49-F238E27FC236}">
              <a16:creationId xmlns="" xmlns:a16="http://schemas.microsoft.com/office/drawing/2014/main" id="{00000000-0008-0000-0000-0000F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5" name="Text Box 3090">
          <a:extLst>
            <a:ext uri="{FF2B5EF4-FFF2-40B4-BE49-F238E27FC236}">
              <a16:creationId xmlns="" xmlns:a16="http://schemas.microsoft.com/office/drawing/2014/main" id="{00000000-0008-0000-0000-0000F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6" name="Text Box 3091">
          <a:extLst>
            <a:ext uri="{FF2B5EF4-FFF2-40B4-BE49-F238E27FC236}">
              <a16:creationId xmlns="" xmlns:a16="http://schemas.microsoft.com/office/drawing/2014/main" id="{00000000-0008-0000-0000-0000F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7" name="Text Box 3092">
          <a:extLst>
            <a:ext uri="{FF2B5EF4-FFF2-40B4-BE49-F238E27FC236}">
              <a16:creationId xmlns="" xmlns:a16="http://schemas.microsoft.com/office/drawing/2014/main" id="{00000000-0008-0000-0000-0000F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8" name="Text Box 3093">
          <a:extLst>
            <a:ext uri="{FF2B5EF4-FFF2-40B4-BE49-F238E27FC236}">
              <a16:creationId xmlns="" xmlns:a16="http://schemas.microsoft.com/office/drawing/2014/main" id="{00000000-0008-0000-0000-0000F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9" name="Text Box 3094">
          <a:extLst>
            <a:ext uri="{FF2B5EF4-FFF2-40B4-BE49-F238E27FC236}">
              <a16:creationId xmlns="" xmlns:a16="http://schemas.microsoft.com/office/drawing/2014/main" id="{00000000-0008-0000-0000-0000F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0" name="Text Box 3095">
          <a:extLst>
            <a:ext uri="{FF2B5EF4-FFF2-40B4-BE49-F238E27FC236}">
              <a16:creationId xmlns="" xmlns:a16="http://schemas.microsoft.com/office/drawing/2014/main" id="{00000000-0008-0000-0000-0000F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1" name="Text Box 3096">
          <a:extLst>
            <a:ext uri="{FF2B5EF4-FFF2-40B4-BE49-F238E27FC236}">
              <a16:creationId xmlns="" xmlns:a16="http://schemas.microsoft.com/office/drawing/2014/main" id="{00000000-0008-0000-0000-0000F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2" name="Text Box 3097">
          <a:extLst>
            <a:ext uri="{FF2B5EF4-FFF2-40B4-BE49-F238E27FC236}">
              <a16:creationId xmlns="" xmlns:a16="http://schemas.microsoft.com/office/drawing/2014/main" id="{00000000-0008-0000-0000-00000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3" name="Text Box 3098">
          <a:extLst>
            <a:ext uri="{FF2B5EF4-FFF2-40B4-BE49-F238E27FC236}">
              <a16:creationId xmlns="" xmlns:a16="http://schemas.microsoft.com/office/drawing/2014/main" id="{00000000-0008-0000-0000-00000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4" name="Text Box 3099">
          <a:extLst>
            <a:ext uri="{FF2B5EF4-FFF2-40B4-BE49-F238E27FC236}">
              <a16:creationId xmlns="" xmlns:a16="http://schemas.microsoft.com/office/drawing/2014/main" id="{00000000-0008-0000-0000-00000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5" name="Text Box 3100">
          <a:extLst>
            <a:ext uri="{FF2B5EF4-FFF2-40B4-BE49-F238E27FC236}">
              <a16:creationId xmlns="" xmlns:a16="http://schemas.microsoft.com/office/drawing/2014/main" id="{00000000-0008-0000-0000-00000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6" name="Text Box 3101">
          <a:extLst>
            <a:ext uri="{FF2B5EF4-FFF2-40B4-BE49-F238E27FC236}">
              <a16:creationId xmlns="" xmlns:a16="http://schemas.microsoft.com/office/drawing/2014/main" id="{00000000-0008-0000-0000-00000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637" name="Text Box 3102">
          <a:extLst>
            <a:ext uri="{FF2B5EF4-FFF2-40B4-BE49-F238E27FC236}">
              <a16:creationId xmlns="" xmlns:a16="http://schemas.microsoft.com/office/drawing/2014/main" id="{00000000-0008-0000-0000-00000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38" name="Text Box 59">
          <a:extLst>
            <a:ext uri="{FF2B5EF4-FFF2-40B4-BE49-F238E27FC236}">
              <a16:creationId xmlns="" xmlns:a16="http://schemas.microsoft.com/office/drawing/2014/main" id="{00000000-0008-0000-0000-00000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39" name="Text Box 60">
          <a:extLst>
            <a:ext uri="{FF2B5EF4-FFF2-40B4-BE49-F238E27FC236}">
              <a16:creationId xmlns="" xmlns:a16="http://schemas.microsoft.com/office/drawing/2014/main" id="{00000000-0008-0000-0000-00000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0" name="Text Box 61">
          <a:extLst>
            <a:ext uri="{FF2B5EF4-FFF2-40B4-BE49-F238E27FC236}">
              <a16:creationId xmlns="" xmlns:a16="http://schemas.microsoft.com/office/drawing/2014/main" id="{00000000-0008-0000-0000-00000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1" name="Text Box 62">
          <a:extLst>
            <a:ext uri="{FF2B5EF4-FFF2-40B4-BE49-F238E27FC236}">
              <a16:creationId xmlns="" xmlns:a16="http://schemas.microsoft.com/office/drawing/2014/main" id="{00000000-0008-0000-0000-00000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2" name="Text Box 63">
          <a:extLst>
            <a:ext uri="{FF2B5EF4-FFF2-40B4-BE49-F238E27FC236}">
              <a16:creationId xmlns="" xmlns:a16="http://schemas.microsoft.com/office/drawing/2014/main" id="{00000000-0008-0000-0000-00000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3" name="Text Box 64">
          <a:extLst>
            <a:ext uri="{FF2B5EF4-FFF2-40B4-BE49-F238E27FC236}">
              <a16:creationId xmlns="" xmlns:a16="http://schemas.microsoft.com/office/drawing/2014/main" id="{00000000-0008-0000-0000-00000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4" name="Text Box 65">
          <a:extLst>
            <a:ext uri="{FF2B5EF4-FFF2-40B4-BE49-F238E27FC236}">
              <a16:creationId xmlns="" xmlns:a16="http://schemas.microsoft.com/office/drawing/2014/main" id="{00000000-0008-0000-0000-00000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5" name="Text Box 66">
          <a:extLst>
            <a:ext uri="{FF2B5EF4-FFF2-40B4-BE49-F238E27FC236}">
              <a16:creationId xmlns="" xmlns:a16="http://schemas.microsoft.com/office/drawing/2014/main" id="{00000000-0008-0000-0000-00000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6" name="Text Box 67">
          <a:extLst>
            <a:ext uri="{FF2B5EF4-FFF2-40B4-BE49-F238E27FC236}">
              <a16:creationId xmlns="" xmlns:a16="http://schemas.microsoft.com/office/drawing/2014/main" id="{00000000-0008-0000-0000-00000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7" name="Text Box 68">
          <a:extLst>
            <a:ext uri="{FF2B5EF4-FFF2-40B4-BE49-F238E27FC236}">
              <a16:creationId xmlns="" xmlns:a16="http://schemas.microsoft.com/office/drawing/2014/main" id="{00000000-0008-0000-0000-00000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8" name="Text Box 69">
          <a:extLst>
            <a:ext uri="{FF2B5EF4-FFF2-40B4-BE49-F238E27FC236}">
              <a16:creationId xmlns="" xmlns:a16="http://schemas.microsoft.com/office/drawing/2014/main" id="{00000000-0008-0000-0000-00001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9" name="Text Box 70">
          <a:extLst>
            <a:ext uri="{FF2B5EF4-FFF2-40B4-BE49-F238E27FC236}">
              <a16:creationId xmlns="" xmlns:a16="http://schemas.microsoft.com/office/drawing/2014/main" id="{00000000-0008-0000-0000-00001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0" name="Text Box 71">
          <a:extLst>
            <a:ext uri="{FF2B5EF4-FFF2-40B4-BE49-F238E27FC236}">
              <a16:creationId xmlns="" xmlns:a16="http://schemas.microsoft.com/office/drawing/2014/main" id="{00000000-0008-0000-0000-00001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1" name="Text Box 72">
          <a:extLst>
            <a:ext uri="{FF2B5EF4-FFF2-40B4-BE49-F238E27FC236}">
              <a16:creationId xmlns="" xmlns:a16="http://schemas.microsoft.com/office/drawing/2014/main" id="{00000000-0008-0000-0000-00001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2" name="Text Box 73">
          <a:extLst>
            <a:ext uri="{FF2B5EF4-FFF2-40B4-BE49-F238E27FC236}">
              <a16:creationId xmlns="" xmlns:a16="http://schemas.microsoft.com/office/drawing/2014/main" id="{00000000-0008-0000-0000-00001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3" name="Text Box 74">
          <a:extLst>
            <a:ext uri="{FF2B5EF4-FFF2-40B4-BE49-F238E27FC236}">
              <a16:creationId xmlns="" xmlns:a16="http://schemas.microsoft.com/office/drawing/2014/main" id="{00000000-0008-0000-0000-00001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4" name="Text Box 75">
          <a:extLst>
            <a:ext uri="{FF2B5EF4-FFF2-40B4-BE49-F238E27FC236}">
              <a16:creationId xmlns="" xmlns:a16="http://schemas.microsoft.com/office/drawing/2014/main" id="{00000000-0008-0000-0000-00001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5" name="Text Box 76">
          <a:extLst>
            <a:ext uri="{FF2B5EF4-FFF2-40B4-BE49-F238E27FC236}">
              <a16:creationId xmlns="" xmlns:a16="http://schemas.microsoft.com/office/drawing/2014/main" id="{00000000-0008-0000-0000-00001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6" name="Text Box 77">
          <a:extLst>
            <a:ext uri="{FF2B5EF4-FFF2-40B4-BE49-F238E27FC236}">
              <a16:creationId xmlns="" xmlns:a16="http://schemas.microsoft.com/office/drawing/2014/main" id="{00000000-0008-0000-0000-00001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7" name="Text Box 78">
          <a:extLst>
            <a:ext uri="{FF2B5EF4-FFF2-40B4-BE49-F238E27FC236}">
              <a16:creationId xmlns="" xmlns:a16="http://schemas.microsoft.com/office/drawing/2014/main" id="{00000000-0008-0000-0000-00001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8" name="Text Box 79">
          <a:extLst>
            <a:ext uri="{FF2B5EF4-FFF2-40B4-BE49-F238E27FC236}">
              <a16:creationId xmlns="" xmlns:a16="http://schemas.microsoft.com/office/drawing/2014/main" id="{00000000-0008-0000-0000-00001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9" name="Text Box 80">
          <a:extLst>
            <a:ext uri="{FF2B5EF4-FFF2-40B4-BE49-F238E27FC236}">
              <a16:creationId xmlns="" xmlns:a16="http://schemas.microsoft.com/office/drawing/2014/main" id="{00000000-0008-0000-0000-00001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60" name="Text Box 81">
          <a:extLst>
            <a:ext uri="{FF2B5EF4-FFF2-40B4-BE49-F238E27FC236}">
              <a16:creationId xmlns="" xmlns:a16="http://schemas.microsoft.com/office/drawing/2014/main" id="{00000000-0008-0000-0000-00001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1" name="Text Box 3079">
          <a:extLst>
            <a:ext uri="{FF2B5EF4-FFF2-40B4-BE49-F238E27FC236}">
              <a16:creationId xmlns="" xmlns:a16="http://schemas.microsoft.com/office/drawing/2014/main" id="{00000000-0008-0000-0000-00001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2" name="Text Box 3080">
          <a:extLst>
            <a:ext uri="{FF2B5EF4-FFF2-40B4-BE49-F238E27FC236}">
              <a16:creationId xmlns="" xmlns:a16="http://schemas.microsoft.com/office/drawing/2014/main" id="{00000000-0008-0000-0000-00001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3" name="Text Box 3081">
          <a:extLst>
            <a:ext uri="{FF2B5EF4-FFF2-40B4-BE49-F238E27FC236}">
              <a16:creationId xmlns="" xmlns:a16="http://schemas.microsoft.com/office/drawing/2014/main" id="{00000000-0008-0000-0000-00001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4" name="Text Box 3082">
          <a:extLst>
            <a:ext uri="{FF2B5EF4-FFF2-40B4-BE49-F238E27FC236}">
              <a16:creationId xmlns="" xmlns:a16="http://schemas.microsoft.com/office/drawing/2014/main" id="{00000000-0008-0000-0000-00002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5" name="Text Box 3083">
          <a:extLst>
            <a:ext uri="{FF2B5EF4-FFF2-40B4-BE49-F238E27FC236}">
              <a16:creationId xmlns="" xmlns:a16="http://schemas.microsoft.com/office/drawing/2014/main" id="{00000000-0008-0000-0000-00002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6" name="Text Box 3084">
          <a:extLst>
            <a:ext uri="{FF2B5EF4-FFF2-40B4-BE49-F238E27FC236}">
              <a16:creationId xmlns="" xmlns:a16="http://schemas.microsoft.com/office/drawing/2014/main" id="{00000000-0008-0000-0000-00002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7" name="Text Box 3085">
          <a:extLst>
            <a:ext uri="{FF2B5EF4-FFF2-40B4-BE49-F238E27FC236}">
              <a16:creationId xmlns="" xmlns:a16="http://schemas.microsoft.com/office/drawing/2014/main" id="{00000000-0008-0000-0000-00002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8" name="Text Box 3086">
          <a:extLst>
            <a:ext uri="{FF2B5EF4-FFF2-40B4-BE49-F238E27FC236}">
              <a16:creationId xmlns="" xmlns:a16="http://schemas.microsoft.com/office/drawing/2014/main" id="{00000000-0008-0000-0000-00002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9" name="Text Box 3087">
          <a:extLst>
            <a:ext uri="{FF2B5EF4-FFF2-40B4-BE49-F238E27FC236}">
              <a16:creationId xmlns="" xmlns:a16="http://schemas.microsoft.com/office/drawing/2014/main" id="{00000000-0008-0000-0000-00002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0" name="Text Box 3088">
          <a:extLst>
            <a:ext uri="{FF2B5EF4-FFF2-40B4-BE49-F238E27FC236}">
              <a16:creationId xmlns="" xmlns:a16="http://schemas.microsoft.com/office/drawing/2014/main" id="{00000000-0008-0000-0000-00002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1" name="Text Box 3089">
          <a:extLst>
            <a:ext uri="{FF2B5EF4-FFF2-40B4-BE49-F238E27FC236}">
              <a16:creationId xmlns="" xmlns:a16="http://schemas.microsoft.com/office/drawing/2014/main" id="{00000000-0008-0000-0000-00002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2" name="Text Box 3090">
          <a:extLst>
            <a:ext uri="{FF2B5EF4-FFF2-40B4-BE49-F238E27FC236}">
              <a16:creationId xmlns="" xmlns:a16="http://schemas.microsoft.com/office/drawing/2014/main" id="{00000000-0008-0000-0000-00002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3" name="Text Box 3091">
          <a:extLst>
            <a:ext uri="{FF2B5EF4-FFF2-40B4-BE49-F238E27FC236}">
              <a16:creationId xmlns="" xmlns:a16="http://schemas.microsoft.com/office/drawing/2014/main" id="{00000000-0008-0000-0000-00002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4" name="Text Box 3092">
          <a:extLst>
            <a:ext uri="{FF2B5EF4-FFF2-40B4-BE49-F238E27FC236}">
              <a16:creationId xmlns="" xmlns:a16="http://schemas.microsoft.com/office/drawing/2014/main" id="{00000000-0008-0000-0000-00002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5" name="Text Box 3093">
          <a:extLst>
            <a:ext uri="{FF2B5EF4-FFF2-40B4-BE49-F238E27FC236}">
              <a16:creationId xmlns="" xmlns:a16="http://schemas.microsoft.com/office/drawing/2014/main" id="{00000000-0008-0000-0000-00002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6" name="Text Box 3094">
          <a:extLst>
            <a:ext uri="{FF2B5EF4-FFF2-40B4-BE49-F238E27FC236}">
              <a16:creationId xmlns="" xmlns:a16="http://schemas.microsoft.com/office/drawing/2014/main" id="{00000000-0008-0000-0000-00002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7" name="Text Box 3095">
          <a:extLst>
            <a:ext uri="{FF2B5EF4-FFF2-40B4-BE49-F238E27FC236}">
              <a16:creationId xmlns="" xmlns:a16="http://schemas.microsoft.com/office/drawing/2014/main" id="{00000000-0008-0000-0000-00002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8" name="Text Box 3096">
          <a:extLst>
            <a:ext uri="{FF2B5EF4-FFF2-40B4-BE49-F238E27FC236}">
              <a16:creationId xmlns="" xmlns:a16="http://schemas.microsoft.com/office/drawing/2014/main" id="{00000000-0008-0000-0000-00002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9" name="Text Box 3097">
          <a:extLst>
            <a:ext uri="{FF2B5EF4-FFF2-40B4-BE49-F238E27FC236}">
              <a16:creationId xmlns="" xmlns:a16="http://schemas.microsoft.com/office/drawing/2014/main" id="{00000000-0008-0000-0000-00002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0" name="Text Box 3098">
          <a:extLst>
            <a:ext uri="{FF2B5EF4-FFF2-40B4-BE49-F238E27FC236}">
              <a16:creationId xmlns="" xmlns:a16="http://schemas.microsoft.com/office/drawing/2014/main" id="{00000000-0008-0000-0000-00003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1" name="Text Box 3099">
          <a:extLst>
            <a:ext uri="{FF2B5EF4-FFF2-40B4-BE49-F238E27FC236}">
              <a16:creationId xmlns="" xmlns:a16="http://schemas.microsoft.com/office/drawing/2014/main" id="{00000000-0008-0000-0000-00003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2" name="Text Box 3100">
          <a:extLst>
            <a:ext uri="{FF2B5EF4-FFF2-40B4-BE49-F238E27FC236}">
              <a16:creationId xmlns="" xmlns:a16="http://schemas.microsoft.com/office/drawing/2014/main" id="{00000000-0008-0000-0000-00003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3" name="Text Box 3101">
          <a:extLst>
            <a:ext uri="{FF2B5EF4-FFF2-40B4-BE49-F238E27FC236}">
              <a16:creationId xmlns="" xmlns:a16="http://schemas.microsoft.com/office/drawing/2014/main" id="{00000000-0008-0000-0000-00003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684" name="Text Box 3102">
          <a:extLst>
            <a:ext uri="{FF2B5EF4-FFF2-40B4-BE49-F238E27FC236}">
              <a16:creationId xmlns="" xmlns:a16="http://schemas.microsoft.com/office/drawing/2014/main" id="{00000000-0008-0000-0000-00003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5" name="Text Box 59">
          <a:extLst>
            <a:ext uri="{FF2B5EF4-FFF2-40B4-BE49-F238E27FC236}">
              <a16:creationId xmlns="" xmlns:a16="http://schemas.microsoft.com/office/drawing/2014/main" id="{00000000-0008-0000-0000-00003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6" name="Text Box 60">
          <a:extLst>
            <a:ext uri="{FF2B5EF4-FFF2-40B4-BE49-F238E27FC236}">
              <a16:creationId xmlns="" xmlns:a16="http://schemas.microsoft.com/office/drawing/2014/main" id="{00000000-0008-0000-0000-00003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7" name="Text Box 61">
          <a:extLst>
            <a:ext uri="{FF2B5EF4-FFF2-40B4-BE49-F238E27FC236}">
              <a16:creationId xmlns="" xmlns:a16="http://schemas.microsoft.com/office/drawing/2014/main" id="{00000000-0008-0000-0000-00003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8" name="Text Box 62">
          <a:extLst>
            <a:ext uri="{FF2B5EF4-FFF2-40B4-BE49-F238E27FC236}">
              <a16:creationId xmlns="" xmlns:a16="http://schemas.microsoft.com/office/drawing/2014/main" id="{00000000-0008-0000-0000-00003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9" name="Text Box 63">
          <a:extLst>
            <a:ext uri="{FF2B5EF4-FFF2-40B4-BE49-F238E27FC236}">
              <a16:creationId xmlns="" xmlns:a16="http://schemas.microsoft.com/office/drawing/2014/main" id="{00000000-0008-0000-0000-00003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0" name="Text Box 64">
          <a:extLst>
            <a:ext uri="{FF2B5EF4-FFF2-40B4-BE49-F238E27FC236}">
              <a16:creationId xmlns="" xmlns:a16="http://schemas.microsoft.com/office/drawing/2014/main" id="{00000000-0008-0000-0000-00003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1" name="Text Box 65">
          <a:extLst>
            <a:ext uri="{FF2B5EF4-FFF2-40B4-BE49-F238E27FC236}">
              <a16:creationId xmlns="" xmlns:a16="http://schemas.microsoft.com/office/drawing/2014/main" id="{00000000-0008-0000-0000-00003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2" name="Text Box 66">
          <a:extLst>
            <a:ext uri="{FF2B5EF4-FFF2-40B4-BE49-F238E27FC236}">
              <a16:creationId xmlns="" xmlns:a16="http://schemas.microsoft.com/office/drawing/2014/main" id="{00000000-0008-0000-0000-00003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3" name="Text Box 67">
          <a:extLst>
            <a:ext uri="{FF2B5EF4-FFF2-40B4-BE49-F238E27FC236}">
              <a16:creationId xmlns="" xmlns:a16="http://schemas.microsoft.com/office/drawing/2014/main" id="{00000000-0008-0000-0000-00003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4" name="Text Box 68">
          <a:extLst>
            <a:ext uri="{FF2B5EF4-FFF2-40B4-BE49-F238E27FC236}">
              <a16:creationId xmlns="" xmlns:a16="http://schemas.microsoft.com/office/drawing/2014/main" id="{00000000-0008-0000-0000-00003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5" name="Text Box 69">
          <a:extLst>
            <a:ext uri="{FF2B5EF4-FFF2-40B4-BE49-F238E27FC236}">
              <a16:creationId xmlns="" xmlns:a16="http://schemas.microsoft.com/office/drawing/2014/main" id="{00000000-0008-0000-0000-00003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6" name="Text Box 70">
          <a:extLst>
            <a:ext uri="{FF2B5EF4-FFF2-40B4-BE49-F238E27FC236}">
              <a16:creationId xmlns="" xmlns:a16="http://schemas.microsoft.com/office/drawing/2014/main" id="{00000000-0008-0000-0000-00004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7" name="Text Box 71">
          <a:extLst>
            <a:ext uri="{FF2B5EF4-FFF2-40B4-BE49-F238E27FC236}">
              <a16:creationId xmlns="" xmlns:a16="http://schemas.microsoft.com/office/drawing/2014/main" id="{00000000-0008-0000-0000-00004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8" name="Text Box 72">
          <a:extLst>
            <a:ext uri="{FF2B5EF4-FFF2-40B4-BE49-F238E27FC236}">
              <a16:creationId xmlns="" xmlns:a16="http://schemas.microsoft.com/office/drawing/2014/main" id="{00000000-0008-0000-0000-00004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9" name="Text Box 73">
          <a:extLst>
            <a:ext uri="{FF2B5EF4-FFF2-40B4-BE49-F238E27FC236}">
              <a16:creationId xmlns="" xmlns:a16="http://schemas.microsoft.com/office/drawing/2014/main" id="{00000000-0008-0000-0000-00004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0" name="Text Box 74">
          <a:extLst>
            <a:ext uri="{FF2B5EF4-FFF2-40B4-BE49-F238E27FC236}">
              <a16:creationId xmlns="" xmlns:a16="http://schemas.microsoft.com/office/drawing/2014/main" id="{00000000-0008-0000-0000-00004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1" name="Text Box 75">
          <a:extLst>
            <a:ext uri="{FF2B5EF4-FFF2-40B4-BE49-F238E27FC236}">
              <a16:creationId xmlns="" xmlns:a16="http://schemas.microsoft.com/office/drawing/2014/main" id="{00000000-0008-0000-0000-00004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2" name="Text Box 76">
          <a:extLst>
            <a:ext uri="{FF2B5EF4-FFF2-40B4-BE49-F238E27FC236}">
              <a16:creationId xmlns="" xmlns:a16="http://schemas.microsoft.com/office/drawing/2014/main" id="{00000000-0008-0000-0000-00004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3" name="Text Box 77">
          <a:extLst>
            <a:ext uri="{FF2B5EF4-FFF2-40B4-BE49-F238E27FC236}">
              <a16:creationId xmlns="" xmlns:a16="http://schemas.microsoft.com/office/drawing/2014/main" id="{00000000-0008-0000-0000-00004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4" name="Text Box 78">
          <a:extLst>
            <a:ext uri="{FF2B5EF4-FFF2-40B4-BE49-F238E27FC236}">
              <a16:creationId xmlns="" xmlns:a16="http://schemas.microsoft.com/office/drawing/2014/main" id="{00000000-0008-0000-0000-00004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5" name="Text Box 79">
          <a:extLst>
            <a:ext uri="{FF2B5EF4-FFF2-40B4-BE49-F238E27FC236}">
              <a16:creationId xmlns="" xmlns:a16="http://schemas.microsoft.com/office/drawing/2014/main" id="{00000000-0008-0000-0000-00004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6" name="Text Box 80">
          <a:extLst>
            <a:ext uri="{FF2B5EF4-FFF2-40B4-BE49-F238E27FC236}">
              <a16:creationId xmlns="" xmlns:a16="http://schemas.microsoft.com/office/drawing/2014/main" id="{00000000-0008-0000-0000-00004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7" name="Text Box 81">
          <a:extLst>
            <a:ext uri="{FF2B5EF4-FFF2-40B4-BE49-F238E27FC236}">
              <a16:creationId xmlns="" xmlns:a16="http://schemas.microsoft.com/office/drawing/2014/main" id="{00000000-0008-0000-0000-00004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708" name="Text Box 82">
          <a:extLst>
            <a:ext uri="{FF2B5EF4-FFF2-40B4-BE49-F238E27FC236}">
              <a16:creationId xmlns="" xmlns:a16="http://schemas.microsoft.com/office/drawing/2014/main" id="{00000000-0008-0000-0000-00004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09" name="Text Box 3079">
          <a:extLst>
            <a:ext uri="{FF2B5EF4-FFF2-40B4-BE49-F238E27FC236}">
              <a16:creationId xmlns="" xmlns:a16="http://schemas.microsoft.com/office/drawing/2014/main" id="{00000000-0008-0000-0000-00004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0" name="Text Box 3080">
          <a:extLst>
            <a:ext uri="{FF2B5EF4-FFF2-40B4-BE49-F238E27FC236}">
              <a16:creationId xmlns="" xmlns:a16="http://schemas.microsoft.com/office/drawing/2014/main" id="{00000000-0008-0000-0000-00004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1" name="Text Box 3081">
          <a:extLst>
            <a:ext uri="{FF2B5EF4-FFF2-40B4-BE49-F238E27FC236}">
              <a16:creationId xmlns="" xmlns:a16="http://schemas.microsoft.com/office/drawing/2014/main" id="{00000000-0008-0000-0000-00004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2" name="Text Box 3082">
          <a:extLst>
            <a:ext uri="{FF2B5EF4-FFF2-40B4-BE49-F238E27FC236}">
              <a16:creationId xmlns="" xmlns:a16="http://schemas.microsoft.com/office/drawing/2014/main" id="{00000000-0008-0000-0000-00005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3" name="Text Box 3083">
          <a:extLst>
            <a:ext uri="{FF2B5EF4-FFF2-40B4-BE49-F238E27FC236}">
              <a16:creationId xmlns="" xmlns:a16="http://schemas.microsoft.com/office/drawing/2014/main" id="{00000000-0008-0000-0000-00005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4" name="Text Box 3084">
          <a:extLst>
            <a:ext uri="{FF2B5EF4-FFF2-40B4-BE49-F238E27FC236}">
              <a16:creationId xmlns="" xmlns:a16="http://schemas.microsoft.com/office/drawing/2014/main" id="{00000000-0008-0000-0000-00005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5" name="Text Box 3085">
          <a:extLst>
            <a:ext uri="{FF2B5EF4-FFF2-40B4-BE49-F238E27FC236}">
              <a16:creationId xmlns="" xmlns:a16="http://schemas.microsoft.com/office/drawing/2014/main" id="{00000000-0008-0000-0000-00005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6" name="Text Box 3086">
          <a:extLst>
            <a:ext uri="{FF2B5EF4-FFF2-40B4-BE49-F238E27FC236}">
              <a16:creationId xmlns="" xmlns:a16="http://schemas.microsoft.com/office/drawing/2014/main" id="{00000000-0008-0000-0000-00005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7" name="Text Box 3087">
          <a:extLst>
            <a:ext uri="{FF2B5EF4-FFF2-40B4-BE49-F238E27FC236}">
              <a16:creationId xmlns="" xmlns:a16="http://schemas.microsoft.com/office/drawing/2014/main" id="{00000000-0008-0000-0000-00005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8" name="Text Box 3088">
          <a:extLst>
            <a:ext uri="{FF2B5EF4-FFF2-40B4-BE49-F238E27FC236}">
              <a16:creationId xmlns="" xmlns:a16="http://schemas.microsoft.com/office/drawing/2014/main" id="{00000000-0008-0000-0000-00005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9" name="Text Box 3089">
          <a:extLst>
            <a:ext uri="{FF2B5EF4-FFF2-40B4-BE49-F238E27FC236}">
              <a16:creationId xmlns="" xmlns:a16="http://schemas.microsoft.com/office/drawing/2014/main" id="{00000000-0008-0000-0000-00005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0" name="Text Box 3090">
          <a:extLst>
            <a:ext uri="{FF2B5EF4-FFF2-40B4-BE49-F238E27FC236}">
              <a16:creationId xmlns="" xmlns:a16="http://schemas.microsoft.com/office/drawing/2014/main" id="{00000000-0008-0000-0000-00005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1" name="Text Box 3091">
          <a:extLst>
            <a:ext uri="{FF2B5EF4-FFF2-40B4-BE49-F238E27FC236}">
              <a16:creationId xmlns="" xmlns:a16="http://schemas.microsoft.com/office/drawing/2014/main" id="{00000000-0008-0000-0000-00005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2" name="Text Box 3092">
          <a:extLst>
            <a:ext uri="{FF2B5EF4-FFF2-40B4-BE49-F238E27FC236}">
              <a16:creationId xmlns="" xmlns:a16="http://schemas.microsoft.com/office/drawing/2014/main" id="{00000000-0008-0000-0000-00005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3" name="Text Box 3093">
          <a:extLst>
            <a:ext uri="{FF2B5EF4-FFF2-40B4-BE49-F238E27FC236}">
              <a16:creationId xmlns="" xmlns:a16="http://schemas.microsoft.com/office/drawing/2014/main" id="{00000000-0008-0000-0000-00005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4" name="Text Box 3094">
          <a:extLst>
            <a:ext uri="{FF2B5EF4-FFF2-40B4-BE49-F238E27FC236}">
              <a16:creationId xmlns="" xmlns:a16="http://schemas.microsoft.com/office/drawing/2014/main" id="{00000000-0008-0000-0000-00005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5" name="Text Box 3095">
          <a:extLst>
            <a:ext uri="{FF2B5EF4-FFF2-40B4-BE49-F238E27FC236}">
              <a16:creationId xmlns="" xmlns:a16="http://schemas.microsoft.com/office/drawing/2014/main" id="{00000000-0008-0000-0000-00005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6" name="Text Box 3096">
          <a:extLst>
            <a:ext uri="{FF2B5EF4-FFF2-40B4-BE49-F238E27FC236}">
              <a16:creationId xmlns="" xmlns:a16="http://schemas.microsoft.com/office/drawing/2014/main" id="{00000000-0008-0000-0000-00005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7" name="Text Box 3097">
          <a:extLst>
            <a:ext uri="{FF2B5EF4-FFF2-40B4-BE49-F238E27FC236}">
              <a16:creationId xmlns="" xmlns:a16="http://schemas.microsoft.com/office/drawing/2014/main" id="{00000000-0008-0000-0000-00005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8" name="Text Box 3098">
          <a:extLst>
            <a:ext uri="{FF2B5EF4-FFF2-40B4-BE49-F238E27FC236}">
              <a16:creationId xmlns="" xmlns:a16="http://schemas.microsoft.com/office/drawing/2014/main" id="{00000000-0008-0000-0000-00006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9" name="Text Box 3099">
          <a:extLst>
            <a:ext uri="{FF2B5EF4-FFF2-40B4-BE49-F238E27FC236}">
              <a16:creationId xmlns="" xmlns:a16="http://schemas.microsoft.com/office/drawing/2014/main" id="{00000000-0008-0000-0000-00006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30" name="Text Box 3100">
          <a:extLst>
            <a:ext uri="{FF2B5EF4-FFF2-40B4-BE49-F238E27FC236}">
              <a16:creationId xmlns="" xmlns:a16="http://schemas.microsoft.com/office/drawing/2014/main" id="{00000000-0008-0000-0000-00006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31" name="Text Box 3101">
          <a:extLst>
            <a:ext uri="{FF2B5EF4-FFF2-40B4-BE49-F238E27FC236}">
              <a16:creationId xmlns="" xmlns:a16="http://schemas.microsoft.com/office/drawing/2014/main" id="{00000000-0008-0000-0000-00006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732" name="Text Box 3102">
          <a:extLst>
            <a:ext uri="{FF2B5EF4-FFF2-40B4-BE49-F238E27FC236}">
              <a16:creationId xmlns="" xmlns:a16="http://schemas.microsoft.com/office/drawing/2014/main" id="{00000000-0008-0000-0000-00006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3" name="Text Box 59">
          <a:extLst>
            <a:ext uri="{FF2B5EF4-FFF2-40B4-BE49-F238E27FC236}">
              <a16:creationId xmlns="" xmlns:a16="http://schemas.microsoft.com/office/drawing/2014/main" id="{00000000-0008-0000-0000-00006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4" name="Text Box 60">
          <a:extLst>
            <a:ext uri="{FF2B5EF4-FFF2-40B4-BE49-F238E27FC236}">
              <a16:creationId xmlns="" xmlns:a16="http://schemas.microsoft.com/office/drawing/2014/main" id="{00000000-0008-0000-0000-00006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5" name="Text Box 61">
          <a:extLst>
            <a:ext uri="{FF2B5EF4-FFF2-40B4-BE49-F238E27FC236}">
              <a16:creationId xmlns="" xmlns:a16="http://schemas.microsoft.com/office/drawing/2014/main" id="{00000000-0008-0000-0000-00006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6" name="Text Box 62">
          <a:extLst>
            <a:ext uri="{FF2B5EF4-FFF2-40B4-BE49-F238E27FC236}">
              <a16:creationId xmlns="" xmlns:a16="http://schemas.microsoft.com/office/drawing/2014/main" id="{00000000-0008-0000-0000-00006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7" name="Text Box 63">
          <a:extLst>
            <a:ext uri="{FF2B5EF4-FFF2-40B4-BE49-F238E27FC236}">
              <a16:creationId xmlns="" xmlns:a16="http://schemas.microsoft.com/office/drawing/2014/main" id="{00000000-0008-0000-0000-00006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8" name="Text Box 64">
          <a:extLst>
            <a:ext uri="{FF2B5EF4-FFF2-40B4-BE49-F238E27FC236}">
              <a16:creationId xmlns="" xmlns:a16="http://schemas.microsoft.com/office/drawing/2014/main" id="{00000000-0008-0000-0000-00006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9" name="Text Box 65">
          <a:extLst>
            <a:ext uri="{FF2B5EF4-FFF2-40B4-BE49-F238E27FC236}">
              <a16:creationId xmlns="" xmlns:a16="http://schemas.microsoft.com/office/drawing/2014/main" id="{00000000-0008-0000-0000-00006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0" name="Text Box 66">
          <a:extLst>
            <a:ext uri="{FF2B5EF4-FFF2-40B4-BE49-F238E27FC236}">
              <a16:creationId xmlns="" xmlns:a16="http://schemas.microsoft.com/office/drawing/2014/main" id="{00000000-0008-0000-0000-00006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1" name="Text Box 67">
          <a:extLst>
            <a:ext uri="{FF2B5EF4-FFF2-40B4-BE49-F238E27FC236}">
              <a16:creationId xmlns="" xmlns:a16="http://schemas.microsoft.com/office/drawing/2014/main" id="{00000000-0008-0000-0000-00006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2" name="Text Box 68">
          <a:extLst>
            <a:ext uri="{FF2B5EF4-FFF2-40B4-BE49-F238E27FC236}">
              <a16:creationId xmlns="" xmlns:a16="http://schemas.microsoft.com/office/drawing/2014/main" id="{00000000-0008-0000-0000-00006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3" name="Text Box 69">
          <a:extLst>
            <a:ext uri="{FF2B5EF4-FFF2-40B4-BE49-F238E27FC236}">
              <a16:creationId xmlns="" xmlns:a16="http://schemas.microsoft.com/office/drawing/2014/main" id="{00000000-0008-0000-0000-00006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4" name="Text Box 70">
          <a:extLst>
            <a:ext uri="{FF2B5EF4-FFF2-40B4-BE49-F238E27FC236}">
              <a16:creationId xmlns="" xmlns:a16="http://schemas.microsoft.com/office/drawing/2014/main" id="{00000000-0008-0000-0000-00007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5" name="Text Box 71">
          <a:extLst>
            <a:ext uri="{FF2B5EF4-FFF2-40B4-BE49-F238E27FC236}">
              <a16:creationId xmlns="" xmlns:a16="http://schemas.microsoft.com/office/drawing/2014/main" id="{00000000-0008-0000-0000-00007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6" name="Text Box 72">
          <a:extLst>
            <a:ext uri="{FF2B5EF4-FFF2-40B4-BE49-F238E27FC236}">
              <a16:creationId xmlns="" xmlns:a16="http://schemas.microsoft.com/office/drawing/2014/main" id="{00000000-0008-0000-0000-00007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7" name="Text Box 73">
          <a:extLst>
            <a:ext uri="{FF2B5EF4-FFF2-40B4-BE49-F238E27FC236}">
              <a16:creationId xmlns="" xmlns:a16="http://schemas.microsoft.com/office/drawing/2014/main" id="{00000000-0008-0000-0000-00007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8" name="Text Box 74">
          <a:extLst>
            <a:ext uri="{FF2B5EF4-FFF2-40B4-BE49-F238E27FC236}">
              <a16:creationId xmlns="" xmlns:a16="http://schemas.microsoft.com/office/drawing/2014/main" id="{00000000-0008-0000-0000-00007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9" name="Text Box 75">
          <a:extLst>
            <a:ext uri="{FF2B5EF4-FFF2-40B4-BE49-F238E27FC236}">
              <a16:creationId xmlns="" xmlns:a16="http://schemas.microsoft.com/office/drawing/2014/main" id="{00000000-0008-0000-0000-00007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0" name="Text Box 76">
          <a:extLst>
            <a:ext uri="{FF2B5EF4-FFF2-40B4-BE49-F238E27FC236}">
              <a16:creationId xmlns="" xmlns:a16="http://schemas.microsoft.com/office/drawing/2014/main" id="{00000000-0008-0000-0000-00007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1" name="Text Box 77">
          <a:extLst>
            <a:ext uri="{FF2B5EF4-FFF2-40B4-BE49-F238E27FC236}">
              <a16:creationId xmlns="" xmlns:a16="http://schemas.microsoft.com/office/drawing/2014/main" id="{00000000-0008-0000-0000-00007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2" name="Text Box 78">
          <a:extLst>
            <a:ext uri="{FF2B5EF4-FFF2-40B4-BE49-F238E27FC236}">
              <a16:creationId xmlns="" xmlns:a16="http://schemas.microsoft.com/office/drawing/2014/main" id="{00000000-0008-0000-0000-00007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3" name="Text Box 79">
          <a:extLst>
            <a:ext uri="{FF2B5EF4-FFF2-40B4-BE49-F238E27FC236}">
              <a16:creationId xmlns="" xmlns:a16="http://schemas.microsoft.com/office/drawing/2014/main" id="{00000000-0008-0000-0000-00007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4" name="Text Box 80">
          <a:extLst>
            <a:ext uri="{FF2B5EF4-FFF2-40B4-BE49-F238E27FC236}">
              <a16:creationId xmlns="" xmlns:a16="http://schemas.microsoft.com/office/drawing/2014/main" id="{00000000-0008-0000-0000-00007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5" name="Text Box 81">
          <a:extLst>
            <a:ext uri="{FF2B5EF4-FFF2-40B4-BE49-F238E27FC236}">
              <a16:creationId xmlns="" xmlns:a16="http://schemas.microsoft.com/office/drawing/2014/main" id="{00000000-0008-0000-0000-00007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6" name="Text Box 3079">
          <a:extLst>
            <a:ext uri="{FF2B5EF4-FFF2-40B4-BE49-F238E27FC236}">
              <a16:creationId xmlns="" xmlns:a16="http://schemas.microsoft.com/office/drawing/2014/main" id="{00000000-0008-0000-0000-00007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7" name="Text Box 3080">
          <a:extLst>
            <a:ext uri="{FF2B5EF4-FFF2-40B4-BE49-F238E27FC236}">
              <a16:creationId xmlns="" xmlns:a16="http://schemas.microsoft.com/office/drawing/2014/main" id="{00000000-0008-0000-0000-00007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8" name="Text Box 3081">
          <a:extLst>
            <a:ext uri="{FF2B5EF4-FFF2-40B4-BE49-F238E27FC236}">
              <a16:creationId xmlns="" xmlns:a16="http://schemas.microsoft.com/office/drawing/2014/main" id="{00000000-0008-0000-0000-00007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9" name="Text Box 3082">
          <a:extLst>
            <a:ext uri="{FF2B5EF4-FFF2-40B4-BE49-F238E27FC236}">
              <a16:creationId xmlns="" xmlns:a16="http://schemas.microsoft.com/office/drawing/2014/main" id="{00000000-0008-0000-0000-00007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0" name="Text Box 3083">
          <a:extLst>
            <a:ext uri="{FF2B5EF4-FFF2-40B4-BE49-F238E27FC236}">
              <a16:creationId xmlns="" xmlns:a16="http://schemas.microsoft.com/office/drawing/2014/main" id="{00000000-0008-0000-0000-00008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1" name="Text Box 3084">
          <a:extLst>
            <a:ext uri="{FF2B5EF4-FFF2-40B4-BE49-F238E27FC236}">
              <a16:creationId xmlns="" xmlns:a16="http://schemas.microsoft.com/office/drawing/2014/main" id="{00000000-0008-0000-0000-00008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2" name="Text Box 3085">
          <a:extLst>
            <a:ext uri="{FF2B5EF4-FFF2-40B4-BE49-F238E27FC236}">
              <a16:creationId xmlns="" xmlns:a16="http://schemas.microsoft.com/office/drawing/2014/main" id="{00000000-0008-0000-0000-00008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3" name="Text Box 3086">
          <a:extLst>
            <a:ext uri="{FF2B5EF4-FFF2-40B4-BE49-F238E27FC236}">
              <a16:creationId xmlns="" xmlns:a16="http://schemas.microsoft.com/office/drawing/2014/main" id="{00000000-0008-0000-0000-00008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4" name="Text Box 3087">
          <a:extLst>
            <a:ext uri="{FF2B5EF4-FFF2-40B4-BE49-F238E27FC236}">
              <a16:creationId xmlns="" xmlns:a16="http://schemas.microsoft.com/office/drawing/2014/main" id="{00000000-0008-0000-0000-00008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5" name="Text Box 3088">
          <a:extLst>
            <a:ext uri="{FF2B5EF4-FFF2-40B4-BE49-F238E27FC236}">
              <a16:creationId xmlns="" xmlns:a16="http://schemas.microsoft.com/office/drawing/2014/main" id="{00000000-0008-0000-0000-00008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6" name="Text Box 3089">
          <a:extLst>
            <a:ext uri="{FF2B5EF4-FFF2-40B4-BE49-F238E27FC236}">
              <a16:creationId xmlns="" xmlns:a16="http://schemas.microsoft.com/office/drawing/2014/main" id="{00000000-0008-0000-0000-00008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7" name="Text Box 3090">
          <a:extLst>
            <a:ext uri="{FF2B5EF4-FFF2-40B4-BE49-F238E27FC236}">
              <a16:creationId xmlns="" xmlns:a16="http://schemas.microsoft.com/office/drawing/2014/main" id="{00000000-0008-0000-0000-00008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8" name="Text Box 3091">
          <a:extLst>
            <a:ext uri="{FF2B5EF4-FFF2-40B4-BE49-F238E27FC236}">
              <a16:creationId xmlns="" xmlns:a16="http://schemas.microsoft.com/office/drawing/2014/main" id="{00000000-0008-0000-0000-00008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9" name="Text Box 3092">
          <a:extLst>
            <a:ext uri="{FF2B5EF4-FFF2-40B4-BE49-F238E27FC236}">
              <a16:creationId xmlns="" xmlns:a16="http://schemas.microsoft.com/office/drawing/2014/main" id="{00000000-0008-0000-0000-00008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0" name="Text Box 3093">
          <a:extLst>
            <a:ext uri="{FF2B5EF4-FFF2-40B4-BE49-F238E27FC236}">
              <a16:creationId xmlns="" xmlns:a16="http://schemas.microsoft.com/office/drawing/2014/main" id="{00000000-0008-0000-0000-00008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1" name="Text Box 3094">
          <a:extLst>
            <a:ext uri="{FF2B5EF4-FFF2-40B4-BE49-F238E27FC236}">
              <a16:creationId xmlns="" xmlns:a16="http://schemas.microsoft.com/office/drawing/2014/main" id="{00000000-0008-0000-0000-00008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2" name="Text Box 3095">
          <a:extLst>
            <a:ext uri="{FF2B5EF4-FFF2-40B4-BE49-F238E27FC236}">
              <a16:creationId xmlns="" xmlns:a16="http://schemas.microsoft.com/office/drawing/2014/main" id="{00000000-0008-0000-0000-00008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3" name="Text Box 3096">
          <a:extLst>
            <a:ext uri="{FF2B5EF4-FFF2-40B4-BE49-F238E27FC236}">
              <a16:creationId xmlns="" xmlns:a16="http://schemas.microsoft.com/office/drawing/2014/main" id="{00000000-0008-0000-0000-00008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4" name="Text Box 3097">
          <a:extLst>
            <a:ext uri="{FF2B5EF4-FFF2-40B4-BE49-F238E27FC236}">
              <a16:creationId xmlns="" xmlns:a16="http://schemas.microsoft.com/office/drawing/2014/main" id="{00000000-0008-0000-0000-00008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5" name="Text Box 3098">
          <a:extLst>
            <a:ext uri="{FF2B5EF4-FFF2-40B4-BE49-F238E27FC236}">
              <a16:creationId xmlns="" xmlns:a16="http://schemas.microsoft.com/office/drawing/2014/main" id="{00000000-0008-0000-0000-00008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6" name="Text Box 3099">
          <a:extLst>
            <a:ext uri="{FF2B5EF4-FFF2-40B4-BE49-F238E27FC236}">
              <a16:creationId xmlns="" xmlns:a16="http://schemas.microsoft.com/office/drawing/2014/main" id="{00000000-0008-0000-0000-00009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7" name="Text Box 3100">
          <a:extLst>
            <a:ext uri="{FF2B5EF4-FFF2-40B4-BE49-F238E27FC236}">
              <a16:creationId xmlns="" xmlns:a16="http://schemas.microsoft.com/office/drawing/2014/main" id="{00000000-0008-0000-0000-00009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8" name="Text Box 3101">
          <a:extLst>
            <a:ext uri="{FF2B5EF4-FFF2-40B4-BE49-F238E27FC236}">
              <a16:creationId xmlns="" xmlns:a16="http://schemas.microsoft.com/office/drawing/2014/main" id="{00000000-0008-0000-0000-00009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779" name="Text Box 3102">
          <a:extLst>
            <a:ext uri="{FF2B5EF4-FFF2-40B4-BE49-F238E27FC236}">
              <a16:creationId xmlns="" xmlns:a16="http://schemas.microsoft.com/office/drawing/2014/main" id="{00000000-0008-0000-0000-00009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0" name="Text Box 59">
          <a:extLst>
            <a:ext uri="{FF2B5EF4-FFF2-40B4-BE49-F238E27FC236}">
              <a16:creationId xmlns="" xmlns:a16="http://schemas.microsoft.com/office/drawing/2014/main" id="{00000000-0008-0000-0000-00009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1" name="Text Box 60">
          <a:extLst>
            <a:ext uri="{FF2B5EF4-FFF2-40B4-BE49-F238E27FC236}">
              <a16:creationId xmlns="" xmlns:a16="http://schemas.microsoft.com/office/drawing/2014/main" id="{00000000-0008-0000-0000-00009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2" name="Text Box 61">
          <a:extLst>
            <a:ext uri="{FF2B5EF4-FFF2-40B4-BE49-F238E27FC236}">
              <a16:creationId xmlns="" xmlns:a16="http://schemas.microsoft.com/office/drawing/2014/main" id="{00000000-0008-0000-0000-00009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3" name="Text Box 62">
          <a:extLst>
            <a:ext uri="{FF2B5EF4-FFF2-40B4-BE49-F238E27FC236}">
              <a16:creationId xmlns="" xmlns:a16="http://schemas.microsoft.com/office/drawing/2014/main" id="{00000000-0008-0000-0000-00009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4" name="Text Box 63">
          <a:extLst>
            <a:ext uri="{FF2B5EF4-FFF2-40B4-BE49-F238E27FC236}">
              <a16:creationId xmlns="" xmlns:a16="http://schemas.microsoft.com/office/drawing/2014/main" id="{00000000-0008-0000-0000-00009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5" name="Text Box 64">
          <a:extLst>
            <a:ext uri="{FF2B5EF4-FFF2-40B4-BE49-F238E27FC236}">
              <a16:creationId xmlns="" xmlns:a16="http://schemas.microsoft.com/office/drawing/2014/main" id="{00000000-0008-0000-0000-00009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6" name="Text Box 65">
          <a:extLst>
            <a:ext uri="{FF2B5EF4-FFF2-40B4-BE49-F238E27FC236}">
              <a16:creationId xmlns="" xmlns:a16="http://schemas.microsoft.com/office/drawing/2014/main" id="{00000000-0008-0000-0000-00009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7" name="Text Box 66">
          <a:extLst>
            <a:ext uri="{FF2B5EF4-FFF2-40B4-BE49-F238E27FC236}">
              <a16:creationId xmlns="" xmlns:a16="http://schemas.microsoft.com/office/drawing/2014/main" id="{00000000-0008-0000-0000-00009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8" name="Text Box 67">
          <a:extLst>
            <a:ext uri="{FF2B5EF4-FFF2-40B4-BE49-F238E27FC236}">
              <a16:creationId xmlns="" xmlns:a16="http://schemas.microsoft.com/office/drawing/2014/main" id="{00000000-0008-0000-0000-00009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9" name="Text Box 68">
          <a:extLst>
            <a:ext uri="{FF2B5EF4-FFF2-40B4-BE49-F238E27FC236}">
              <a16:creationId xmlns="" xmlns:a16="http://schemas.microsoft.com/office/drawing/2014/main" id="{00000000-0008-0000-0000-00009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0" name="Text Box 69">
          <a:extLst>
            <a:ext uri="{FF2B5EF4-FFF2-40B4-BE49-F238E27FC236}">
              <a16:creationId xmlns="" xmlns:a16="http://schemas.microsoft.com/office/drawing/2014/main" id="{00000000-0008-0000-0000-00009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1" name="Text Box 70">
          <a:extLst>
            <a:ext uri="{FF2B5EF4-FFF2-40B4-BE49-F238E27FC236}">
              <a16:creationId xmlns="" xmlns:a16="http://schemas.microsoft.com/office/drawing/2014/main" id="{00000000-0008-0000-0000-00009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2" name="Text Box 71">
          <a:extLst>
            <a:ext uri="{FF2B5EF4-FFF2-40B4-BE49-F238E27FC236}">
              <a16:creationId xmlns="" xmlns:a16="http://schemas.microsoft.com/office/drawing/2014/main" id="{00000000-0008-0000-0000-0000A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3" name="Text Box 72">
          <a:extLst>
            <a:ext uri="{FF2B5EF4-FFF2-40B4-BE49-F238E27FC236}">
              <a16:creationId xmlns="" xmlns:a16="http://schemas.microsoft.com/office/drawing/2014/main" id="{00000000-0008-0000-0000-0000A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4" name="Text Box 73">
          <a:extLst>
            <a:ext uri="{FF2B5EF4-FFF2-40B4-BE49-F238E27FC236}">
              <a16:creationId xmlns="" xmlns:a16="http://schemas.microsoft.com/office/drawing/2014/main" id="{00000000-0008-0000-0000-0000A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5" name="Text Box 74">
          <a:extLst>
            <a:ext uri="{FF2B5EF4-FFF2-40B4-BE49-F238E27FC236}">
              <a16:creationId xmlns="" xmlns:a16="http://schemas.microsoft.com/office/drawing/2014/main" id="{00000000-0008-0000-0000-0000A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6" name="Text Box 75">
          <a:extLst>
            <a:ext uri="{FF2B5EF4-FFF2-40B4-BE49-F238E27FC236}">
              <a16:creationId xmlns="" xmlns:a16="http://schemas.microsoft.com/office/drawing/2014/main" id="{00000000-0008-0000-0000-0000A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7" name="Text Box 76">
          <a:extLst>
            <a:ext uri="{FF2B5EF4-FFF2-40B4-BE49-F238E27FC236}">
              <a16:creationId xmlns="" xmlns:a16="http://schemas.microsoft.com/office/drawing/2014/main" id="{00000000-0008-0000-0000-0000A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8" name="Text Box 77">
          <a:extLst>
            <a:ext uri="{FF2B5EF4-FFF2-40B4-BE49-F238E27FC236}">
              <a16:creationId xmlns="" xmlns:a16="http://schemas.microsoft.com/office/drawing/2014/main" id="{00000000-0008-0000-0000-0000A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9" name="Text Box 78">
          <a:extLst>
            <a:ext uri="{FF2B5EF4-FFF2-40B4-BE49-F238E27FC236}">
              <a16:creationId xmlns="" xmlns:a16="http://schemas.microsoft.com/office/drawing/2014/main" id="{00000000-0008-0000-0000-0000A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0" name="Text Box 79">
          <a:extLst>
            <a:ext uri="{FF2B5EF4-FFF2-40B4-BE49-F238E27FC236}">
              <a16:creationId xmlns="" xmlns:a16="http://schemas.microsoft.com/office/drawing/2014/main" id="{00000000-0008-0000-0000-0000A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1" name="Text Box 80">
          <a:extLst>
            <a:ext uri="{FF2B5EF4-FFF2-40B4-BE49-F238E27FC236}">
              <a16:creationId xmlns="" xmlns:a16="http://schemas.microsoft.com/office/drawing/2014/main" id="{00000000-0008-0000-0000-0000A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2" name="Text Box 81">
          <a:extLst>
            <a:ext uri="{FF2B5EF4-FFF2-40B4-BE49-F238E27FC236}">
              <a16:creationId xmlns="" xmlns:a16="http://schemas.microsoft.com/office/drawing/2014/main" id="{00000000-0008-0000-0000-0000A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803" name="Text Box 82">
          <a:extLst>
            <a:ext uri="{FF2B5EF4-FFF2-40B4-BE49-F238E27FC236}">
              <a16:creationId xmlns="" xmlns:a16="http://schemas.microsoft.com/office/drawing/2014/main" id="{00000000-0008-0000-0000-0000A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4" name="Text Box 3079">
          <a:extLst>
            <a:ext uri="{FF2B5EF4-FFF2-40B4-BE49-F238E27FC236}">
              <a16:creationId xmlns="" xmlns:a16="http://schemas.microsoft.com/office/drawing/2014/main" id="{00000000-0008-0000-0000-0000A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5" name="Text Box 3080">
          <a:extLst>
            <a:ext uri="{FF2B5EF4-FFF2-40B4-BE49-F238E27FC236}">
              <a16:creationId xmlns="" xmlns:a16="http://schemas.microsoft.com/office/drawing/2014/main" id="{00000000-0008-0000-0000-0000A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6" name="Text Box 3081">
          <a:extLst>
            <a:ext uri="{FF2B5EF4-FFF2-40B4-BE49-F238E27FC236}">
              <a16:creationId xmlns="" xmlns:a16="http://schemas.microsoft.com/office/drawing/2014/main" id="{00000000-0008-0000-0000-0000A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7" name="Text Box 3082">
          <a:extLst>
            <a:ext uri="{FF2B5EF4-FFF2-40B4-BE49-F238E27FC236}">
              <a16:creationId xmlns="" xmlns:a16="http://schemas.microsoft.com/office/drawing/2014/main" id="{00000000-0008-0000-0000-0000A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8" name="Text Box 3083">
          <a:extLst>
            <a:ext uri="{FF2B5EF4-FFF2-40B4-BE49-F238E27FC236}">
              <a16:creationId xmlns="" xmlns:a16="http://schemas.microsoft.com/office/drawing/2014/main" id="{00000000-0008-0000-0000-0000B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9" name="Text Box 3084">
          <a:extLst>
            <a:ext uri="{FF2B5EF4-FFF2-40B4-BE49-F238E27FC236}">
              <a16:creationId xmlns="" xmlns:a16="http://schemas.microsoft.com/office/drawing/2014/main" id="{00000000-0008-0000-0000-0000B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0" name="Text Box 3085">
          <a:extLst>
            <a:ext uri="{FF2B5EF4-FFF2-40B4-BE49-F238E27FC236}">
              <a16:creationId xmlns="" xmlns:a16="http://schemas.microsoft.com/office/drawing/2014/main" id="{00000000-0008-0000-0000-0000B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1" name="Text Box 3086">
          <a:extLst>
            <a:ext uri="{FF2B5EF4-FFF2-40B4-BE49-F238E27FC236}">
              <a16:creationId xmlns="" xmlns:a16="http://schemas.microsoft.com/office/drawing/2014/main" id="{00000000-0008-0000-0000-0000B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2" name="Text Box 3087">
          <a:extLst>
            <a:ext uri="{FF2B5EF4-FFF2-40B4-BE49-F238E27FC236}">
              <a16:creationId xmlns="" xmlns:a16="http://schemas.microsoft.com/office/drawing/2014/main" id="{00000000-0008-0000-0000-0000B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3" name="Text Box 3088">
          <a:extLst>
            <a:ext uri="{FF2B5EF4-FFF2-40B4-BE49-F238E27FC236}">
              <a16:creationId xmlns="" xmlns:a16="http://schemas.microsoft.com/office/drawing/2014/main" id="{00000000-0008-0000-0000-0000B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4" name="Text Box 3089">
          <a:extLst>
            <a:ext uri="{FF2B5EF4-FFF2-40B4-BE49-F238E27FC236}">
              <a16:creationId xmlns="" xmlns:a16="http://schemas.microsoft.com/office/drawing/2014/main" id="{00000000-0008-0000-0000-0000B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5" name="Text Box 3090">
          <a:extLst>
            <a:ext uri="{FF2B5EF4-FFF2-40B4-BE49-F238E27FC236}">
              <a16:creationId xmlns="" xmlns:a16="http://schemas.microsoft.com/office/drawing/2014/main" id="{00000000-0008-0000-0000-0000B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6" name="Text Box 3091">
          <a:extLst>
            <a:ext uri="{FF2B5EF4-FFF2-40B4-BE49-F238E27FC236}">
              <a16:creationId xmlns="" xmlns:a16="http://schemas.microsoft.com/office/drawing/2014/main" id="{00000000-0008-0000-0000-0000B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7" name="Text Box 3092">
          <a:extLst>
            <a:ext uri="{FF2B5EF4-FFF2-40B4-BE49-F238E27FC236}">
              <a16:creationId xmlns="" xmlns:a16="http://schemas.microsoft.com/office/drawing/2014/main" id="{00000000-0008-0000-0000-0000B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8" name="Text Box 3093">
          <a:extLst>
            <a:ext uri="{FF2B5EF4-FFF2-40B4-BE49-F238E27FC236}">
              <a16:creationId xmlns="" xmlns:a16="http://schemas.microsoft.com/office/drawing/2014/main" id="{00000000-0008-0000-0000-0000B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9" name="Text Box 3094">
          <a:extLst>
            <a:ext uri="{FF2B5EF4-FFF2-40B4-BE49-F238E27FC236}">
              <a16:creationId xmlns="" xmlns:a16="http://schemas.microsoft.com/office/drawing/2014/main" id="{00000000-0008-0000-0000-0000B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0" name="Text Box 3095">
          <a:extLst>
            <a:ext uri="{FF2B5EF4-FFF2-40B4-BE49-F238E27FC236}">
              <a16:creationId xmlns="" xmlns:a16="http://schemas.microsoft.com/office/drawing/2014/main" id="{00000000-0008-0000-0000-0000B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1" name="Text Box 3096">
          <a:extLst>
            <a:ext uri="{FF2B5EF4-FFF2-40B4-BE49-F238E27FC236}">
              <a16:creationId xmlns="" xmlns:a16="http://schemas.microsoft.com/office/drawing/2014/main" id="{00000000-0008-0000-0000-0000B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2" name="Text Box 3097">
          <a:extLst>
            <a:ext uri="{FF2B5EF4-FFF2-40B4-BE49-F238E27FC236}">
              <a16:creationId xmlns="" xmlns:a16="http://schemas.microsoft.com/office/drawing/2014/main" id="{00000000-0008-0000-0000-0000B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3" name="Text Box 3098">
          <a:extLst>
            <a:ext uri="{FF2B5EF4-FFF2-40B4-BE49-F238E27FC236}">
              <a16:creationId xmlns="" xmlns:a16="http://schemas.microsoft.com/office/drawing/2014/main" id="{00000000-0008-0000-0000-0000B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4" name="Text Box 3099">
          <a:extLst>
            <a:ext uri="{FF2B5EF4-FFF2-40B4-BE49-F238E27FC236}">
              <a16:creationId xmlns="" xmlns:a16="http://schemas.microsoft.com/office/drawing/2014/main" id="{00000000-0008-0000-0000-0000C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5" name="Text Box 3100">
          <a:extLst>
            <a:ext uri="{FF2B5EF4-FFF2-40B4-BE49-F238E27FC236}">
              <a16:creationId xmlns="" xmlns:a16="http://schemas.microsoft.com/office/drawing/2014/main" id="{00000000-0008-0000-0000-0000C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6" name="Text Box 3101">
          <a:extLst>
            <a:ext uri="{FF2B5EF4-FFF2-40B4-BE49-F238E27FC236}">
              <a16:creationId xmlns="" xmlns:a16="http://schemas.microsoft.com/office/drawing/2014/main" id="{00000000-0008-0000-0000-0000C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827" name="Text Box 3102">
          <a:extLst>
            <a:ext uri="{FF2B5EF4-FFF2-40B4-BE49-F238E27FC236}">
              <a16:creationId xmlns="" xmlns:a16="http://schemas.microsoft.com/office/drawing/2014/main" id="{00000000-0008-0000-0000-0000C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28" name="Text Box 59">
          <a:extLst>
            <a:ext uri="{FF2B5EF4-FFF2-40B4-BE49-F238E27FC236}">
              <a16:creationId xmlns="" xmlns:a16="http://schemas.microsoft.com/office/drawing/2014/main" id="{00000000-0008-0000-0000-0000C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29" name="Text Box 60">
          <a:extLst>
            <a:ext uri="{FF2B5EF4-FFF2-40B4-BE49-F238E27FC236}">
              <a16:creationId xmlns="" xmlns:a16="http://schemas.microsoft.com/office/drawing/2014/main" id="{00000000-0008-0000-0000-0000C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0" name="Text Box 61">
          <a:extLst>
            <a:ext uri="{FF2B5EF4-FFF2-40B4-BE49-F238E27FC236}">
              <a16:creationId xmlns="" xmlns:a16="http://schemas.microsoft.com/office/drawing/2014/main" id="{00000000-0008-0000-0000-0000C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1" name="Text Box 62">
          <a:extLst>
            <a:ext uri="{FF2B5EF4-FFF2-40B4-BE49-F238E27FC236}">
              <a16:creationId xmlns="" xmlns:a16="http://schemas.microsoft.com/office/drawing/2014/main" id="{00000000-0008-0000-0000-0000C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2" name="Text Box 63">
          <a:extLst>
            <a:ext uri="{FF2B5EF4-FFF2-40B4-BE49-F238E27FC236}">
              <a16:creationId xmlns="" xmlns:a16="http://schemas.microsoft.com/office/drawing/2014/main" id="{00000000-0008-0000-0000-0000C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3" name="Text Box 64">
          <a:extLst>
            <a:ext uri="{FF2B5EF4-FFF2-40B4-BE49-F238E27FC236}">
              <a16:creationId xmlns="" xmlns:a16="http://schemas.microsoft.com/office/drawing/2014/main" id="{00000000-0008-0000-0000-0000C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4" name="Text Box 65">
          <a:extLst>
            <a:ext uri="{FF2B5EF4-FFF2-40B4-BE49-F238E27FC236}">
              <a16:creationId xmlns="" xmlns:a16="http://schemas.microsoft.com/office/drawing/2014/main" id="{00000000-0008-0000-0000-0000C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5" name="Text Box 66">
          <a:extLst>
            <a:ext uri="{FF2B5EF4-FFF2-40B4-BE49-F238E27FC236}">
              <a16:creationId xmlns="" xmlns:a16="http://schemas.microsoft.com/office/drawing/2014/main" id="{00000000-0008-0000-0000-0000C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6" name="Text Box 67">
          <a:extLst>
            <a:ext uri="{FF2B5EF4-FFF2-40B4-BE49-F238E27FC236}">
              <a16:creationId xmlns="" xmlns:a16="http://schemas.microsoft.com/office/drawing/2014/main" id="{00000000-0008-0000-0000-0000C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7" name="Text Box 68">
          <a:extLst>
            <a:ext uri="{FF2B5EF4-FFF2-40B4-BE49-F238E27FC236}">
              <a16:creationId xmlns="" xmlns:a16="http://schemas.microsoft.com/office/drawing/2014/main" id="{00000000-0008-0000-0000-0000C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8" name="Text Box 69">
          <a:extLst>
            <a:ext uri="{FF2B5EF4-FFF2-40B4-BE49-F238E27FC236}">
              <a16:creationId xmlns="" xmlns:a16="http://schemas.microsoft.com/office/drawing/2014/main" id="{00000000-0008-0000-0000-0000C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9" name="Text Box 70">
          <a:extLst>
            <a:ext uri="{FF2B5EF4-FFF2-40B4-BE49-F238E27FC236}">
              <a16:creationId xmlns="" xmlns:a16="http://schemas.microsoft.com/office/drawing/2014/main" id="{00000000-0008-0000-0000-0000C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0" name="Text Box 71">
          <a:extLst>
            <a:ext uri="{FF2B5EF4-FFF2-40B4-BE49-F238E27FC236}">
              <a16:creationId xmlns="" xmlns:a16="http://schemas.microsoft.com/office/drawing/2014/main" id="{00000000-0008-0000-0000-0000D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1" name="Text Box 72">
          <a:extLst>
            <a:ext uri="{FF2B5EF4-FFF2-40B4-BE49-F238E27FC236}">
              <a16:creationId xmlns="" xmlns:a16="http://schemas.microsoft.com/office/drawing/2014/main" id="{00000000-0008-0000-0000-0000D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2" name="Text Box 73">
          <a:extLst>
            <a:ext uri="{FF2B5EF4-FFF2-40B4-BE49-F238E27FC236}">
              <a16:creationId xmlns="" xmlns:a16="http://schemas.microsoft.com/office/drawing/2014/main" id="{00000000-0008-0000-0000-0000D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3" name="Text Box 74">
          <a:extLst>
            <a:ext uri="{FF2B5EF4-FFF2-40B4-BE49-F238E27FC236}">
              <a16:creationId xmlns="" xmlns:a16="http://schemas.microsoft.com/office/drawing/2014/main" id="{00000000-0008-0000-0000-0000D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4" name="Text Box 75">
          <a:extLst>
            <a:ext uri="{FF2B5EF4-FFF2-40B4-BE49-F238E27FC236}">
              <a16:creationId xmlns="" xmlns:a16="http://schemas.microsoft.com/office/drawing/2014/main" id="{00000000-0008-0000-0000-0000D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5" name="Text Box 76">
          <a:extLst>
            <a:ext uri="{FF2B5EF4-FFF2-40B4-BE49-F238E27FC236}">
              <a16:creationId xmlns="" xmlns:a16="http://schemas.microsoft.com/office/drawing/2014/main" id="{00000000-0008-0000-0000-0000D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6" name="Text Box 77">
          <a:extLst>
            <a:ext uri="{FF2B5EF4-FFF2-40B4-BE49-F238E27FC236}">
              <a16:creationId xmlns="" xmlns:a16="http://schemas.microsoft.com/office/drawing/2014/main" id="{00000000-0008-0000-0000-0000D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7" name="Text Box 78">
          <a:extLst>
            <a:ext uri="{FF2B5EF4-FFF2-40B4-BE49-F238E27FC236}">
              <a16:creationId xmlns="" xmlns:a16="http://schemas.microsoft.com/office/drawing/2014/main" id="{00000000-0008-0000-0000-0000D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8" name="Text Box 79">
          <a:extLst>
            <a:ext uri="{FF2B5EF4-FFF2-40B4-BE49-F238E27FC236}">
              <a16:creationId xmlns="" xmlns:a16="http://schemas.microsoft.com/office/drawing/2014/main" id="{00000000-0008-0000-0000-0000D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9" name="Text Box 80">
          <a:extLst>
            <a:ext uri="{FF2B5EF4-FFF2-40B4-BE49-F238E27FC236}">
              <a16:creationId xmlns="" xmlns:a16="http://schemas.microsoft.com/office/drawing/2014/main" id="{00000000-0008-0000-0000-0000D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50" name="Text Box 81">
          <a:extLst>
            <a:ext uri="{FF2B5EF4-FFF2-40B4-BE49-F238E27FC236}">
              <a16:creationId xmlns="" xmlns:a16="http://schemas.microsoft.com/office/drawing/2014/main" id="{00000000-0008-0000-0000-0000D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1" name="Text Box 3079">
          <a:extLst>
            <a:ext uri="{FF2B5EF4-FFF2-40B4-BE49-F238E27FC236}">
              <a16:creationId xmlns="" xmlns:a16="http://schemas.microsoft.com/office/drawing/2014/main" id="{00000000-0008-0000-0000-0000D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2" name="Text Box 3080">
          <a:extLst>
            <a:ext uri="{FF2B5EF4-FFF2-40B4-BE49-F238E27FC236}">
              <a16:creationId xmlns="" xmlns:a16="http://schemas.microsoft.com/office/drawing/2014/main" id="{00000000-0008-0000-0000-0000D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3" name="Text Box 3081">
          <a:extLst>
            <a:ext uri="{FF2B5EF4-FFF2-40B4-BE49-F238E27FC236}">
              <a16:creationId xmlns="" xmlns:a16="http://schemas.microsoft.com/office/drawing/2014/main" id="{00000000-0008-0000-0000-0000D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4" name="Text Box 3082">
          <a:extLst>
            <a:ext uri="{FF2B5EF4-FFF2-40B4-BE49-F238E27FC236}">
              <a16:creationId xmlns="" xmlns:a16="http://schemas.microsoft.com/office/drawing/2014/main" id="{00000000-0008-0000-0000-0000D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5" name="Text Box 3083">
          <a:extLst>
            <a:ext uri="{FF2B5EF4-FFF2-40B4-BE49-F238E27FC236}">
              <a16:creationId xmlns="" xmlns:a16="http://schemas.microsoft.com/office/drawing/2014/main" id="{00000000-0008-0000-0000-0000D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6" name="Text Box 3084">
          <a:extLst>
            <a:ext uri="{FF2B5EF4-FFF2-40B4-BE49-F238E27FC236}">
              <a16:creationId xmlns="" xmlns:a16="http://schemas.microsoft.com/office/drawing/2014/main" id="{00000000-0008-0000-0000-0000E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7" name="Text Box 3085">
          <a:extLst>
            <a:ext uri="{FF2B5EF4-FFF2-40B4-BE49-F238E27FC236}">
              <a16:creationId xmlns="" xmlns:a16="http://schemas.microsoft.com/office/drawing/2014/main" id="{00000000-0008-0000-0000-0000E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8" name="Text Box 3086">
          <a:extLst>
            <a:ext uri="{FF2B5EF4-FFF2-40B4-BE49-F238E27FC236}">
              <a16:creationId xmlns="" xmlns:a16="http://schemas.microsoft.com/office/drawing/2014/main" id="{00000000-0008-0000-0000-0000E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9" name="Text Box 3087">
          <a:extLst>
            <a:ext uri="{FF2B5EF4-FFF2-40B4-BE49-F238E27FC236}">
              <a16:creationId xmlns="" xmlns:a16="http://schemas.microsoft.com/office/drawing/2014/main" id="{00000000-0008-0000-0000-0000E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0" name="Text Box 3088">
          <a:extLst>
            <a:ext uri="{FF2B5EF4-FFF2-40B4-BE49-F238E27FC236}">
              <a16:creationId xmlns="" xmlns:a16="http://schemas.microsoft.com/office/drawing/2014/main" id="{00000000-0008-0000-0000-0000E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1" name="Text Box 3089">
          <a:extLst>
            <a:ext uri="{FF2B5EF4-FFF2-40B4-BE49-F238E27FC236}">
              <a16:creationId xmlns="" xmlns:a16="http://schemas.microsoft.com/office/drawing/2014/main" id="{00000000-0008-0000-0000-0000E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2" name="Text Box 3090">
          <a:extLst>
            <a:ext uri="{FF2B5EF4-FFF2-40B4-BE49-F238E27FC236}">
              <a16:creationId xmlns="" xmlns:a16="http://schemas.microsoft.com/office/drawing/2014/main" id="{00000000-0008-0000-0000-0000E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3" name="Text Box 3091">
          <a:extLst>
            <a:ext uri="{FF2B5EF4-FFF2-40B4-BE49-F238E27FC236}">
              <a16:creationId xmlns="" xmlns:a16="http://schemas.microsoft.com/office/drawing/2014/main" id="{00000000-0008-0000-0000-0000E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4" name="Text Box 3092">
          <a:extLst>
            <a:ext uri="{FF2B5EF4-FFF2-40B4-BE49-F238E27FC236}">
              <a16:creationId xmlns="" xmlns:a16="http://schemas.microsoft.com/office/drawing/2014/main" id="{00000000-0008-0000-0000-0000E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5" name="Text Box 3093">
          <a:extLst>
            <a:ext uri="{FF2B5EF4-FFF2-40B4-BE49-F238E27FC236}">
              <a16:creationId xmlns="" xmlns:a16="http://schemas.microsoft.com/office/drawing/2014/main" id="{00000000-0008-0000-0000-0000E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6" name="Text Box 3094">
          <a:extLst>
            <a:ext uri="{FF2B5EF4-FFF2-40B4-BE49-F238E27FC236}">
              <a16:creationId xmlns="" xmlns:a16="http://schemas.microsoft.com/office/drawing/2014/main" id="{00000000-0008-0000-0000-0000E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7" name="Text Box 3095">
          <a:extLst>
            <a:ext uri="{FF2B5EF4-FFF2-40B4-BE49-F238E27FC236}">
              <a16:creationId xmlns="" xmlns:a16="http://schemas.microsoft.com/office/drawing/2014/main" id="{00000000-0008-0000-0000-0000E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8" name="Text Box 3096">
          <a:extLst>
            <a:ext uri="{FF2B5EF4-FFF2-40B4-BE49-F238E27FC236}">
              <a16:creationId xmlns="" xmlns:a16="http://schemas.microsoft.com/office/drawing/2014/main" id="{00000000-0008-0000-0000-0000E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9" name="Text Box 3097">
          <a:extLst>
            <a:ext uri="{FF2B5EF4-FFF2-40B4-BE49-F238E27FC236}">
              <a16:creationId xmlns="" xmlns:a16="http://schemas.microsoft.com/office/drawing/2014/main" id="{00000000-0008-0000-0000-0000E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0" name="Text Box 3098">
          <a:extLst>
            <a:ext uri="{FF2B5EF4-FFF2-40B4-BE49-F238E27FC236}">
              <a16:creationId xmlns="" xmlns:a16="http://schemas.microsoft.com/office/drawing/2014/main" id="{00000000-0008-0000-0000-0000E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1" name="Text Box 3099">
          <a:extLst>
            <a:ext uri="{FF2B5EF4-FFF2-40B4-BE49-F238E27FC236}">
              <a16:creationId xmlns="" xmlns:a16="http://schemas.microsoft.com/office/drawing/2014/main" id="{00000000-0008-0000-0000-0000E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2" name="Text Box 3100">
          <a:extLst>
            <a:ext uri="{FF2B5EF4-FFF2-40B4-BE49-F238E27FC236}">
              <a16:creationId xmlns="" xmlns:a16="http://schemas.microsoft.com/office/drawing/2014/main" id="{00000000-0008-0000-0000-0000F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3" name="Text Box 3101">
          <a:extLst>
            <a:ext uri="{FF2B5EF4-FFF2-40B4-BE49-F238E27FC236}">
              <a16:creationId xmlns="" xmlns:a16="http://schemas.microsoft.com/office/drawing/2014/main" id="{00000000-0008-0000-0000-0000F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874" name="Text Box 3102">
          <a:extLst>
            <a:ext uri="{FF2B5EF4-FFF2-40B4-BE49-F238E27FC236}">
              <a16:creationId xmlns="" xmlns:a16="http://schemas.microsoft.com/office/drawing/2014/main" id="{00000000-0008-0000-0000-0000F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5" name="Text Box 59">
          <a:extLst>
            <a:ext uri="{FF2B5EF4-FFF2-40B4-BE49-F238E27FC236}">
              <a16:creationId xmlns="" xmlns:a16="http://schemas.microsoft.com/office/drawing/2014/main" id="{00000000-0008-0000-0000-0000F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6" name="Text Box 60">
          <a:extLst>
            <a:ext uri="{FF2B5EF4-FFF2-40B4-BE49-F238E27FC236}">
              <a16:creationId xmlns="" xmlns:a16="http://schemas.microsoft.com/office/drawing/2014/main" id="{00000000-0008-0000-0000-0000F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7" name="Text Box 61">
          <a:extLst>
            <a:ext uri="{FF2B5EF4-FFF2-40B4-BE49-F238E27FC236}">
              <a16:creationId xmlns="" xmlns:a16="http://schemas.microsoft.com/office/drawing/2014/main" id="{00000000-0008-0000-0000-0000F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8" name="Text Box 62">
          <a:extLst>
            <a:ext uri="{FF2B5EF4-FFF2-40B4-BE49-F238E27FC236}">
              <a16:creationId xmlns="" xmlns:a16="http://schemas.microsoft.com/office/drawing/2014/main" id="{00000000-0008-0000-0000-0000F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9" name="Text Box 63">
          <a:extLst>
            <a:ext uri="{FF2B5EF4-FFF2-40B4-BE49-F238E27FC236}">
              <a16:creationId xmlns="" xmlns:a16="http://schemas.microsoft.com/office/drawing/2014/main" id="{00000000-0008-0000-0000-0000F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0" name="Text Box 64">
          <a:extLst>
            <a:ext uri="{FF2B5EF4-FFF2-40B4-BE49-F238E27FC236}">
              <a16:creationId xmlns="" xmlns:a16="http://schemas.microsoft.com/office/drawing/2014/main" id="{00000000-0008-0000-0000-0000F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1" name="Text Box 65">
          <a:extLst>
            <a:ext uri="{FF2B5EF4-FFF2-40B4-BE49-F238E27FC236}">
              <a16:creationId xmlns="" xmlns:a16="http://schemas.microsoft.com/office/drawing/2014/main" id="{00000000-0008-0000-0000-0000F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2" name="Text Box 66">
          <a:extLst>
            <a:ext uri="{FF2B5EF4-FFF2-40B4-BE49-F238E27FC236}">
              <a16:creationId xmlns="" xmlns:a16="http://schemas.microsoft.com/office/drawing/2014/main" id="{00000000-0008-0000-0000-0000F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3" name="Text Box 67">
          <a:extLst>
            <a:ext uri="{FF2B5EF4-FFF2-40B4-BE49-F238E27FC236}">
              <a16:creationId xmlns="" xmlns:a16="http://schemas.microsoft.com/office/drawing/2014/main" id="{00000000-0008-0000-0000-0000F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4" name="Text Box 68">
          <a:extLst>
            <a:ext uri="{FF2B5EF4-FFF2-40B4-BE49-F238E27FC236}">
              <a16:creationId xmlns="" xmlns:a16="http://schemas.microsoft.com/office/drawing/2014/main" id="{00000000-0008-0000-0000-0000F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5" name="Text Box 69">
          <a:extLst>
            <a:ext uri="{FF2B5EF4-FFF2-40B4-BE49-F238E27FC236}">
              <a16:creationId xmlns="" xmlns:a16="http://schemas.microsoft.com/office/drawing/2014/main" id="{00000000-0008-0000-0000-0000F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6" name="Text Box 70">
          <a:extLst>
            <a:ext uri="{FF2B5EF4-FFF2-40B4-BE49-F238E27FC236}">
              <a16:creationId xmlns="" xmlns:a16="http://schemas.microsoft.com/office/drawing/2014/main" id="{00000000-0008-0000-0000-0000F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7" name="Text Box 71">
          <a:extLst>
            <a:ext uri="{FF2B5EF4-FFF2-40B4-BE49-F238E27FC236}">
              <a16:creationId xmlns="" xmlns:a16="http://schemas.microsoft.com/office/drawing/2014/main" id="{00000000-0008-0000-0000-0000F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8" name="Text Box 72">
          <a:extLst>
            <a:ext uri="{FF2B5EF4-FFF2-40B4-BE49-F238E27FC236}">
              <a16:creationId xmlns="" xmlns:a16="http://schemas.microsoft.com/office/drawing/2014/main" id="{00000000-0008-0000-0000-00000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9" name="Text Box 73">
          <a:extLst>
            <a:ext uri="{FF2B5EF4-FFF2-40B4-BE49-F238E27FC236}">
              <a16:creationId xmlns="" xmlns:a16="http://schemas.microsoft.com/office/drawing/2014/main" id="{00000000-0008-0000-0000-00000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0" name="Text Box 74">
          <a:extLst>
            <a:ext uri="{FF2B5EF4-FFF2-40B4-BE49-F238E27FC236}">
              <a16:creationId xmlns="" xmlns:a16="http://schemas.microsoft.com/office/drawing/2014/main" id="{00000000-0008-0000-0000-00000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1" name="Text Box 75">
          <a:extLst>
            <a:ext uri="{FF2B5EF4-FFF2-40B4-BE49-F238E27FC236}">
              <a16:creationId xmlns="" xmlns:a16="http://schemas.microsoft.com/office/drawing/2014/main" id="{00000000-0008-0000-0000-00000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2" name="Text Box 76">
          <a:extLst>
            <a:ext uri="{FF2B5EF4-FFF2-40B4-BE49-F238E27FC236}">
              <a16:creationId xmlns="" xmlns:a16="http://schemas.microsoft.com/office/drawing/2014/main" id="{00000000-0008-0000-0000-00000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3" name="Text Box 77">
          <a:extLst>
            <a:ext uri="{FF2B5EF4-FFF2-40B4-BE49-F238E27FC236}">
              <a16:creationId xmlns="" xmlns:a16="http://schemas.microsoft.com/office/drawing/2014/main" id="{00000000-0008-0000-0000-00000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4" name="Text Box 78">
          <a:extLst>
            <a:ext uri="{FF2B5EF4-FFF2-40B4-BE49-F238E27FC236}">
              <a16:creationId xmlns="" xmlns:a16="http://schemas.microsoft.com/office/drawing/2014/main" id="{00000000-0008-0000-0000-00000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5" name="Text Box 79">
          <a:extLst>
            <a:ext uri="{FF2B5EF4-FFF2-40B4-BE49-F238E27FC236}">
              <a16:creationId xmlns="" xmlns:a16="http://schemas.microsoft.com/office/drawing/2014/main" id="{00000000-0008-0000-0000-00000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6" name="Text Box 80">
          <a:extLst>
            <a:ext uri="{FF2B5EF4-FFF2-40B4-BE49-F238E27FC236}">
              <a16:creationId xmlns="" xmlns:a16="http://schemas.microsoft.com/office/drawing/2014/main" id="{00000000-0008-0000-0000-00000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7" name="Text Box 81">
          <a:extLst>
            <a:ext uri="{FF2B5EF4-FFF2-40B4-BE49-F238E27FC236}">
              <a16:creationId xmlns="" xmlns:a16="http://schemas.microsoft.com/office/drawing/2014/main" id="{00000000-0008-0000-0000-00000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898" name="Text Box 82">
          <a:extLst>
            <a:ext uri="{FF2B5EF4-FFF2-40B4-BE49-F238E27FC236}">
              <a16:creationId xmlns="" xmlns:a16="http://schemas.microsoft.com/office/drawing/2014/main" id="{00000000-0008-0000-0000-00000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99" name="Text Box 3079">
          <a:extLst>
            <a:ext uri="{FF2B5EF4-FFF2-40B4-BE49-F238E27FC236}">
              <a16:creationId xmlns="" xmlns:a16="http://schemas.microsoft.com/office/drawing/2014/main" id="{00000000-0008-0000-0000-00000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0" name="Text Box 3080">
          <a:extLst>
            <a:ext uri="{FF2B5EF4-FFF2-40B4-BE49-F238E27FC236}">
              <a16:creationId xmlns="" xmlns:a16="http://schemas.microsoft.com/office/drawing/2014/main" id="{00000000-0008-0000-0000-00000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1" name="Text Box 3081">
          <a:extLst>
            <a:ext uri="{FF2B5EF4-FFF2-40B4-BE49-F238E27FC236}">
              <a16:creationId xmlns="" xmlns:a16="http://schemas.microsoft.com/office/drawing/2014/main" id="{00000000-0008-0000-0000-00000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2" name="Text Box 3082">
          <a:extLst>
            <a:ext uri="{FF2B5EF4-FFF2-40B4-BE49-F238E27FC236}">
              <a16:creationId xmlns="" xmlns:a16="http://schemas.microsoft.com/office/drawing/2014/main" id="{00000000-0008-0000-0000-00000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3" name="Text Box 3083">
          <a:extLst>
            <a:ext uri="{FF2B5EF4-FFF2-40B4-BE49-F238E27FC236}">
              <a16:creationId xmlns="" xmlns:a16="http://schemas.microsoft.com/office/drawing/2014/main" id="{00000000-0008-0000-0000-00000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4" name="Text Box 3084">
          <a:extLst>
            <a:ext uri="{FF2B5EF4-FFF2-40B4-BE49-F238E27FC236}">
              <a16:creationId xmlns="" xmlns:a16="http://schemas.microsoft.com/office/drawing/2014/main" id="{00000000-0008-0000-0000-00001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5" name="Text Box 3085">
          <a:extLst>
            <a:ext uri="{FF2B5EF4-FFF2-40B4-BE49-F238E27FC236}">
              <a16:creationId xmlns="" xmlns:a16="http://schemas.microsoft.com/office/drawing/2014/main" id="{00000000-0008-0000-0000-00001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6" name="Text Box 3086">
          <a:extLst>
            <a:ext uri="{FF2B5EF4-FFF2-40B4-BE49-F238E27FC236}">
              <a16:creationId xmlns="" xmlns:a16="http://schemas.microsoft.com/office/drawing/2014/main" id="{00000000-0008-0000-0000-00001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7" name="Text Box 3087">
          <a:extLst>
            <a:ext uri="{FF2B5EF4-FFF2-40B4-BE49-F238E27FC236}">
              <a16:creationId xmlns="" xmlns:a16="http://schemas.microsoft.com/office/drawing/2014/main" id="{00000000-0008-0000-0000-00001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8" name="Text Box 3088">
          <a:extLst>
            <a:ext uri="{FF2B5EF4-FFF2-40B4-BE49-F238E27FC236}">
              <a16:creationId xmlns="" xmlns:a16="http://schemas.microsoft.com/office/drawing/2014/main" id="{00000000-0008-0000-0000-00001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9" name="Text Box 3089">
          <a:extLst>
            <a:ext uri="{FF2B5EF4-FFF2-40B4-BE49-F238E27FC236}">
              <a16:creationId xmlns="" xmlns:a16="http://schemas.microsoft.com/office/drawing/2014/main" id="{00000000-0008-0000-0000-00001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0" name="Text Box 3090">
          <a:extLst>
            <a:ext uri="{FF2B5EF4-FFF2-40B4-BE49-F238E27FC236}">
              <a16:creationId xmlns="" xmlns:a16="http://schemas.microsoft.com/office/drawing/2014/main" id="{00000000-0008-0000-0000-00001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1" name="Text Box 3091">
          <a:extLst>
            <a:ext uri="{FF2B5EF4-FFF2-40B4-BE49-F238E27FC236}">
              <a16:creationId xmlns="" xmlns:a16="http://schemas.microsoft.com/office/drawing/2014/main" id="{00000000-0008-0000-0000-00001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2" name="Text Box 3092">
          <a:extLst>
            <a:ext uri="{FF2B5EF4-FFF2-40B4-BE49-F238E27FC236}">
              <a16:creationId xmlns="" xmlns:a16="http://schemas.microsoft.com/office/drawing/2014/main" id="{00000000-0008-0000-0000-00001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3" name="Text Box 3093">
          <a:extLst>
            <a:ext uri="{FF2B5EF4-FFF2-40B4-BE49-F238E27FC236}">
              <a16:creationId xmlns="" xmlns:a16="http://schemas.microsoft.com/office/drawing/2014/main" id="{00000000-0008-0000-0000-00001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4" name="Text Box 3094">
          <a:extLst>
            <a:ext uri="{FF2B5EF4-FFF2-40B4-BE49-F238E27FC236}">
              <a16:creationId xmlns="" xmlns:a16="http://schemas.microsoft.com/office/drawing/2014/main" id="{00000000-0008-0000-0000-00001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5" name="Text Box 3095">
          <a:extLst>
            <a:ext uri="{FF2B5EF4-FFF2-40B4-BE49-F238E27FC236}">
              <a16:creationId xmlns="" xmlns:a16="http://schemas.microsoft.com/office/drawing/2014/main" id="{00000000-0008-0000-0000-00001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6" name="Text Box 3096">
          <a:extLst>
            <a:ext uri="{FF2B5EF4-FFF2-40B4-BE49-F238E27FC236}">
              <a16:creationId xmlns="" xmlns:a16="http://schemas.microsoft.com/office/drawing/2014/main" id="{00000000-0008-0000-0000-00001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7" name="Text Box 3097">
          <a:extLst>
            <a:ext uri="{FF2B5EF4-FFF2-40B4-BE49-F238E27FC236}">
              <a16:creationId xmlns="" xmlns:a16="http://schemas.microsoft.com/office/drawing/2014/main" id="{00000000-0008-0000-0000-00001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8" name="Text Box 3098">
          <a:extLst>
            <a:ext uri="{FF2B5EF4-FFF2-40B4-BE49-F238E27FC236}">
              <a16:creationId xmlns="" xmlns:a16="http://schemas.microsoft.com/office/drawing/2014/main" id="{00000000-0008-0000-0000-00001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9" name="Text Box 3099">
          <a:extLst>
            <a:ext uri="{FF2B5EF4-FFF2-40B4-BE49-F238E27FC236}">
              <a16:creationId xmlns="" xmlns:a16="http://schemas.microsoft.com/office/drawing/2014/main" id="{00000000-0008-0000-0000-00001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20" name="Text Box 3100">
          <a:extLst>
            <a:ext uri="{FF2B5EF4-FFF2-40B4-BE49-F238E27FC236}">
              <a16:creationId xmlns="" xmlns:a16="http://schemas.microsoft.com/office/drawing/2014/main" id="{00000000-0008-0000-0000-00002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21" name="Text Box 3101">
          <a:extLst>
            <a:ext uri="{FF2B5EF4-FFF2-40B4-BE49-F238E27FC236}">
              <a16:creationId xmlns="" xmlns:a16="http://schemas.microsoft.com/office/drawing/2014/main" id="{00000000-0008-0000-0000-00002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922" name="Text Box 3102">
          <a:extLst>
            <a:ext uri="{FF2B5EF4-FFF2-40B4-BE49-F238E27FC236}">
              <a16:creationId xmlns="" xmlns:a16="http://schemas.microsoft.com/office/drawing/2014/main" id="{00000000-0008-0000-0000-00002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3" name="Text Box 59">
          <a:extLst>
            <a:ext uri="{FF2B5EF4-FFF2-40B4-BE49-F238E27FC236}">
              <a16:creationId xmlns="" xmlns:a16="http://schemas.microsoft.com/office/drawing/2014/main" id="{00000000-0008-0000-0000-00002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4" name="Text Box 60">
          <a:extLst>
            <a:ext uri="{FF2B5EF4-FFF2-40B4-BE49-F238E27FC236}">
              <a16:creationId xmlns="" xmlns:a16="http://schemas.microsoft.com/office/drawing/2014/main" id="{00000000-0008-0000-0000-00002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5" name="Text Box 61">
          <a:extLst>
            <a:ext uri="{FF2B5EF4-FFF2-40B4-BE49-F238E27FC236}">
              <a16:creationId xmlns="" xmlns:a16="http://schemas.microsoft.com/office/drawing/2014/main" id="{00000000-0008-0000-0000-00002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6" name="Text Box 62">
          <a:extLst>
            <a:ext uri="{FF2B5EF4-FFF2-40B4-BE49-F238E27FC236}">
              <a16:creationId xmlns="" xmlns:a16="http://schemas.microsoft.com/office/drawing/2014/main" id="{00000000-0008-0000-0000-00002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7" name="Text Box 63">
          <a:extLst>
            <a:ext uri="{FF2B5EF4-FFF2-40B4-BE49-F238E27FC236}">
              <a16:creationId xmlns="" xmlns:a16="http://schemas.microsoft.com/office/drawing/2014/main" id="{00000000-0008-0000-0000-00002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8" name="Text Box 64">
          <a:extLst>
            <a:ext uri="{FF2B5EF4-FFF2-40B4-BE49-F238E27FC236}">
              <a16:creationId xmlns="" xmlns:a16="http://schemas.microsoft.com/office/drawing/2014/main" id="{00000000-0008-0000-0000-00002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9" name="Text Box 65">
          <a:extLst>
            <a:ext uri="{FF2B5EF4-FFF2-40B4-BE49-F238E27FC236}">
              <a16:creationId xmlns="" xmlns:a16="http://schemas.microsoft.com/office/drawing/2014/main" id="{00000000-0008-0000-0000-00002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0" name="Text Box 66">
          <a:extLst>
            <a:ext uri="{FF2B5EF4-FFF2-40B4-BE49-F238E27FC236}">
              <a16:creationId xmlns="" xmlns:a16="http://schemas.microsoft.com/office/drawing/2014/main" id="{00000000-0008-0000-0000-00002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1" name="Text Box 67">
          <a:extLst>
            <a:ext uri="{FF2B5EF4-FFF2-40B4-BE49-F238E27FC236}">
              <a16:creationId xmlns="" xmlns:a16="http://schemas.microsoft.com/office/drawing/2014/main" id="{00000000-0008-0000-0000-00002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2" name="Text Box 68">
          <a:extLst>
            <a:ext uri="{FF2B5EF4-FFF2-40B4-BE49-F238E27FC236}">
              <a16:creationId xmlns="" xmlns:a16="http://schemas.microsoft.com/office/drawing/2014/main" id="{00000000-0008-0000-0000-00002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3" name="Text Box 69">
          <a:extLst>
            <a:ext uri="{FF2B5EF4-FFF2-40B4-BE49-F238E27FC236}">
              <a16:creationId xmlns="" xmlns:a16="http://schemas.microsoft.com/office/drawing/2014/main" id="{00000000-0008-0000-0000-00002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4" name="Text Box 70">
          <a:extLst>
            <a:ext uri="{FF2B5EF4-FFF2-40B4-BE49-F238E27FC236}">
              <a16:creationId xmlns="" xmlns:a16="http://schemas.microsoft.com/office/drawing/2014/main" id="{00000000-0008-0000-0000-00002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5" name="Text Box 71">
          <a:extLst>
            <a:ext uri="{FF2B5EF4-FFF2-40B4-BE49-F238E27FC236}">
              <a16:creationId xmlns="" xmlns:a16="http://schemas.microsoft.com/office/drawing/2014/main" id="{00000000-0008-0000-0000-00002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6" name="Text Box 72">
          <a:extLst>
            <a:ext uri="{FF2B5EF4-FFF2-40B4-BE49-F238E27FC236}">
              <a16:creationId xmlns="" xmlns:a16="http://schemas.microsoft.com/office/drawing/2014/main" id="{00000000-0008-0000-0000-00003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7" name="Text Box 73">
          <a:extLst>
            <a:ext uri="{FF2B5EF4-FFF2-40B4-BE49-F238E27FC236}">
              <a16:creationId xmlns="" xmlns:a16="http://schemas.microsoft.com/office/drawing/2014/main" id="{00000000-0008-0000-0000-00003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8" name="Text Box 74">
          <a:extLst>
            <a:ext uri="{FF2B5EF4-FFF2-40B4-BE49-F238E27FC236}">
              <a16:creationId xmlns="" xmlns:a16="http://schemas.microsoft.com/office/drawing/2014/main" id="{00000000-0008-0000-0000-00003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9" name="Text Box 75">
          <a:extLst>
            <a:ext uri="{FF2B5EF4-FFF2-40B4-BE49-F238E27FC236}">
              <a16:creationId xmlns="" xmlns:a16="http://schemas.microsoft.com/office/drawing/2014/main" id="{00000000-0008-0000-0000-00003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0" name="Text Box 76">
          <a:extLst>
            <a:ext uri="{FF2B5EF4-FFF2-40B4-BE49-F238E27FC236}">
              <a16:creationId xmlns="" xmlns:a16="http://schemas.microsoft.com/office/drawing/2014/main" id="{00000000-0008-0000-0000-00003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1" name="Text Box 77">
          <a:extLst>
            <a:ext uri="{FF2B5EF4-FFF2-40B4-BE49-F238E27FC236}">
              <a16:creationId xmlns="" xmlns:a16="http://schemas.microsoft.com/office/drawing/2014/main" id="{00000000-0008-0000-0000-00003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2" name="Text Box 78">
          <a:extLst>
            <a:ext uri="{FF2B5EF4-FFF2-40B4-BE49-F238E27FC236}">
              <a16:creationId xmlns="" xmlns:a16="http://schemas.microsoft.com/office/drawing/2014/main" id="{00000000-0008-0000-0000-00003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3" name="Text Box 79">
          <a:extLst>
            <a:ext uri="{FF2B5EF4-FFF2-40B4-BE49-F238E27FC236}">
              <a16:creationId xmlns="" xmlns:a16="http://schemas.microsoft.com/office/drawing/2014/main" id="{00000000-0008-0000-0000-00003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4" name="Text Box 80">
          <a:extLst>
            <a:ext uri="{FF2B5EF4-FFF2-40B4-BE49-F238E27FC236}">
              <a16:creationId xmlns="" xmlns:a16="http://schemas.microsoft.com/office/drawing/2014/main" id="{00000000-0008-0000-0000-00003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5" name="Text Box 81">
          <a:extLst>
            <a:ext uri="{FF2B5EF4-FFF2-40B4-BE49-F238E27FC236}">
              <a16:creationId xmlns="" xmlns:a16="http://schemas.microsoft.com/office/drawing/2014/main" id="{00000000-0008-0000-0000-00003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6" name="Text Box 3079">
          <a:extLst>
            <a:ext uri="{FF2B5EF4-FFF2-40B4-BE49-F238E27FC236}">
              <a16:creationId xmlns="" xmlns:a16="http://schemas.microsoft.com/office/drawing/2014/main" id="{00000000-0008-0000-0000-00003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7" name="Text Box 3080">
          <a:extLst>
            <a:ext uri="{FF2B5EF4-FFF2-40B4-BE49-F238E27FC236}">
              <a16:creationId xmlns="" xmlns:a16="http://schemas.microsoft.com/office/drawing/2014/main" id="{00000000-0008-0000-0000-00003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8" name="Text Box 3081">
          <a:extLst>
            <a:ext uri="{FF2B5EF4-FFF2-40B4-BE49-F238E27FC236}">
              <a16:creationId xmlns="" xmlns:a16="http://schemas.microsoft.com/office/drawing/2014/main" id="{00000000-0008-0000-0000-00003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9" name="Text Box 3082">
          <a:extLst>
            <a:ext uri="{FF2B5EF4-FFF2-40B4-BE49-F238E27FC236}">
              <a16:creationId xmlns="" xmlns:a16="http://schemas.microsoft.com/office/drawing/2014/main" id="{00000000-0008-0000-0000-00003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0" name="Text Box 3083">
          <a:extLst>
            <a:ext uri="{FF2B5EF4-FFF2-40B4-BE49-F238E27FC236}">
              <a16:creationId xmlns="" xmlns:a16="http://schemas.microsoft.com/office/drawing/2014/main" id="{00000000-0008-0000-0000-00003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1" name="Text Box 3084">
          <a:extLst>
            <a:ext uri="{FF2B5EF4-FFF2-40B4-BE49-F238E27FC236}">
              <a16:creationId xmlns="" xmlns:a16="http://schemas.microsoft.com/office/drawing/2014/main" id="{00000000-0008-0000-0000-00003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2" name="Text Box 3085">
          <a:extLst>
            <a:ext uri="{FF2B5EF4-FFF2-40B4-BE49-F238E27FC236}">
              <a16:creationId xmlns="" xmlns:a16="http://schemas.microsoft.com/office/drawing/2014/main" id="{00000000-0008-0000-0000-00004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3" name="Text Box 3086">
          <a:extLst>
            <a:ext uri="{FF2B5EF4-FFF2-40B4-BE49-F238E27FC236}">
              <a16:creationId xmlns="" xmlns:a16="http://schemas.microsoft.com/office/drawing/2014/main" id="{00000000-0008-0000-0000-00004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4" name="Text Box 3087">
          <a:extLst>
            <a:ext uri="{FF2B5EF4-FFF2-40B4-BE49-F238E27FC236}">
              <a16:creationId xmlns="" xmlns:a16="http://schemas.microsoft.com/office/drawing/2014/main" id="{00000000-0008-0000-0000-00004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5" name="Text Box 3088">
          <a:extLst>
            <a:ext uri="{FF2B5EF4-FFF2-40B4-BE49-F238E27FC236}">
              <a16:creationId xmlns="" xmlns:a16="http://schemas.microsoft.com/office/drawing/2014/main" id="{00000000-0008-0000-0000-00004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6" name="Text Box 3089">
          <a:extLst>
            <a:ext uri="{FF2B5EF4-FFF2-40B4-BE49-F238E27FC236}">
              <a16:creationId xmlns="" xmlns:a16="http://schemas.microsoft.com/office/drawing/2014/main" id="{00000000-0008-0000-0000-00004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7" name="Text Box 3090">
          <a:extLst>
            <a:ext uri="{FF2B5EF4-FFF2-40B4-BE49-F238E27FC236}">
              <a16:creationId xmlns="" xmlns:a16="http://schemas.microsoft.com/office/drawing/2014/main" id="{00000000-0008-0000-0000-00004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8" name="Text Box 3091">
          <a:extLst>
            <a:ext uri="{FF2B5EF4-FFF2-40B4-BE49-F238E27FC236}">
              <a16:creationId xmlns="" xmlns:a16="http://schemas.microsoft.com/office/drawing/2014/main" id="{00000000-0008-0000-0000-00004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9" name="Text Box 3092">
          <a:extLst>
            <a:ext uri="{FF2B5EF4-FFF2-40B4-BE49-F238E27FC236}">
              <a16:creationId xmlns="" xmlns:a16="http://schemas.microsoft.com/office/drawing/2014/main" id="{00000000-0008-0000-0000-00004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0" name="Text Box 3093">
          <a:extLst>
            <a:ext uri="{FF2B5EF4-FFF2-40B4-BE49-F238E27FC236}">
              <a16:creationId xmlns="" xmlns:a16="http://schemas.microsoft.com/office/drawing/2014/main" id="{00000000-0008-0000-0000-00004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1" name="Text Box 3094">
          <a:extLst>
            <a:ext uri="{FF2B5EF4-FFF2-40B4-BE49-F238E27FC236}">
              <a16:creationId xmlns="" xmlns:a16="http://schemas.microsoft.com/office/drawing/2014/main" id="{00000000-0008-0000-0000-00004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2" name="Text Box 3095">
          <a:extLst>
            <a:ext uri="{FF2B5EF4-FFF2-40B4-BE49-F238E27FC236}">
              <a16:creationId xmlns="" xmlns:a16="http://schemas.microsoft.com/office/drawing/2014/main" id="{00000000-0008-0000-0000-00004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3" name="Text Box 3096">
          <a:extLst>
            <a:ext uri="{FF2B5EF4-FFF2-40B4-BE49-F238E27FC236}">
              <a16:creationId xmlns="" xmlns:a16="http://schemas.microsoft.com/office/drawing/2014/main" id="{00000000-0008-0000-0000-00004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4" name="Text Box 3097">
          <a:extLst>
            <a:ext uri="{FF2B5EF4-FFF2-40B4-BE49-F238E27FC236}">
              <a16:creationId xmlns="" xmlns:a16="http://schemas.microsoft.com/office/drawing/2014/main" id="{00000000-0008-0000-0000-00004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5" name="Text Box 3098">
          <a:extLst>
            <a:ext uri="{FF2B5EF4-FFF2-40B4-BE49-F238E27FC236}">
              <a16:creationId xmlns="" xmlns:a16="http://schemas.microsoft.com/office/drawing/2014/main" id="{00000000-0008-0000-0000-00004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6" name="Text Box 3099">
          <a:extLst>
            <a:ext uri="{FF2B5EF4-FFF2-40B4-BE49-F238E27FC236}">
              <a16:creationId xmlns="" xmlns:a16="http://schemas.microsoft.com/office/drawing/2014/main" id="{00000000-0008-0000-0000-00004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7" name="Text Box 3100">
          <a:extLst>
            <a:ext uri="{FF2B5EF4-FFF2-40B4-BE49-F238E27FC236}">
              <a16:creationId xmlns="" xmlns:a16="http://schemas.microsoft.com/office/drawing/2014/main" id="{00000000-0008-0000-0000-00004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8" name="Text Box 3101">
          <a:extLst>
            <a:ext uri="{FF2B5EF4-FFF2-40B4-BE49-F238E27FC236}">
              <a16:creationId xmlns="" xmlns:a16="http://schemas.microsoft.com/office/drawing/2014/main" id="{00000000-0008-0000-0000-00005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969" name="Text Box 3102">
          <a:extLst>
            <a:ext uri="{FF2B5EF4-FFF2-40B4-BE49-F238E27FC236}">
              <a16:creationId xmlns="" xmlns:a16="http://schemas.microsoft.com/office/drawing/2014/main" id="{00000000-0008-0000-0000-00005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0" name="Text Box 59">
          <a:extLst>
            <a:ext uri="{FF2B5EF4-FFF2-40B4-BE49-F238E27FC236}">
              <a16:creationId xmlns="" xmlns:a16="http://schemas.microsoft.com/office/drawing/2014/main" id="{00000000-0008-0000-0000-00005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1" name="Text Box 60">
          <a:extLst>
            <a:ext uri="{FF2B5EF4-FFF2-40B4-BE49-F238E27FC236}">
              <a16:creationId xmlns="" xmlns:a16="http://schemas.microsoft.com/office/drawing/2014/main" id="{00000000-0008-0000-0000-00005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2" name="Text Box 61">
          <a:extLst>
            <a:ext uri="{FF2B5EF4-FFF2-40B4-BE49-F238E27FC236}">
              <a16:creationId xmlns="" xmlns:a16="http://schemas.microsoft.com/office/drawing/2014/main" id="{00000000-0008-0000-0000-00005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3" name="Text Box 62">
          <a:extLst>
            <a:ext uri="{FF2B5EF4-FFF2-40B4-BE49-F238E27FC236}">
              <a16:creationId xmlns="" xmlns:a16="http://schemas.microsoft.com/office/drawing/2014/main" id="{00000000-0008-0000-0000-00005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4" name="Text Box 63">
          <a:extLst>
            <a:ext uri="{FF2B5EF4-FFF2-40B4-BE49-F238E27FC236}">
              <a16:creationId xmlns="" xmlns:a16="http://schemas.microsoft.com/office/drawing/2014/main" id="{00000000-0008-0000-0000-00005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5" name="Text Box 64">
          <a:extLst>
            <a:ext uri="{FF2B5EF4-FFF2-40B4-BE49-F238E27FC236}">
              <a16:creationId xmlns="" xmlns:a16="http://schemas.microsoft.com/office/drawing/2014/main" id="{00000000-0008-0000-0000-00005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6" name="Text Box 65">
          <a:extLst>
            <a:ext uri="{FF2B5EF4-FFF2-40B4-BE49-F238E27FC236}">
              <a16:creationId xmlns="" xmlns:a16="http://schemas.microsoft.com/office/drawing/2014/main" id="{00000000-0008-0000-0000-00005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7" name="Text Box 66">
          <a:extLst>
            <a:ext uri="{FF2B5EF4-FFF2-40B4-BE49-F238E27FC236}">
              <a16:creationId xmlns="" xmlns:a16="http://schemas.microsoft.com/office/drawing/2014/main" id="{00000000-0008-0000-0000-00005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8" name="Text Box 67">
          <a:extLst>
            <a:ext uri="{FF2B5EF4-FFF2-40B4-BE49-F238E27FC236}">
              <a16:creationId xmlns="" xmlns:a16="http://schemas.microsoft.com/office/drawing/2014/main" id="{00000000-0008-0000-0000-00005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9" name="Text Box 68">
          <a:extLst>
            <a:ext uri="{FF2B5EF4-FFF2-40B4-BE49-F238E27FC236}">
              <a16:creationId xmlns="" xmlns:a16="http://schemas.microsoft.com/office/drawing/2014/main" id="{00000000-0008-0000-0000-00005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0" name="Text Box 69">
          <a:extLst>
            <a:ext uri="{FF2B5EF4-FFF2-40B4-BE49-F238E27FC236}">
              <a16:creationId xmlns="" xmlns:a16="http://schemas.microsoft.com/office/drawing/2014/main" id="{00000000-0008-0000-0000-00005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1" name="Text Box 70">
          <a:extLst>
            <a:ext uri="{FF2B5EF4-FFF2-40B4-BE49-F238E27FC236}">
              <a16:creationId xmlns="" xmlns:a16="http://schemas.microsoft.com/office/drawing/2014/main" id="{00000000-0008-0000-0000-00005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2" name="Text Box 71">
          <a:extLst>
            <a:ext uri="{FF2B5EF4-FFF2-40B4-BE49-F238E27FC236}">
              <a16:creationId xmlns="" xmlns:a16="http://schemas.microsoft.com/office/drawing/2014/main" id="{00000000-0008-0000-0000-00005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3" name="Text Box 72">
          <a:extLst>
            <a:ext uri="{FF2B5EF4-FFF2-40B4-BE49-F238E27FC236}">
              <a16:creationId xmlns="" xmlns:a16="http://schemas.microsoft.com/office/drawing/2014/main" id="{00000000-0008-0000-0000-00005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4" name="Text Box 73">
          <a:extLst>
            <a:ext uri="{FF2B5EF4-FFF2-40B4-BE49-F238E27FC236}">
              <a16:creationId xmlns="" xmlns:a16="http://schemas.microsoft.com/office/drawing/2014/main" id="{00000000-0008-0000-0000-00006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5" name="Text Box 74">
          <a:extLst>
            <a:ext uri="{FF2B5EF4-FFF2-40B4-BE49-F238E27FC236}">
              <a16:creationId xmlns="" xmlns:a16="http://schemas.microsoft.com/office/drawing/2014/main" id="{00000000-0008-0000-0000-00006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6" name="Text Box 75">
          <a:extLst>
            <a:ext uri="{FF2B5EF4-FFF2-40B4-BE49-F238E27FC236}">
              <a16:creationId xmlns="" xmlns:a16="http://schemas.microsoft.com/office/drawing/2014/main" id="{00000000-0008-0000-0000-00006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7" name="Text Box 76">
          <a:extLst>
            <a:ext uri="{FF2B5EF4-FFF2-40B4-BE49-F238E27FC236}">
              <a16:creationId xmlns="" xmlns:a16="http://schemas.microsoft.com/office/drawing/2014/main" id="{00000000-0008-0000-0000-00006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8" name="Text Box 77">
          <a:extLst>
            <a:ext uri="{FF2B5EF4-FFF2-40B4-BE49-F238E27FC236}">
              <a16:creationId xmlns="" xmlns:a16="http://schemas.microsoft.com/office/drawing/2014/main" id="{00000000-0008-0000-0000-00006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9" name="Text Box 78">
          <a:extLst>
            <a:ext uri="{FF2B5EF4-FFF2-40B4-BE49-F238E27FC236}">
              <a16:creationId xmlns="" xmlns:a16="http://schemas.microsoft.com/office/drawing/2014/main" id="{00000000-0008-0000-0000-00006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0" name="Text Box 79">
          <a:extLst>
            <a:ext uri="{FF2B5EF4-FFF2-40B4-BE49-F238E27FC236}">
              <a16:creationId xmlns="" xmlns:a16="http://schemas.microsoft.com/office/drawing/2014/main" id="{00000000-0008-0000-0000-00006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1" name="Text Box 80">
          <a:extLst>
            <a:ext uri="{FF2B5EF4-FFF2-40B4-BE49-F238E27FC236}">
              <a16:creationId xmlns="" xmlns:a16="http://schemas.microsoft.com/office/drawing/2014/main" id="{00000000-0008-0000-0000-00006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2" name="Text Box 81">
          <a:extLst>
            <a:ext uri="{FF2B5EF4-FFF2-40B4-BE49-F238E27FC236}">
              <a16:creationId xmlns="" xmlns:a16="http://schemas.microsoft.com/office/drawing/2014/main" id="{00000000-0008-0000-0000-00006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993" name="Text Box 82">
          <a:extLst>
            <a:ext uri="{FF2B5EF4-FFF2-40B4-BE49-F238E27FC236}">
              <a16:creationId xmlns="" xmlns:a16="http://schemas.microsoft.com/office/drawing/2014/main" id="{00000000-0008-0000-0000-00006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4" name="Text Box 3079">
          <a:extLst>
            <a:ext uri="{FF2B5EF4-FFF2-40B4-BE49-F238E27FC236}">
              <a16:creationId xmlns="" xmlns:a16="http://schemas.microsoft.com/office/drawing/2014/main" id="{00000000-0008-0000-0000-00006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5" name="Text Box 3080">
          <a:extLst>
            <a:ext uri="{FF2B5EF4-FFF2-40B4-BE49-F238E27FC236}">
              <a16:creationId xmlns="" xmlns:a16="http://schemas.microsoft.com/office/drawing/2014/main" id="{00000000-0008-0000-0000-00006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6" name="Text Box 3081">
          <a:extLst>
            <a:ext uri="{FF2B5EF4-FFF2-40B4-BE49-F238E27FC236}">
              <a16:creationId xmlns="" xmlns:a16="http://schemas.microsoft.com/office/drawing/2014/main" id="{00000000-0008-0000-0000-00006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7" name="Text Box 3082">
          <a:extLst>
            <a:ext uri="{FF2B5EF4-FFF2-40B4-BE49-F238E27FC236}">
              <a16:creationId xmlns="" xmlns:a16="http://schemas.microsoft.com/office/drawing/2014/main" id="{00000000-0008-0000-0000-00006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8" name="Text Box 3083">
          <a:extLst>
            <a:ext uri="{FF2B5EF4-FFF2-40B4-BE49-F238E27FC236}">
              <a16:creationId xmlns="" xmlns:a16="http://schemas.microsoft.com/office/drawing/2014/main" id="{00000000-0008-0000-0000-00006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9" name="Text Box 3084">
          <a:extLst>
            <a:ext uri="{FF2B5EF4-FFF2-40B4-BE49-F238E27FC236}">
              <a16:creationId xmlns="" xmlns:a16="http://schemas.microsoft.com/office/drawing/2014/main" id="{00000000-0008-0000-0000-00006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0" name="Text Box 3085">
          <a:extLst>
            <a:ext uri="{FF2B5EF4-FFF2-40B4-BE49-F238E27FC236}">
              <a16:creationId xmlns="" xmlns:a16="http://schemas.microsoft.com/office/drawing/2014/main" id="{00000000-0008-0000-0000-00007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1" name="Text Box 3086">
          <a:extLst>
            <a:ext uri="{FF2B5EF4-FFF2-40B4-BE49-F238E27FC236}">
              <a16:creationId xmlns="" xmlns:a16="http://schemas.microsoft.com/office/drawing/2014/main" id="{00000000-0008-0000-0000-00007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2" name="Text Box 3087">
          <a:extLst>
            <a:ext uri="{FF2B5EF4-FFF2-40B4-BE49-F238E27FC236}">
              <a16:creationId xmlns="" xmlns:a16="http://schemas.microsoft.com/office/drawing/2014/main" id="{00000000-0008-0000-0000-00007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3" name="Text Box 3088">
          <a:extLst>
            <a:ext uri="{FF2B5EF4-FFF2-40B4-BE49-F238E27FC236}">
              <a16:creationId xmlns="" xmlns:a16="http://schemas.microsoft.com/office/drawing/2014/main" id="{00000000-0008-0000-0000-00007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4" name="Text Box 3089">
          <a:extLst>
            <a:ext uri="{FF2B5EF4-FFF2-40B4-BE49-F238E27FC236}">
              <a16:creationId xmlns="" xmlns:a16="http://schemas.microsoft.com/office/drawing/2014/main" id="{00000000-0008-0000-0000-00007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5" name="Text Box 3090">
          <a:extLst>
            <a:ext uri="{FF2B5EF4-FFF2-40B4-BE49-F238E27FC236}">
              <a16:creationId xmlns="" xmlns:a16="http://schemas.microsoft.com/office/drawing/2014/main" id="{00000000-0008-0000-0000-00007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6" name="Text Box 3091">
          <a:extLst>
            <a:ext uri="{FF2B5EF4-FFF2-40B4-BE49-F238E27FC236}">
              <a16:creationId xmlns="" xmlns:a16="http://schemas.microsoft.com/office/drawing/2014/main" id="{00000000-0008-0000-0000-00007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7" name="Text Box 3092">
          <a:extLst>
            <a:ext uri="{FF2B5EF4-FFF2-40B4-BE49-F238E27FC236}">
              <a16:creationId xmlns="" xmlns:a16="http://schemas.microsoft.com/office/drawing/2014/main" id="{00000000-0008-0000-0000-00007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8" name="Text Box 3093">
          <a:extLst>
            <a:ext uri="{FF2B5EF4-FFF2-40B4-BE49-F238E27FC236}">
              <a16:creationId xmlns="" xmlns:a16="http://schemas.microsoft.com/office/drawing/2014/main" id="{00000000-0008-0000-0000-00007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9" name="Text Box 3094">
          <a:extLst>
            <a:ext uri="{FF2B5EF4-FFF2-40B4-BE49-F238E27FC236}">
              <a16:creationId xmlns="" xmlns:a16="http://schemas.microsoft.com/office/drawing/2014/main" id="{00000000-0008-0000-0000-00007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0" name="Text Box 3095">
          <a:extLst>
            <a:ext uri="{FF2B5EF4-FFF2-40B4-BE49-F238E27FC236}">
              <a16:creationId xmlns="" xmlns:a16="http://schemas.microsoft.com/office/drawing/2014/main" id="{00000000-0008-0000-0000-00007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1" name="Text Box 3096">
          <a:extLst>
            <a:ext uri="{FF2B5EF4-FFF2-40B4-BE49-F238E27FC236}">
              <a16:creationId xmlns="" xmlns:a16="http://schemas.microsoft.com/office/drawing/2014/main" id="{00000000-0008-0000-0000-00007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2" name="Text Box 3097">
          <a:extLst>
            <a:ext uri="{FF2B5EF4-FFF2-40B4-BE49-F238E27FC236}">
              <a16:creationId xmlns="" xmlns:a16="http://schemas.microsoft.com/office/drawing/2014/main" id="{00000000-0008-0000-0000-00007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3" name="Text Box 3098">
          <a:extLst>
            <a:ext uri="{FF2B5EF4-FFF2-40B4-BE49-F238E27FC236}">
              <a16:creationId xmlns="" xmlns:a16="http://schemas.microsoft.com/office/drawing/2014/main" id="{00000000-0008-0000-0000-00007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4" name="Text Box 3099">
          <a:extLst>
            <a:ext uri="{FF2B5EF4-FFF2-40B4-BE49-F238E27FC236}">
              <a16:creationId xmlns="" xmlns:a16="http://schemas.microsoft.com/office/drawing/2014/main" id="{00000000-0008-0000-0000-00007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5" name="Text Box 3100">
          <a:extLst>
            <a:ext uri="{FF2B5EF4-FFF2-40B4-BE49-F238E27FC236}">
              <a16:creationId xmlns="" xmlns:a16="http://schemas.microsoft.com/office/drawing/2014/main" id="{00000000-0008-0000-0000-00007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6" name="Text Box 3101">
          <a:extLst>
            <a:ext uri="{FF2B5EF4-FFF2-40B4-BE49-F238E27FC236}">
              <a16:creationId xmlns="" xmlns:a16="http://schemas.microsoft.com/office/drawing/2014/main" id="{00000000-0008-0000-0000-00008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017" name="Text Box 3102">
          <a:extLst>
            <a:ext uri="{FF2B5EF4-FFF2-40B4-BE49-F238E27FC236}">
              <a16:creationId xmlns="" xmlns:a16="http://schemas.microsoft.com/office/drawing/2014/main" id="{00000000-0008-0000-0000-00008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18" name="Text Box 59">
          <a:extLst>
            <a:ext uri="{FF2B5EF4-FFF2-40B4-BE49-F238E27FC236}">
              <a16:creationId xmlns="" xmlns:a16="http://schemas.microsoft.com/office/drawing/2014/main" id="{00000000-0008-0000-0000-00008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19" name="Text Box 60">
          <a:extLst>
            <a:ext uri="{FF2B5EF4-FFF2-40B4-BE49-F238E27FC236}">
              <a16:creationId xmlns="" xmlns:a16="http://schemas.microsoft.com/office/drawing/2014/main" id="{00000000-0008-0000-0000-00008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0" name="Text Box 61">
          <a:extLst>
            <a:ext uri="{FF2B5EF4-FFF2-40B4-BE49-F238E27FC236}">
              <a16:creationId xmlns="" xmlns:a16="http://schemas.microsoft.com/office/drawing/2014/main" id="{00000000-0008-0000-0000-00008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1" name="Text Box 62">
          <a:extLst>
            <a:ext uri="{FF2B5EF4-FFF2-40B4-BE49-F238E27FC236}">
              <a16:creationId xmlns="" xmlns:a16="http://schemas.microsoft.com/office/drawing/2014/main" id="{00000000-0008-0000-0000-00008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2" name="Text Box 63">
          <a:extLst>
            <a:ext uri="{FF2B5EF4-FFF2-40B4-BE49-F238E27FC236}">
              <a16:creationId xmlns="" xmlns:a16="http://schemas.microsoft.com/office/drawing/2014/main" id="{00000000-0008-0000-0000-00008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3" name="Text Box 64">
          <a:extLst>
            <a:ext uri="{FF2B5EF4-FFF2-40B4-BE49-F238E27FC236}">
              <a16:creationId xmlns="" xmlns:a16="http://schemas.microsoft.com/office/drawing/2014/main" id="{00000000-0008-0000-0000-00008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4" name="Text Box 65">
          <a:extLst>
            <a:ext uri="{FF2B5EF4-FFF2-40B4-BE49-F238E27FC236}">
              <a16:creationId xmlns="" xmlns:a16="http://schemas.microsoft.com/office/drawing/2014/main" id="{00000000-0008-0000-0000-00008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5" name="Text Box 66">
          <a:extLst>
            <a:ext uri="{FF2B5EF4-FFF2-40B4-BE49-F238E27FC236}">
              <a16:creationId xmlns="" xmlns:a16="http://schemas.microsoft.com/office/drawing/2014/main" id="{00000000-0008-0000-0000-00008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6" name="Text Box 67">
          <a:extLst>
            <a:ext uri="{FF2B5EF4-FFF2-40B4-BE49-F238E27FC236}">
              <a16:creationId xmlns="" xmlns:a16="http://schemas.microsoft.com/office/drawing/2014/main" id="{00000000-0008-0000-0000-00008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7" name="Text Box 68">
          <a:extLst>
            <a:ext uri="{FF2B5EF4-FFF2-40B4-BE49-F238E27FC236}">
              <a16:creationId xmlns="" xmlns:a16="http://schemas.microsoft.com/office/drawing/2014/main" id="{00000000-0008-0000-0000-00008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8" name="Text Box 69">
          <a:extLst>
            <a:ext uri="{FF2B5EF4-FFF2-40B4-BE49-F238E27FC236}">
              <a16:creationId xmlns="" xmlns:a16="http://schemas.microsoft.com/office/drawing/2014/main" id="{00000000-0008-0000-0000-00008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9" name="Text Box 70">
          <a:extLst>
            <a:ext uri="{FF2B5EF4-FFF2-40B4-BE49-F238E27FC236}">
              <a16:creationId xmlns="" xmlns:a16="http://schemas.microsoft.com/office/drawing/2014/main" id="{00000000-0008-0000-0000-00008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0" name="Text Box 71">
          <a:extLst>
            <a:ext uri="{FF2B5EF4-FFF2-40B4-BE49-F238E27FC236}">
              <a16:creationId xmlns="" xmlns:a16="http://schemas.microsoft.com/office/drawing/2014/main" id="{00000000-0008-0000-0000-00008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1" name="Text Box 72">
          <a:extLst>
            <a:ext uri="{FF2B5EF4-FFF2-40B4-BE49-F238E27FC236}">
              <a16:creationId xmlns="" xmlns:a16="http://schemas.microsoft.com/office/drawing/2014/main" id="{00000000-0008-0000-0000-00008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2" name="Text Box 73">
          <a:extLst>
            <a:ext uri="{FF2B5EF4-FFF2-40B4-BE49-F238E27FC236}">
              <a16:creationId xmlns="" xmlns:a16="http://schemas.microsoft.com/office/drawing/2014/main" id="{00000000-0008-0000-0000-00009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3" name="Text Box 74">
          <a:extLst>
            <a:ext uri="{FF2B5EF4-FFF2-40B4-BE49-F238E27FC236}">
              <a16:creationId xmlns="" xmlns:a16="http://schemas.microsoft.com/office/drawing/2014/main" id="{00000000-0008-0000-0000-00009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4" name="Text Box 75">
          <a:extLst>
            <a:ext uri="{FF2B5EF4-FFF2-40B4-BE49-F238E27FC236}">
              <a16:creationId xmlns="" xmlns:a16="http://schemas.microsoft.com/office/drawing/2014/main" id="{00000000-0008-0000-0000-00009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5" name="Text Box 76">
          <a:extLst>
            <a:ext uri="{FF2B5EF4-FFF2-40B4-BE49-F238E27FC236}">
              <a16:creationId xmlns="" xmlns:a16="http://schemas.microsoft.com/office/drawing/2014/main" id="{00000000-0008-0000-0000-00009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6" name="Text Box 77">
          <a:extLst>
            <a:ext uri="{FF2B5EF4-FFF2-40B4-BE49-F238E27FC236}">
              <a16:creationId xmlns="" xmlns:a16="http://schemas.microsoft.com/office/drawing/2014/main" id="{00000000-0008-0000-0000-00009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7" name="Text Box 78">
          <a:extLst>
            <a:ext uri="{FF2B5EF4-FFF2-40B4-BE49-F238E27FC236}">
              <a16:creationId xmlns="" xmlns:a16="http://schemas.microsoft.com/office/drawing/2014/main" id="{00000000-0008-0000-0000-00009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8" name="Text Box 79">
          <a:extLst>
            <a:ext uri="{FF2B5EF4-FFF2-40B4-BE49-F238E27FC236}">
              <a16:creationId xmlns="" xmlns:a16="http://schemas.microsoft.com/office/drawing/2014/main" id="{00000000-0008-0000-0000-00009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9" name="Text Box 80">
          <a:extLst>
            <a:ext uri="{FF2B5EF4-FFF2-40B4-BE49-F238E27FC236}">
              <a16:creationId xmlns="" xmlns:a16="http://schemas.microsoft.com/office/drawing/2014/main" id="{00000000-0008-0000-0000-00009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40" name="Text Box 81">
          <a:extLst>
            <a:ext uri="{FF2B5EF4-FFF2-40B4-BE49-F238E27FC236}">
              <a16:creationId xmlns="" xmlns:a16="http://schemas.microsoft.com/office/drawing/2014/main" id="{00000000-0008-0000-0000-00009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1" name="Text Box 3079">
          <a:extLst>
            <a:ext uri="{FF2B5EF4-FFF2-40B4-BE49-F238E27FC236}">
              <a16:creationId xmlns="" xmlns:a16="http://schemas.microsoft.com/office/drawing/2014/main" id="{00000000-0008-0000-0000-00009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2" name="Text Box 3080">
          <a:extLst>
            <a:ext uri="{FF2B5EF4-FFF2-40B4-BE49-F238E27FC236}">
              <a16:creationId xmlns="" xmlns:a16="http://schemas.microsoft.com/office/drawing/2014/main" id="{00000000-0008-0000-0000-00009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3" name="Text Box 3081">
          <a:extLst>
            <a:ext uri="{FF2B5EF4-FFF2-40B4-BE49-F238E27FC236}">
              <a16:creationId xmlns="" xmlns:a16="http://schemas.microsoft.com/office/drawing/2014/main" id="{00000000-0008-0000-0000-00009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4" name="Text Box 3082">
          <a:extLst>
            <a:ext uri="{FF2B5EF4-FFF2-40B4-BE49-F238E27FC236}">
              <a16:creationId xmlns="" xmlns:a16="http://schemas.microsoft.com/office/drawing/2014/main" id="{00000000-0008-0000-0000-00009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5" name="Text Box 3083">
          <a:extLst>
            <a:ext uri="{FF2B5EF4-FFF2-40B4-BE49-F238E27FC236}">
              <a16:creationId xmlns="" xmlns:a16="http://schemas.microsoft.com/office/drawing/2014/main" id="{00000000-0008-0000-0000-00009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6" name="Text Box 3084">
          <a:extLst>
            <a:ext uri="{FF2B5EF4-FFF2-40B4-BE49-F238E27FC236}">
              <a16:creationId xmlns="" xmlns:a16="http://schemas.microsoft.com/office/drawing/2014/main" id="{00000000-0008-0000-0000-00009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7" name="Text Box 3085">
          <a:extLst>
            <a:ext uri="{FF2B5EF4-FFF2-40B4-BE49-F238E27FC236}">
              <a16:creationId xmlns="" xmlns:a16="http://schemas.microsoft.com/office/drawing/2014/main" id="{00000000-0008-0000-0000-00009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8" name="Text Box 3086">
          <a:extLst>
            <a:ext uri="{FF2B5EF4-FFF2-40B4-BE49-F238E27FC236}">
              <a16:creationId xmlns="" xmlns:a16="http://schemas.microsoft.com/office/drawing/2014/main" id="{00000000-0008-0000-0000-0000A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9" name="Text Box 3087">
          <a:extLst>
            <a:ext uri="{FF2B5EF4-FFF2-40B4-BE49-F238E27FC236}">
              <a16:creationId xmlns="" xmlns:a16="http://schemas.microsoft.com/office/drawing/2014/main" id="{00000000-0008-0000-0000-0000A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0" name="Text Box 3088">
          <a:extLst>
            <a:ext uri="{FF2B5EF4-FFF2-40B4-BE49-F238E27FC236}">
              <a16:creationId xmlns="" xmlns:a16="http://schemas.microsoft.com/office/drawing/2014/main" id="{00000000-0008-0000-0000-0000A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1" name="Text Box 3089">
          <a:extLst>
            <a:ext uri="{FF2B5EF4-FFF2-40B4-BE49-F238E27FC236}">
              <a16:creationId xmlns="" xmlns:a16="http://schemas.microsoft.com/office/drawing/2014/main" id="{00000000-0008-0000-0000-0000A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2" name="Text Box 3090">
          <a:extLst>
            <a:ext uri="{FF2B5EF4-FFF2-40B4-BE49-F238E27FC236}">
              <a16:creationId xmlns="" xmlns:a16="http://schemas.microsoft.com/office/drawing/2014/main" id="{00000000-0008-0000-0000-0000A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3" name="Text Box 3091">
          <a:extLst>
            <a:ext uri="{FF2B5EF4-FFF2-40B4-BE49-F238E27FC236}">
              <a16:creationId xmlns="" xmlns:a16="http://schemas.microsoft.com/office/drawing/2014/main" id="{00000000-0008-0000-0000-0000A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4" name="Text Box 3092">
          <a:extLst>
            <a:ext uri="{FF2B5EF4-FFF2-40B4-BE49-F238E27FC236}">
              <a16:creationId xmlns="" xmlns:a16="http://schemas.microsoft.com/office/drawing/2014/main" id="{00000000-0008-0000-0000-0000A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5" name="Text Box 3093">
          <a:extLst>
            <a:ext uri="{FF2B5EF4-FFF2-40B4-BE49-F238E27FC236}">
              <a16:creationId xmlns="" xmlns:a16="http://schemas.microsoft.com/office/drawing/2014/main" id="{00000000-0008-0000-0000-0000A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6" name="Text Box 3094">
          <a:extLst>
            <a:ext uri="{FF2B5EF4-FFF2-40B4-BE49-F238E27FC236}">
              <a16:creationId xmlns="" xmlns:a16="http://schemas.microsoft.com/office/drawing/2014/main" id="{00000000-0008-0000-0000-0000A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7" name="Text Box 3095">
          <a:extLst>
            <a:ext uri="{FF2B5EF4-FFF2-40B4-BE49-F238E27FC236}">
              <a16:creationId xmlns="" xmlns:a16="http://schemas.microsoft.com/office/drawing/2014/main" id="{00000000-0008-0000-0000-0000A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8" name="Text Box 3096">
          <a:extLst>
            <a:ext uri="{FF2B5EF4-FFF2-40B4-BE49-F238E27FC236}">
              <a16:creationId xmlns="" xmlns:a16="http://schemas.microsoft.com/office/drawing/2014/main" id="{00000000-0008-0000-0000-0000A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9" name="Text Box 3097">
          <a:extLst>
            <a:ext uri="{FF2B5EF4-FFF2-40B4-BE49-F238E27FC236}">
              <a16:creationId xmlns="" xmlns:a16="http://schemas.microsoft.com/office/drawing/2014/main" id="{00000000-0008-0000-0000-0000A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0" name="Text Box 3098">
          <a:extLst>
            <a:ext uri="{FF2B5EF4-FFF2-40B4-BE49-F238E27FC236}">
              <a16:creationId xmlns="" xmlns:a16="http://schemas.microsoft.com/office/drawing/2014/main" id="{00000000-0008-0000-0000-0000A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1" name="Text Box 3099">
          <a:extLst>
            <a:ext uri="{FF2B5EF4-FFF2-40B4-BE49-F238E27FC236}">
              <a16:creationId xmlns="" xmlns:a16="http://schemas.microsoft.com/office/drawing/2014/main" id="{00000000-0008-0000-0000-0000A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2" name="Text Box 3100">
          <a:extLst>
            <a:ext uri="{FF2B5EF4-FFF2-40B4-BE49-F238E27FC236}">
              <a16:creationId xmlns="" xmlns:a16="http://schemas.microsoft.com/office/drawing/2014/main" id="{00000000-0008-0000-0000-0000A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3" name="Text Box 3101">
          <a:extLst>
            <a:ext uri="{FF2B5EF4-FFF2-40B4-BE49-F238E27FC236}">
              <a16:creationId xmlns="" xmlns:a16="http://schemas.microsoft.com/office/drawing/2014/main" id="{00000000-0008-0000-0000-0000A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064" name="Text Box 3102">
          <a:extLst>
            <a:ext uri="{FF2B5EF4-FFF2-40B4-BE49-F238E27FC236}">
              <a16:creationId xmlns="" xmlns:a16="http://schemas.microsoft.com/office/drawing/2014/main" id="{00000000-0008-0000-0000-0000B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5" name="Text Box 59">
          <a:extLst>
            <a:ext uri="{FF2B5EF4-FFF2-40B4-BE49-F238E27FC236}">
              <a16:creationId xmlns="" xmlns:a16="http://schemas.microsoft.com/office/drawing/2014/main" id="{00000000-0008-0000-0000-0000B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6" name="Text Box 60">
          <a:extLst>
            <a:ext uri="{FF2B5EF4-FFF2-40B4-BE49-F238E27FC236}">
              <a16:creationId xmlns="" xmlns:a16="http://schemas.microsoft.com/office/drawing/2014/main" id="{00000000-0008-0000-0000-0000B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7" name="Text Box 61">
          <a:extLst>
            <a:ext uri="{FF2B5EF4-FFF2-40B4-BE49-F238E27FC236}">
              <a16:creationId xmlns="" xmlns:a16="http://schemas.microsoft.com/office/drawing/2014/main" id="{00000000-0008-0000-0000-0000B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8" name="Text Box 62">
          <a:extLst>
            <a:ext uri="{FF2B5EF4-FFF2-40B4-BE49-F238E27FC236}">
              <a16:creationId xmlns="" xmlns:a16="http://schemas.microsoft.com/office/drawing/2014/main" id="{00000000-0008-0000-0000-0000B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9" name="Text Box 63">
          <a:extLst>
            <a:ext uri="{FF2B5EF4-FFF2-40B4-BE49-F238E27FC236}">
              <a16:creationId xmlns="" xmlns:a16="http://schemas.microsoft.com/office/drawing/2014/main" id="{00000000-0008-0000-0000-0000B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0" name="Text Box 64">
          <a:extLst>
            <a:ext uri="{FF2B5EF4-FFF2-40B4-BE49-F238E27FC236}">
              <a16:creationId xmlns="" xmlns:a16="http://schemas.microsoft.com/office/drawing/2014/main" id="{00000000-0008-0000-0000-0000B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1" name="Text Box 65">
          <a:extLst>
            <a:ext uri="{FF2B5EF4-FFF2-40B4-BE49-F238E27FC236}">
              <a16:creationId xmlns="" xmlns:a16="http://schemas.microsoft.com/office/drawing/2014/main" id="{00000000-0008-0000-0000-0000B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2" name="Text Box 66">
          <a:extLst>
            <a:ext uri="{FF2B5EF4-FFF2-40B4-BE49-F238E27FC236}">
              <a16:creationId xmlns="" xmlns:a16="http://schemas.microsoft.com/office/drawing/2014/main" id="{00000000-0008-0000-0000-0000B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3" name="Text Box 67">
          <a:extLst>
            <a:ext uri="{FF2B5EF4-FFF2-40B4-BE49-F238E27FC236}">
              <a16:creationId xmlns="" xmlns:a16="http://schemas.microsoft.com/office/drawing/2014/main" id="{00000000-0008-0000-0000-0000B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4" name="Text Box 68">
          <a:extLst>
            <a:ext uri="{FF2B5EF4-FFF2-40B4-BE49-F238E27FC236}">
              <a16:creationId xmlns="" xmlns:a16="http://schemas.microsoft.com/office/drawing/2014/main" id="{00000000-0008-0000-0000-0000B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5" name="Text Box 69">
          <a:extLst>
            <a:ext uri="{FF2B5EF4-FFF2-40B4-BE49-F238E27FC236}">
              <a16:creationId xmlns="" xmlns:a16="http://schemas.microsoft.com/office/drawing/2014/main" id="{00000000-0008-0000-0000-0000B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6" name="Text Box 70">
          <a:extLst>
            <a:ext uri="{FF2B5EF4-FFF2-40B4-BE49-F238E27FC236}">
              <a16:creationId xmlns="" xmlns:a16="http://schemas.microsoft.com/office/drawing/2014/main" id="{00000000-0008-0000-0000-0000B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7" name="Text Box 71">
          <a:extLst>
            <a:ext uri="{FF2B5EF4-FFF2-40B4-BE49-F238E27FC236}">
              <a16:creationId xmlns="" xmlns:a16="http://schemas.microsoft.com/office/drawing/2014/main" id="{00000000-0008-0000-0000-0000B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8" name="Text Box 72">
          <a:extLst>
            <a:ext uri="{FF2B5EF4-FFF2-40B4-BE49-F238E27FC236}">
              <a16:creationId xmlns="" xmlns:a16="http://schemas.microsoft.com/office/drawing/2014/main" id="{00000000-0008-0000-0000-0000B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9" name="Text Box 73">
          <a:extLst>
            <a:ext uri="{FF2B5EF4-FFF2-40B4-BE49-F238E27FC236}">
              <a16:creationId xmlns="" xmlns:a16="http://schemas.microsoft.com/office/drawing/2014/main" id="{00000000-0008-0000-0000-0000B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0" name="Text Box 74">
          <a:extLst>
            <a:ext uri="{FF2B5EF4-FFF2-40B4-BE49-F238E27FC236}">
              <a16:creationId xmlns="" xmlns:a16="http://schemas.microsoft.com/office/drawing/2014/main" id="{00000000-0008-0000-0000-0000C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1" name="Text Box 75">
          <a:extLst>
            <a:ext uri="{FF2B5EF4-FFF2-40B4-BE49-F238E27FC236}">
              <a16:creationId xmlns="" xmlns:a16="http://schemas.microsoft.com/office/drawing/2014/main" id="{00000000-0008-0000-0000-0000C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2" name="Text Box 76">
          <a:extLst>
            <a:ext uri="{FF2B5EF4-FFF2-40B4-BE49-F238E27FC236}">
              <a16:creationId xmlns="" xmlns:a16="http://schemas.microsoft.com/office/drawing/2014/main" id="{00000000-0008-0000-0000-0000C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3" name="Text Box 77">
          <a:extLst>
            <a:ext uri="{FF2B5EF4-FFF2-40B4-BE49-F238E27FC236}">
              <a16:creationId xmlns="" xmlns:a16="http://schemas.microsoft.com/office/drawing/2014/main" id="{00000000-0008-0000-0000-0000C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4" name="Text Box 78">
          <a:extLst>
            <a:ext uri="{FF2B5EF4-FFF2-40B4-BE49-F238E27FC236}">
              <a16:creationId xmlns="" xmlns:a16="http://schemas.microsoft.com/office/drawing/2014/main" id="{00000000-0008-0000-0000-0000C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5" name="Text Box 79">
          <a:extLst>
            <a:ext uri="{FF2B5EF4-FFF2-40B4-BE49-F238E27FC236}">
              <a16:creationId xmlns="" xmlns:a16="http://schemas.microsoft.com/office/drawing/2014/main" id="{00000000-0008-0000-0000-0000C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6" name="Text Box 80">
          <a:extLst>
            <a:ext uri="{FF2B5EF4-FFF2-40B4-BE49-F238E27FC236}">
              <a16:creationId xmlns="" xmlns:a16="http://schemas.microsoft.com/office/drawing/2014/main" id="{00000000-0008-0000-0000-0000C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7" name="Text Box 81">
          <a:extLst>
            <a:ext uri="{FF2B5EF4-FFF2-40B4-BE49-F238E27FC236}">
              <a16:creationId xmlns="" xmlns:a16="http://schemas.microsoft.com/office/drawing/2014/main" id="{00000000-0008-0000-0000-0000C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088" name="Text Box 82">
          <a:extLst>
            <a:ext uri="{FF2B5EF4-FFF2-40B4-BE49-F238E27FC236}">
              <a16:creationId xmlns="" xmlns:a16="http://schemas.microsoft.com/office/drawing/2014/main" id="{00000000-0008-0000-0000-0000C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89" name="Text Box 3079">
          <a:extLst>
            <a:ext uri="{FF2B5EF4-FFF2-40B4-BE49-F238E27FC236}">
              <a16:creationId xmlns="" xmlns:a16="http://schemas.microsoft.com/office/drawing/2014/main" id="{00000000-0008-0000-0000-0000C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0" name="Text Box 3080">
          <a:extLst>
            <a:ext uri="{FF2B5EF4-FFF2-40B4-BE49-F238E27FC236}">
              <a16:creationId xmlns="" xmlns:a16="http://schemas.microsoft.com/office/drawing/2014/main" id="{00000000-0008-0000-0000-0000C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1" name="Text Box 3081">
          <a:extLst>
            <a:ext uri="{FF2B5EF4-FFF2-40B4-BE49-F238E27FC236}">
              <a16:creationId xmlns="" xmlns:a16="http://schemas.microsoft.com/office/drawing/2014/main" id="{00000000-0008-0000-0000-0000C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2" name="Text Box 3082">
          <a:extLst>
            <a:ext uri="{FF2B5EF4-FFF2-40B4-BE49-F238E27FC236}">
              <a16:creationId xmlns="" xmlns:a16="http://schemas.microsoft.com/office/drawing/2014/main" id="{00000000-0008-0000-0000-0000C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3" name="Text Box 3083">
          <a:extLst>
            <a:ext uri="{FF2B5EF4-FFF2-40B4-BE49-F238E27FC236}">
              <a16:creationId xmlns="" xmlns:a16="http://schemas.microsoft.com/office/drawing/2014/main" id="{00000000-0008-0000-0000-0000C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4" name="Text Box 3084">
          <a:extLst>
            <a:ext uri="{FF2B5EF4-FFF2-40B4-BE49-F238E27FC236}">
              <a16:creationId xmlns="" xmlns:a16="http://schemas.microsoft.com/office/drawing/2014/main" id="{00000000-0008-0000-0000-0000C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5" name="Text Box 3085">
          <a:extLst>
            <a:ext uri="{FF2B5EF4-FFF2-40B4-BE49-F238E27FC236}">
              <a16:creationId xmlns="" xmlns:a16="http://schemas.microsoft.com/office/drawing/2014/main" id="{00000000-0008-0000-0000-0000C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6" name="Text Box 3086">
          <a:extLst>
            <a:ext uri="{FF2B5EF4-FFF2-40B4-BE49-F238E27FC236}">
              <a16:creationId xmlns="" xmlns:a16="http://schemas.microsoft.com/office/drawing/2014/main" id="{00000000-0008-0000-0000-0000D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7" name="Text Box 3087">
          <a:extLst>
            <a:ext uri="{FF2B5EF4-FFF2-40B4-BE49-F238E27FC236}">
              <a16:creationId xmlns="" xmlns:a16="http://schemas.microsoft.com/office/drawing/2014/main" id="{00000000-0008-0000-0000-0000D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8" name="Text Box 3088">
          <a:extLst>
            <a:ext uri="{FF2B5EF4-FFF2-40B4-BE49-F238E27FC236}">
              <a16:creationId xmlns="" xmlns:a16="http://schemas.microsoft.com/office/drawing/2014/main" id="{00000000-0008-0000-0000-0000D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9" name="Text Box 3089">
          <a:extLst>
            <a:ext uri="{FF2B5EF4-FFF2-40B4-BE49-F238E27FC236}">
              <a16:creationId xmlns="" xmlns:a16="http://schemas.microsoft.com/office/drawing/2014/main" id="{00000000-0008-0000-0000-0000D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0" name="Text Box 3090">
          <a:extLst>
            <a:ext uri="{FF2B5EF4-FFF2-40B4-BE49-F238E27FC236}">
              <a16:creationId xmlns="" xmlns:a16="http://schemas.microsoft.com/office/drawing/2014/main" id="{00000000-0008-0000-0000-0000D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1" name="Text Box 3091">
          <a:extLst>
            <a:ext uri="{FF2B5EF4-FFF2-40B4-BE49-F238E27FC236}">
              <a16:creationId xmlns="" xmlns:a16="http://schemas.microsoft.com/office/drawing/2014/main" id="{00000000-0008-0000-0000-0000D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2" name="Text Box 3092">
          <a:extLst>
            <a:ext uri="{FF2B5EF4-FFF2-40B4-BE49-F238E27FC236}">
              <a16:creationId xmlns="" xmlns:a16="http://schemas.microsoft.com/office/drawing/2014/main" id="{00000000-0008-0000-0000-0000D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3" name="Text Box 3093">
          <a:extLst>
            <a:ext uri="{FF2B5EF4-FFF2-40B4-BE49-F238E27FC236}">
              <a16:creationId xmlns="" xmlns:a16="http://schemas.microsoft.com/office/drawing/2014/main" id="{00000000-0008-0000-0000-0000D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4" name="Text Box 3094">
          <a:extLst>
            <a:ext uri="{FF2B5EF4-FFF2-40B4-BE49-F238E27FC236}">
              <a16:creationId xmlns="" xmlns:a16="http://schemas.microsoft.com/office/drawing/2014/main" id="{00000000-0008-0000-0000-0000D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5" name="Text Box 3095">
          <a:extLst>
            <a:ext uri="{FF2B5EF4-FFF2-40B4-BE49-F238E27FC236}">
              <a16:creationId xmlns="" xmlns:a16="http://schemas.microsoft.com/office/drawing/2014/main" id="{00000000-0008-0000-0000-0000D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6" name="Text Box 3096">
          <a:extLst>
            <a:ext uri="{FF2B5EF4-FFF2-40B4-BE49-F238E27FC236}">
              <a16:creationId xmlns="" xmlns:a16="http://schemas.microsoft.com/office/drawing/2014/main" id="{00000000-0008-0000-0000-0000D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7" name="Text Box 3097">
          <a:extLst>
            <a:ext uri="{FF2B5EF4-FFF2-40B4-BE49-F238E27FC236}">
              <a16:creationId xmlns="" xmlns:a16="http://schemas.microsoft.com/office/drawing/2014/main" id="{00000000-0008-0000-0000-0000D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8" name="Text Box 3098">
          <a:extLst>
            <a:ext uri="{FF2B5EF4-FFF2-40B4-BE49-F238E27FC236}">
              <a16:creationId xmlns="" xmlns:a16="http://schemas.microsoft.com/office/drawing/2014/main" id="{00000000-0008-0000-0000-0000D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9" name="Text Box 3099">
          <a:extLst>
            <a:ext uri="{FF2B5EF4-FFF2-40B4-BE49-F238E27FC236}">
              <a16:creationId xmlns="" xmlns:a16="http://schemas.microsoft.com/office/drawing/2014/main" id="{00000000-0008-0000-0000-0000D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10" name="Text Box 3100">
          <a:extLst>
            <a:ext uri="{FF2B5EF4-FFF2-40B4-BE49-F238E27FC236}">
              <a16:creationId xmlns="" xmlns:a16="http://schemas.microsoft.com/office/drawing/2014/main" id="{00000000-0008-0000-0000-0000D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11" name="Text Box 3101">
          <a:extLst>
            <a:ext uri="{FF2B5EF4-FFF2-40B4-BE49-F238E27FC236}">
              <a16:creationId xmlns="" xmlns:a16="http://schemas.microsoft.com/office/drawing/2014/main" id="{00000000-0008-0000-0000-0000D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112" name="Text Box 3102">
          <a:extLst>
            <a:ext uri="{FF2B5EF4-FFF2-40B4-BE49-F238E27FC236}">
              <a16:creationId xmlns="" xmlns:a16="http://schemas.microsoft.com/office/drawing/2014/main" id="{00000000-0008-0000-0000-0000E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3" name="Text Box 59">
          <a:extLst>
            <a:ext uri="{FF2B5EF4-FFF2-40B4-BE49-F238E27FC236}">
              <a16:creationId xmlns="" xmlns:a16="http://schemas.microsoft.com/office/drawing/2014/main" id="{00000000-0008-0000-0000-0000E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4" name="Text Box 60">
          <a:extLst>
            <a:ext uri="{FF2B5EF4-FFF2-40B4-BE49-F238E27FC236}">
              <a16:creationId xmlns="" xmlns:a16="http://schemas.microsoft.com/office/drawing/2014/main" id="{00000000-0008-0000-0000-0000E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5" name="Text Box 61">
          <a:extLst>
            <a:ext uri="{FF2B5EF4-FFF2-40B4-BE49-F238E27FC236}">
              <a16:creationId xmlns="" xmlns:a16="http://schemas.microsoft.com/office/drawing/2014/main" id="{00000000-0008-0000-0000-0000E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6" name="Text Box 62">
          <a:extLst>
            <a:ext uri="{FF2B5EF4-FFF2-40B4-BE49-F238E27FC236}">
              <a16:creationId xmlns="" xmlns:a16="http://schemas.microsoft.com/office/drawing/2014/main" id="{00000000-0008-0000-0000-0000E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7" name="Text Box 63">
          <a:extLst>
            <a:ext uri="{FF2B5EF4-FFF2-40B4-BE49-F238E27FC236}">
              <a16:creationId xmlns="" xmlns:a16="http://schemas.microsoft.com/office/drawing/2014/main" id="{00000000-0008-0000-0000-0000E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8" name="Text Box 64">
          <a:extLst>
            <a:ext uri="{FF2B5EF4-FFF2-40B4-BE49-F238E27FC236}">
              <a16:creationId xmlns="" xmlns:a16="http://schemas.microsoft.com/office/drawing/2014/main" id="{00000000-0008-0000-0000-0000E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9" name="Text Box 65">
          <a:extLst>
            <a:ext uri="{FF2B5EF4-FFF2-40B4-BE49-F238E27FC236}">
              <a16:creationId xmlns="" xmlns:a16="http://schemas.microsoft.com/office/drawing/2014/main" id="{00000000-0008-0000-0000-0000E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0" name="Text Box 66">
          <a:extLst>
            <a:ext uri="{FF2B5EF4-FFF2-40B4-BE49-F238E27FC236}">
              <a16:creationId xmlns="" xmlns:a16="http://schemas.microsoft.com/office/drawing/2014/main" id="{00000000-0008-0000-0000-0000E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1" name="Text Box 67">
          <a:extLst>
            <a:ext uri="{FF2B5EF4-FFF2-40B4-BE49-F238E27FC236}">
              <a16:creationId xmlns="" xmlns:a16="http://schemas.microsoft.com/office/drawing/2014/main" id="{00000000-0008-0000-0000-0000E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2" name="Text Box 68">
          <a:extLst>
            <a:ext uri="{FF2B5EF4-FFF2-40B4-BE49-F238E27FC236}">
              <a16:creationId xmlns="" xmlns:a16="http://schemas.microsoft.com/office/drawing/2014/main" id="{00000000-0008-0000-0000-0000E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3" name="Text Box 69">
          <a:extLst>
            <a:ext uri="{FF2B5EF4-FFF2-40B4-BE49-F238E27FC236}">
              <a16:creationId xmlns="" xmlns:a16="http://schemas.microsoft.com/office/drawing/2014/main" id="{00000000-0008-0000-0000-0000E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4" name="Text Box 70">
          <a:extLst>
            <a:ext uri="{FF2B5EF4-FFF2-40B4-BE49-F238E27FC236}">
              <a16:creationId xmlns="" xmlns:a16="http://schemas.microsoft.com/office/drawing/2014/main" id="{00000000-0008-0000-0000-0000E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5" name="Text Box 71">
          <a:extLst>
            <a:ext uri="{FF2B5EF4-FFF2-40B4-BE49-F238E27FC236}">
              <a16:creationId xmlns="" xmlns:a16="http://schemas.microsoft.com/office/drawing/2014/main" id="{00000000-0008-0000-0000-0000E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6" name="Text Box 72">
          <a:extLst>
            <a:ext uri="{FF2B5EF4-FFF2-40B4-BE49-F238E27FC236}">
              <a16:creationId xmlns="" xmlns:a16="http://schemas.microsoft.com/office/drawing/2014/main" id="{00000000-0008-0000-0000-0000E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7" name="Text Box 73">
          <a:extLst>
            <a:ext uri="{FF2B5EF4-FFF2-40B4-BE49-F238E27FC236}">
              <a16:creationId xmlns="" xmlns:a16="http://schemas.microsoft.com/office/drawing/2014/main" id="{00000000-0008-0000-0000-0000E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8" name="Text Box 74">
          <a:extLst>
            <a:ext uri="{FF2B5EF4-FFF2-40B4-BE49-F238E27FC236}">
              <a16:creationId xmlns="" xmlns:a16="http://schemas.microsoft.com/office/drawing/2014/main" id="{00000000-0008-0000-0000-0000F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9" name="Text Box 75">
          <a:extLst>
            <a:ext uri="{FF2B5EF4-FFF2-40B4-BE49-F238E27FC236}">
              <a16:creationId xmlns="" xmlns:a16="http://schemas.microsoft.com/office/drawing/2014/main" id="{00000000-0008-0000-0000-0000F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0" name="Text Box 76">
          <a:extLst>
            <a:ext uri="{FF2B5EF4-FFF2-40B4-BE49-F238E27FC236}">
              <a16:creationId xmlns="" xmlns:a16="http://schemas.microsoft.com/office/drawing/2014/main" id="{00000000-0008-0000-0000-0000F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1" name="Text Box 77">
          <a:extLst>
            <a:ext uri="{FF2B5EF4-FFF2-40B4-BE49-F238E27FC236}">
              <a16:creationId xmlns="" xmlns:a16="http://schemas.microsoft.com/office/drawing/2014/main" id="{00000000-0008-0000-0000-0000F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2" name="Text Box 78">
          <a:extLst>
            <a:ext uri="{FF2B5EF4-FFF2-40B4-BE49-F238E27FC236}">
              <a16:creationId xmlns="" xmlns:a16="http://schemas.microsoft.com/office/drawing/2014/main" id="{00000000-0008-0000-0000-0000F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3" name="Text Box 79">
          <a:extLst>
            <a:ext uri="{FF2B5EF4-FFF2-40B4-BE49-F238E27FC236}">
              <a16:creationId xmlns="" xmlns:a16="http://schemas.microsoft.com/office/drawing/2014/main" id="{00000000-0008-0000-0000-0000F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4" name="Text Box 80">
          <a:extLst>
            <a:ext uri="{FF2B5EF4-FFF2-40B4-BE49-F238E27FC236}">
              <a16:creationId xmlns="" xmlns:a16="http://schemas.microsoft.com/office/drawing/2014/main" id="{00000000-0008-0000-0000-0000F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5" name="Text Box 81">
          <a:extLst>
            <a:ext uri="{FF2B5EF4-FFF2-40B4-BE49-F238E27FC236}">
              <a16:creationId xmlns="" xmlns:a16="http://schemas.microsoft.com/office/drawing/2014/main" id="{00000000-0008-0000-0000-0000F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6" name="Text Box 3079">
          <a:extLst>
            <a:ext uri="{FF2B5EF4-FFF2-40B4-BE49-F238E27FC236}">
              <a16:creationId xmlns="" xmlns:a16="http://schemas.microsoft.com/office/drawing/2014/main" id="{00000000-0008-0000-0000-0000F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7" name="Text Box 3080">
          <a:extLst>
            <a:ext uri="{FF2B5EF4-FFF2-40B4-BE49-F238E27FC236}">
              <a16:creationId xmlns="" xmlns:a16="http://schemas.microsoft.com/office/drawing/2014/main" id="{00000000-0008-0000-0000-0000F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8" name="Text Box 3081">
          <a:extLst>
            <a:ext uri="{FF2B5EF4-FFF2-40B4-BE49-F238E27FC236}">
              <a16:creationId xmlns="" xmlns:a16="http://schemas.microsoft.com/office/drawing/2014/main" id="{00000000-0008-0000-0000-0000F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9" name="Text Box 3082">
          <a:extLst>
            <a:ext uri="{FF2B5EF4-FFF2-40B4-BE49-F238E27FC236}">
              <a16:creationId xmlns="" xmlns:a16="http://schemas.microsoft.com/office/drawing/2014/main" id="{00000000-0008-0000-0000-0000F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0" name="Text Box 3083">
          <a:extLst>
            <a:ext uri="{FF2B5EF4-FFF2-40B4-BE49-F238E27FC236}">
              <a16:creationId xmlns="" xmlns:a16="http://schemas.microsoft.com/office/drawing/2014/main" id="{00000000-0008-0000-0000-0000F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1" name="Text Box 3084">
          <a:extLst>
            <a:ext uri="{FF2B5EF4-FFF2-40B4-BE49-F238E27FC236}">
              <a16:creationId xmlns="" xmlns:a16="http://schemas.microsoft.com/office/drawing/2014/main" id="{00000000-0008-0000-0000-0000F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2" name="Text Box 3085">
          <a:extLst>
            <a:ext uri="{FF2B5EF4-FFF2-40B4-BE49-F238E27FC236}">
              <a16:creationId xmlns="" xmlns:a16="http://schemas.microsoft.com/office/drawing/2014/main" id="{00000000-0008-0000-0000-0000F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3" name="Text Box 3086">
          <a:extLst>
            <a:ext uri="{FF2B5EF4-FFF2-40B4-BE49-F238E27FC236}">
              <a16:creationId xmlns="" xmlns:a16="http://schemas.microsoft.com/office/drawing/2014/main" id="{00000000-0008-0000-0000-0000F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4" name="Text Box 3087">
          <a:extLst>
            <a:ext uri="{FF2B5EF4-FFF2-40B4-BE49-F238E27FC236}">
              <a16:creationId xmlns="" xmlns:a16="http://schemas.microsoft.com/office/drawing/2014/main" id="{00000000-0008-0000-0000-00000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5" name="Text Box 3088">
          <a:extLst>
            <a:ext uri="{FF2B5EF4-FFF2-40B4-BE49-F238E27FC236}">
              <a16:creationId xmlns="" xmlns:a16="http://schemas.microsoft.com/office/drawing/2014/main" id="{00000000-0008-0000-0000-00000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6" name="Text Box 3089">
          <a:extLst>
            <a:ext uri="{FF2B5EF4-FFF2-40B4-BE49-F238E27FC236}">
              <a16:creationId xmlns="" xmlns:a16="http://schemas.microsoft.com/office/drawing/2014/main" id="{00000000-0008-0000-0000-00000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7" name="Text Box 3090">
          <a:extLst>
            <a:ext uri="{FF2B5EF4-FFF2-40B4-BE49-F238E27FC236}">
              <a16:creationId xmlns="" xmlns:a16="http://schemas.microsoft.com/office/drawing/2014/main" id="{00000000-0008-0000-0000-00000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8" name="Text Box 3091">
          <a:extLst>
            <a:ext uri="{FF2B5EF4-FFF2-40B4-BE49-F238E27FC236}">
              <a16:creationId xmlns="" xmlns:a16="http://schemas.microsoft.com/office/drawing/2014/main" id="{00000000-0008-0000-0000-00000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9" name="Text Box 3092">
          <a:extLst>
            <a:ext uri="{FF2B5EF4-FFF2-40B4-BE49-F238E27FC236}">
              <a16:creationId xmlns="" xmlns:a16="http://schemas.microsoft.com/office/drawing/2014/main" id="{00000000-0008-0000-0000-00000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0" name="Text Box 3093">
          <a:extLst>
            <a:ext uri="{FF2B5EF4-FFF2-40B4-BE49-F238E27FC236}">
              <a16:creationId xmlns="" xmlns:a16="http://schemas.microsoft.com/office/drawing/2014/main" id="{00000000-0008-0000-0000-00000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1" name="Text Box 3094">
          <a:extLst>
            <a:ext uri="{FF2B5EF4-FFF2-40B4-BE49-F238E27FC236}">
              <a16:creationId xmlns="" xmlns:a16="http://schemas.microsoft.com/office/drawing/2014/main" id="{00000000-0008-0000-0000-00000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2" name="Text Box 3095">
          <a:extLst>
            <a:ext uri="{FF2B5EF4-FFF2-40B4-BE49-F238E27FC236}">
              <a16:creationId xmlns="" xmlns:a16="http://schemas.microsoft.com/office/drawing/2014/main" id="{00000000-0008-0000-0000-00000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3" name="Text Box 3096">
          <a:extLst>
            <a:ext uri="{FF2B5EF4-FFF2-40B4-BE49-F238E27FC236}">
              <a16:creationId xmlns="" xmlns:a16="http://schemas.microsoft.com/office/drawing/2014/main" id="{00000000-0008-0000-0000-00000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4" name="Text Box 3097">
          <a:extLst>
            <a:ext uri="{FF2B5EF4-FFF2-40B4-BE49-F238E27FC236}">
              <a16:creationId xmlns="" xmlns:a16="http://schemas.microsoft.com/office/drawing/2014/main" id="{00000000-0008-0000-0000-00000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5" name="Text Box 3098">
          <a:extLst>
            <a:ext uri="{FF2B5EF4-FFF2-40B4-BE49-F238E27FC236}">
              <a16:creationId xmlns="" xmlns:a16="http://schemas.microsoft.com/office/drawing/2014/main" id="{00000000-0008-0000-0000-00000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6" name="Text Box 3099">
          <a:extLst>
            <a:ext uri="{FF2B5EF4-FFF2-40B4-BE49-F238E27FC236}">
              <a16:creationId xmlns="" xmlns:a16="http://schemas.microsoft.com/office/drawing/2014/main" id="{00000000-0008-0000-0000-00000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7" name="Text Box 3100">
          <a:extLst>
            <a:ext uri="{FF2B5EF4-FFF2-40B4-BE49-F238E27FC236}">
              <a16:creationId xmlns="" xmlns:a16="http://schemas.microsoft.com/office/drawing/2014/main" id="{00000000-0008-0000-0000-00000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8" name="Text Box 3101">
          <a:extLst>
            <a:ext uri="{FF2B5EF4-FFF2-40B4-BE49-F238E27FC236}">
              <a16:creationId xmlns="" xmlns:a16="http://schemas.microsoft.com/office/drawing/2014/main" id="{00000000-0008-0000-0000-00000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159" name="Text Box 3102">
          <a:extLst>
            <a:ext uri="{FF2B5EF4-FFF2-40B4-BE49-F238E27FC236}">
              <a16:creationId xmlns="" xmlns:a16="http://schemas.microsoft.com/office/drawing/2014/main" id="{00000000-0008-0000-0000-00000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0" name="Text Box 59">
          <a:extLst>
            <a:ext uri="{FF2B5EF4-FFF2-40B4-BE49-F238E27FC236}">
              <a16:creationId xmlns="" xmlns:a16="http://schemas.microsoft.com/office/drawing/2014/main" id="{00000000-0008-0000-0000-00001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1" name="Text Box 60">
          <a:extLst>
            <a:ext uri="{FF2B5EF4-FFF2-40B4-BE49-F238E27FC236}">
              <a16:creationId xmlns="" xmlns:a16="http://schemas.microsoft.com/office/drawing/2014/main" id="{00000000-0008-0000-0000-00001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2" name="Text Box 61">
          <a:extLst>
            <a:ext uri="{FF2B5EF4-FFF2-40B4-BE49-F238E27FC236}">
              <a16:creationId xmlns="" xmlns:a16="http://schemas.microsoft.com/office/drawing/2014/main" id="{00000000-0008-0000-0000-00001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3" name="Text Box 62">
          <a:extLst>
            <a:ext uri="{FF2B5EF4-FFF2-40B4-BE49-F238E27FC236}">
              <a16:creationId xmlns="" xmlns:a16="http://schemas.microsoft.com/office/drawing/2014/main" id="{00000000-0008-0000-0000-00001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4" name="Text Box 63">
          <a:extLst>
            <a:ext uri="{FF2B5EF4-FFF2-40B4-BE49-F238E27FC236}">
              <a16:creationId xmlns="" xmlns:a16="http://schemas.microsoft.com/office/drawing/2014/main" id="{00000000-0008-0000-0000-00001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5" name="Text Box 64">
          <a:extLst>
            <a:ext uri="{FF2B5EF4-FFF2-40B4-BE49-F238E27FC236}">
              <a16:creationId xmlns="" xmlns:a16="http://schemas.microsoft.com/office/drawing/2014/main" id="{00000000-0008-0000-0000-00001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6" name="Text Box 65">
          <a:extLst>
            <a:ext uri="{FF2B5EF4-FFF2-40B4-BE49-F238E27FC236}">
              <a16:creationId xmlns="" xmlns:a16="http://schemas.microsoft.com/office/drawing/2014/main" id="{00000000-0008-0000-0000-00001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7" name="Text Box 66">
          <a:extLst>
            <a:ext uri="{FF2B5EF4-FFF2-40B4-BE49-F238E27FC236}">
              <a16:creationId xmlns="" xmlns:a16="http://schemas.microsoft.com/office/drawing/2014/main" id="{00000000-0008-0000-0000-00001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8" name="Text Box 67">
          <a:extLst>
            <a:ext uri="{FF2B5EF4-FFF2-40B4-BE49-F238E27FC236}">
              <a16:creationId xmlns="" xmlns:a16="http://schemas.microsoft.com/office/drawing/2014/main" id="{00000000-0008-0000-0000-00001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9" name="Text Box 68">
          <a:extLst>
            <a:ext uri="{FF2B5EF4-FFF2-40B4-BE49-F238E27FC236}">
              <a16:creationId xmlns="" xmlns:a16="http://schemas.microsoft.com/office/drawing/2014/main" id="{00000000-0008-0000-0000-00001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0" name="Text Box 69">
          <a:extLst>
            <a:ext uri="{FF2B5EF4-FFF2-40B4-BE49-F238E27FC236}">
              <a16:creationId xmlns="" xmlns:a16="http://schemas.microsoft.com/office/drawing/2014/main" id="{00000000-0008-0000-0000-00001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1" name="Text Box 70">
          <a:extLst>
            <a:ext uri="{FF2B5EF4-FFF2-40B4-BE49-F238E27FC236}">
              <a16:creationId xmlns="" xmlns:a16="http://schemas.microsoft.com/office/drawing/2014/main" id="{00000000-0008-0000-0000-00001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2" name="Text Box 71">
          <a:extLst>
            <a:ext uri="{FF2B5EF4-FFF2-40B4-BE49-F238E27FC236}">
              <a16:creationId xmlns="" xmlns:a16="http://schemas.microsoft.com/office/drawing/2014/main" id="{00000000-0008-0000-0000-00001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3" name="Text Box 72">
          <a:extLst>
            <a:ext uri="{FF2B5EF4-FFF2-40B4-BE49-F238E27FC236}">
              <a16:creationId xmlns="" xmlns:a16="http://schemas.microsoft.com/office/drawing/2014/main" id="{00000000-0008-0000-0000-00001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4" name="Text Box 73">
          <a:extLst>
            <a:ext uri="{FF2B5EF4-FFF2-40B4-BE49-F238E27FC236}">
              <a16:creationId xmlns="" xmlns:a16="http://schemas.microsoft.com/office/drawing/2014/main" id="{00000000-0008-0000-0000-00001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5" name="Text Box 74">
          <a:extLst>
            <a:ext uri="{FF2B5EF4-FFF2-40B4-BE49-F238E27FC236}">
              <a16:creationId xmlns="" xmlns:a16="http://schemas.microsoft.com/office/drawing/2014/main" id="{00000000-0008-0000-0000-00001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6" name="Text Box 75">
          <a:extLst>
            <a:ext uri="{FF2B5EF4-FFF2-40B4-BE49-F238E27FC236}">
              <a16:creationId xmlns="" xmlns:a16="http://schemas.microsoft.com/office/drawing/2014/main" id="{00000000-0008-0000-0000-00002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7" name="Text Box 76">
          <a:extLst>
            <a:ext uri="{FF2B5EF4-FFF2-40B4-BE49-F238E27FC236}">
              <a16:creationId xmlns="" xmlns:a16="http://schemas.microsoft.com/office/drawing/2014/main" id="{00000000-0008-0000-0000-00002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8" name="Text Box 77">
          <a:extLst>
            <a:ext uri="{FF2B5EF4-FFF2-40B4-BE49-F238E27FC236}">
              <a16:creationId xmlns="" xmlns:a16="http://schemas.microsoft.com/office/drawing/2014/main" id="{00000000-0008-0000-0000-00002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9" name="Text Box 78">
          <a:extLst>
            <a:ext uri="{FF2B5EF4-FFF2-40B4-BE49-F238E27FC236}">
              <a16:creationId xmlns="" xmlns:a16="http://schemas.microsoft.com/office/drawing/2014/main" id="{00000000-0008-0000-0000-00002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0" name="Text Box 79">
          <a:extLst>
            <a:ext uri="{FF2B5EF4-FFF2-40B4-BE49-F238E27FC236}">
              <a16:creationId xmlns="" xmlns:a16="http://schemas.microsoft.com/office/drawing/2014/main" id="{00000000-0008-0000-0000-00002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1" name="Text Box 80">
          <a:extLst>
            <a:ext uri="{FF2B5EF4-FFF2-40B4-BE49-F238E27FC236}">
              <a16:creationId xmlns="" xmlns:a16="http://schemas.microsoft.com/office/drawing/2014/main" id="{00000000-0008-0000-0000-00002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2" name="Text Box 81">
          <a:extLst>
            <a:ext uri="{FF2B5EF4-FFF2-40B4-BE49-F238E27FC236}">
              <a16:creationId xmlns="" xmlns:a16="http://schemas.microsoft.com/office/drawing/2014/main" id="{00000000-0008-0000-0000-00002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183" name="Text Box 82">
          <a:extLst>
            <a:ext uri="{FF2B5EF4-FFF2-40B4-BE49-F238E27FC236}">
              <a16:creationId xmlns="" xmlns:a16="http://schemas.microsoft.com/office/drawing/2014/main" id="{00000000-0008-0000-0000-00002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4" name="Text Box 3079">
          <a:extLst>
            <a:ext uri="{FF2B5EF4-FFF2-40B4-BE49-F238E27FC236}">
              <a16:creationId xmlns="" xmlns:a16="http://schemas.microsoft.com/office/drawing/2014/main" id="{00000000-0008-0000-0000-00002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5" name="Text Box 3080">
          <a:extLst>
            <a:ext uri="{FF2B5EF4-FFF2-40B4-BE49-F238E27FC236}">
              <a16:creationId xmlns="" xmlns:a16="http://schemas.microsoft.com/office/drawing/2014/main" id="{00000000-0008-0000-0000-00002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6" name="Text Box 3081">
          <a:extLst>
            <a:ext uri="{FF2B5EF4-FFF2-40B4-BE49-F238E27FC236}">
              <a16:creationId xmlns="" xmlns:a16="http://schemas.microsoft.com/office/drawing/2014/main" id="{00000000-0008-0000-0000-00002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7" name="Text Box 3082">
          <a:extLst>
            <a:ext uri="{FF2B5EF4-FFF2-40B4-BE49-F238E27FC236}">
              <a16:creationId xmlns="" xmlns:a16="http://schemas.microsoft.com/office/drawing/2014/main" id="{00000000-0008-0000-0000-00002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8" name="Text Box 3083">
          <a:extLst>
            <a:ext uri="{FF2B5EF4-FFF2-40B4-BE49-F238E27FC236}">
              <a16:creationId xmlns="" xmlns:a16="http://schemas.microsoft.com/office/drawing/2014/main" id="{00000000-0008-0000-0000-00002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9" name="Text Box 3084">
          <a:extLst>
            <a:ext uri="{FF2B5EF4-FFF2-40B4-BE49-F238E27FC236}">
              <a16:creationId xmlns="" xmlns:a16="http://schemas.microsoft.com/office/drawing/2014/main" id="{00000000-0008-0000-0000-00002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0" name="Text Box 3085">
          <a:extLst>
            <a:ext uri="{FF2B5EF4-FFF2-40B4-BE49-F238E27FC236}">
              <a16:creationId xmlns="" xmlns:a16="http://schemas.microsoft.com/office/drawing/2014/main" id="{00000000-0008-0000-0000-00002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1" name="Text Box 3086">
          <a:extLst>
            <a:ext uri="{FF2B5EF4-FFF2-40B4-BE49-F238E27FC236}">
              <a16:creationId xmlns="" xmlns:a16="http://schemas.microsoft.com/office/drawing/2014/main" id="{00000000-0008-0000-0000-00002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2" name="Text Box 3087">
          <a:extLst>
            <a:ext uri="{FF2B5EF4-FFF2-40B4-BE49-F238E27FC236}">
              <a16:creationId xmlns="" xmlns:a16="http://schemas.microsoft.com/office/drawing/2014/main" id="{00000000-0008-0000-0000-00003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3" name="Text Box 3088">
          <a:extLst>
            <a:ext uri="{FF2B5EF4-FFF2-40B4-BE49-F238E27FC236}">
              <a16:creationId xmlns="" xmlns:a16="http://schemas.microsoft.com/office/drawing/2014/main" id="{00000000-0008-0000-0000-00003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4" name="Text Box 3089">
          <a:extLst>
            <a:ext uri="{FF2B5EF4-FFF2-40B4-BE49-F238E27FC236}">
              <a16:creationId xmlns="" xmlns:a16="http://schemas.microsoft.com/office/drawing/2014/main" id="{00000000-0008-0000-0000-00003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5" name="Text Box 3090">
          <a:extLst>
            <a:ext uri="{FF2B5EF4-FFF2-40B4-BE49-F238E27FC236}">
              <a16:creationId xmlns="" xmlns:a16="http://schemas.microsoft.com/office/drawing/2014/main" id="{00000000-0008-0000-0000-00003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6" name="Text Box 3091">
          <a:extLst>
            <a:ext uri="{FF2B5EF4-FFF2-40B4-BE49-F238E27FC236}">
              <a16:creationId xmlns="" xmlns:a16="http://schemas.microsoft.com/office/drawing/2014/main" id="{00000000-0008-0000-0000-00003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7" name="Text Box 3092">
          <a:extLst>
            <a:ext uri="{FF2B5EF4-FFF2-40B4-BE49-F238E27FC236}">
              <a16:creationId xmlns="" xmlns:a16="http://schemas.microsoft.com/office/drawing/2014/main" id="{00000000-0008-0000-0000-00003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8" name="Text Box 3093">
          <a:extLst>
            <a:ext uri="{FF2B5EF4-FFF2-40B4-BE49-F238E27FC236}">
              <a16:creationId xmlns="" xmlns:a16="http://schemas.microsoft.com/office/drawing/2014/main" id="{00000000-0008-0000-0000-00003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9" name="Text Box 3094">
          <a:extLst>
            <a:ext uri="{FF2B5EF4-FFF2-40B4-BE49-F238E27FC236}">
              <a16:creationId xmlns="" xmlns:a16="http://schemas.microsoft.com/office/drawing/2014/main" id="{00000000-0008-0000-0000-00003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0" name="Text Box 3095">
          <a:extLst>
            <a:ext uri="{FF2B5EF4-FFF2-40B4-BE49-F238E27FC236}">
              <a16:creationId xmlns="" xmlns:a16="http://schemas.microsoft.com/office/drawing/2014/main" id="{00000000-0008-0000-0000-00003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1" name="Text Box 3096">
          <a:extLst>
            <a:ext uri="{FF2B5EF4-FFF2-40B4-BE49-F238E27FC236}">
              <a16:creationId xmlns="" xmlns:a16="http://schemas.microsoft.com/office/drawing/2014/main" id="{00000000-0008-0000-0000-00003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2" name="Text Box 3097">
          <a:extLst>
            <a:ext uri="{FF2B5EF4-FFF2-40B4-BE49-F238E27FC236}">
              <a16:creationId xmlns="" xmlns:a16="http://schemas.microsoft.com/office/drawing/2014/main" id="{00000000-0008-0000-0000-00003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3" name="Text Box 3098">
          <a:extLst>
            <a:ext uri="{FF2B5EF4-FFF2-40B4-BE49-F238E27FC236}">
              <a16:creationId xmlns="" xmlns:a16="http://schemas.microsoft.com/office/drawing/2014/main" id="{00000000-0008-0000-0000-00003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4" name="Text Box 3099">
          <a:extLst>
            <a:ext uri="{FF2B5EF4-FFF2-40B4-BE49-F238E27FC236}">
              <a16:creationId xmlns="" xmlns:a16="http://schemas.microsoft.com/office/drawing/2014/main" id="{00000000-0008-0000-0000-00003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5" name="Text Box 3100">
          <a:extLst>
            <a:ext uri="{FF2B5EF4-FFF2-40B4-BE49-F238E27FC236}">
              <a16:creationId xmlns="" xmlns:a16="http://schemas.microsoft.com/office/drawing/2014/main" id="{00000000-0008-0000-0000-00003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6" name="Text Box 3101">
          <a:extLst>
            <a:ext uri="{FF2B5EF4-FFF2-40B4-BE49-F238E27FC236}">
              <a16:creationId xmlns="" xmlns:a16="http://schemas.microsoft.com/office/drawing/2014/main" id="{00000000-0008-0000-0000-00003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207" name="Text Box 3102">
          <a:extLst>
            <a:ext uri="{FF2B5EF4-FFF2-40B4-BE49-F238E27FC236}">
              <a16:creationId xmlns="" xmlns:a16="http://schemas.microsoft.com/office/drawing/2014/main" id="{00000000-0008-0000-0000-00003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08" name="Text Box 59">
          <a:extLst>
            <a:ext uri="{FF2B5EF4-FFF2-40B4-BE49-F238E27FC236}">
              <a16:creationId xmlns="" xmlns:a16="http://schemas.microsoft.com/office/drawing/2014/main" id="{00000000-0008-0000-0000-00004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09" name="Text Box 60">
          <a:extLst>
            <a:ext uri="{FF2B5EF4-FFF2-40B4-BE49-F238E27FC236}">
              <a16:creationId xmlns="" xmlns:a16="http://schemas.microsoft.com/office/drawing/2014/main" id="{00000000-0008-0000-0000-00004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0" name="Text Box 61">
          <a:extLst>
            <a:ext uri="{FF2B5EF4-FFF2-40B4-BE49-F238E27FC236}">
              <a16:creationId xmlns="" xmlns:a16="http://schemas.microsoft.com/office/drawing/2014/main" id="{00000000-0008-0000-0000-00004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1" name="Text Box 62">
          <a:extLst>
            <a:ext uri="{FF2B5EF4-FFF2-40B4-BE49-F238E27FC236}">
              <a16:creationId xmlns="" xmlns:a16="http://schemas.microsoft.com/office/drawing/2014/main" id="{00000000-0008-0000-0000-00004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2" name="Text Box 63">
          <a:extLst>
            <a:ext uri="{FF2B5EF4-FFF2-40B4-BE49-F238E27FC236}">
              <a16:creationId xmlns="" xmlns:a16="http://schemas.microsoft.com/office/drawing/2014/main" id="{00000000-0008-0000-0000-00004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3" name="Text Box 64">
          <a:extLst>
            <a:ext uri="{FF2B5EF4-FFF2-40B4-BE49-F238E27FC236}">
              <a16:creationId xmlns="" xmlns:a16="http://schemas.microsoft.com/office/drawing/2014/main" id="{00000000-0008-0000-0000-00004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4" name="Text Box 65">
          <a:extLst>
            <a:ext uri="{FF2B5EF4-FFF2-40B4-BE49-F238E27FC236}">
              <a16:creationId xmlns="" xmlns:a16="http://schemas.microsoft.com/office/drawing/2014/main" id="{00000000-0008-0000-0000-00004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5" name="Text Box 66">
          <a:extLst>
            <a:ext uri="{FF2B5EF4-FFF2-40B4-BE49-F238E27FC236}">
              <a16:creationId xmlns="" xmlns:a16="http://schemas.microsoft.com/office/drawing/2014/main" id="{00000000-0008-0000-0000-00004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6" name="Text Box 67">
          <a:extLst>
            <a:ext uri="{FF2B5EF4-FFF2-40B4-BE49-F238E27FC236}">
              <a16:creationId xmlns="" xmlns:a16="http://schemas.microsoft.com/office/drawing/2014/main" id="{00000000-0008-0000-0000-00004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7" name="Text Box 68">
          <a:extLst>
            <a:ext uri="{FF2B5EF4-FFF2-40B4-BE49-F238E27FC236}">
              <a16:creationId xmlns="" xmlns:a16="http://schemas.microsoft.com/office/drawing/2014/main" id="{00000000-0008-0000-0000-00004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8" name="Text Box 69">
          <a:extLst>
            <a:ext uri="{FF2B5EF4-FFF2-40B4-BE49-F238E27FC236}">
              <a16:creationId xmlns="" xmlns:a16="http://schemas.microsoft.com/office/drawing/2014/main" id="{00000000-0008-0000-0000-00004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9" name="Text Box 70">
          <a:extLst>
            <a:ext uri="{FF2B5EF4-FFF2-40B4-BE49-F238E27FC236}">
              <a16:creationId xmlns="" xmlns:a16="http://schemas.microsoft.com/office/drawing/2014/main" id="{00000000-0008-0000-0000-00004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0" name="Text Box 71">
          <a:extLst>
            <a:ext uri="{FF2B5EF4-FFF2-40B4-BE49-F238E27FC236}">
              <a16:creationId xmlns="" xmlns:a16="http://schemas.microsoft.com/office/drawing/2014/main" id="{00000000-0008-0000-0000-00004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1" name="Text Box 72">
          <a:extLst>
            <a:ext uri="{FF2B5EF4-FFF2-40B4-BE49-F238E27FC236}">
              <a16:creationId xmlns="" xmlns:a16="http://schemas.microsoft.com/office/drawing/2014/main" id="{00000000-0008-0000-0000-00004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2" name="Text Box 73">
          <a:extLst>
            <a:ext uri="{FF2B5EF4-FFF2-40B4-BE49-F238E27FC236}">
              <a16:creationId xmlns="" xmlns:a16="http://schemas.microsoft.com/office/drawing/2014/main" id="{00000000-0008-0000-0000-00004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3" name="Text Box 74">
          <a:extLst>
            <a:ext uri="{FF2B5EF4-FFF2-40B4-BE49-F238E27FC236}">
              <a16:creationId xmlns="" xmlns:a16="http://schemas.microsoft.com/office/drawing/2014/main" id="{00000000-0008-0000-0000-00004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4" name="Text Box 75">
          <a:extLst>
            <a:ext uri="{FF2B5EF4-FFF2-40B4-BE49-F238E27FC236}">
              <a16:creationId xmlns="" xmlns:a16="http://schemas.microsoft.com/office/drawing/2014/main" id="{00000000-0008-0000-0000-00005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5" name="Text Box 76">
          <a:extLst>
            <a:ext uri="{FF2B5EF4-FFF2-40B4-BE49-F238E27FC236}">
              <a16:creationId xmlns="" xmlns:a16="http://schemas.microsoft.com/office/drawing/2014/main" id="{00000000-0008-0000-0000-00005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6" name="Text Box 77">
          <a:extLst>
            <a:ext uri="{FF2B5EF4-FFF2-40B4-BE49-F238E27FC236}">
              <a16:creationId xmlns="" xmlns:a16="http://schemas.microsoft.com/office/drawing/2014/main" id="{00000000-0008-0000-0000-00005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7" name="Text Box 78">
          <a:extLst>
            <a:ext uri="{FF2B5EF4-FFF2-40B4-BE49-F238E27FC236}">
              <a16:creationId xmlns="" xmlns:a16="http://schemas.microsoft.com/office/drawing/2014/main" id="{00000000-0008-0000-0000-00005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8" name="Text Box 79">
          <a:extLst>
            <a:ext uri="{FF2B5EF4-FFF2-40B4-BE49-F238E27FC236}">
              <a16:creationId xmlns="" xmlns:a16="http://schemas.microsoft.com/office/drawing/2014/main" id="{00000000-0008-0000-0000-00005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9" name="Text Box 80">
          <a:extLst>
            <a:ext uri="{FF2B5EF4-FFF2-40B4-BE49-F238E27FC236}">
              <a16:creationId xmlns="" xmlns:a16="http://schemas.microsoft.com/office/drawing/2014/main" id="{00000000-0008-0000-0000-00005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30" name="Text Box 81">
          <a:extLst>
            <a:ext uri="{FF2B5EF4-FFF2-40B4-BE49-F238E27FC236}">
              <a16:creationId xmlns="" xmlns:a16="http://schemas.microsoft.com/office/drawing/2014/main" id="{00000000-0008-0000-0000-00005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1" name="Text Box 3079">
          <a:extLst>
            <a:ext uri="{FF2B5EF4-FFF2-40B4-BE49-F238E27FC236}">
              <a16:creationId xmlns="" xmlns:a16="http://schemas.microsoft.com/office/drawing/2014/main" id="{00000000-0008-0000-0000-00005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2" name="Text Box 3080">
          <a:extLst>
            <a:ext uri="{FF2B5EF4-FFF2-40B4-BE49-F238E27FC236}">
              <a16:creationId xmlns="" xmlns:a16="http://schemas.microsoft.com/office/drawing/2014/main" id="{00000000-0008-0000-0000-00005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3" name="Text Box 3081">
          <a:extLst>
            <a:ext uri="{FF2B5EF4-FFF2-40B4-BE49-F238E27FC236}">
              <a16:creationId xmlns="" xmlns:a16="http://schemas.microsoft.com/office/drawing/2014/main" id="{00000000-0008-0000-0000-00005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4" name="Text Box 3082">
          <a:extLst>
            <a:ext uri="{FF2B5EF4-FFF2-40B4-BE49-F238E27FC236}">
              <a16:creationId xmlns="" xmlns:a16="http://schemas.microsoft.com/office/drawing/2014/main" id="{00000000-0008-0000-0000-00005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5" name="Text Box 3083">
          <a:extLst>
            <a:ext uri="{FF2B5EF4-FFF2-40B4-BE49-F238E27FC236}">
              <a16:creationId xmlns="" xmlns:a16="http://schemas.microsoft.com/office/drawing/2014/main" id="{00000000-0008-0000-0000-00005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6" name="Text Box 3084">
          <a:extLst>
            <a:ext uri="{FF2B5EF4-FFF2-40B4-BE49-F238E27FC236}">
              <a16:creationId xmlns="" xmlns:a16="http://schemas.microsoft.com/office/drawing/2014/main" id="{00000000-0008-0000-0000-00005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7" name="Text Box 3085">
          <a:extLst>
            <a:ext uri="{FF2B5EF4-FFF2-40B4-BE49-F238E27FC236}">
              <a16:creationId xmlns="" xmlns:a16="http://schemas.microsoft.com/office/drawing/2014/main" id="{00000000-0008-0000-0000-00005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8" name="Text Box 3086">
          <a:extLst>
            <a:ext uri="{FF2B5EF4-FFF2-40B4-BE49-F238E27FC236}">
              <a16:creationId xmlns="" xmlns:a16="http://schemas.microsoft.com/office/drawing/2014/main" id="{00000000-0008-0000-0000-00005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9" name="Text Box 3087">
          <a:extLst>
            <a:ext uri="{FF2B5EF4-FFF2-40B4-BE49-F238E27FC236}">
              <a16:creationId xmlns="" xmlns:a16="http://schemas.microsoft.com/office/drawing/2014/main" id="{00000000-0008-0000-0000-00005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0" name="Text Box 3088">
          <a:extLst>
            <a:ext uri="{FF2B5EF4-FFF2-40B4-BE49-F238E27FC236}">
              <a16:creationId xmlns="" xmlns:a16="http://schemas.microsoft.com/office/drawing/2014/main" id="{00000000-0008-0000-0000-00006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1" name="Text Box 3089">
          <a:extLst>
            <a:ext uri="{FF2B5EF4-FFF2-40B4-BE49-F238E27FC236}">
              <a16:creationId xmlns="" xmlns:a16="http://schemas.microsoft.com/office/drawing/2014/main" id="{00000000-0008-0000-0000-00006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2" name="Text Box 3090">
          <a:extLst>
            <a:ext uri="{FF2B5EF4-FFF2-40B4-BE49-F238E27FC236}">
              <a16:creationId xmlns="" xmlns:a16="http://schemas.microsoft.com/office/drawing/2014/main" id="{00000000-0008-0000-0000-00006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3" name="Text Box 3091">
          <a:extLst>
            <a:ext uri="{FF2B5EF4-FFF2-40B4-BE49-F238E27FC236}">
              <a16:creationId xmlns="" xmlns:a16="http://schemas.microsoft.com/office/drawing/2014/main" id="{00000000-0008-0000-0000-00006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4" name="Text Box 3092">
          <a:extLst>
            <a:ext uri="{FF2B5EF4-FFF2-40B4-BE49-F238E27FC236}">
              <a16:creationId xmlns="" xmlns:a16="http://schemas.microsoft.com/office/drawing/2014/main" id="{00000000-0008-0000-0000-00006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5" name="Text Box 3093">
          <a:extLst>
            <a:ext uri="{FF2B5EF4-FFF2-40B4-BE49-F238E27FC236}">
              <a16:creationId xmlns="" xmlns:a16="http://schemas.microsoft.com/office/drawing/2014/main" id="{00000000-0008-0000-0000-00006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6" name="Text Box 3094">
          <a:extLst>
            <a:ext uri="{FF2B5EF4-FFF2-40B4-BE49-F238E27FC236}">
              <a16:creationId xmlns="" xmlns:a16="http://schemas.microsoft.com/office/drawing/2014/main" id="{00000000-0008-0000-0000-00006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7" name="Text Box 3095">
          <a:extLst>
            <a:ext uri="{FF2B5EF4-FFF2-40B4-BE49-F238E27FC236}">
              <a16:creationId xmlns="" xmlns:a16="http://schemas.microsoft.com/office/drawing/2014/main" id="{00000000-0008-0000-0000-00006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8" name="Text Box 3096">
          <a:extLst>
            <a:ext uri="{FF2B5EF4-FFF2-40B4-BE49-F238E27FC236}">
              <a16:creationId xmlns="" xmlns:a16="http://schemas.microsoft.com/office/drawing/2014/main" id="{00000000-0008-0000-0000-00006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9" name="Text Box 3097">
          <a:extLst>
            <a:ext uri="{FF2B5EF4-FFF2-40B4-BE49-F238E27FC236}">
              <a16:creationId xmlns="" xmlns:a16="http://schemas.microsoft.com/office/drawing/2014/main" id="{00000000-0008-0000-0000-00006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0" name="Text Box 3098">
          <a:extLst>
            <a:ext uri="{FF2B5EF4-FFF2-40B4-BE49-F238E27FC236}">
              <a16:creationId xmlns="" xmlns:a16="http://schemas.microsoft.com/office/drawing/2014/main" id="{00000000-0008-0000-0000-00006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1" name="Text Box 3099">
          <a:extLst>
            <a:ext uri="{FF2B5EF4-FFF2-40B4-BE49-F238E27FC236}">
              <a16:creationId xmlns="" xmlns:a16="http://schemas.microsoft.com/office/drawing/2014/main" id="{00000000-0008-0000-0000-00006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2" name="Text Box 3100">
          <a:extLst>
            <a:ext uri="{FF2B5EF4-FFF2-40B4-BE49-F238E27FC236}">
              <a16:creationId xmlns="" xmlns:a16="http://schemas.microsoft.com/office/drawing/2014/main" id="{00000000-0008-0000-0000-00006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3" name="Text Box 3101">
          <a:extLst>
            <a:ext uri="{FF2B5EF4-FFF2-40B4-BE49-F238E27FC236}">
              <a16:creationId xmlns="" xmlns:a16="http://schemas.microsoft.com/office/drawing/2014/main" id="{00000000-0008-0000-0000-00006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254" name="Text Box 3102">
          <a:extLst>
            <a:ext uri="{FF2B5EF4-FFF2-40B4-BE49-F238E27FC236}">
              <a16:creationId xmlns="" xmlns:a16="http://schemas.microsoft.com/office/drawing/2014/main" id="{00000000-0008-0000-0000-00006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5" name="Text Box 59">
          <a:extLst>
            <a:ext uri="{FF2B5EF4-FFF2-40B4-BE49-F238E27FC236}">
              <a16:creationId xmlns="" xmlns:a16="http://schemas.microsoft.com/office/drawing/2014/main" id="{00000000-0008-0000-0000-00006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6" name="Text Box 60">
          <a:extLst>
            <a:ext uri="{FF2B5EF4-FFF2-40B4-BE49-F238E27FC236}">
              <a16:creationId xmlns="" xmlns:a16="http://schemas.microsoft.com/office/drawing/2014/main" id="{00000000-0008-0000-0000-00007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7" name="Text Box 61">
          <a:extLst>
            <a:ext uri="{FF2B5EF4-FFF2-40B4-BE49-F238E27FC236}">
              <a16:creationId xmlns="" xmlns:a16="http://schemas.microsoft.com/office/drawing/2014/main" id="{00000000-0008-0000-0000-00007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8" name="Text Box 62">
          <a:extLst>
            <a:ext uri="{FF2B5EF4-FFF2-40B4-BE49-F238E27FC236}">
              <a16:creationId xmlns="" xmlns:a16="http://schemas.microsoft.com/office/drawing/2014/main" id="{00000000-0008-0000-0000-00007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9" name="Text Box 63">
          <a:extLst>
            <a:ext uri="{FF2B5EF4-FFF2-40B4-BE49-F238E27FC236}">
              <a16:creationId xmlns="" xmlns:a16="http://schemas.microsoft.com/office/drawing/2014/main" id="{00000000-0008-0000-0000-00007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0" name="Text Box 64">
          <a:extLst>
            <a:ext uri="{FF2B5EF4-FFF2-40B4-BE49-F238E27FC236}">
              <a16:creationId xmlns="" xmlns:a16="http://schemas.microsoft.com/office/drawing/2014/main" id="{00000000-0008-0000-0000-00007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1" name="Text Box 65">
          <a:extLst>
            <a:ext uri="{FF2B5EF4-FFF2-40B4-BE49-F238E27FC236}">
              <a16:creationId xmlns="" xmlns:a16="http://schemas.microsoft.com/office/drawing/2014/main" id="{00000000-0008-0000-0000-00007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2" name="Text Box 66">
          <a:extLst>
            <a:ext uri="{FF2B5EF4-FFF2-40B4-BE49-F238E27FC236}">
              <a16:creationId xmlns="" xmlns:a16="http://schemas.microsoft.com/office/drawing/2014/main" id="{00000000-0008-0000-0000-00007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3" name="Text Box 67">
          <a:extLst>
            <a:ext uri="{FF2B5EF4-FFF2-40B4-BE49-F238E27FC236}">
              <a16:creationId xmlns="" xmlns:a16="http://schemas.microsoft.com/office/drawing/2014/main" id="{00000000-0008-0000-0000-00007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4" name="Text Box 68">
          <a:extLst>
            <a:ext uri="{FF2B5EF4-FFF2-40B4-BE49-F238E27FC236}">
              <a16:creationId xmlns="" xmlns:a16="http://schemas.microsoft.com/office/drawing/2014/main" id="{00000000-0008-0000-0000-00007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5" name="Text Box 69">
          <a:extLst>
            <a:ext uri="{FF2B5EF4-FFF2-40B4-BE49-F238E27FC236}">
              <a16:creationId xmlns="" xmlns:a16="http://schemas.microsoft.com/office/drawing/2014/main" id="{00000000-0008-0000-0000-00007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6" name="Text Box 70">
          <a:extLst>
            <a:ext uri="{FF2B5EF4-FFF2-40B4-BE49-F238E27FC236}">
              <a16:creationId xmlns="" xmlns:a16="http://schemas.microsoft.com/office/drawing/2014/main" id="{00000000-0008-0000-0000-00007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7" name="Text Box 71">
          <a:extLst>
            <a:ext uri="{FF2B5EF4-FFF2-40B4-BE49-F238E27FC236}">
              <a16:creationId xmlns="" xmlns:a16="http://schemas.microsoft.com/office/drawing/2014/main" id="{00000000-0008-0000-0000-00007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8" name="Text Box 72">
          <a:extLst>
            <a:ext uri="{FF2B5EF4-FFF2-40B4-BE49-F238E27FC236}">
              <a16:creationId xmlns="" xmlns:a16="http://schemas.microsoft.com/office/drawing/2014/main" id="{00000000-0008-0000-0000-00007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9" name="Text Box 73">
          <a:extLst>
            <a:ext uri="{FF2B5EF4-FFF2-40B4-BE49-F238E27FC236}">
              <a16:creationId xmlns="" xmlns:a16="http://schemas.microsoft.com/office/drawing/2014/main" id="{00000000-0008-0000-0000-00007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0" name="Text Box 74">
          <a:extLst>
            <a:ext uri="{FF2B5EF4-FFF2-40B4-BE49-F238E27FC236}">
              <a16:creationId xmlns="" xmlns:a16="http://schemas.microsoft.com/office/drawing/2014/main" id="{00000000-0008-0000-0000-00007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1" name="Text Box 75">
          <a:extLst>
            <a:ext uri="{FF2B5EF4-FFF2-40B4-BE49-F238E27FC236}">
              <a16:creationId xmlns="" xmlns:a16="http://schemas.microsoft.com/office/drawing/2014/main" id="{00000000-0008-0000-0000-00007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2" name="Text Box 76">
          <a:extLst>
            <a:ext uri="{FF2B5EF4-FFF2-40B4-BE49-F238E27FC236}">
              <a16:creationId xmlns="" xmlns:a16="http://schemas.microsoft.com/office/drawing/2014/main" id="{00000000-0008-0000-0000-00008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3" name="Text Box 77">
          <a:extLst>
            <a:ext uri="{FF2B5EF4-FFF2-40B4-BE49-F238E27FC236}">
              <a16:creationId xmlns="" xmlns:a16="http://schemas.microsoft.com/office/drawing/2014/main" id="{00000000-0008-0000-0000-00008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4" name="Text Box 78">
          <a:extLst>
            <a:ext uri="{FF2B5EF4-FFF2-40B4-BE49-F238E27FC236}">
              <a16:creationId xmlns="" xmlns:a16="http://schemas.microsoft.com/office/drawing/2014/main" id="{00000000-0008-0000-0000-00008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5" name="Text Box 79">
          <a:extLst>
            <a:ext uri="{FF2B5EF4-FFF2-40B4-BE49-F238E27FC236}">
              <a16:creationId xmlns="" xmlns:a16="http://schemas.microsoft.com/office/drawing/2014/main" id="{00000000-0008-0000-0000-00008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6" name="Text Box 80">
          <a:extLst>
            <a:ext uri="{FF2B5EF4-FFF2-40B4-BE49-F238E27FC236}">
              <a16:creationId xmlns="" xmlns:a16="http://schemas.microsoft.com/office/drawing/2014/main" id="{00000000-0008-0000-0000-00008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7" name="Text Box 81">
          <a:extLst>
            <a:ext uri="{FF2B5EF4-FFF2-40B4-BE49-F238E27FC236}">
              <a16:creationId xmlns="" xmlns:a16="http://schemas.microsoft.com/office/drawing/2014/main" id="{00000000-0008-0000-0000-00008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278" name="Text Box 82">
          <a:extLst>
            <a:ext uri="{FF2B5EF4-FFF2-40B4-BE49-F238E27FC236}">
              <a16:creationId xmlns="" xmlns:a16="http://schemas.microsoft.com/office/drawing/2014/main" id="{00000000-0008-0000-0000-00008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79" name="Text Box 3079">
          <a:extLst>
            <a:ext uri="{FF2B5EF4-FFF2-40B4-BE49-F238E27FC236}">
              <a16:creationId xmlns="" xmlns:a16="http://schemas.microsoft.com/office/drawing/2014/main" id="{00000000-0008-0000-0000-00008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0" name="Text Box 3080">
          <a:extLst>
            <a:ext uri="{FF2B5EF4-FFF2-40B4-BE49-F238E27FC236}">
              <a16:creationId xmlns="" xmlns:a16="http://schemas.microsoft.com/office/drawing/2014/main" id="{00000000-0008-0000-0000-00008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1" name="Text Box 3081">
          <a:extLst>
            <a:ext uri="{FF2B5EF4-FFF2-40B4-BE49-F238E27FC236}">
              <a16:creationId xmlns="" xmlns:a16="http://schemas.microsoft.com/office/drawing/2014/main" id="{00000000-0008-0000-0000-00008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2" name="Text Box 3082">
          <a:extLst>
            <a:ext uri="{FF2B5EF4-FFF2-40B4-BE49-F238E27FC236}">
              <a16:creationId xmlns="" xmlns:a16="http://schemas.microsoft.com/office/drawing/2014/main" id="{00000000-0008-0000-0000-00008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3" name="Text Box 3083">
          <a:extLst>
            <a:ext uri="{FF2B5EF4-FFF2-40B4-BE49-F238E27FC236}">
              <a16:creationId xmlns="" xmlns:a16="http://schemas.microsoft.com/office/drawing/2014/main" id="{00000000-0008-0000-0000-00008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4" name="Text Box 3084">
          <a:extLst>
            <a:ext uri="{FF2B5EF4-FFF2-40B4-BE49-F238E27FC236}">
              <a16:creationId xmlns="" xmlns:a16="http://schemas.microsoft.com/office/drawing/2014/main" id="{00000000-0008-0000-0000-00008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5" name="Text Box 3085">
          <a:extLst>
            <a:ext uri="{FF2B5EF4-FFF2-40B4-BE49-F238E27FC236}">
              <a16:creationId xmlns="" xmlns:a16="http://schemas.microsoft.com/office/drawing/2014/main" id="{00000000-0008-0000-0000-00008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6" name="Text Box 3086">
          <a:extLst>
            <a:ext uri="{FF2B5EF4-FFF2-40B4-BE49-F238E27FC236}">
              <a16:creationId xmlns="" xmlns:a16="http://schemas.microsoft.com/office/drawing/2014/main" id="{00000000-0008-0000-0000-00008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7" name="Text Box 3087">
          <a:extLst>
            <a:ext uri="{FF2B5EF4-FFF2-40B4-BE49-F238E27FC236}">
              <a16:creationId xmlns="" xmlns:a16="http://schemas.microsoft.com/office/drawing/2014/main" id="{00000000-0008-0000-0000-00008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8" name="Text Box 3088">
          <a:extLst>
            <a:ext uri="{FF2B5EF4-FFF2-40B4-BE49-F238E27FC236}">
              <a16:creationId xmlns="" xmlns:a16="http://schemas.microsoft.com/office/drawing/2014/main" id="{00000000-0008-0000-0000-00009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9" name="Text Box 3089">
          <a:extLst>
            <a:ext uri="{FF2B5EF4-FFF2-40B4-BE49-F238E27FC236}">
              <a16:creationId xmlns="" xmlns:a16="http://schemas.microsoft.com/office/drawing/2014/main" id="{00000000-0008-0000-0000-00009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0" name="Text Box 3090">
          <a:extLst>
            <a:ext uri="{FF2B5EF4-FFF2-40B4-BE49-F238E27FC236}">
              <a16:creationId xmlns="" xmlns:a16="http://schemas.microsoft.com/office/drawing/2014/main" id="{00000000-0008-0000-0000-00009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1" name="Text Box 3091">
          <a:extLst>
            <a:ext uri="{FF2B5EF4-FFF2-40B4-BE49-F238E27FC236}">
              <a16:creationId xmlns="" xmlns:a16="http://schemas.microsoft.com/office/drawing/2014/main" id="{00000000-0008-0000-0000-00009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2" name="Text Box 3092">
          <a:extLst>
            <a:ext uri="{FF2B5EF4-FFF2-40B4-BE49-F238E27FC236}">
              <a16:creationId xmlns="" xmlns:a16="http://schemas.microsoft.com/office/drawing/2014/main" id="{00000000-0008-0000-0000-00009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3" name="Text Box 3093">
          <a:extLst>
            <a:ext uri="{FF2B5EF4-FFF2-40B4-BE49-F238E27FC236}">
              <a16:creationId xmlns="" xmlns:a16="http://schemas.microsoft.com/office/drawing/2014/main" id="{00000000-0008-0000-0000-00009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4" name="Text Box 3094">
          <a:extLst>
            <a:ext uri="{FF2B5EF4-FFF2-40B4-BE49-F238E27FC236}">
              <a16:creationId xmlns="" xmlns:a16="http://schemas.microsoft.com/office/drawing/2014/main" id="{00000000-0008-0000-0000-00009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5" name="Text Box 3095">
          <a:extLst>
            <a:ext uri="{FF2B5EF4-FFF2-40B4-BE49-F238E27FC236}">
              <a16:creationId xmlns="" xmlns:a16="http://schemas.microsoft.com/office/drawing/2014/main" id="{00000000-0008-0000-0000-00009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6" name="Text Box 3096">
          <a:extLst>
            <a:ext uri="{FF2B5EF4-FFF2-40B4-BE49-F238E27FC236}">
              <a16:creationId xmlns="" xmlns:a16="http://schemas.microsoft.com/office/drawing/2014/main" id="{00000000-0008-0000-0000-00009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7" name="Text Box 3097">
          <a:extLst>
            <a:ext uri="{FF2B5EF4-FFF2-40B4-BE49-F238E27FC236}">
              <a16:creationId xmlns="" xmlns:a16="http://schemas.microsoft.com/office/drawing/2014/main" id="{00000000-0008-0000-0000-00009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8" name="Text Box 3098">
          <a:extLst>
            <a:ext uri="{FF2B5EF4-FFF2-40B4-BE49-F238E27FC236}">
              <a16:creationId xmlns="" xmlns:a16="http://schemas.microsoft.com/office/drawing/2014/main" id="{00000000-0008-0000-0000-00009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9" name="Text Box 3099">
          <a:extLst>
            <a:ext uri="{FF2B5EF4-FFF2-40B4-BE49-F238E27FC236}">
              <a16:creationId xmlns="" xmlns:a16="http://schemas.microsoft.com/office/drawing/2014/main" id="{00000000-0008-0000-0000-00009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00" name="Text Box 3100">
          <a:extLst>
            <a:ext uri="{FF2B5EF4-FFF2-40B4-BE49-F238E27FC236}">
              <a16:creationId xmlns="" xmlns:a16="http://schemas.microsoft.com/office/drawing/2014/main" id="{00000000-0008-0000-0000-00009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01" name="Text Box 3101">
          <a:extLst>
            <a:ext uri="{FF2B5EF4-FFF2-40B4-BE49-F238E27FC236}">
              <a16:creationId xmlns="" xmlns:a16="http://schemas.microsoft.com/office/drawing/2014/main" id="{00000000-0008-0000-0000-00009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02" name="Text Box 3102">
          <a:extLst>
            <a:ext uri="{FF2B5EF4-FFF2-40B4-BE49-F238E27FC236}">
              <a16:creationId xmlns="" xmlns:a16="http://schemas.microsoft.com/office/drawing/2014/main" id="{00000000-0008-0000-0000-00009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3" name="Text Box 59">
          <a:extLst>
            <a:ext uri="{FF2B5EF4-FFF2-40B4-BE49-F238E27FC236}">
              <a16:creationId xmlns="" xmlns:a16="http://schemas.microsoft.com/office/drawing/2014/main" id="{00000000-0008-0000-0000-00009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4" name="Text Box 60">
          <a:extLst>
            <a:ext uri="{FF2B5EF4-FFF2-40B4-BE49-F238E27FC236}">
              <a16:creationId xmlns="" xmlns:a16="http://schemas.microsoft.com/office/drawing/2014/main" id="{00000000-0008-0000-0000-0000A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5" name="Text Box 61">
          <a:extLst>
            <a:ext uri="{FF2B5EF4-FFF2-40B4-BE49-F238E27FC236}">
              <a16:creationId xmlns="" xmlns:a16="http://schemas.microsoft.com/office/drawing/2014/main" id="{00000000-0008-0000-0000-0000A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6" name="Text Box 62">
          <a:extLst>
            <a:ext uri="{FF2B5EF4-FFF2-40B4-BE49-F238E27FC236}">
              <a16:creationId xmlns="" xmlns:a16="http://schemas.microsoft.com/office/drawing/2014/main" id="{00000000-0008-0000-0000-0000A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7" name="Text Box 63">
          <a:extLst>
            <a:ext uri="{FF2B5EF4-FFF2-40B4-BE49-F238E27FC236}">
              <a16:creationId xmlns="" xmlns:a16="http://schemas.microsoft.com/office/drawing/2014/main" id="{00000000-0008-0000-0000-0000A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8" name="Text Box 64">
          <a:extLst>
            <a:ext uri="{FF2B5EF4-FFF2-40B4-BE49-F238E27FC236}">
              <a16:creationId xmlns="" xmlns:a16="http://schemas.microsoft.com/office/drawing/2014/main" id="{00000000-0008-0000-0000-0000A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9" name="Text Box 65">
          <a:extLst>
            <a:ext uri="{FF2B5EF4-FFF2-40B4-BE49-F238E27FC236}">
              <a16:creationId xmlns="" xmlns:a16="http://schemas.microsoft.com/office/drawing/2014/main" id="{00000000-0008-0000-0000-0000A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0" name="Text Box 66">
          <a:extLst>
            <a:ext uri="{FF2B5EF4-FFF2-40B4-BE49-F238E27FC236}">
              <a16:creationId xmlns="" xmlns:a16="http://schemas.microsoft.com/office/drawing/2014/main" id="{00000000-0008-0000-0000-0000A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1" name="Text Box 67">
          <a:extLst>
            <a:ext uri="{FF2B5EF4-FFF2-40B4-BE49-F238E27FC236}">
              <a16:creationId xmlns="" xmlns:a16="http://schemas.microsoft.com/office/drawing/2014/main" id="{00000000-0008-0000-0000-0000A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2" name="Text Box 68">
          <a:extLst>
            <a:ext uri="{FF2B5EF4-FFF2-40B4-BE49-F238E27FC236}">
              <a16:creationId xmlns="" xmlns:a16="http://schemas.microsoft.com/office/drawing/2014/main" id="{00000000-0008-0000-0000-0000A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3" name="Text Box 69">
          <a:extLst>
            <a:ext uri="{FF2B5EF4-FFF2-40B4-BE49-F238E27FC236}">
              <a16:creationId xmlns="" xmlns:a16="http://schemas.microsoft.com/office/drawing/2014/main" id="{00000000-0008-0000-0000-0000A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4" name="Text Box 70">
          <a:extLst>
            <a:ext uri="{FF2B5EF4-FFF2-40B4-BE49-F238E27FC236}">
              <a16:creationId xmlns="" xmlns:a16="http://schemas.microsoft.com/office/drawing/2014/main" id="{00000000-0008-0000-0000-0000A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5" name="Text Box 71">
          <a:extLst>
            <a:ext uri="{FF2B5EF4-FFF2-40B4-BE49-F238E27FC236}">
              <a16:creationId xmlns="" xmlns:a16="http://schemas.microsoft.com/office/drawing/2014/main" id="{00000000-0008-0000-0000-0000A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6" name="Text Box 72">
          <a:extLst>
            <a:ext uri="{FF2B5EF4-FFF2-40B4-BE49-F238E27FC236}">
              <a16:creationId xmlns="" xmlns:a16="http://schemas.microsoft.com/office/drawing/2014/main" id="{00000000-0008-0000-0000-0000A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7" name="Text Box 73">
          <a:extLst>
            <a:ext uri="{FF2B5EF4-FFF2-40B4-BE49-F238E27FC236}">
              <a16:creationId xmlns="" xmlns:a16="http://schemas.microsoft.com/office/drawing/2014/main" id="{00000000-0008-0000-0000-0000A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8" name="Text Box 74">
          <a:extLst>
            <a:ext uri="{FF2B5EF4-FFF2-40B4-BE49-F238E27FC236}">
              <a16:creationId xmlns="" xmlns:a16="http://schemas.microsoft.com/office/drawing/2014/main" id="{00000000-0008-0000-0000-0000A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9" name="Text Box 75">
          <a:extLst>
            <a:ext uri="{FF2B5EF4-FFF2-40B4-BE49-F238E27FC236}">
              <a16:creationId xmlns="" xmlns:a16="http://schemas.microsoft.com/office/drawing/2014/main" id="{00000000-0008-0000-0000-0000A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0" name="Text Box 76">
          <a:extLst>
            <a:ext uri="{FF2B5EF4-FFF2-40B4-BE49-F238E27FC236}">
              <a16:creationId xmlns="" xmlns:a16="http://schemas.microsoft.com/office/drawing/2014/main" id="{00000000-0008-0000-0000-0000B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1" name="Text Box 77">
          <a:extLst>
            <a:ext uri="{FF2B5EF4-FFF2-40B4-BE49-F238E27FC236}">
              <a16:creationId xmlns="" xmlns:a16="http://schemas.microsoft.com/office/drawing/2014/main" id="{00000000-0008-0000-0000-0000B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2" name="Text Box 78">
          <a:extLst>
            <a:ext uri="{FF2B5EF4-FFF2-40B4-BE49-F238E27FC236}">
              <a16:creationId xmlns="" xmlns:a16="http://schemas.microsoft.com/office/drawing/2014/main" id="{00000000-0008-0000-0000-0000B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3" name="Text Box 79">
          <a:extLst>
            <a:ext uri="{FF2B5EF4-FFF2-40B4-BE49-F238E27FC236}">
              <a16:creationId xmlns="" xmlns:a16="http://schemas.microsoft.com/office/drawing/2014/main" id="{00000000-0008-0000-0000-0000B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4" name="Text Box 80">
          <a:extLst>
            <a:ext uri="{FF2B5EF4-FFF2-40B4-BE49-F238E27FC236}">
              <a16:creationId xmlns="" xmlns:a16="http://schemas.microsoft.com/office/drawing/2014/main" id="{00000000-0008-0000-0000-0000B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5" name="Text Box 81">
          <a:extLst>
            <a:ext uri="{FF2B5EF4-FFF2-40B4-BE49-F238E27FC236}">
              <a16:creationId xmlns="" xmlns:a16="http://schemas.microsoft.com/office/drawing/2014/main" id="{00000000-0008-0000-0000-0000B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6" name="Text Box 3079">
          <a:extLst>
            <a:ext uri="{FF2B5EF4-FFF2-40B4-BE49-F238E27FC236}">
              <a16:creationId xmlns="" xmlns:a16="http://schemas.microsoft.com/office/drawing/2014/main" id="{00000000-0008-0000-0000-0000B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7" name="Text Box 3080">
          <a:extLst>
            <a:ext uri="{FF2B5EF4-FFF2-40B4-BE49-F238E27FC236}">
              <a16:creationId xmlns="" xmlns:a16="http://schemas.microsoft.com/office/drawing/2014/main" id="{00000000-0008-0000-0000-0000B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8" name="Text Box 3081">
          <a:extLst>
            <a:ext uri="{FF2B5EF4-FFF2-40B4-BE49-F238E27FC236}">
              <a16:creationId xmlns="" xmlns:a16="http://schemas.microsoft.com/office/drawing/2014/main" id="{00000000-0008-0000-0000-0000B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9" name="Text Box 3082">
          <a:extLst>
            <a:ext uri="{FF2B5EF4-FFF2-40B4-BE49-F238E27FC236}">
              <a16:creationId xmlns="" xmlns:a16="http://schemas.microsoft.com/office/drawing/2014/main" id="{00000000-0008-0000-0000-0000B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0" name="Text Box 3083">
          <a:extLst>
            <a:ext uri="{FF2B5EF4-FFF2-40B4-BE49-F238E27FC236}">
              <a16:creationId xmlns="" xmlns:a16="http://schemas.microsoft.com/office/drawing/2014/main" id="{00000000-0008-0000-0000-0000B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1" name="Text Box 3084">
          <a:extLst>
            <a:ext uri="{FF2B5EF4-FFF2-40B4-BE49-F238E27FC236}">
              <a16:creationId xmlns="" xmlns:a16="http://schemas.microsoft.com/office/drawing/2014/main" id="{00000000-0008-0000-0000-0000B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2" name="Text Box 3085">
          <a:extLst>
            <a:ext uri="{FF2B5EF4-FFF2-40B4-BE49-F238E27FC236}">
              <a16:creationId xmlns="" xmlns:a16="http://schemas.microsoft.com/office/drawing/2014/main" id="{00000000-0008-0000-0000-0000B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3" name="Text Box 3086">
          <a:extLst>
            <a:ext uri="{FF2B5EF4-FFF2-40B4-BE49-F238E27FC236}">
              <a16:creationId xmlns="" xmlns:a16="http://schemas.microsoft.com/office/drawing/2014/main" id="{00000000-0008-0000-0000-0000B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4" name="Text Box 3087">
          <a:extLst>
            <a:ext uri="{FF2B5EF4-FFF2-40B4-BE49-F238E27FC236}">
              <a16:creationId xmlns="" xmlns:a16="http://schemas.microsoft.com/office/drawing/2014/main" id="{00000000-0008-0000-0000-0000B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5" name="Text Box 3088">
          <a:extLst>
            <a:ext uri="{FF2B5EF4-FFF2-40B4-BE49-F238E27FC236}">
              <a16:creationId xmlns="" xmlns:a16="http://schemas.microsoft.com/office/drawing/2014/main" id="{00000000-0008-0000-0000-0000B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6" name="Text Box 3089">
          <a:extLst>
            <a:ext uri="{FF2B5EF4-FFF2-40B4-BE49-F238E27FC236}">
              <a16:creationId xmlns="" xmlns:a16="http://schemas.microsoft.com/office/drawing/2014/main" id="{00000000-0008-0000-0000-0000C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7" name="Text Box 3090">
          <a:extLst>
            <a:ext uri="{FF2B5EF4-FFF2-40B4-BE49-F238E27FC236}">
              <a16:creationId xmlns="" xmlns:a16="http://schemas.microsoft.com/office/drawing/2014/main" id="{00000000-0008-0000-0000-0000C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8" name="Text Box 3091">
          <a:extLst>
            <a:ext uri="{FF2B5EF4-FFF2-40B4-BE49-F238E27FC236}">
              <a16:creationId xmlns="" xmlns:a16="http://schemas.microsoft.com/office/drawing/2014/main" id="{00000000-0008-0000-0000-0000C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9" name="Text Box 3092">
          <a:extLst>
            <a:ext uri="{FF2B5EF4-FFF2-40B4-BE49-F238E27FC236}">
              <a16:creationId xmlns="" xmlns:a16="http://schemas.microsoft.com/office/drawing/2014/main" id="{00000000-0008-0000-0000-0000C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0" name="Text Box 3093">
          <a:extLst>
            <a:ext uri="{FF2B5EF4-FFF2-40B4-BE49-F238E27FC236}">
              <a16:creationId xmlns="" xmlns:a16="http://schemas.microsoft.com/office/drawing/2014/main" id="{00000000-0008-0000-0000-0000C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1" name="Text Box 3094">
          <a:extLst>
            <a:ext uri="{FF2B5EF4-FFF2-40B4-BE49-F238E27FC236}">
              <a16:creationId xmlns="" xmlns:a16="http://schemas.microsoft.com/office/drawing/2014/main" id="{00000000-0008-0000-0000-0000C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2" name="Text Box 3095">
          <a:extLst>
            <a:ext uri="{FF2B5EF4-FFF2-40B4-BE49-F238E27FC236}">
              <a16:creationId xmlns="" xmlns:a16="http://schemas.microsoft.com/office/drawing/2014/main" id="{00000000-0008-0000-0000-0000C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3" name="Text Box 3096">
          <a:extLst>
            <a:ext uri="{FF2B5EF4-FFF2-40B4-BE49-F238E27FC236}">
              <a16:creationId xmlns="" xmlns:a16="http://schemas.microsoft.com/office/drawing/2014/main" id="{00000000-0008-0000-0000-0000C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4" name="Text Box 3097">
          <a:extLst>
            <a:ext uri="{FF2B5EF4-FFF2-40B4-BE49-F238E27FC236}">
              <a16:creationId xmlns="" xmlns:a16="http://schemas.microsoft.com/office/drawing/2014/main" id="{00000000-0008-0000-0000-0000C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5" name="Text Box 3098">
          <a:extLst>
            <a:ext uri="{FF2B5EF4-FFF2-40B4-BE49-F238E27FC236}">
              <a16:creationId xmlns="" xmlns:a16="http://schemas.microsoft.com/office/drawing/2014/main" id="{00000000-0008-0000-0000-0000C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6" name="Text Box 3099">
          <a:extLst>
            <a:ext uri="{FF2B5EF4-FFF2-40B4-BE49-F238E27FC236}">
              <a16:creationId xmlns="" xmlns:a16="http://schemas.microsoft.com/office/drawing/2014/main" id="{00000000-0008-0000-0000-0000C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7" name="Text Box 3100">
          <a:extLst>
            <a:ext uri="{FF2B5EF4-FFF2-40B4-BE49-F238E27FC236}">
              <a16:creationId xmlns="" xmlns:a16="http://schemas.microsoft.com/office/drawing/2014/main" id="{00000000-0008-0000-0000-0000C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8" name="Text Box 3101">
          <a:extLst>
            <a:ext uri="{FF2B5EF4-FFF2-40B4-BE49-F238E27FC236}">
              <a16:creationId xmlns="" xmlns:a16="http://schemas.microsoft.com/office/drawing/2014/main" id="{00000000-0008-0000-0000-0000C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49" name="Text Box 3102">
          <a:extLst>
            <a:ext uri="{FF2B5EF4-FFF2-40B4-BE49-F238E27FC236}">
              <a16:creationId xmlns="" xmlns:a16="http://schemas.microsoft.com/office/drawing/2014/main" id="{00000000-0008-0000-0000-0000C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0" name="Text Box 59">
          <a:extLst>
            <a:ext uri="{FF2B5EF4-FFF2-40B4-BE49-F238E27FC236}">
              <a16:creationId xmlns="" xmlns:a16="http://schemas.microsoft.com/office/drawing/2014/main" id="{00000000-0008-0000-0000-0000C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1" name="Text Box 60">
          <a:extLst>
            <a:ext uri="{FF2B5EF4-FFF2-40B4-BE49-F238E27FC236}">
              <a16:creationId xmlns="" xmlns:a16="http://schemas.microsoft.com/office/drawing/2014/main" id="{00000000-0008-0000-0000-0000C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2" name="Text Box 61">
          <a:extLst>
            <a:ext uri="{FF2B5EF4-FFF2-40B4-BE49-F238E27FC236}">
              <a16:creationId xmlns="" xmlns:a16="http://schemas.microsoft.com/office/drawing/2014/main" id="{00000000-0008-0000-0000-0000D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3" name="Text Box 62">
          <a:extLst>
            <a:ext uri="{FF2B5EF4-FFF2-40B4-BE49-F238E27FC236}">
              <a16:creationId xmlns="" xmlns:a16="http://schemas.microsoft.com/office/drawing/2014/main" id="{00000000-0008-0000-0000-0000D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4" name="Text Box 63">
          <a:extLst>
            <a:ext uri="{FF2B5EF4-FFF2-40B4-BE49-F238E27FC236}">
              <a16:creationId xmlns="" xmlns:a16="http://schemas.microsoft.com/office/drawing/2014/main" id="{00000000-0008-0000-0000-0000D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5" name="Text Box 64">
          <a:extLst>
            <a:ext uri="{FF2B5EF4-FFF2-40B4-BE49-F238E27FC236}">
              <a16:creationId xmlns="" xmlns:a16="http://schemas.microsoft.com/office/drawing/2014/main" id="{00000000-0008-0000-0000-0000D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6" name="Text Box 65">
          <a:extLst>
            <a:ext uri="{FF2B5EF4-FFF2-40B4-BE49-F238E27FC236}">
              <a16:creationId xmlns="" xmlns:a16="http://schemas.microsoft.com/office/drawing/2014/main" id="{00000000-0008-0000-0000-0000D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7" name="Text Box 66">
          <a:extLst>
            <a:ext uri="{FF2B5EF4-FFF2-40B4-BE49-F238E27FC236}">
              <a16:creationId xmlns="" xmlns:a16="http://schemas.microsoft.com/office/drawing/2014/main" id="{00000000-0008-0000-0000-0000D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8" name="Text Box 67">
          <a:extLst>
            <a:ext uri="{FF2B5EF4-FFF2-40B4-BE49-F238E27FC236}">
              <a16:creationId xmlns="" xmlns:a16="http://schemas.microsoft.com/office/drawing/2014/main" id="{00000000-0008-0000-0000-0000D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9" name="Text Box 68">
          <a:extLst>
            <a:ext uri="{FF2B5EF4-FFF2-40B4-BE49-F238E27FC236}">
              <a16:creationId xmlns="" xmlns:a16="http://schemas.microsoft.com/office/drawing/2014/main" id="{00000000-0008-0000-0000-0000D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0" name="Text Box 69">
          <a:extLst>
            <a:ext uri="{FF2B5EF4-FFF2-40B4-BE49-F238E27FC236}">
              <a16:creationId xmlns="" xmlns:a16="http://schemas.microsoft.com/office/drawing/2014/main" id="{00000000-0008-0000-0000-0000D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1" name="Text Box 70">
          <a:extLst>
            <a:ext uri="{FF2B5EF4-FFF2-40B4-BE49-F238E27FC236}">
              <a16:creationId xmlns="" xmlns:a16="http://schemas.microsoft.com/office/drawing/2014/main" id="{00000000-0008-0000-0000-0000D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2" name="Text Box 71">
          <a:extLst>
            <a:ext uri="{FF2B5EF4-FFF2-40B4-BE49-F238E27FC236}">
              <a16:creationId xmlns="" xmlns:a16="http://schemas.microsoft.com/office/drawing/2014/main" id="{00000000-0008-0000-0000-0000D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3" name="Text Box 72">
          <a:extLst>
            <a:ext uri="{FF2B5EF4-FFF2-40B4-BE49-F238E27FC236}">
              <a16:creationId xmlns="" xmlns:a16="http://schemas.microsoft.com/office/drawing/2014/main" id="{00000000-0008-0000-0000-0000D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4" name="Text Box 73">
          <a:extLst>
            <a:ext uri="{FF2B5EF4-FFF2-40B4-BE49-F238E27FC236}">
              <a16:creationId xmlns="" xmlns:a16="http://schemas.microsoft.com/office/drawing/2014/main" id="{00000000-0008-0000-0000-0000D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5" name="Text Box 74">
          <a:extLst>
            <a:ext uri="{FF2B5EF4-FFF2-40B4-BE49-F238E27FC236}">
              <a16:creationId xmlns="" xmlns:a16="http://schemas.microsoft.com/office/drawing/2014/main" id="{00000000-0008-0000-0000-0000D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6" name="Text Box 75">
          <a:extLst>
            <a:ext uri="{FF2B5EF4-FFF2-40B4-BE49-F238E27FC236}">
              <a16:creationId xmlns="" xmlns:a16="http://schemas.microsoft.com/office/drawing/2014/main" id="{00000000-0008-0000-0000-0000D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7" name="Text Box 76">
          <a:extLst>
            <a:ext uri="{FF2B5EF4-FFF2-40B4-BE49-F238E27FC236}">
              <a16:creationId xmlns="" xmlns:a16="http://schemas.microsoft.com/office/drawing/2014/main" id="{00000000-0008-0000-0000-0000D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8" name="Text Box 77">
          <a:extLst>
            <a:ext uri="{FF2B5EF4-FFF2-40B4-BE49-F238E27FC236}">
              <a16:creationId xmlns="" xmlns:a16="http://schemas.microsoft.com/office/drawing/2014/main" id="{00000000-0008-0000-0000-0000E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9" name="Text Box 78">
          <a:extLst>
            <a:ext uri="{FF2B5EF4-FFF2-40B4-BE49-F238E27FC236}">
              <a16:creationId xmlns="" xmlns:a16="http://schemas.microsoft.com/office/drawing/2014/main" id="{00000000-0008-0000-0000-0000E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0" name="Text Box 79">
          <a:extLst>
            <a:ext uri="{FF2B5EF4-FFF2-40B4-BE49-F238E27FC236}">
              <a16:creationId xmlns="" xmlns:a16="http://schemas.microsoft.com/office/drawing/2014/main" id="{00000000-0008-0000-0000-0000E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1" name="Text Box 80">
          <a:extLst>
            <a:ext uri="{FF2B5EF4-FFF2-40B4-BE49-F238E27FC236}">
              <a16:creationId xmlns="" xmlns:a16="http://schemas.microsoft.com/office/drawing/2014/main" id="{00000000-0008-0000-0000-0000E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2" name="Text Box 81">
          <a:extLst>
            <a:ext uri="{FF2B5EF4-FFF2-40B4-BE49-F238E27FC236}">
              <a16:creationId xmlns="" xmlns:a16="http://schemas.microsoft.com/office/drawing/2014/main" id="{00000000-0008-0000-0000-0000E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373" name="Text Box 82">
          <a:extLst>
            <a:ext uri="{FF2B5EF4-FFF2-40B4-BE49-F238E27FC236}">
              <a16:creationId xmlns="" xmlns:a16="http://schemas.microsoft.com/office/drawing/2014/main" id="{00000000-0008-0000-0000-0000E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4" name="Text Box 3079">
          <a:extLst>
            <a:ext uri="{FF2B5EF4-FFF2-40B4-BE49-F238E27FC236}">
              <a16:creationId xmlns="" xmlns:a16="http://schemas.microsoft.com/office/drawing/2014/main" id="{00000000-0008-0000-0000-0000E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5" name="Text Box 3080">
          <a:extLst>
            <a:ext uri="{FF2B5EF4-FFF2-40B4-BE49-F238E27FC236}">
              <a16:creationId xmlns="" xmlns:a16="http://schemas.microsoft.com/office/drawing/2014/main" id="{00000000-0008-0000-0000-0000E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6" name="Text Box 3081">
          <a:extLst>
            <a:ext uri="{FF2B5EF4-FFF2-40B4-BE49-F238E27FC236}">
              <a16:creationId xmlns="" xmlns:a16="http://schemas.microsoft.com/office/drawing/2014/main" id="{00000000-0008-0000-0000-0000E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7" name="Text Box 3082">
          <a:extLst>
            <a:ext uri="{FF2B5EF4-FFF2-40B4-BE49-F238E27FC236}">
              <a16:creationId xmlns="" xmlns:a16="http://schemas.microsoft.com/office/drawing/2014/main" id="{00000000-0008-0000-0000-0000E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8" name="Text Box 3083">
          <a:extLst>
            <a:ext uri="{FF2B5EF4-FFF2-40B4-BE49-F238E27FC236}">
              <a16:creationId xmlns="" xmlns:a16="http://schemas.microsoft.com/office/drawing/2014/main" id="{00000000-0008-0000-0000-0000E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9" name="Text Box 3084">
          <a:extLst>
            <a:ext uri="{FF2B5EF4-FFF2-40B4-BE49-F238E27FC236}">
              <a16:creationId xmlns="" xmlns:a16="http://schemas.microsoft.com/office/drawing/2014/main" id="{00000000-0008-0000-0000-0000E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0" name="Text Box 3085">
          <a:extLst>
            <a:ext uri="{FF2B5EF4-FFF2-40B4-BE49-F238E27FC236}">
              <a16:creationId xmlns="" xmlns:a16="http://schemas.microsoft.com/office/drawing/2014/main" id="{00000000-0008-0000-0000-0000E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1" name="Text Box 3086">
          <a:extLst>
            <a:ext uri="{FF2B5EF4-FFF2-40B4-BE49-F238E27FC236}">
              <a16:creationId xmlns="" xmlns:a16="http://schemas.microsoft.com/office/drawing/2014/main" id="{00000000-0008-0000-0000-0000E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2" name="Text Box 3087">
          <a:extLst>
            <a:ext uri="{FF2B5EF4-FFF2-40B4-BE49-F238E27FC236}">
              <a16:creationId xmlns="" xmlns:a16="http://schemas.microsoft.com/office/drawing/2014/main" id="{00000000-0008-0000-0000-0000E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3" name="Text Box 3088">
          <a:extLst>
            <a:ext uri="{FF2B5EF4-FFF2-40B4-BE49-F238E27FC236}">
              <a16:creationId xmlns="" xmlns:a16="http://schemas.microsoft.com/office/drawing/2014/main" id="{00000000-0008-0000-0000-0000E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4" name="Text Box 3089">
          <a:extLst>
            <a:ext uri="{FF2B5EF4-FFF2-40B4-BE49-F238E27FC236}">
              <a16:creationId xmlns="" xmlns:a16="http://schemas.microsoft.com/office/drawing/2014/main" id="{00000000-0008-0000-0000-0000F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5" name="Text Box 3090">
          <a:extLst>
            <a:ext uri="{FF2B5EF4-FFF2-40B4-BE49-F238E27FC236}">
              <a16:creationId xmlns="" xmlns:a16="http://schemas.microsoft.com/office/drawing/2014/main" id="{00000000-0008-0000-0000-0000F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6" name="Text Box 3091">
          <a:extLst>
            <a:ext uri="{FF2B5EF4-FFF2-40B4-BE49-F238E27FC236}">
              <a16:creationId xmlns="" xmlns:a16="http://schemas.microsoft.com/office/drawing/2014/main" id="{00000000-0008-0000-0000-0000F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7" name="Text Box 3092">
          <a:extLst>
            <a:ext uri="{FF2B5EF4-FFF2-40B4-BE49-F238E27FC236}">
              <a16:creationId xmlns="" xmlns:a16="http://schemas.microsoft.com/office/drawing/2014/main" id="{00000000-0008-0000-0000-0000F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8" name="Text Box 3093">
          <a:extLst>
            <a:ext uri="{FF2B5EF4-FFF2-40B4-BE49-F238E27FC236}">
              <a16:creationId xmlns="" xmlns:a16="http://schemas.microsoft.com/office/drawing/2014/main" id="{00000000-0008-0000-0000-0000F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9" name="Text Box 3094">
          <a:extLst>
            <a:ext uri="{FF2B5EF4-FFF2-40B4-BE49-F238E27FC236}">
              <a16:creationId xmlns="" xmlns:a16="http://schemas.microsoft.com/office/drawing/2014/main" id="{00000000-0008-0000-0000-0000F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0" name="Text Box 3095">
          <a:extLst>
            <a:ext uri="{FF2B5EF4-FFF2-40B4-BE49-F238E27FC236}">
              <a16:creationId xmlns="" xmlns:a16="http://schemas.microsoft.com/office/drawing/2014/main" id="{00000000-0008-0000-0000-0000F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1" name="Text Box 3096">
          <a:extLst>
            <a:ext uri="{FF2B5EF4-FFF2-40B4-BE49-F238E27FC236}">
              <a16:creationId xmlns="" xmlns:a16="http://schemas.microsoft.com/office/drawing/2014/main" id="{00000000-0008-0000-0000-0000F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2" name="Text Box 3097">
          <a:extLst>
            <a:ext uri="{FF2B5EF4-FFF2-40B4-BE49-F238E27FC236}">
              <a16:creationId xmlns="" xmlns:a16="http://schemas.microsoft.com/office/drawing/2014/main" id="{00000000-0008-0000-0000-0000F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3" name="Text Box 3098">
          <a:extLst>
            <a:ext uri="{FF2B5EF4-FFF2-40B4-BE49-F238E27FC236}">
              <a16:creationId xmlns="" xmlns:a16="http://schemas.microsoft.com/office/drawing/2014/main" id="{00000000-0008-0000-0000-0000F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4" name="Text Box 3099">
          <a:extLst>
            <a:ext uri="{FF2B5EF4-FFF2-40B4-BE49-F238E27FC236}">
              <a16:creationId xmlns="" xmlns:a16="http://schemas.microsoft.com/office/drawing/2014/main" id="{00000000-0008-0000-0000-0000F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5" name="Text Box 3100">
          <a:extLst>
            <a:ext uri="{FF2B5EF4-FFF2-40B4-BE49-F238E27FC236}">
              <a16:creationId xmlns="" xmlns:a16="http://schemas.microsoft.com/office/drawing/2014/main" id="{00000000-0008-0000-0000-0000F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6" name="Text Box 3101">
          <a:extLst>
            <a:ext uri="{FF2B5EF4-FFF2-40B4-BE49-F238E27FC236}">
              <a16:creationId xmlns="" xmlns:a16="http://schemas.microsoft.com/office/drawing/2014/main" id="{00000000-0008-0000-0000-0000F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97" name="Text Box 3102">
          <a:extLst>
            <a:ext uri="{FF2B5EF4-FFF2-40B4-BE49-F238E27FC236}">
              <a16:creationId xmlns="" xmlns:a16="http://schemas.microsoft.com/office/drawing/2014/main" id="{00000000-0008-0000-0000-0000F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98" name="Text Box 59">
          <a:extLst>
            <a:ext uri="{FF2B5EF4-FFF2-40B4-BE49-F238E27FC236}">
              <a16:creationId xmlns="" xmlns:a16="http://schemas.microsoft.com/office/drawing/2014/main" id="{00000000-0008-0000-0000-0000F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99" name="Text Box 60">
          <a:extLst>
            <a:ext uri="{FF2B5EF4-FFF2-40B4-BE49-F238E27FC236}">
              <a16:creationId xmlns="" xmlns:a16="http://schemas.microsoft.com/office/drawing/2014/main" id="{00000000-0008-0000-0000-0000F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0" name="Text Box 61">
          <a:extLst>
            <a:ext uri="{FF2B5EF4-FFF2-40B4-BE49-F238E27FC236}">
              <a16:creationId xmlns="" xmlns:a16="http://schemas.microsoft.com/office/drawing/2014/main" id="{00000000-0008-0000-0000-00000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1" name="Text Box 62">
          <a:extLst>
            <a:ext uri="{FF2B5EF4-FFF2-40B4-BE49-F238E27FC236}">
              <a16:creationId xmlns="" xmlns:a16="http://schemas.microsoft.com/office/drawing/2014/main" id="{00000000-0008-0000-0000-00000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2" name="Text Box 63">
          <a:extLst>
            <a:ext uri="{FF2B5EF4-FFF2-40B4-BE49-F238E27FC236}">
              <a16:creationId xmlns="" xmlns:a16="http://schemas.microsoft.com/office/drawing/2014/main" id="{00000000-0008-0000-0000-00000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3" name="Text Box 64">
          <a:extLst>
            <a:ext uri="{FF2B5EF4-FFF2-40B4-BE49-F238E27FC236}">
              <a16:creationId xmlns="" xmlns:a16="http://schemas.microsoft.com/office/drawing/2014/main" id="{00000000-0008-0000-0000-00000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4" name="Text Box 65">
          <a:extLst>
            <a:ext uri="{FF2B5EF4-FFF2-40B4-BE49-F238E27FC236}">
              <a16:creationId xmlns="" xmlns:a16="http://schemas.microsoft.com/office/drawing/2014/main" id="{00000000-0008-0000-0000-00000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5" name="Text Box 66">
          <a:extLst>
            <a:ext uri="{FF2B5EF4-FFF2-40B4-BE49-F238E27FC236}">
              <a16:creationId xmlns="" xmlns:a16="http://schemas.microsoft.com/office/drawing/2014/main" id="{00000000-0008-0000-0000-00000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6" name="Text Box 67">
          <a:extLst>
            <a:ext uri="{FF2B5EF4-FFF2-40B4-BE49-F238E27FC236}">
              <a16:creationId xmlns="" xmlns:a16="http://schemas.microsoft.com/office/drawing/2014/main" id="{00000000-0008-0000-0000-00000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7" name="Text Box 68">
          <a:extLst>
            <a:ext uri="{FF2B5EF4-FFF2-40B4-BE49-F238E27FC236}">
              <a16:creationId xmlns="" xmlns:a16="http://schemas.microsoft.com/office/drawing/2014/main" id="{00000000-0008-0000-0000-00000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8" name="Text Box 69">
          <a:extLst>
            <a:ext uri="{FF2B5EF4-FFF2-40B4-BE49-F238E27FC236}">
              <a16:creationId xmlns="" xmlns:a16="http://schemas.microsoft.com/office/drawing/2014/main" id="{00000000-0008-0000-0000-00000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9" name="Text Box 70">
          <a:extLst>
            <a:ext uri="{FF2B5EF4-FFF2-40B4-BE49-F238E27FC236}">
              <a16:creationId xmlns="" xmlns:a16="http://schemas.microsoft.com/office/drawing/2014/main" id="{00000000-0008-0000-0000-00000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0" name="Text Box 71">
          <a:extLst>
            <a:ext uri="{FF2B5EF4-FFF2-40B4-BE49-F238E27FC236}">
              <a16:creationId xmlns="" xmlns:a16="http://schemas.microsoft.com/office/drawing/2014/main" id="{00000000-0008-0000-0000-00000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1" name="Text Box 72">
          <a:extLst>
            <a:ext uri="{FF2B5EF4-FFF2-40B4-BE49-F238E27FC236}">
              <a16:creationId xmlns="" xmlns:a16="http://schemas.microsoft.com/office/drawing/2014/main" id="{00000000-0008-0000-0000-00000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2" name="Text Box 73">
          <a:extLst>
            <a:ext uri="{FF2B5EF4-FFF2-40B4-BE49-F238E27FC236}">
              <a16:creationId xmlns="" xmlns:a16="http://schemas.microsoft.com/office/drawing/2014/main" id="{00000000-0008-0000-0000-00000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3" name="Text Box 74">
          <a:extLst>
            <a:ext uri="{FF2B5EF4-FFF2-40B4-BE49-F238E27FC236}">
              <a16:creationId xmlns="" xmlns:a16="http://schemas.microsoft.com/office/drawing/2014/main" id="{00000000-0008-0000-0000-00000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4" name="Text Box 75">
          <a:extLst>
            <a:ext uri="{FF2B5EF4-FFF2-40B4-BE49-F238E27FC236}">
              <a16:creationId xmlns="" xmlns:a16="http://schemas.microsoft.com/office/drawing/2014/main" id="{00000000-0008-0000-0000-00000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5" name="Text Box 76">
          <a:extLst>
            <a:ext uri="{FF2B5EF4-FFF2-40B4-BE49-F238E27FC236}">
              <a16:creationId xmlns="" xmlns:a16="http://schemas.microsoft.com/office/drawing/2014/main" id="{00000000-0008-0000-0000-00000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6" name="Text Box 77">
          <a:extLst>
            <a:ext uri="{FF2B5EF4-FFF2-40B4-BE49-F238E27FC236}">
              <a16:creationId xmlns="" xmlns:a16="http://schemas.microsoft.com/office/drawing/2014/main" id="{00000000-0008-0000-0000-00001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7" name="Text Box 78">
          <a:extLst>
            <a:ext uri="{FF2B5EF4-FFF2-40B4-BE49-F238E27FC236}">
              <a16:creationId xmlns="" xmlns:a16="http://schemas.microsoft.com/office/drawing/2014/main" id="{00000000-0008-0000-0000-00001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8" name="Text Box 79">
          <a:extLst>
            <a:ext uri="{FF2B5EF4-FFF2-40B4-BE49-F238E27FC236}">
              <a16:creationId xmlns="" xmlns:a16="http://schemas.microsoft.com/office/drawing/2014/main" id="{00000000-0008-0000-0000-00001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9" name="Text Box 80">
          <a:extLst>
            <a:ext uri="{FF2B5EF4-FFF2-40B4-BE49-F238E27FC236}">
              <a16:creationId xmlns="" xmlns:a16="http://schemas.microsoft.com/office/drawing/2014/main" id="{00000000-0008-0000-0000-00001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20" name="Text Box 81">
          <a:extLst>
            <a:ext uri="{FF2B5EF4-FFF2-40B4-BE49-F238E27FC236}">
              <a16:creationId xmlns="" xmlns:a16="http://schemas.microsoft.com/office/drawing/2014/main" id="{00000000-0008-0000-0000-00001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1" name="Text Box 3079">
          <a:extLst>
            <a:ext uri="{FF2B5EF4-FFF2-40B4-BE49-F238E27FC236}">
              <a16:creationId xmlns="" xmlns:a16="http://schemas.microsoft.com/office/drawing/2014/main" id="{00000000-0008-0000-0000-00001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2" name="Text Box 3080">
          <a:extLst>
            <a:ext uri="{FF2B5EF4-FFF2-40B4-BE49-F238E27FC236}">
              <a16:creationId xmlns="" xmlns:a16="http://schemas.microsoft.com/office/drawing/2014/main" id="{00000000-0008-0000-0000-00001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3" name="Text Box 3081">
          <a:extLst>
            <a:ext uri="{FF2B5EF4-FFF2-40B4-BE49-F238E27FC236}">
              <a16:creationId xmlns="" xmlns:a16="http://schemas.microsoft.com/office/drawing/2014/main" id="{00000000-0008-0000-0000-00001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4" name="Text Box 3082">
          <a:extLst>
            <a:ext uri="{FF2B5EF4-FFF2-40B4-BE49-F238E27FC236}">
              <a16:creationId xmlns="" xmlns:a16="http://schemas.microsoft.com/office/drawing/2014/main" id="{00000000-0008-0000-0000-00001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5" name="Text Box 3083">
          <a:extLst>
            <a:ext uri="{FF2B5EF4-FFF2-40B4-BE49-F238E27FC236}">
              <a16:creationId xmlns="" xmlns:a16="http://schemas.microsoft.com/office/drawing/2014/main" id="{00000000-0008-0000-0000-00001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6" name="Text Box 3084">
          <a:extLst>
            <a:ext uri="{FF2B5EF4-FFF2-40B4-BE49-F238E27FC236}">
              <a16:creationId xmlns="" xmlns:a16="http://schemas.microsoft.com/office/drawing/2014/main" id="{00000000-0008-0000-0000-00001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7" name="Text Box 3085">
          <a:extLst>
            <a:ext uri="{FF2B5EF4-FFF2-40B4-BE49-F238E27FC236}">
              <a16:creationId xmlns="" xmlns:a16="http://schemas.microsoft.com/office/drawing/2014/main" id="{00000000-0008-0000-0000-00001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8" name="Text Box 3086">
          <a:extLst>
            <a:ext uri="{FF2B5EF4-FFF2-40B4-BE49-F238E27FC236}">
              <a16:creationId xmlns="" xmlns:a16="http://schemas.microsoft.com/office/drawing/2014/main" id="{00000000-0008-0000-0000-00001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9" name="Text Box 3087">
          <a:extLst>
            <a:ext uri="{FF2B5EF4-FFF2-40B4-BE49-F238E27FC236}">
              <a16:creationId xmlns="" xmlns:a16="http://schemas.microsoft.com/office/drawing/2014/main" id="{00000000-0008-0000-0000-00001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0" name="Text Box 3088">
          <a:extLst>
            <a:ext uri="{FF2B5EF4-FFF2-40B4-BE49-F238E27FC236}">
              <a16:creationId xmlns="" xmlns:a16="http://schemas.microsoft.com/office/drawing/2014/main" id="{00000000-0008-0000-0000-00001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1" name="Text Box 3089">
          <a:extLst>
            <a:ext uri="{FF2B5EF4-FFF2-40B4-BE49-F238E27FC236}">
              <a16:creationId xmlns="" xmlns:a16="http://schemas.microsoft.com/office/drawing/2014/main" id="{00000000-0008-0000-0000-00001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2" name="Text Box 3090">
          <a:extLst>
            <a:ext uri="{FF2B5EF4-FFF2-40B4-BE49-F238E27FC236}">
              <a16:creationId xmlns="" xmlns:a16="http://schemas.microsoft.com/office/drawing/2014/main" id="{00000000-0008-0000-0000-00002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3" name="Text Box 3091">
          <a:extLst>
            <a:ext uri="{FF2B5EF4-FFF2-40B4-BE49-F238E27FC236}">
              <a16:creationId xmlns="" xmlns:a16="http://schemas.microsoft.com/office/drawing/2014/main" id="{00000000-0008-0000-0000-00002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4" name="Text Box 3092">
          <a:extLst>
            <a:ext uri="{FF2B5EF4-FFF2-40B4-BE49-F238E27FC236}">
              <a16:creationId xmlns="" xmlns:a16="http://schemas.microsoft.com/office/drawing/2014/main" id="{00000000-0008-0000-0000-00002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5" name="Text Box 3093">
          <a:extLst>
            <a:ext uri="{FF2B5EF4-FFF2-40B4-BE49-F238E27FC236}">
              <a16:creationId xmlns="" xmlns:a16="http://schemas.microsoft.com/office/drawing/2014/main" id="{00000000-0008-0000-0000-00002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6" name="Text Box 3094">
          <a:extLst>
            <a:ext uri="{FF2B5EF4-FFF2-40B4-BE49-F238E27FC236}">
              <a16:creationId xmlns="" xmlns:a16="http://schemas.microsoft.com/office/drawing/2014/main" id="{00000000-0008-0000-0000-00002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7" name="Text Box 3095">
          <a:extLst>
            <a:ext uri="{FF2B5EF4-FFF2-40B4-BE49-F238E27FC236}">
              <a16:creationId xmlns="" xmlns:a16="http://schemas.microsoft.com/office/drawing/2014/main" id="{00000000-0008-0000-0000-00002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8" name="Text Box 3096">
          <a:extLst>
            <a:ext uri="{FF2B5EF4-FFF2-40B4-BE49-F238E27FC236}">
              <a16:creationId xmlns="" xmlns:a16="http://schemas.microsoft.com/office/drawing/2014/main" id="{00000000-0008-0000-0000-00002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9" name="Text Box 3097">
          <a:extLst>
            <a:ext uri="{FF2B5EF4-FFF2-40B4-BE49-F238E27FC236}">
              <a16:creationId xmlns="" xmlns:a16="http://schemas.microsoft.com/office/drawing/2014/main" id="{00000000-0008-0000-0000-00002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0" name="Text Box 3098">
          <a:extLst>
            <a:ext uri="{FF2B5EF4-FFF2-40B4-BE49-F238E27FC236}">
              <a16:creationId xmlns="" xmlns:a16="http://schemas.microsoft.com/office/drawing/2014/main" id="{00000000-0008-0000-0000-00002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1" name="Text Box 3099">
          <a:extLst>
            <a:ext uri="{FF2B5EF4-FFF2-40B4-BE49-F238E27FC236}">
              <a16:creationId xmlns="" xmlns:a16="http://schemas.microsoft.com/office/drawing/2014/main" id="{00000000-0008-0000-0000-00002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2" name="Text Box 3100">
          <a:extLst>
            <a:ext uri="{FF2B5EF4-FFF2-40B4-BE49-F238E27FC236}">
              <a16:creationId xmlns="" xmlns:a16="http://schemas.microsoft.com/office/drawing/2014/main" id="{00000000-0008-0000-0000-00002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3" name="Text Box 3101">
          <a:extLst>
            <a:ext uri="{FF2B5EF4-FFF2-40B4-BE49-F238E27FC236}">
              <a16:creationId xmlns="" xmlns:a16="http://schemas.microsoft.com/office/drawing/2014/main" id="{00000000-0008-0000-0000-00002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444" name="Text Box 3102">
          <a:extLst>
            <a:ext uri="{FF2B5EF4-FFF2-40B4-BE49-F238E27FC236}">
              <a16:creationId xmlns="" xmlns:a16="http://schemas.microsoft.com/office/drawing/2014/main" id="{00000000-0008-0000-0000-00002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5" name="Text Box 59">
          <a:extLst>
            <a:ext uri="{FF2B5EF4-FFF2-40B4-BE49-F238E27FC236}">
              <a16:creationId xmlns="" xmlns:a16="http://schemas.microsoft.com/office/drawing/2014/main" id="{00000000-0008-0000-0000-00002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6" name="Text Box 60">
          <a:extLst>
            <a:ext uri="{FF2B5EF4-FFF2-40B4-BE49-F238E27FC236}">
              <a16:creationId xmlns="" xmlns:a16="http://schemas.microsoft.com/office/drawing/2014/main" id="{00000000-0008-0000-0000-00002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7" name="Text Box 61">
          <a:extLst>
            <a:ext uri="{FF2B5EF4-FFF2-40B4-BE49-F238E27FC236}">
              <a16:creationId xmlns="" xmlns:a16="http://schemas.microsoft.com/office/drawing/2014/main" id="{00000000-0008-0000-0000-00002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8" name="Text Box 62">
          <a:extLst>
            <a:ext uri="{FF2B5EF4-FFF2-40B4-BE49-F238E27FC236}">
              <a16:creationId xmlns="" xmlns:a16="http://schemas.microsoft.com/office/drawing/2014/main" id="{00000000-0008-0000-0000-00003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9" name="Text Box 63">
          <a:extLst>
            <a:ext uri="{FF2B5EF4-FFF2-40B4-BE49-F238E27FC236}">
              <a16:creationId xmlns="" xmlns:a16="http://schemas.microsoft.com/office/drawing/2014/main" id="{00000000-0008-0000-0000-00003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0" name="Text Box 64">
          <a:extLst>
            <a:ext uri="{FF2B5EF4-FFF2-40B4-BE49-F238E27FC236}">
              <a16:creationId xmlns="" xmlns:a16="http://schemas.microsoft.com/office/drawing/2014/main" id="{00000000-0008-0000-0000-00003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1" name="Text Box 65">
          <a:extLst>
            <a:ext uri="{FF2B5EF4-FFF2-40B4-BE49-F238E27FC236}">
              <a16:creationId xmlns="" xmlns:a16="http://schemas.microsoft.com/office/drawing/2014/main" id="{00000000-0008-0000-0000-00003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2" name="Text Box 66">
          <a:extLst>
            <a:ext uri="{FF2B5EF4-FFF2-40B4-BE49-F238E27FC236}">
              <a16:creationId xmlns="" xmlns:a16="http://schemas.microsoft.com/office/drawing/2014/main" id="{00000000-0008-0000-0000-00003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3" name="Text Box 67">
          <a:extLst>
            <a:ext uri="{FF2B5EF4-FFF2-40B4-BE49-F238E27FC236}">
              <a16:creationId xmlns="" xmlns:a16="http://schemas.microsoft.com/office/drawing/2014/main" id="{00000000-0008-0000-0000-00003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4" name="Text Box 68">
          <a:extLst>
            <a:ext uri="{FF2B5EF4-FFF2-40B4-BE49-F238E27FC236}">
              <a16:creationId xmlns="" xmlns:a16="http://schemas.microsoft.com/office/drawing/2014/main" id="{00000000-0008-0000-0000-00003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5" name="Text Box 69">
          <a:extLst>
            <a:ext uri="{FF2B5EF4-FFF2-40B4-BE49-F238E27FC236}">
              <a16:creationId xmlns="" xmlns:a16="http://schemas.microsoft.com/office/drawing/2014/main" id="{00000000-0008-0000-0000-00003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6" name="Text Box 70">
          <a:extLst>
            <a:ext uri="{FF2B5EF4-FFF2-40B4-BE49-F238E27FC236}">
              <a16:creationId xmlns="" xmlns:a16="http://schemas.microsoft.com/office/drawing/2014/main" id="{00000000-0008-0000-0000-00003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7" name="Text Box 71">
          <a:extLst>
            <a:ext uri="{FF2B5EF4-FFF2-40B4-BE49-F238E27FC236}">
              <a16:creationId xmlns="" xmlns:a16="http://schemas.microsoft.com/office/drawing/2014/main" id="{00000000-0008-0000-0000-00003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8" name="Text Box 72">
          <a:extLst>
            <a:ext uri="{FF2B5EF4-FFF2-40B4-BE49-F238E27FC236}">
              <a16:creationId xmlns="" xmlns:a16="http://schemas.microsoft.com/office/drawing/2014/main" id="{00000000-0008-0000-0000-00003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9" name="Text Box 73">
          <a:extLst>
            <a:ext uri="{FF2B5EF4-FFF2-40B4-BE49-F238E27FC236}">
              <a16:creationId xmlns="" xmlns:a16="http://schemas.microsoft.com/office/drawing/2014/main" id="{00000000-0008-0000-0000-00003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0" name="Text Box 74">
          <a:extLst>
            <a:ext uri="{FF2B5EF4-FFF2-40B4-BE49-F238E27FC236}">
              <a16:creationId xmlns="" xmlns:a16="http://schemas.microsoft.com/office/drawing/2014/main" id="{00000000-0008-0000-0000-00003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1" name="Text Box 75">
          <a:extLst>
            <a:ext uri="{FF2B5EF4-FFF2-40B4-BE49-F238E27FC236}">
              <a16:creationId xmlns="" xmlns:a16="http://schemas.microsoft.com/office/drawing/2014/main" id="{00000000-0008-0000-0000-00003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2" name="Text Box 76">
          <a:extLst>
            <a:ext uri="{FF2B5EF4-FFF2-40B4-BE49-F238E27FC236}">
              <a16:creationId xmlns="" xmlns:a16="http://schemas.microsoft.com/office/drawing/2014/main" id="{00000000-0008-0000-0000-00003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3" name="Text Box 77">
          <a:extLst>
            <a:ext uri="{FF2B5EF4-FFF2-40B4-BE49-F238E27FC236}">
              <a16:creationId xmlns="" xmlns:a16="http://schemas.microsoft.com/office/drawing/2014/main" id="{00000000-0008-0000-0000-00003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4" name="Text Box 78">
          <a:extLst>
            <a:ext uri="{FF2B5EF4-FFF2-40B4-BE49-F238E27FC236}">
              <a16:creationId xmlns="" xmlns:a16="http://schemas.microsoft.com/office/drawing/2014/main" id="{00000000-0008-0000-0000-00004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5" name="Text Box 79">
          <a:extLst>
            <a:ext uri="{FF2B5EF4-FFF2-40B4-BE49-F238E27FC236}">
              <a16:creationId xmlns="" xmlns:a16="http://schemas.microsoft.com/office/drawing/2014/main" id="{00000000-0008-0000-0000-00004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6" name="Text Box 80">
          <a:extLst>
            <a:ext uri="{FF2B5EF4-FFF2-40B4-BE49-F238E27FC236}">
              <a16:creationId xmlns="" xmlns:a16="http://schemas.microsoft.com/office/drawing/2014/main" id="{00000000-0008-0000-0000-00004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7" name="Text Box 81">
          <a:extLst>
            <a:ext uri="{FF2B5EF4-FFF2-40B4-BE49-F238E27FC236}">
              <a16:creationId xmlns="" xmlns:a16="http://schemas.microsoft.com/office/drawing/2014/main" id="{00000000-0008-0000-0000-00004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468" name="Text Box 82">
          <a:extLst>
            <a:ext uri="{FF2B5EF4-FFF2-40B4-BE49-F238E27FC236}">
              <a16:creationId xmlns="" xmlns:a16="http://schemas.microsoft.com/office/drawing/2014/main" id="{00000000-0008-0000-0000-00004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69" name="Text Box 3079">
          <a:extLst>
            <a:ext uri="{FF2B5EF4-FFF2-40B4-BE49-F238E27FC236}">
              <a16:creationId xmlns="" xmlns:a16="http://schemas.microsoft.com/office/drawing/2014/main" id="{00000000-0008-0000-0000-00004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0" name="Text Box 3080">
          <a:extLst>
            <a:ext uri="{FF2B5EF4-FFF2-40B4-BE49-F238E27FC236}">
              <a16:creationId xmlns="" xmlns:a16="http://schemas.microsoft.com/office/drawing/2014/main" id="{00000000-0008-0000-0000-00004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1" name="Text Box 3081">
          <a:extLst>
            <a:ext uri="{FF2B5EF4-FFF2-40B4-BE49-F238E27FC236}">
              <a16:creationId xmlns="" xmlns:a16="http://schemas.microsoft.com/office/drawing/2014/main" id="{00000000-0008-0000-0000-00004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2" name="Text Box 3082">
          <a:extLst>
            <a:ext uri="{FF2B5EF4-FFF2-40B4-BE49-F238E27FC236}">
              <a16:creationId xmlns="" xmlns:a16="http://schemas.microsoft.com/office/drawing/2014/main" id="{00000000-0008-0000-0000-00004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3" name="Text Box 3083">
          <a:extLst>
            <a:ext uri="{FF2B5EF4-FFF2-40B4-BE49-F238E27FC236}">
              <a16:creationId xmlns="" xmlns:a16="http://schemas.microsoft.com/office/drawing/2014/main" id="{00000000-0008-0000-0000-00004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4" name="Text Box 3084">
          <a:extLst>
            <a:ext uri="{FF2B5EF4-FFF2-40B4-BE49-F238E27FC236}">
              <a16:creationId xmlns="" xmlns:a16="http://schemas.microsoft.com/office/drawing/2014/main" id="{00000000-0008-0000-0000-00004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5" name="Text Box 3085">
          <a:extLst>
            <a:ext uri="{FF2B5EF4-FFF2-40B4-BE49-F238E27FC236}">
              <a16:creationId xmlns="" xmlns:a16="http://schemas.microsoft.com/office/drawing/2014/main" id="{00000000-0008-0000-0000-00004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6" name="Text Box 3086">
          <a:extLst>
            <a:ext uri="{FF2B5EF4-FFF2-40B4-BE49-F238E27FC236}">
              <a16:creationId xmlns="" xmlns:a16="http://schemas.microsoft.com/office/drawing/2014/main" id="{00000000-0008-0000-0000-00004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7" name="Text Box 3087">
          <a:extLst>
            <a:ext uri="{FF2B5EF4-FFF2-40B4-BE49-F238E27FC236}">
              <a16:creationId xmlns="" xmlns:a16="http://schemas.microsoft.com/office/drawing/2014/main" id="{00000000-0008-0000-0000-00004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8" name="Text Box 3088">
          <a:extLst>
            <a:ext uri="{FF2B5EF4-FFF2-40B4-BE49-F238E27FC236}">
              <a16:creationId xmlns="" xmlns:a16="http://schemas.microsoft.com/office/drawing/2014/main" id="{00000000-0008-0000-0000-00004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9" name="Text Box 3089">
          <a:extLst>
            <a:ext uri="{FF2B5EF4-FFF2-40B4-BE49-F238E27FC236}">
              <a16:creationId xmlns="" xmlns:a16="http://schemas.microsoft.com/office/drawing/2014/main" id="{00000000-0008-0000-0000-00004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0" name="Text Box 3090">
          <a:extLst>
            <a:ext uri="{FF2B5EF4-FFF2-40B4-BE49-F238E27FC236}">
              <a16:creationId xmlns="" xmlns:a16="http://schemas.microsoft.com/office/drawing/2014/main" id="{00000000-0008-0000-0000-00005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1" name="Text Box 3091">
          <a:extLst>
            <a:ext uri="{FF2B5EF4-FFF2-40B4-BE49-F238E27FC236}">
              <a16:creationId xmlns="" xmlns:a16="http://schemas.microsoft.com/office/drawing/2014/main" id="{00000000-0008-0000-0000-00005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2" name="Text Box 3092">
          <a:extLst>
            <a:ext uri="{FF2B5EF4-FFF2-40B4-BE49-F238E27FC236}">
              <a16:creationId xmlns="" xmlns:a16="http://schemas.microsoft.com/office/drawing/2014/main" id="{00000000-0008-0000-0000-00005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3" name="Text Box 3093">
          <a:extLst>
            <a:ext uri="{FF2B5EF4-FFF2-40B4-BE49-F238E27FC236}">
              <a16:creationId xmlns="" xmlns:a16="http://schemas.microsoft.com/office/drawing/2014/main" id="{00000000-0008-0000-0000-00005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4" name="Text Box 3094">
          <a:extLst>
            <a:ext uri="{FF2B5EF4-FFF2-40B4-BE49-F238E27FC236}">
              <a16:creationId xmlns="" xmlns:a16="http://schemas.microsoft.com/office/drawing/2014/main" id="{00000000-0008-0000-0000-00005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5" name="Text Box 3095">
          <a:extLst>
            <a:ext uri="{FF2B5EF4-FFF2-40B4-BE49-F238E27FC236}">
              <a16:creationId xmlns="" xmlns:a16="http://schemas.microsoft.com/office/drawing/2014/main" id="{00000000-0008-0000-0000-00005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6" name="Text Box 3096">
          <a:extLst>
            <a:ext uri="{FF2B5EF4-FFF2-40B4-BE49-F238E27FC236}">
              <a16:creationId xmlns="" xmlns:a16="http://schemas.microsoft.com/office/drawing/2014/main" id="{00000000-0008-0000-0000-00005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7" name="Text Box 3097">
          <a:extLst>
            <a:ext uri="{FF2B5EF4-FFF2-40B4-BE49-F238E27FC236}">
              <a16:creationId xmlns="" xmlns:a16="http://schemas.microsoft.com/office/drawing/2014/main" id="{00000000-0008-0000-0000-00005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8" name="Text Box 3098">
          <a:extLst>
            <a:ext uri="{FF2B5EF4-FFF2-40B4-BE49-F238E27FC236}">
              <a16:creationId xmlns="" xmlns:a16="http://schemas.microsoft.com/office/drawing/2014/main" id="{00000000-0008-0000-0000-00005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9" name="Text Box 3099">
          <a:extLst>
            <a:ext uri="{FF2B5EF4-FFF2-40B4-BE49-F238E27FC236}">
              <a16:creationId xmlns="" xmlns:a16="http://schemas.microsoft.com/office/drawing/2014/main" id="{00000000-0008-0000-0000-00005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90" name="Text Box 3100">
          <a:extLst>
            <a:ext uri="{FF2B5EF4-FFF2-40B4-BE49-F238E27FC236}">
              <a16:creationId xmlns="" xmlns:a16="http://schemas.microsoft.com/office/drawing/2014/main" id="{00000000-0008-0000-0000-00005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91" name="Text Box 3101">
          <a:extLst>
            <a:ext uri="{FF2B5EF4-FFF2-40B4-BE49-F238E27FC236}">
              <a16:creationId xmlns="" xmlns:a16="http://schemas.microsoft.com/office/drawing/2014/main" id="{00000000-0008-0000-0000-00005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492" name="Text Box 3102">
          <a:extLst>
            <a:ext uri="{FF2B5EF4-FFF2-40B4-BE49-F238E27FC236}">
              <a16:creationId xmlns="" xmlns:a16="http://schemas.microsoft.com/office/drawing/2014/main" id="{00000000-0008-0000-0000-00005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3" name="Text Box 59">
          <a:extLst>
            <a:ext uri="{FF2B5EF4-FFF2-40B4-BE49-F238E27FC236}">
              <a16:creationId xmlns="" xmlns:a16="http://schemas.microsoft.com/office/drawing/2014/main" id="{00000000-0008-0000-0000-00005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4" name="Text Box 60">
          <a:extLst>
            <a:ext uri="{FF2B5EF4-FFF2-40B4-BE49-F238E27FC236}">
              <a16:creationId xmlns="" xmlns:a16="http://schemas.microsoft.com/office/drawing/2014/main" id="{00000000-0008-0000-0000-00005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5" name="Text Box 61">
          <a:extLst>
            <a:ext uri="{FF2B5EF4-FFF2-40B4-BE49-F238E27FC236}">
              <a16:creationId xmlns="" xmlns:a16="http://schemas.microsoft.com/office/drawing/2014/main" id="{00000000-0008-0000-0000-00005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6" name="Text Box 62">
          <a:extLst>
            <a:ext uri="{FF2B5EF4-FFF2-40B4-BE49-F238E27FC236}">
              <a16:creationId xmlns="" xmlns:a16="http://schemas.microsoft.com/office/drawing/2014/main" id="{00000000-0008-0000-0000-00006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7" name="Text Box 63">
          <a:extLst>
            <a:ext uri="{FF2B5EF4-FFF2-40B4-BE49-F238E27FC236}">
              <a16:creationId xmlns="" xmlns:a16="http://schemas.microsoft.com/office/drawing/2014/main" id="{00000000-0008-0000-0000-00006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8" name="Text Box 64">
          <a:extLst>
            <a:ext uri="{FF2B5EF4-FFF2-40B4-BE49-F238E27FC236}">
              <a16:creationId xmlns="" xmlns:a16="http://schemas.microsoft.com/office/drawing/2014/main" id="{00000000-0008-0000-0000-00006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9" name="Text Box 65">
          <a:extLst>
            <a:ext uri="{FF2B5EF4-FFF2-40B4-BE49-F238E27FC236}">
              <a16:creationId xmlns="" xmlns:a16="http://schemas.microsoft.com/office/drawing/2014/main" id="{00000000-0008-0000-0000-00006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0" name="Text Box 66">
          <a:extLst>
            <a:ext uri="{FF2B5EF4-FFF2-40B4-BE49-F238E27FC236}">
              <a16:creationId xmlns="" xmlns:a16="http://schemas.microsoft.com/office/drawing/2014/main" id="{00000000-0008-0000-0000-00006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1" name="Text Box 67">
          <a:extLst>
            <a:ext uri="{FF2B5EF4-FFF2-40B4-BE49-F238E27FC236}">
              <a16:creationId xmlns="" xmlns:a16="http://schemas.microsoft.com/office/drawing/2014/main" id="{00000000-0008-0000-0000-00006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2" name="Text Box 68">
          <a:extLst>
            <a:ext uri="{FF2B5EF4-FFF2-40B4-BE49-F238E27FC236}">
              <a16:creationId xmlns="" xmlns:a16="http://schemas.microsoft.com/office/drawing/2014/main" id="{00000000-0008-0000-0000-00006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3" name="Text Box 69">
          <a:extLst>
            <a:ext uri="{FF2B5EF4-FFF2-40B4-BE49-F238E27FC236}">
              <a16:creationId xmlns="" xmlns:a16="http://schemas.microsoft.com/office/drawing/2014/main" id="{00000000-0008-0000-0000-00006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4" name="Text Box 70">
          <a:extLst>
            <a:ext uri="{FF2B5EF4-FFF2-40B4-BE49-F238E27FC236}">
              <a16:creationId xmlns="" xmlns:a16="http://schemas.microsoft.com/office/drawing/2014/main" id="{00000000-0008-0000-0000-00006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5" name="Text Box 71">
          <a:extLst>
            <a:ext uri="{FF2B5EF4-FFF2-40B4-BE49-F238E27FC236}">
              <a16:creationId xmlns="" xmlns:a16="http://schemas.microsoft.com/office/drawing/2014/main" id="{00000000-0008-0000-0000-00006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6" name="Text Box 72">
          <a:extLst>
            <a:ext uri="{FF2B5EF4-FFF2-40B4-BE49-F238E27FC236}">
              <a16:creationId xmlns="" xmlns:a16="http://schemas.microsoft.com/office/drawing/2014/main" id="{00000000-0008-0000-0000-00006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7" name="Text Box 73">
          <a:extLst>
            <a:ext uri="{FF2B5EF4-FFF2-40B4-BE49-F238E27FC236}">
              <a16:creationId xmlns="" xmlns:a16="http://schemas.microsoft.com/office/drawing/2014/main" id="{00000000-0008-0000-0000-00006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8" name="Text Box 74">
          <a:extLst>
            <a:ext uri="{FF2B5EF4-FFF2-40B4-BE49-F238E27FC236}">
              <a16:creationId xmlns="" xmlns:a16="http://schemas.microsoft.com/office/drawing/2014/main" id="{00000000-0008-0000-0000-00006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9" name="Text Box 75">
          <a:extLst>
            <a:ext uri="{FF2B5EF4-FFF2-40B4-BE49-F238E27FC236}">
              <a16:creationId xmlns="" xmlns:a16="http://schemas.microsoft.com/office/drawing/2014/main" id="{00000000-0008-0000-0000-00006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0" name="Text Box 76">
          <a:extLst>
            <a:ext uri="{FF2B5EF4-FFF2-40B4-BE49-F238E27FC236}">
              <a16:creationId xmlns="" xmlns:a16="http://schemas.microsoft.com/office/drawing/2014/main" id="{00000000-0008-0000-0000-00006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1" name="Text Box 77">
          <a:extLst>
            <a:ext uri="{FF2B5EF4-FFF2-40B4-BE49-F238E27FC236}">
              <a16:creationId xmlns="" xmlns:a16="http://schemas.microsoft.com/office/drawing/2014/main" id="{00000000-0008-0000-0000-00006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2" name="Text Box 78">
          <a:extLst>
            <a:ext uri="{FF2B5EF4-FFF2-40B4-BE49-F238E27FC236}">
              <a16:creationId xmlns="" xmlns:a16="http://schemas.microsoft.com/office/drawing/2014/main" id="{00000000-0008-0000-0000-00007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3" name="Text Box 79">
          <a:extLst>
            <a:ext uri="{FF2B5EF4-FFF2-40B4-BE49-F238E27FC236}">
              <a16:creationId xmlns="" xmlns:a16="http://schemas.microsoft.com/office/drawing/2014/main" id="{00000000-0008-0000-0000-00007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4" name="Text Box 80">
          <a:extLst>
            <a:ext uri="{FF2B5EF4-FFF2-40B4-BE49-F238E27FC236}">
              <a16:creationId xmlns="" xmlns:a16="http://schemas.microsoft.com/office/drawing/2014/main" id="{00000000-0008-0000-0000-00007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5" name="Text Box 81">
          <a:extLst>
            <a:ext uri="{FF2B5EF4-FFF2-40B4-BE49-F238E27FC236}">
              <a16:creationId xmlns="" xmlns:a16="http://schemas.microsoft.com/office/drawing/2014/main" id="{00000000-0008-0000-0000-00007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6" name="Text Box 3079">
          <a:extLst>
            <a:ext uri="{FF2B5EF4-FFF2-40B4-BE49-F238E27FC236}">
              <a16:creationId xmlns="" xmlns:a16="http://schemas.microsoft.com/office/drawing/2014/main" id="{00000000-0008-0000-0000-00007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7" name="Text Box 3080">
          <a:extLst>
            <a:ext uri="{FF2B5EF4-FFF2-40B4-BE49-F238E27FC236}">
              <a16:creationId xmlns="" xmlns:a16="http://schemas.microsoft.com/office/drawing/2014/main" id="{00000000-0008-0000-0000-00007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8" name="Text Box 3081">
          <a:extLst>
            <a:ext uri="{FF2B5EF4-FFF2-40B4-BE49-F238E27FC236}">
              <a16:creationId xmlns="" xmlns:a16="http://schemas.microsoft.com/office/drawing/2014/main" id="{00000000-0008-0000-0000-00007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9" name="Text Box 3082">
          <a:extLst>
            <a:ext uri="{FF2B5EF4-FFF2-40B4-BE49-F238E27FC236}">
              <a16:creationId xmlns="" xmlns:a16="http://schemas.microsoft.com/office/drawing/2014/main" id="{00000000-0008-0000-0000-00007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0" name="Text Box 3083">
          <a:extLst>
            <a:ext uri="{FF2B5EF4-FFF2-40B4-BE49-F238E27FC236}">
              <a16:creationId xmlns="" xmlns:a16="http://schemas.microsoft.com/office/drawing/2014/main" id="{00000000-0008-0000-0000-00007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1" name="Text Box 3084">
          <a:extLst>
            <a:ext uri="{FF2B5EF4-FFF2-40B4-BE49-F238E27FC236}">
              <a16:creationId xmlns="" xmlns:a16="http://schemas.microsoft.com/office/drawing/2014/main" id="{00000000-0008-0000-0000-00007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2" name="Text Box 3085">
          <a:extLst>
            <a:ext uri="{FF2B5EF4-FFF2-40B4-BE49-F238E27FC236}">
              <a16:creationId xmlns="" xmlns:a16="http://schemas.microsoft.com/office/drawing/2014/main" id="{00000000-0008-0000-0000-00007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3" name="Text Box 3086">
          <a:extLst>
            <a:ext uri="{FF2B5EF4-FFF2-40B4-BE49-F238E27FC236}">
              <a16:creationId xmlns="" xmlns:a16="http://schemas.microsoft.com/office/drawing/2014/main" id="{00000000-0008-0000-0000-00007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4" name="Text Box 3087">
          <a:extLst>
            <a:ext uri="{FF2B5EF4-FFF2-40B4-BE49-F238E27FC236}">
              <a16:creationId xmlns="" xmlns:a16="http://schemas.microsoft.com/office/drawing/2014/main" id="{00000000-0008-0000-0000-00007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5" name="Text Box 3088">
          <a:extLst>
            <a:ext uri="{FF2B5EF4-FFF2-40B4-BE49-F238E27FC236}">
              <a16:creationId xmlns="" xmlns:a16="http://schemas.microsoft.com/office/drawing/2014/main" id="{00000000-0008-0000-0000-00007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6" name="Text Box 3089">
          <a:extLst>
            <a:ext uri="{FF2B5EF4-FFF2-40B4-BE49-F238E27FC236}">
              <a16:creationId xmlns="" xmlns:a16="http://schemas.microsoft.com/office/drawing/2014/main" id="{00000000-0008-0000-0000-00007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7" name="Text Box 3090">
          <a:extLst>
            <a:ext uri="{FF2B5EF4-FFF2-40B4-BE49-F238E27FC236}">
              <a16:creationId xmlns="" xmlns:a16="http://schemas.microsoft.com/office/drawing/2014/main" id="{00000000-0008-0000-0000-00007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8" name="Text Box 3091">
          <a:extLst>
            <a:ext uri="{FF2B5EF4-FFF2-40B4-BE49-F238E27FC236}">
              <a16:creationId xmlns="" xmlns:a16="http://schemas.microsoft.com/office/drawing/2014/main" id="{00000000-0008-0000-0000-00008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9" name="Text Box 3092">
          <a:extLst>
            <a:ext uri="{FF2B5EF4-FFF2-40B4-BE49-F238E27FC236}">
              <a16:creationId xmlns="" xmlns:a16="http://schemas.microsoft.com/office/drawing/2014/main" id="{00000000-0008-0000-0000-00008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0" name="Text Box 3093">
          <a:extLst>
            <a:ext uri="{FF2B5EF4-FFF2-40B4-BE49-F238E27FC236}">
              <a16:creationId xmlns="" xmlns:a16="http://schemas.microsoft.com/office/drawing/2014/main" id="{00000000-0008-0000-0000-00008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1" name="Text Box 3094">
          <a:extLst>
            <a:ext uri="{FF2B5EF4-FFF2-40B4-BE49-F238E27FC236}">
              <a16:creationId xmlns="" xmlns:a16="http://schemas.microsoft.com/office/drawing/2014/main" id="{00000000-0008-0000-0000-00008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2" name="Text Box 3095">
          <a:extLst>
            <a:ext uri="{FF2B5EF4-FFF2-40B4-BE49-F238E27FC236}">
              <a16:creationId xmlns="" xmlns:a16="http://schemas.microsoft.com/office/drawing/2014/main" id="{00000000-0008-0000-0000-00008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3" name="Text Box 3096">
          <a:extLst>
            <a:ext uri="{FF2B5EF4-FFF2-40B4-BE49-F238E27FC236}">
              <a16:creationId xmlns="" xmlns:a16="http://schemas.microsoft.com/office/drawing/2014/main" id="{00000000-0008-0000-0000-00008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4" name="Text Box 3097">
          <a:extLst>
            <a:ext uri="{FF2B5EF4-FFF2-40B4-BE49-F238E27FC236}">
              <a16:creationId xmlns="" xmlns:a16="http://schemas.microsoft.com/office/drawing/2014/main" id="{00000000-0008-0000-0000-00008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5" name="Text Box 3098">
          <a:extLst>
            <a:ext uri="{FF2B5EF4-FFF2-40B4-BE49-F238E27FC236}">
              <a16:creationId xmlns="" xmlns:a16="http://schemas.microsoft.com/office/drawing/2014/main" id="{00000000-0008-0000-0000-00008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6" name="Text Box 3099">
          <a:extLst>
            <a:ext uri="{FF2B5EF4-FFF2-40B4-BE49-F238E27FC236}">
              <a16:creationId xmlns="" xmlns:a16="http://schemas.microsoft.com/office/drawing/2014/main" id="{00000000-0008-0000-0000-00008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7" name="Text Box 3100">
          <a:extLst>
            <a:ext uri="{FF2B5EF4-FFF2-40B4-BE49-F238E27FC236}">
              <a16:creationId xmlns="" xmlns:a16="http://schemas.microsoft.com/office/drawing/2014/main" id="{00000000-0008-0000-0000-00008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8" name="Text Box 3101">
          <a:extLst>
            <a:ext uri="{FF2B5EF4-FFF2-40B4-BE49-F238E27FC236}">
              <a16:creationId xmlns="" xmlns:a16="http://schemas.microsoft.com/office/drawing/2014/main" id="{00000000-0008-0000-0000-00008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539" name="Text Box 3102">
          <a:extLst>
            <a:ext uri="{FF2B5EF4-FFF2-40B4-BE49-F238E27FC236}">
              <a16:creationId xmlns="" xmlns:a16="http://schemas.microsoft.com/office/drawing/2014/main" id="{00000000-0008-0000-0000-00008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0" name="Text Box 59">
          <a:extLst>
            <a:ext uri="{FF2B5EF4-FFF2-40B4-BE49-F238E27FC236}">
              <a16:creationId xmlns="" xmlns:a16="http://schemas.microsoft.com/office/drawing/2014/main" id="{00000000-0008-0000-0000-00008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1" name="Text Box 60">
          <a:extLst>
            <a:ext uri="{FF2B5EF4-FFF2-40B4-BE49-F238E27FC236}">
              <a16:creationId xmlns="" xmlns:a16="http://schemas.microsoft.com/office/drawing/2014/main" id="{00000000-0008-0000-0000-00008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2" name="Text Box 61">
          <a:extLst>
            <a:ext uri="{FF2B5EF4-FFF2-40B4-BE49-F238E27FC236}">
              <a16:creationId xmlns="" xmlns:a16="http://schemas.microsoft.com/office/drawing/2014/main" id="{00000000-0008-0000-0000-00008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3" name="Text Box 62">
          <a:extLst>
            <a:ext uri="{FF2B5EF4-FFF2-40B4-BE49-F238E27FC236}">
              <a16:creationId xmlns="" xmlns:a16="http://schemas.microsoft.com/office/drawing/2014/main" id="{00000000-0008-0000-0000-00008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4" name="Text Box 63">
          <a:extLst>
            <a:ext uri="{FF2B5EF4-FFF2-40B4-BE49-F238E27FC236}">
              <a16:creationId xmlns="" xmlns:a16="http://schemas.microsoft.com/office/drawing/2014/main" id="{00000000-0008-0000-0000-00009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5" name="Text Box 64">
          <a:extLst>
            <a:ext uri="{FF2B5EF4-FFF2-40B4-BE49-F238E27FC236}">
              <a16:creationId xmlns="" xmlns:a16="http://schemas.microsoft.com/office/drawing/2014/main" id="{00000000-0008-0000-0000-00009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6" name="Text Box 65">
          <a:extLst>
            <a:ext uri="{FF2B5EF4-FFF2-40B4-BE49-F238E27FC236}">
              <a16:creationId xmlns="" xmlns:a16="http://schemas.microsoft.com/office/drawing/2014/main" id="{00000000-0008-0000-0000-00009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7" name="Text Box 66">
          <a:extLst>
            <a:ext uri="{FF2B5EF4-FFF2-40B4-BE49-F238E27FC236}">
              <a16:creationId xmlns="" xmlns:a16="http://schemas.microsoft.com/office/drawing/2014/main" id="{00000000-0008-0000-0000-00009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8" name="Text Box 67">
          <a:extLst>
            <a:ext uri="{FF2B5EF4-FFF2-40B4-BE49-F238E27FC236}">
              <a16:creationId xmlns="" xmlns:a16="http://schemas.microsoft.com/office/drawing/2014/main" id="{00000000-0008-0000-0000-00009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9" name="Text Box 68">
          <a:extLst>
            <a:ext uri="{FF2B5EF4-FFF2-40B4-BE49-F238E27FC236}">
              <a16:creationId xmlns="" xmlns:a16="http://schemas.microsoft.com/office/drawing/2014/main" id="{00000000-0008-0000-0000-00009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0" name="Text Box 69">
          <a:extLst>
            <a:ext uri="{FF2B5EF4-FFF2-40B4-BE49-F238E27FC236}">
              <a16:creationId xmlns="" xmlns:a16="http://schemas.microsoft.com/office/drawing/2014/main" id="{00000000-0008-0000-0000-00009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1" name="Text Box 70">
          <a:extLst>
            <a:ext uri="{FF2B5EF4-FFF2-40B4-BE49-F238E27FC236}">
              <a16:creationId xmlns="" xmlns:a16="http://schemas.microsoft.com/office/drawing/2014/main" id="{00000000-0008-0000-0000-00009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2" name="Text Box 71">
          <a:extLst>
            <a:ext uri="{FF2B5EF4-FFF2-40B4-BE49-F238E27FC236}">
              <a16:creationId xmlns="" xmlns:a16="http://schemas.microsoft.com/office/drawing/2014/main" id="{00000000-0008-0000-0000-00009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3" name="Text Box 72">
          <a:extLst>
            <a:ext uri="{FF2B5EF4-FFF2-40B4-BE49-F238E27FC236}">
              <a16:creationId xmlns="" xmlns:a16="http://schemas.microsoft.com/office/drawing/2014/main" id="{00000000-0008-0000-0000-00009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4" name="Text Box 73">
          <a:extLst>
            <a:ext uri="{FF2B5EF4-FFF2-40B4-BE49-F238E27FC236}">
              <a16:creationId xmlns="" xmlns:a16="http://schemas.microsoft.com/office/drawing/2014/main" id="{00000000-0008-0000-0000-00009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5" name="Text Box 74">
          <a:extLst>
            <a:ext uri="{FF2B5EF4-FFF2-40B4-BE49-F238E27FC236}">
              <a16:creationId xmlns="" xmlns:a16="http://schemas.microsoft.com/office/drawing/2014/main" id="{00000000-0008-0000-0000-00009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6" name="Text Box 75">
          <a:extLst>
            <a:ext uri="{FF2B5EF4-FFF2-40B4-BE49-F238E27FC236}">
              <a16:creationId xmlns="" xmlns:a16="http://schemas.microsoft.com/office/drawing/2014/main" id="{00000000-0008-0000-0000-00009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7" name="Text Box 76">
          <a:extLst>
            <a:ext uri="{FF2B5EF4-FFF2-40B4-BE49-F238E27FC236}">
              <a16:creationId xmlns="" xmlns:a16="http://schemas.microsoft.com/office/drawing/2014/main" id="{00000000-0008-0000-0000-00009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8" name="Text Box 77">
          <a:extLst>
            <a:ext uri="{FF2B5EF4-FFF2-40B4-BE49-F238E27FC236}">
              <a16:creationId xmlns="" xmlns:a16="http://schemas.microsoft.com/office/drawing/2014/main" id="{00000000-0008-0000-0000-00009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9" name="Text Box 78">
          <a:extLst>
            <a:ext uri="{FF2B5EF4-FFF2-40B4-BE49-F238E27FC236}">
              <a16:creationId xmlns="" xmlns:a16="http://schemas.microsoft.com/office/drawing/2014/main" id="{00000000-0008-0000-0000-00009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0" name="Text Box 79">
          <a:extLst>
            <a:ext uri="{FF2B5EF4-FFF2-40B4-BE49-F238E27FC236}">
              <a16:creationId xmlns="" xmlns:a16="http://schemas.microsoft.com/office/drawing/2014/main" id="{00000000-0008-0000-0000-0000A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1" name="Text Box 80">
          <a:extLst>
            <a:ext uri="{FF2B5EF4-FFF2-40B4-BE49-F238E27FC236}">
              <a16:creationId xmlns="" xmlns:a16="http://schemas.microsoft.com/office/drawing/2014/main" id="{00000000-0008-0000-0000-0000A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2" name="Text Box 81">
          <a:extLst>
            <a:ext uri="{FF2B5EF4-FFF2-40B4-BE49-F238E27FC236}">
              <a16:creationId xmlns="" xmlns:a16="http://schemas.microsoft.com/office/drawing/2014/main" id="{00000000-0008-0000-0000-0000A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563" name="Text Box 82">
          <a:extLst>
            <a:ext uri="{FF2B5EF4-FFF2-40B4-BE49-F238E27FC236}">
              <a16:creationId xmlns="" xmlns:a16="http://schemas.microsoft.com/office/drawing/2014/main" id="{00000000-0008-0000-0000-0000A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4" name="Text Box 3079">
          <a:extLst>
            <a:ext uri="{FF2B5EF4-FFF2-40B4-BE49-F238E27FC236}">
              <a16:creationId xmlns="" xmlns:a16="http://schemas.microsoft.com/office/drawing/2014/main" id="{00000000-0008-0000-0000-0000A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5" name="Text Box 3080">
          <a:extLst>
            <a:ext uri="{FF2B5EF4-FFF2-40B4-BE49-F238E27FC236}">
              <a16:creationId xmlns="" xmlns:a16="http://schemas.microsoft.com/office/drawing/2014/main" id="{00000000-0008-0000-0000-0000A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6" name="Text Box 3081">
          <a:extLst>
            <a:ext uri="{FF2B5EF4-FFF2-40B4-BE49-F238E27FC236}">
              <a16:creationId xmlns="" xmlns:a16="http://schemas.microsoft.com/office/drawing/2014/main" id="{00000000-0008-0000-0000-0000A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7" name="Text Box 3082">
          <a:extLst>
            <a:ext uri="{FF2B5EF4-FFF2-40B4-BE49-F238E27FC236}">
              <a16:creationId xmlns="" xmlns:a16="http://schemas.microsoft.com/office/drawing/2014/main" id="{00000000-0008-0000-0000-0000A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8" name="Text Box 3083">
          <a:extLst>
            <a:ext uri="{FF2B5EF4-FFF2-40B4-BE49-F238E27FC236}">
              <a16:creationId xmlns="" xmlns:a16="http://schemas.microsoft.com/office/drawing/2014/main" id="{00000000-0008-0000-0000-0000A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9" name="Text Box 3084">
          <a:extLst>
            <a:ext uri="{FF2B5EF4-FFF2-40B4-BE49-F238E27FC236}">
              <a16:creationId xmlns="" xmlns:a16="http://schemas.microsoft.com/office/drawing/2014/main" id="{00000000-0008-0000-0000-0000A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0" name="Text Box 3085">
          <a:extLst>
            <a:ext uri="{FF2B5EF4-FFF2-40B4-BE49-F238E27FC236}">
              <a16:creationId xmlns="" xmlns:a16="http://schemas.microsoft.com/office/drawing/2014/main" id="{00000000-0008-0000-0000-0000A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1" name="Text Box 3086">
          <a:extLst>
            <a:ext uri="{FF2B5EF4-FFF2-40B4-BE49-F238E27FC236}">
              <a16:creationId xmlns="" xmlns:a16="http://schemas.microsoft.com/office/drawing/2014/main" id="{00000000-0008-0000-0000-0000A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2" name="Text Box 3087">
          <a:extLst>
            <a:ext uri="{FF2B5EF4-FFF2-40B4-BE49-F238E27FC236}">
              <a16:creationId xmlns="" xmlns:a16="http://schemas.microsoft.com/office/drawing/2014/main" id="{00000000-0008-0000-0000-0000A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3" name="Text Box 3088">
          <a:extLst>
            <a:ext uri="{FF2B5EF4-FFF2-40B4-BE49-F238E27FC236}">
              <a16:creationId xmlns="" xmlns:a16="http://schemas.microsoft.com/office/drawing/2014/main" id="{00000000-0008-0000-0000-0000A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4" name="Text Box 3089">
          <a:extLst>
            <a:ext uri="{FF2B5EF4-FFF2-40B4-BE49-F238E27FC236}">
              <a16:creationId xmlns="" xmlns:a16="http://schemas.microsoft.com/office/drawing/2014/main" id="{00000000-0008-0000-0000-0000A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5" name="Text Box 3090">
          <a:extLst>
            <a:ext uri="{FF2B5EF4-FFF2-40B4-BE49-F238E27FC236}">
              <a16:creationId xmlns="" xmlns:a16="http://schemas.microsoft.com/office/drawing/2014/main" id="{00000000-0008-0000-0000-0000A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6" name="Text Box 3091">
          <a:extLst>
            <a:ext uri="{FF2B5EF4-FFF2-40B4-BE49-F238E27FC236}">
              <a16:creationId xmlns="" xmlns:a16="http://schemas.microsoft.com/office/drawing/2014/main" id="{00000000-0008-0000-0000-0000B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7" name="Text Box 3092">
          <a:extLst>
            <a:ext uri="{FF2B5EF4-FFF2-40B4-BE49-F238E27FC236}">
              <a16:creationId xmlns="" xmlns:a16="http://schemas.microsoft.com/office/drawing/2014/main" id="{00000000-0008-0000-0000-0000B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8" name="Text Box 3093">
          <a:extLst>
            <a:ext uri="{FF2B5EF4-FFF2-40B4-BE49-F238E27FC236}">
              <a16:creationId xmlns="" xmlns:a16="http://schemas.microsoft.com/office/drawing/2014/main" id="{00000000-0008-0000-0000-0000B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9" name="Text Box 3094">
          <a:extLst>
            <a:ext uri="{FF2B5EF4-FFF2-40B4-BE49-F238E27FC236}">
              <a16:creationId xmlns="" xmlns:a16="http://schemas.microsoft.com/office/drawing/2014/main" id="{00000000-0008-0000-0000-0000B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0" name="Text Box 3095">
          <a:extLst>
            <a:ext uri="{FF2B5EF4-FFF2-40B4-BE49-F238E27FC236}">
              <a16:creationId xmlns="" xmlns:a16="http://schemas.microsoft.com/office/drawing/2014/main" id="{00000000-0008-0000-0000-0000B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1" name="Text Box 3096">
          <a:extLst>
            <a:ext uri="{FF2B5EF4-FFF2-40B4-BE49-F238E27FC236}">
              <a16:creationId xmlns="" xmlns:a16="http://schemas.microsoft.com/office/drawing/2014/main" id="{00000000-0008-0000-0000-0000B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2" name="Text Box 3097">
          <a:extLst>
            <a:ext uri="{FF2B5EF4-FFF2-40B4-BE49-F238E27FC236}">
              <a16:creationId xmlns="" xmlns:a16="http://schemas.microsoft.com/office/drawing/2014/main" id="{00000000-0008-0000-0000-0000B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3" name="Text Box 3098">
          <a:extLst>
            <a:ext uri="{FF2B5EF4-FFF2-40B4-BE49-F238E27FC236}">
              <a16:creationId xmlns="" xmlns:a16="http://schemas.microsoft.com/office/drawing/2014/main" id="{00000000-0008-0000-0000-0000B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4" name="Text Box 3099">
          <a:extLst>
            <a:ext uri="{FF2B5EF4-FFF2-40B4-BE49-F238E27FC236}">
              <a16:creationId xmlns="" xmlns:a16="http://schemas.microsoft.com/office/drawing/2014/main" id="{00000000-0008-0000-0000-0000B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5" name="Text Box 3100">
          <a:extLst>
            <a:ext uri="{FF2B5EF4-FFF2-40B4-BE49-F238E27FC236}">
              <a16:creationId xmlns="" xmlns:a16="http://schemas.microsoft.com/office/drawing/2014/main" id="{00000000-0008-0000-0000-0000B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6" name="Text Box 3101">
          <a:extLst>
            <a:ext uri="{FF2B5EF4-FFF2-40B4-BE49-F238E27FC236}">
              <a16:creationId xmlns="" xmlns:a16="http://schemas.microsoft.com/office/drawing/2014/main" id="{00000000-0008-0000-0000-0000B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587" name="Text Box 3102">
          <a:extLst>
            <a:ext uri="{FF2B5EF4-FFF2-40B4-BE49-F238E27FC236}">
              <a16:creationId xmlns="" xmlns:a16="http://schemas.microsoft.com/office/drawing/2014/main" id="{00000000-0008-0000-0000-0000B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88" name="Text Box 59">
          <a:extLst>
            <a:ext uri="{FF2B5EF4-FFF2-40B4-BE49-F238E27FC236}">
              <a16:creationId xmlns="" xmlns:a16="http://schemas.microsoft.com/office/drawing/2014/main" id="{00000000-0008-0000-0000-0000B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89" name="Text Box 60">
          <a:extLst>
            <a:ext uri="{FF2B5EF4-FFF2-40B4-BE49-F238E27FC236}">
              <a16:creationId xmlns="" xmlns:a16="http://schemas.microsoft.com/office/drawing/2014/main" id="{00000000-0008-0000-0000-0000B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0" name="Text Box 61">
          <a:extLst>
            <a:ext uri="{FF2B5EF4-FFF2-40B4-BE49-F238E27FC236}">
              <a16:creationId xmlns="" xmlns:a16="http://schemas.microsoft.com/office/drawing/2014/main" id="{00000000-0008-0000-0000-0000B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1" name="Text Box 62">
          <a:extLst>
            <a:ext uri="{FF2B5EF4-FFF2-40B4-BE49-F238E27FC236}">
              <a16:creationId xmlns="" xmlns:a16="http://schemas.microsoft.com/office/drawing/2014/main" id="{00000000-0008-0000-0000-0000B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2" name="Text Box 63">
          <a:extLst>
            <a:ext uri="{FF2B5EF4-FFF2-40B4-BE49-F238E27FC236}">
              <a16:creationId xmlns="" xmlns:a16="http://schemas.microsoft.com/office/drawing/2014/main" id="{00000000-0008-0000-0000-0000C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3" name="Text Box 64">
          <a:extLst>
            <a:ext uri="{FF2B5EF4-FFF2-40B4-BE49-F238E27FC236}">
              <a16:creationId xmlns="" xmlns:a16="http://schemas.microsoft.com/office/drawing/2014/main" id="{00000000-0008-0000-0000-0000C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4" name="Text Box 65">
          <a:extLst>
            <a:ext uri="{FF2B5EF4-FFF2-40B4-BE49-F238E27FC236}">
              <a16:creationId xmlns="" xmlns:a16="http://schemas.microsoft.com/office/drawing/2014/main" id="{00000000-0008-0000-0000-0000C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5" name="Text Box 66">
          <a:extLst>
            <a:ext uri="{FF2B5EF4-FFF2-40B4-BE49-F238E27FC236}">
              <a16:creationId xmlns="" xmlns:a16="http://schemas.microsoft.com/office/drawing/2014/main" id="{00000000-0008-0000-0000-0000C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6" name="Text Box 67">
          <a:extLst>
            <a:ext uri="{FF2B5EF4-FFF2-40B4-BE49-F238E27FC236}">
              <a16:creationId xmlns="" xmlns:a16="http://schemas.microsoft.com/office/drawing/2014/main" id="{00000000-0008-0000-0000-0000C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7" name="Text Box 68">
          <a:extLst>
            <a:ext uri="{FF2B5EF4-FFF2-40B4-BE49-F238E27FC236}">
              <a16:creationId xmlns="" xmlns:a16="http://schemas.microsoft.com/office/drawing/2014/main" id="{00000000-0008-0000-0000-0000C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8" name="Text Box 69">
          <a:extLst>
            <a:ext uri="{FF2B5EF4-FFF2-40B4-BE49-F238E27FC236}">
              <a16:creationId xmlns="" xmlns:a16="http://schemas.microsoft.com/office/drawing/2014/main" id="{00000000-0008-0000-0000-0000C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9" name="Text Box 70">
          <a:extLst>
            <a:ext uri="{FF2B5EF4-FFF2-40B4-BE49-F238E27FC236}">
              <a16:creationId xmlns="" xmlns:a16="http://schemas.microsoft.com/office/drawing/2014/main" id="{00000000-0008-0000-0000-0000C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0" name="Text Box 71">
          <a:extLst>
            <a:ext uri="{FF2B5EF4-FFF2-40B4-BE49-F238E27FC236}">
              <a16:creationId xmlns="" xmlns:a16="http://schemas.microsoft.com/office/drawing/2014/main" id="{00000000-0008-0000-0000-0000C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1" name="Text Box 72">
          <a:extLst>
            <a:ext uri="{FF2B5EF4-FFF2-40B4-BE49-F238E27FC236}">
              <a16:creationId xmlns="" xmlns:a16="http://schemas.microsoft.com/office/drawing/2014/main" id="{00000000-0008-0000-0000-0000C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2" name="Text Box 73">
          <a:extLst>
            <a:ext uri="{FF2B5EF4-FFF2-40B4-BE49-F238E27FC236}">
              <a16:creationId xmlns="" xmlns:a16="http://schemas.microsoft.com/office/drawing/2014/main" id="{00000000-0008-0000-0000-0000C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3" name="Text Box 74">
          <a:extLst>
            <a:ext uri="{FF2B5EF4-FFF2-40B4-BE49-F238E27FC236}">
              <a16:creationId xmlns="" xmlns:a16="http://schemas.microsoft.com/office/drawing/2014/main" id="{00000000-0008-0000-0000-0000C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4" name="Text Box 75">
          <a:extLst>
            <a:ext uri="{FF2B5EF4-FFF2-40B4-BE49-F238E27FC236}">
              <a16:creationId xmlns="" xmlns:a16="http://schemas.microsoft.com/office/drawing/2014/main" id="{00000000-0008-0000-0000-0000C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5" name="Text Box 76">
          <a:extLst>
            <a:ext uri="{FF2B5EF4-FFF2-40B4-BE49-F238E27FC236}">
              <a16:creationId xmlns="" xmlns:a16="http://schemas.microsoft.com/office/drawing/2014/main" id="{00000000-0008-0000-0000-0000C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6" name="Text Box 77">
          <a:extLst>
            <a:ext uri="{FF2B5EF4-FFF2-40B4-BE49-F238E27FC236}">
              <a16:creationId xmlns="" xmlns:a16="http://schemas.microsoft.com/office/drawing/2014/main" id="{00000000-0008-0000-0000-0000C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7" name="Text Box 78">
          <a:extLst>
            <a:ext uri="{FF2B5EF4-FFF2-40B4-BE49-F238E27FC236}">
              <a16:creationId xmlns="" xmlns:a16="http://schemas.microsoft.com/office/drawing/2014/main" id="{00000000-0008-0000-0000-0000C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8" name="Text Box 79">
          <a:extLst>
            <a:ext uri="{FF2B5EF4-FFF2-40B4-BE49-F238E27FC236}">
              <a16:creationId xmlns="" xmlns:a16="http://schemas.microsoft.com/office/drawing/2014/main" id="{00000000-0008-0000-0000-0000D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9" name="Text Box 80">
          <a:extLst>
            <a:ext uri="{FF2B5EF4-FFF2-40B4-BE49-F238E27FC236}">
              <a16:creationId xmlns="" xmlns:a16="http://schemas.microsoft.com/office/drawing/2014/main" id="{00000000-0008-0000-0000-0000D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10" name="Text Box 81">
          <a:extLst>
            <a:ext uri="{FF2B5EF4-FFF2-40B4-BE49-F238E27FC236}">
              <a16:creationId xmlns="" xmlns:a16="http://schemas.microsoft.com/office/drawing/2014/main" id="{00000000-0008-0000-0000-0000D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1" name="Text Box 3079">
          <a:extLst>
            <a:ext uri="{FF2B5EF4-FFF2-40B4-BE49-F238E27FC236}">
              <a16:creationId xmlns="" xmlns:a16="http://schemas.microsoft.com/office/drawing/2014/main" id="{00000000-0008-0000-0000-0000D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2" name="Text Box 3080">
          <a:extLst>
            <a:ext uri="{FF2B5EF4-FFF2-40B4-BE49-F238E27FC236}">
              <a16:creationId xmlns="" xmlns:a16="http://schemas.microsoft.com/office/drawing/2014/main" id="{00000000-0008-0000-0000-0000D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3" name="Text Box 3081">
          <a:extLst>
            <a:ext uri="{FF2B5EF4-FFF2-40B4-BE49-F238E27FC236}">
              <a16:creationId xmlns="" xmlns:a16="http://schemas.microsoft.com/office/drawing/2014/main" id="{00000000-0008-0000-0000-0000D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4" name="Text Box 3082">
          <a:extLst>
            <a:ext uri="{FF2B5EF4-FFF2-40B4-BE49-F238E27FC236}">
              <a16:creationId xmlns="" xmlns:a16="http://schemas.microsoft.com/office/drawing/2014/main" id="{00000000-0008-0000-0000-0000D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5" name="Text Box 3083">
          <a:extLst>
            <a:ext uri="{FF2B5EF4-FFF2-40B4-BE49-F238E27FC236}">
              <a16:creationId xmlns="" xmlns:a16="http://schemas.microsoft.com/office/drawing/2014/main" id="{00000000-0008-0000-0000-0000D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6" name="Text Box 3084">
          <a:extLst>
            <a:ext uri="{FF2B5EF4-FFF2-40B4-BE49-F238E27FC236}">
              <a16:creationId xmlns="" xmlns:a16="http://schemas.microsoft.com/office/drawing/2014/main" id="{00000000-0008-0000-0000-0000D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7" name="Text Box 3085">
          <a:extLst>
            <a:ext uri="{FF2B5EF4-FFF2-40B4-BE49-F238E27FC236}">
              <a16:creationId xmlns="" xmlns:a16="http://schemas.microsoft.com/office/drawing/2014/main" id="{00000000-0008-0000-0000-0000D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8" name="Text Box 3086">
          <a:extLst>
            <a:ext uri="{FF2B5EF4-FFF2-40B4-BE49-F238E27FC236}">
              <a16:creationId xmlns="" xmlns:a16="http://schemas.microsoft.com/office/drawing/2014/main" id="{00000000-0008-0000-0000-0000D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9" name="Text Box 3087">
          <a:extLst>
            <a:ext uri="{FF2B5EF4-FFF2-40B4-BE49-F238E27FC236}">
              <a16:creationId xmlns="" xmlns:a16="http://schemas.microsoft.com/office/drawing/2014/main" id="{00000000-0008-0000-0000-0000D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0" name="Text Box 3088">
          <a:extLst>
            <a:ext uri="{FF2B5EF4-FFF2-40B4-BE49-F238E27FC236}">
              <a16:creationId xmlns="" xmlns:a16="http://schemas.microsoft.com/office/drawing/2014/main" id="{00000000-0008-0000-0000-0000D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1" name="Text Box 3089">
          <a:extLst>
            <a:ext uri="{FF2B5EF4-FFF2-40B4-BE49-F238E27FC236}">
              <a16:creationId xmlns="" xmlns:a16="http://schemas.microsoft.com/office/drawing/2014/main" id="{00000000-0008-0000-0000-0000D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2" name="Text Box 3090">
          <a:extLst>
            <a:ext uri="{FF2B5EF4-FFF2-40B4-BE49-F238E27FC236}">
              <a16:creationId xmlns="" xmlns:a16="http://schemas.microsoft.com/office/drawing/2014/main" id="{00000000-0008-0000-0000-0000D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3" name="Text Box 3091">
          <a:extLst>
            <a:ext uri="{FF2B5EF4-FFF2-40B4-BE49-F238E27FC236}">
              <a16:creationId xmlns="" xmlns:a16="http://schemas.microsoft.com/office/drawing/2014/main" id="{00000000-0008-0000-0000-0000D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4" name="Text Box 3092">
          <a:extLst>
            <a:ext uri="{FF2B5EF4-FFF2-40B4-BE49-F238E27FC236}">
              <a16:creationId xmlns="" xmlns:a16="http://schemas.microsoft.com/office/drawing/2014/main" id="{00000000-0008-0000-0000-0000E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5" name="Text Box 3093">
          <a:extLst>
            <a:ext uri="{FF2B5EF4-FFF2-40B4-BE49-F238E27FC236}">
              <a16:creationId xmlns="" xmlns:a16="http://schemas.microsoft.com/office/drawing/2014/main" id="{00000000-0008-0000-0000-0000E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6" name="Text Box 3094">
          <a:extLst>
            <a:ext uri="{FF2B5EF4-FFF2-40B4-BE49-F238E27FC236}">
              <a16:creationId xmlns="" xmlns:a16="http://schemas.microsoft.com/office/drawing/2014/main" id="{00000000-0008-0000-0000-0000E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7" name="Text Box 3095">
          <a:extLst>
            <a:ext uri="{FF2B5EF4-FFF2-40B4-BE49-F238E27FC236}">
              <a16:creationId xmlns="" xmlns:a16="http://schemas.microsoft.com/office/drawing/2014/main" id="{00000000-0008-0000-0000-0000E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8" name="Text Box 3096">
          <a:extLst>
            <a:ext uri="{FF2B5EF4-FFF2-40B4-BE49-F238E27FC236}">
              <a16:creationId xmlns="" xmlns:a16="http://schemas.microsoft.com/office/drawing/2014/main" id="{00000000-0008-0000-0000-0000E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9" name="Text Box 3097">
          <a:extLst>
            <a:ext uri="{FF2B5EF4-FFF2-40B4-BE49-F238E27FC236}">
              <a16:creationId xmlns="" xmlns:a16="http://schemas.microsoft.com/office/drawing/2014/main" id="{00000000-0008-0000-0000-0000E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0" name="Text Box 3098">
          <a:extLst>
            <a:ext uri="{FF2B5EF4-FFF2-40B4-BE49-F238E27FC236}">
              <a16:creationId xmlns="" xmlns:a16="http://schemas.microsoft.com/office/drawing/2014/main" id="{00000000-0008-0000-0000-0000E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1" name="Text Box 3099">
          <a:extLst>
            <a:ext uri="{FF2B5EF4-FFF2-40B4-BE49-F238E27FC236}">
              <a16:creationId xmlns="" xmlns:a16="http://schemas.microsoft.com/office/drawing/2014/main" id="{00000000-0008-0000-0000-0000E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2" name="Text Box 3100">
          <a:extLst>
            <a:ext uri="{FF2B5EF4-FFF2-40B4-BE49-F238E27FC236}">
              <a16:creationId xmlns="" xmlns:a16="http://schemas.microsoft.com/office/drawing/2014/main" id="{00000000-0008-0000-0000-0000E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3" name="Text Box 3101">
          <a:extLst>
            <a:ext uri="{FF2B5EF4-FFF2-40B4-BE49-F238E27FC236}">
              <a16:creationId xmlns="" xmlns:a16="http://schemas.microsoft.com/office/drawing/2014/main" id="{00000000-0008-0000-0000-0000E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634" name="Text Box 3102">
          <a:extLst>
            <a:ext uri="{FF2B5EF4-FFF2-40B4-BE49-F238E27FC236}">
              <a16:creationId xmlns="" xmlns:a16="http://schemas.microsoft.com/office/drawing/2014/main" id="{00000000-0008-0000-0000-0000E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5" name="Text Box 59">
          <a:extLst>
            <a:ext uri="{FF2B5EF4-FFF2-40B4-BE49-F238E27FC236}">
              <a16:creationId xmlns="" xmlns:a16="http://schemas.microsoft.com/office/drawing/2014/main" id="{00000000-0008-0000-0000-0000E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6" name="Text Box 60">
          <a:extLst>
            <a:ext uri="{FF2B5EF4-FFF2-40B4-BE49-F238E27FC236}">
              <a16:creationId xmlns="" xmlns:a16="http://schemas.microsoft.com/office/drawing/2014/main" id="{00000000-0008-0000-0000-0000E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7" name="Text Box 61">
          <a:extLst>
            <a:ext uri="{FF2B5EF4-FFF2-40B4-BE49-F238E27FC236}">
              <a16:creationId xmlns="" xmlns:a16="http://schemas.microsoft.com/office/drawing/2014/main" id="{00000000-0008-0000-0000-0000E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8" name="Text Box 62">
          <a:extLst>
            <a:ext uri="{FF2B5EF4-FFF2-40B4-BE49-F238E27FC236}">
              <a16:creationId xmlns="" xmlns:a16="http://schemas.microsoft.com/office/drawing/2014/main" id="{00000000-0008-0000-0000-0000E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9" name="Text Box 63">
          <a:extLst>
            <a:ext uri="{FF2B5EF4-FFF2-40B4-BE49-F238E27FC236}">
              <a16:creationId xmlns="" xmlns:a16="http://schemas.microsoft.com/office/drawing/2014/main" id="{00000000-0008-0000-0000-0000E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0" name="Text Box 64">
          <a:extLst>
            <a:ext uri="{FF2B5EF4-FFF2-40B4-BE49-F238E27FC236}">
              <a16:creationId xmlns="" xmlns:a16="http://schemas.microsoft.com/office/drawing/2014/main" id="{00000000-0008-0000-0000-0000F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1" name="Text Box 65">
          <a:extLst>
            <a:ext uri="{FF2B5EF4-FFF2-40B4-BE49-F238E27FC236}">
              <a16:creationId xmlns="" xmlns:a16="http://schemas.microsoft.com/office/drawing/2014/main" id="{00000000-0008-0000-0000-0000F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2" name="Text Box 66">
          <a:extLst>
            <a:ext uri="{FF2B5EF4-FFF2-40B4-BE49-F238E27FC236}">
              <a16:creationId xmlns="" xmlns:a16="http://schemas.microsoft.com/office/drawing/2014/main" id="{00000000-0008-0000-0000-0000F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3" name="Text Box 67">
          <a:extLst>
            <a:ext uri="{FF2B5EF4-FFF2-40B4-BE49-F238E27FC236}">
              <a16:creationId xmlns="" xmlns:a16="http://schemas.microsoft.com/office/drawing/2014/main" id="{00000000-0008-0000-0000-0000F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4" name="Text Box 68">
          <a:extLst>
            <a:ext uri="{FF2B5EF4-FFF2-40B4-BE49-F238E27FC236}">
              <a16:creationId xmlns="" xmlns:a16="http://schemas.microsoft.com/office/drawing/2014/main" id="{00000000-0008-0000-0000-0000F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5" name="Text Box 69">
          <a:extLst>
            <a:ext uri="{FF2B5EF4-FFF2-40B4-BE49-F238E27FC236}">
              <a16:creationId xmlns="" xmlns:a16="http://schemas.microsoft.com/office/drawing/2014/main" id="{00000000-0008-0000-0000-0000F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6" name="Text Box 70">
          <a:extLst>
            <a:ext uri="{FF2B5EF4-FFF2-40B4-BE49-F238E27FC236}">
              <a16:creationId xmlns="" xmlns:a16="http://schemas.microsoft.com/office/drawing/2014/main" id="{00000000-0008-0000-0000-0000F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7" name="Text Box 71">
          <a:extLst>
            <a:ext uri="{FF2B5EF4-FFF2-40B4-BE49-F238E27FC236}">
              <a16:creationId xmlns="" xmlns:a16="http://schemas.microsoft.com/office/drawing/2014/main" id="{00000000-0008-0000-0000-0000F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8" name="Text Box 72">
          <a:extLst>
            <a:ext uri="{FF2B5EF4-FFF2-40B4-BE49-F238E27FC236}">
              <a16:creationId xmlns="" xmlns:a16="http://schemas.microsoft.com/office/drawing/2014/main" id="{00000000-0008-0000-0000-0000F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9" name="Text Box 73">
          <a:extLst>
            <a:ext uri="{FF2B5EF4-FFF2-40B4-BE49-F238E27FC236}">
              <a16:creationId xmlns="" xmlns:a16="http://schemas.microsoft.com/office/drawing/2014/main" id="{00000000-0008-0000-0000-0000F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0" name="Text Box 74">
          <a:extLst>
            <a:ext uri="{FF2B5EF4-FFF2-40B4-BE49-F238E27FC236}">
              <a16:creationId xmlns="" xmlns:a16="http://schemas.microsoft.com/office/drawing/2014/main" id="{00000000-0008-0000-0000-0000F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1" name="Text Box 75">
          <a:extLst>
            <a:ext uri="{FF2B5EF4-FFF2-40B4-BE49-F238E27FC236}">
              <a16:creationId xmlns="" xmlns:a16="http://schemas.microsoft.com/office/drawing/2014/main" id="{00000000-0008-0000-0000-0000F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2" name="Text Box 76">
          <a:extLst>
            <a:ext uri="{FF2B5EF4-FFF2-40B4-BE49-F238E27FC236}">
              <a16:creationId xmlns="" xmlns:a16="http://schemas.microsoft.com/office/drawing/2014/main" id="{00000000-0008-0000-0000-0000F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3" name="Text Box 77">
          <a:extLst>
            <a:ext uri="{FF2B5EF4-FFF2-40B4-BE49-F238E27FC236}">
              <a16:creationId xmlns="" xmlns:a16="http://schemas.microsoft.com/office/drawing/2014/main" id="{00000000-0008-0000-0000-0000F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4" name="Text Box 78">
          <a:extLst>
            <a:ext uri="{FF2B5EF4-FFF2-40B4-BE49-F238E27FC236}">
              <a16:creationId xmlns="" xmlns:a16="http://schemas.microsoft.com/office/drawing/2014/main" id="{00000000-0008-0000-0000-0000F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5" name="Text Box 79">
          <a:extLst>
            <a:ext uri="{FF2B5EF4-FFF2-40B4-BE49-F238E27FC236}">
              <a16:creationId xmlns="" xmlns:a16="http://schemas.microsoft.com/office/drawing/2014/main" id="{00000000-0008-0000-0000-0000F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6" name="Text Box 80">
          <a:extLst>
            <a:ext uri="{FF2B5EF4-FFF2-40B4-BE49-F238E27FC236}">
              <a16:creationId xmlns="" xmlns:a16="http://schemas.microsoft.com/office/drawing/2014/main" id="{00000000-0008-0000-0000-00000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7" name="Text Box 81">
          <a:extLst>
            <a:ext uri="{FF2B5EF4-FFF2-40B4-BE49-F238E27FC236}">
              <a16:creationId xmlns="" xmlns:a16="http://schemas.microsoft.com/office/drawing/2014/main" id="{00000000-0008-0000-0000-00000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658" name="Text Box 82">
          <a:extLst>
            <a:ext uri="{FF2B5EF4-FFF2-40B4-BE49-F238E27FC236}">
              <a16:creationId xmlns="" xmlns:a16="http://schemas.microsoft.com/office/drawing/2014/main" id="{00000000-0008-0000-0000-00000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59" name="Text Box 3079">
          <a:extLst>
            <a:ext uri="{FF2B5EF4-FFF2-40B4-BE49-F238E27FC236}">
              <a16:creationId xmlns="" xmlns:a16="http://schemas.microsoft.com/office/drawing/2014/main" id="{00000000-0008-0000-0000-00000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0" name="Text Box 3080">
          <a:extLst>
            <a:ext uri="{FF2B5EF4-FFF2-40B4-BE49-F238E27FC236}">
              <a16:creationId xmlns="" xmlns:a16="http://schemas.microsoft.com/office/drawing/2014/main" id="{00000000-0008-0000-0000-00000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1" name="Text Box 3081">
          <a:extLst>
            <a:ext uri="{FF2B5EF4-FFF2-40B4-BE49-F238E27FC236}">
              <a16:creationId xmlns="" xmlns:a16="http://schemas.microsoft.com/office/drawing/2014/main" id="{00000000-0008-0000-0000-00000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2" name="Text Box 3082">
          <a:extLst>
            <a:ext uri="{FF2B5EF4-FFF2-40B4-BE49-F238E27FC236}">
              <a16:creationId xmlns="" xmlns:a16="http://schemas.microsoft.com/office/drawing/2014/main" id="{00000000-0008-0000-0000-00000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3" name="Text Box 3083">
          <a:extLst>
            <a:ext uri="{FF2B5EF4-FFF2-40B4-BE49-F238E27FC236}">
              <a16:creationId xmlns="" xmlns:a16="http://schemas.microsoft.com/office/drawing/2014/main" id="{00000000-0008-0000-0000-00000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4" name="Text Box 3084">
          <a:extLst>
            <a:ext uri="{FF2B5EF4-FFF2-40B4-BE49-F238E27FC236}">
              <a16:creationId xmlns="" xmlns:a16="http://schemas.microsoft.com/office/drawing/2014/main" id="{00000000-0008-0000-0000-00000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5" name="Text Box 3085">
          <a:extLst>
            <a:ext uri="{FF2B5EF4-FFF2-40B4-BE49-F238E27FC236}">
              <a16:creationId xmlns="" xmlns:a16="http://schemas.microsoft.com/office/drawing/2014/main" id="{00000000-0008-0000-0000-00000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6" name="Text Box 3086">
          <a:extLst>
            <a:ext uri="{FF2B5EF4-FFF2-40B4-BE49-F238E27FC236}">
              <a16:creationId xmlns="" xmlns:a16="http://schemas.microsoft.com/office/drawing/2014/main" id="{00000000-0008-0000-0000-00000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7" name="Text Box 3087">
          <a:extLst>
            <a:ext uri="{FF2B5EF4-FFF2-40B4-BE49-F238E27FC236}">
              <a16:creationId xmlns="" xmlns:a16="http://schemas.microsoft.com/office/drawing/2014/main" id="{00000000-0008-0000-0000-00000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8" name="Text Box 3088">
          <a:extLst>
            <a:ext uri="{FF2B5EF4-FFF2-40B4-BE49-F238E27FC236}">
              <a16:creationId xmlns="" xmlns:a16="http://schemas.microsoft.com/office/drawing/2014/main" id="{00000000-0008-0000-0000-00000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9" name="Text Box 3089">
          <a:extLst>
            <a:ext uri="{FF2B5EF4-FFF2-40B4-BE49-F238E27FC236}">
              <a16:creationId xmlns="" xmlns:a16="http://schemas.microsoft.com/office/drawing/2014/main" id="{00000000-0008-0000-0000-00000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0" name="Text Box 3090">
          <a:extLst>
            <a:ext uri="{FF2B5EF4-FFF2-40B4-BE49-F238E27FC236}">
              <a16:creationId xmlns="" xmlns:a16="http://schemas.microsoft.com/office/drawing/2014/main" id="{00000000-0008-0000-0000-00000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1" name="Text Box 3091">
          <a:extLst>
            <a:ext uri="{FF2B5EF4-FFF2-40B4-BE49-F238E27FC236}">
              <a16:creationId xmlns="" xmlns:a16="http://schemas.microsoft.com/office/drawing/2014/main" id="{00000000-0008-0000-0000-00000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2" name="Text Box 3092">
          <a:extLst>
            <a:ext uri="{FF2B5EF4-FFF2-40B4-BE49-F238E27FC236}">
              <a16:creationId xmlns="" xmlns:a16="http://schemas.microsoft.com/office/drawing/2014/main" id="{00000000-0008-0000-0000-00001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3" name="Text Box 3093">
          <a:extLst>
            <a:ext uri="{FF2B5EF4-FFF2-40B4-BE49-F238E27FC236}">
              <a16:creationId xmlns="" xmlns:a16="http://schemas.microsoft.com/office/drawing/2014/main" id="{00000000-0008-0000-0000-00001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4" name="Text Box 3094">
          <a:extLst>
            <a:ext uri="{FF2B5EF4-FFF2-40B4-BE49-F238E27FC236}">
              <a16:creationId xmlns="" xmlns:a16="http://schemas.microsoft.com/office/drawing/2014/main" id="{00000000-0008-0000-0000-00001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5" name="Text Box 3095">
          <a:extLst>
            <a:ext uri="{FF2B5EF4-FFF2-40B4-BE49-F238E27FC236}">
              <a16:creationId xmlns="" xmlns:a16="http://schemas.microsoft.com/office/drawing/2014/main" id="{00000000-0008-0000-0000-00001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6" name="Text Box 3096">
          <a:extLst>
            <a:ext uri="{FF2B5EF4-FFF2-40B4-BE49-F238E27FC236}">
              <a16:creationId xmlns="" xmlns:a16="http://schemas.microsoft.com/office/drawing/2014/main" id="{00000000-0008-0000-0000-00001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7" name="Text Box 3097">
          <a:extLst>
            <a:ext uri="{FF2B5EF4-FFF2-40B4-BE49-F238E27FC236}">
              <a16:creationId xmlns="" xmlns:a16="http://schemas.microsoft.com/office/drawing/2014/main" id="{00000000-0008-0000-0000-00001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8" name="Text Box 3098">
          <a:extLst>
            <a:ext uri="{FF2B5EF4-FFF2-40B4-BE49-F238E27FC236}">
              <a16:creationId xmlns="" xmlns:a16="http://schemas.microsoft.com/office/drawing/2014/main" id="{00000000-0008-0000-0000-00001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9" name="Text Box 3099">
          <a:extLst>
            <a:ext uri="{FF2B5EF4-FFF2-40B4-BE49-F238E27FC236}">
              <a16:creationId xmlns="" xmlns:a16="http://schemas.microsoft.com/office/drawing/2014/main" id="{00000000-0008-0000-0000-00001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80" name="Text Box 3100">
          <a:extLst>
            <a:ext uri="{FF2B5EF4-FFF2-40B4-BE49-F238E27FC236}">
              <a16:creationId xmlns="" xmlns:a16="http://schemas.microsoft.com/office/drawing/2014/main" id="{00000000-0008-0000-0000-00001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81" name="Text Box 3101">
          <a:extLst>
            <a:ext uri="{FF2B5EF4-FFF2-40B4-BE49-F238E27FC236}">
              <a16:creationId xmlns="" xmlns:a16="http://schemas.microsoft.com/office/drawing/2014/main" id="{00000000-0008-0000-0000-00001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682" name="Text Box 3102">
          <a:extLst>
            <a:ext uri="{FF2B5EF4-FFF2-40B4-BE49-F238E27FC236}">
              <a16:creationId xmlns="" xmlns:a16="http://schemas.microsoft.com/office/drawing/2014/main" id="{00000000-0008-0000-0000-00001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3" name="Text Box 59">
          <a:extLst>
            <a:ext uri="{FF2B5EF4-FFF2-40B4-BE49-F238E27FC236}">
              <a16:creationId xmlns="" xmlns:a16="http://schemas.microsoft.com/office/drawing/2014/main" id="{00000000-0008-0000-0000-00001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4" name="Text Box 60">
          <a:extLst>
            <a:ext uri="{FF2B5EF4-FFF2-40B4-BE49-F238E27FC236}">
              <a16:creationId xmlns="" xmlns:a16="http://schemas.microsoft.com/office/drawing/2014/main" id="{00000000-0008-0000-0000-00001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5" name="Text Box 61">
          <a:extLst>
            <a:ext uri="{FF2B5EF4-FFF2-40B4-BE49-F238E27FC236}">
              <a16:creationId xmlns="" xmlns:a16="http://schemas.microsoft.com/office/drawing/2014/main" id="{00000000-0008-0000-0000-00001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6" name="Text Box 62">
          <a:extLst>
            <a:ext uri="{FF2B5EF4-FFF2-40B4-BE49-F238E27FC236}">
              <a16:creationId xmlns="" xmlns:a16="http://schemas.microsoft.com/office/drawing/2014/main" id="{00000000-0008-0000-0000-00001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7" name="Text Box 63">
          <a:extLst>
            <a:ext uri="{FF2B5EF4-FFF2-40B4-BE49-F238E27FC236}">
              <a16:creationId xmlns="" xmlns:a16="http://schemas.microsoft.com/office/drawing/2014/main" id="{00000000-0008-0000-0000-00001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8" name="Text Box 64">
          <a:extLst>
            <a:ext uri="{FF2B5EF4-FFF2-40B4-BE49-F238E27FC236}">
              <a16:creationId xmlns="" xmlns:a16="http://schemas.microsoft.com/office/drawing/2014/main" id="{00000000-0008-0000-0000-00002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9" name="Text Box 65">
          <a:extLst>
            <a:ext uri="{FF2B5EF4-FFF2-40B4-BE49-F238E27FC236}">
              <a16:creationId xmlns="" xmlns:a16="http://schemas.microsoft.com/office/drawing/2014/main" id="{00000000-0008-0000-0000-00002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0" name="Text Box 66">
          <a:extLst>
            <a:ext uri="{FF2B5EF4-FFF2-40B4-BE49-F238E27FC236}">
              <a16:creationId xmlns="" xmlns:a16="http://schemas.microsoft.com/office/drawing/2014/main" id="{00000000-0008-0000-0000-00002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1" name="Text Box 67">
          <a:extLst>
            <a:ext uri="{FF2B5EF4-FFF2-40B4-BE49-F238E27FC236}">
              <a16:creationId xmlns="" xmlns:a16="http://schemas.microsoft.com/office/drawing/2014/main" id="{00000000-0008-0000-0000-00002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2" name="Text Box 68">
          <a:extLst>
            <a:ext uri="{FF2B5EF4-FFF2-40B4-BE49-F238E27FC236}">
              <a16:creationId xmlns="" xmlns:a16="http://schemas.microsoft.com/office/drawing/2014/main" id="{00000000-0008-0000-0000-00002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3" name="Text Box 69">
          <a:extLst>
            <a:ext uri="{FF2B5EF4-FFF2-40B4-BE49-F238E27FC236}">
              <a16:creationId xmlns="" xmlns:a16="http://schemas.microsoft.com/office/drawing/2014/main" id="{00000000-0008-0000-0000-00002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4" name="Text Box 70">
          <a:extLst>
            <a:ext uri="{FF2B5EF4-FFF2-40B4-BE49-F238E27FC236}">
              <a16:creationId xmlns="" xmlns:a16="http://schemas.microsoft.com/office/drawing/2014/main" id="{00000000-0008-0000-0000-00002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5" name="Text Box 71">
          <a:extLst>
            <a:ext uri="{FF2B5EF4-FFF2-40B4-BE49-F238E27FC236}">
              <a16:creationId xmlns="" xmlns:a16="http://schemas.microsoft.com/office/drawing/2014/main" id="{00000000-0008-0000-0000-00002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6" name="Text Box 72">
          <a:extLst>
            <a:ext uri="{FF2B5EF4-FFF2-40B4-BE49-F238E27FC236}">
              <a16:creationId xmlns="" xmlns:a16="http://schemas.microsoft.com/office/drawing/2014/main" id="{00000000-0008-0000-0000-00002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7" name="Text Box 73">
          <a:extLst>
            <a:ext uri="{FF2B5EF4-FFF2-40B4-BE49-F238E27FC236}">
              <a16:creationId xmlns="" xmlns:a16="http://schemas.microsoft.com/office/drawing/2014/main" id="{00000000-0008-0000-0000-00002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8" name="Text Box 74">
          <a:extLst>
            <a:ext uri="{FF2B5EF4-FFF2-40B4-BE49-F238E27FC236}">
              <a16:creationId xmlns="" xmlns:a16="http://schemas.microsoft.com/office/drawing/2014/main" id="{00000000-0008-0000-0000-00002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9" name="Text Box 75">
          <a:extLst>
            <a:ext uri="{FF2B5EF4-FFF2-40B4-BE49-F238E27FC236}">
              <a16:creationId xmlns="" xmlns:a16="http://schemas.microsoft.com/office/drawing/2014/main" id="{00000000-0008-0000-0000-00002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0" name="Text Box 76">
          <a:extLst>
            <a:ext uri="{FF2B5EF4-FFF2-40B4-BE49-F238E27FC236}">
              <a16:creationId xmlns="" xmlns:a16="http://schemas.microsoft.com/office/drawing/2014/main" id="{00000000-0008-0000-0000-00002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1" name="Text Box 77">
          <a:extLst>
            <a:ext uri="{FF2B5EF4-FFF2-40B4-BE49-F238E27FC236}">
              <a16:creationId xmlns="" xmlns:a16="http://schemas.microsoft.com/office/drawing/2014/main" id="{00000000-0008-0000-0000-00002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2" name="Text Box 78">
          <a:extLst>
            <a:ext uri="{FF2B5EF4-FFF2-40B4-BE49-F238E27FC236}">
              <a16:creationId xmlns="" xmlns:a16="http://schemas.microsoft.com/office/drawing/2014/main" id="{00000000-0008-0000-0000-00002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3" name="Text Box 79">
          <a:extLst>
            <a:ext uri="{FF2B5EF4-FFF2-40B4-BE49-F238E27FC236}">
              <a16:creationId xmlns="" xmlns:a16="http://schemas.microsoft.com/office/drawing/2014/main" id="{00000000-0008-0000-0000-00002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4" name="Text Box 80">
          <a:extLst>
            <a:ext uri="{FF2B5EF4-FFF2-40B4-BE49-F238E27FC236}">
              <a16:creationId xmlns="" xmlns:a16="http://schemas.microsoft.com/office/drawing/2014/main" id="{00000000-0008-0000-0000-00003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5" name="Text Box 81">
          <a:extLst>
            <a:ext uri="{FF2B5EF4-FFF2-40B4-BE49-F238E27FC236}">
              <a16:creationId xmlns="" xmlns:a16="http://schemas.microsoft.com/office/drawing/2014/main" id="{00000000-0008-0000-0000-00003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6" name="Text Box 3079">
          <a:extLst>
            <a:ext uri="{FF2B5EF4-FFF2-40B4-BE49-F238E27FC236}">
              <a16:creationId xmlns="" xmlns:a16="http://schemas.microsoft.com/office/drawing/2014/main" id="{00000000-0008-0000-0000-00003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7" name="Text Box 3080">
          <a:extLst>
            <a:ext uri="{FF2B5EF4-FFF2-40B4-BE49-F238E27FC236}">
              <a16:creationId xmlns="" xmlns:a16="http://schemas.microsoft.com/office/drawing/2014/main" id="{00000000-0008-0000-0000-00003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8" name="Text Box 3081">
          <a:extLst>
            <a:ext uri="{FF2B5EF4-FFF2-40B4-BE49-F238E27FC236}">
              <a16:creationId xmlns="" xmlns:a16="http://schemas.microsoft.com/office/drawing/2014/main" id="{00000000-0008-0000-0000-00003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9" name="Text Box 3082">
          <a:extLst>
            <a:ext uri="{FF2B5EF4-FFF2-40B4-BE49-F238E27FC236}">
              <a16:creationId xmlns="" xmlns:a16="http://schemas.microsoft.com/office/drawing/2014/main" id="{00000000-0008-0000-0000-00003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0" name="Text Box 3083">
          <a:extLst>
            <a:ext uri="{FF2B5EF4-FFF2-40B4-BE49-F238E27FC236}">
              <a16:creationId xmlns="" xmlns:a16="http://schemas.microsoft.com/office/drawing/2014/main" id="{00000000-0008-0000-0000-00003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1" name="Text Box 3084">
          <a:extLst>
            <a:ext uri="{FF2B5EF4-FFF2-40B4-BE49-F238E27FC236}">
              <a16:creationId xmlns="" xmlns:a16="http://schemas.microsoft.com/office/drawing/2014/main" id="{00000000-0008-0000-0000-00003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2" name="Text Box 3085">
          <a:extLst>
            <a:ext uri="{FF2B5EF4-FFF2-40B4-BE49-F238E27FC236}">
              <a16:creationId xmlns="" xmlns:a16="http://schemas.microsoft.com/office/drawing/2014/main" id="{00000000-0008-0000-0000-00003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3" name="Text Box 3086">
          <a:extLst>
            <a:ext uri="{FF2B5EF4-FFF2-40B4-BE49-F238E27FC236}">
              <a16:creationId xmlns="" xmlns:a16="http://schemas.microsoft.com/office/drawing/2014/main" id="{00000000-0008-0000-0000-00003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4" name="Text Box 3087">
          <a:extLst>
            <a:ext uri="{FF2B5EF4-FFF2-40B4-BE49-F238E27FC236}">
              <a16:creationId xmlns="" xmlns:a16="http://schemas.microsoft.com/office/drawing/2014/main" id="{00000000-0008-0000-0000-00003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5" name="Text Box 3088">
          <a:extLst>
            <a:ext uri="{FF2B5EF4-FFF2-40B4-BE49-F238E27FC236}">
              <a16:creationId xmlns="" xmlns:a16="http://schemas.microsoft.com/office/drawing/2014/main" id="{00000000-0008-0000-0000-00003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6" name="Text Box 3089">
          <a:extLst>
            <a:ext uri="{FF2B5EF4-FFF2-40B4-BE49-F238E27FC236}">
              <a16:creationId xmlns="" xmlns:a16="http://schemas.microsoft.com/office/drawing/2014/main" id="{00000000-0008-0000-0000-00003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7" name="Text Box 3090">
          <a:extLst>
            <a:ext uri="{FF2B5EF4-FFF2-40B4-BE49-F238E27FC236}">
              <a16:creationId xmlns="" xmlns:a16="http://schemas.microsoft.com/office/drawing/2014/main" id="{00000000-0008-0000-0000-00003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8" name="Text Box 3091">
          <a:extLst>
            <a:ext uri="{FF2B5EF4-FFF2-40B4-BE49-F238E27FC236}">
              <a16:creationId xmlns="" xmlns:a16="http://schemas.microsoft.com/office/drawing/2014/main" id="{00000000-0008-0000-0000-00003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9" name="Text Box 3092">
          <a:extLst>
            <a:ext uri="{FF2B5EF4-FFF2-40B4-BE49-F238E27FC236}">
              <a16:creationId xmlns="" xmlns:a16="http://schemas.microsoft.com/office/drawing/2014/main" id="{00000000-0008-0000-0000-00003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0" name="Text Box 3093">
          <a:extLst>
            <a:ext uri="{FF2B5EF4-FFF2-40B4-BE49-F238E27FC236}">
              <a16:creationId xmlns="" xmlns:a16="http://schemas.microsoft.com/office/drawing/2014/main" id="{00000000-0008-0000-0000-00004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1" name="Text Box 3094">
          <a:extLst>
            <a:ext uri="{FF2B5EF4-FFF2-40B4-BE49-F238E27FC236}">
              <a16:creationId xmlns="" xmlns:a16="http://schemas.microsoft.com/office/drawing/2014/main" id="{00000000-0008-0000-0000-00004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2" name="Text Box 3095">
          <a:extLst>
            <a:ext uri="{FF2B5EF4-FFF2-40B4-BE49-F238E27FC236}">
              <a16:creationId xmlns="" xmlns:a16="http://schemas.microsoft.com/office/drawing/2014/main" id="{00000000-0008-0000-0000-00004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3" name="Text Box 3096">
          <a:extLst>
            <a:ext uri="{FF2B5EF4-FFF2-40B4-BE49-F238E27FC236}">
              <a16:creationId xmlns="" xmlns:a16="http://schemas.microsoft.com/office/drawing/2014/main" id="{00000000-0008-0000-0000-00004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4" name="Text Box 3097">
          <a:extLst>
            <a:ext uri="{FF2B5EF4-FFF2-40B4-BE49-F238E27FC236}">
              <a16:creationId xmlns="" xmlns:a16="http://schemas.microsoft.com/office/drawing/2014/main" id="{00000000-0008-0000-0000-00004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5" name="Text Box 3098">
          <a:extLst>
            <a:ext uri="{FF2B5EF4-FFF2-40B4-BE49-F238E27FC236}">
              <a16:creationId xmlns="" xmlns:a16="http://schemas.microsoft.com/office/drawing/2014/main" id="{00000000-0008-0000-0000-00004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6" name="Text Box 3099">
          <a:extLst>
            <a:ext uri="{FF2B5EF4-FFF2-40B4-BE49-F238E27FC236}">
              <a16:creationId xmlns="" xmlns:a16="http://schemas.microsoft.com/office/drawing/2014/main" id="{00000000-0008-0000-0000-00004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7" name="Text Box 3100">
          <a:extLst>
            <a:ext uri="{FF2B5EF4-FFF2-40B4-BE49-F238E27FC236}">
              <a16:creationId xmlns="" xmlns:a16="http://schemas.microsoft.com/office/drawing/2014/main" id="{00000000-0008-0000-0000-00004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8" name="Text Box 3101">
          <a:extLst>
            <a:ext uri="{FF2B5EF4-FFF2-40B4-BE49-F238E27FC236}">
              <a16:creationId xmlns="" xmlns:a16="http://schemas.microsoft.com/office/drawing/2014/main" id="{00000000-0008-0000-0000-00004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729" name="Text Box 3102">
          <a:extLst>
            <a:ext uri="{FF2B5EF4-FFF2-40B4-BE49-F238E27FC236}">
              <a16:creationId xmlns="" xmlns:a16="http://schemas.microsoft.com/office/drawing/2014/main" id="{00000000-0008-0000-0000-00004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0" name="Text Box 59">
          <a:extLst>
            <a:ext uri="{FF2B5EF4-FFF2-40B4-BE49-F238E27FC236}">
              <a16:creationId xmlns="" xmlns:a16="http://schemas.microsoft.com/office/drawing/2014/main" id="{00000000-0008-0000-0000-00004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1" name="Text Box 60">
          <a:extLst>
            <a:ext uri="{FF2B5EF4-FFF2-40B4-BE49-F238E27FC236}">
              <a16:creationId xmlns="" xmlns:a16="http://schemas.microsoft.com/office/drawing/2014/main" id="{00000000-0008-0000-0000-00004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2" name="Text Box 61">
          <a:extLst>
            <a:ext uri="{FF2B5EF4-FFF2-40B4-BE49-F238E27FC236}">
              <a16:creationId xmlns="" xmlns:a16="http://schemas.microsoft.com/office/drawing/2014/main" id="{00000000-0008-0000-0000-00004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3" name="Text Box 62">
          <a:extLst>
            <a:ext uri="{FF2B5EF4-FFF2-40B4-BE49-F238E27FC236}">
              <a16:creationId xmlns="" xmlns:a16="http://schemas.microsoft.com/office/drawing/2014/main" id="{00000000-0008-0000-0000-00004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4" name="Text Box 63">
          <a:extLst>
            <a:ext uri="{FF2B5EF4-FFF2-40B4-BE49-F238E27FC236}">
              <a16:creationId xmlns="" xmlns:a16="http://schemas.microsoft.com/office/drawing/2014/main" id="{00000000-0008-0000-0000-00004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5" name="Text Box 64">
          <a:extLst>
            <a:ext uri="{FF2B5EF4-FFF2-40B4-BE49-F238E27FC236}">
              <a16:creationId xmlns="" xmlns:a16="http://schemas.microsoft.com/office/drawing/2014/main" id="{00000000-0008-0000-0000-00004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6" name="Text Box 65">
          <a:extLst>
            <a:ext uri="{FF2B5EF4-FFF2-40B4-BE49-F238E27FC236}">
              <a16:creationId xmlns="" xmlns:a16="http://schemas.microsoft.com/office/drawing/2014/main" id="{00000000-0008-0000-0000-00005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7" name="Text Box 66">
          <a:extLst>
            <a:ext uri="{FF2B5EF4-FFF2-40B4-BE49-F238E27FC236}">
              <a16:creationId xmlns="" xmlns:a16="http://schemas.microsoft.com/office/drawing/2014/main" id="{00000000-0008-0000-0000-00005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8" name="Text Box 67">
          <a:extLst>
            <a:ext uri="{FF2B5EF4-FFF2-40B4-BE49-F238E27FC236}">
              <a16:creationId xmlns="" xmlns:a16="http://schemas.microsoft.com/office/drawing/2014/main" id="{00000000-0008-0000-0000-00005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9" name="Text Box 68">
          <a:extLst>
            <a:ext uri="{FF2B5EF4-FFF2-40B4-BE49-F238E27FC236}">
              <a16:creationId xmlns="" xmlns:a16="http://schemas.microsoft.com/office/drawing/2014/main" id="{00000000-0008-0000-0000-00005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0" name="Text Box 69">
          <a:extLst>
            <a:ext uri="{FF2B5EF4-FFF2-40B4-BE49-F238E27FC236}">
              <a16:creationId xmlns="" xmlns:a16="http://schemas.microsoft.com/office/drawing/2014/main" id="{00000000-0008-0000-0000-00005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1" name="Text Box 70">
          <a:extLst>
            <a:ext uri="{FF2B5EF4-FFF2-40B4-BE49-F238E27FC236}">
              <a16:creationId xmlns="" xmlns:a16="http://schemas.microsoft.com/office/drawing/2014/main" id="{00000000-0008-0000-0000-00005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2" name="Text Box 71">
          <a:extLst>
            <a:ext uri="{FF2B5EF4-FFF2-40B4-BE49-F238E27FC236}">
              <a16:creationId xmlns="" xmlns:a16="http://schemas.microsoft.com/office/drawing/2014/main" id="{00000000-0008-0000-0000-00005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3" name="Text Box 72">
          <a:extLst>
            <a:ext uri="{FF2B5EF4-FFF2-40B4-BE49-F238E27FC236}">
              <a16:creationId xmlns="" xmlns:a16="http://schemas.microsoft.com/office/drawing/2014/main" id="{00000000-0008-0000-0000-00005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4" name="Text Box 73">
          <a:extLst>
            <a:ext uri="{FF2B5EF4-FFF2-40B4-BE49-F238E27FC236}">
              <a16:creationId xmlns="" xmlns:a16="http://schemas.microsoft.com/office/drawing/2014/main" id="{00000000-0008-0000-0000-00005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5" name="Text Box 74">
          <a:extLst>
            <a:ext uri="{FF2B5EF4-FFF2-40B4-BE49-F238E27FC236}">
              <a16:creationId xmlns="" xmlns:a16="http://schemas.microsoft.com/office/drawing/2014/main" id="{00000000-0008-0000-0000-00005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6" name="Text Box 75">
          <a:extLst>
            <a:ext uri="{FF2B5EF4-FFF2-40B4-BE49-F238E27FC236}">
              <a16:creationId xmlns="" xmlns:a16="http://schemas.microsoft.com/office/drawing/2014/main" id="{00000000-0008-0000-0000-00005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7" name="Text Box 76">
          <a:extLst>
            <a:ext uri="{FF2B5EF4-FFF2-40B4-BE49-F238E27FC236}">
              <a16:creationId xmlns="" xmlns:a16="http://schemas.microsoft.com/office/drawing/2014/main" id="{00000000-0008-0000-0000-00005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8" name="Text Box 77">
          <a:extLst>
            <a:ext uri="{FF2B5EF4-FFF2-40B4-BE49-F238E27FC236}">
              <a16:creationId xmlns="" xmlns:a16="http://schemas.microsoft.com/office/drawing/2014/main" id="{00000000-0008-0000-0000-00005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9" name="Text Box 78">
          <a:extLst>
            <a:ext uri="{FF2B5EF4-FFF2-40B4-BE49-F238E27FC236}">
              <a16:creationId xmlns="" xmlns:a16="http://schemas.microsoft.com/office/drawing/2014/main" id="{00000000-0008-0000-0000-00005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0" name="Text Box 79">
          <a:extLst>
            <a:ext uri="{FF2B5EF4-FFF2-40B4-BE49-F238E27FC236}">
              <a16:creationId xmlns="" xmlns:a16="http://schemas.microsoft.com/office/drawing/2014/main" id="{00000000-0008-0000-0000-00005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1" name="Text Box 80">
          <a:extLst>
            <a:ext uri="{FF2B5EF4-FFF2-40B4-BE49-F238E27FC236}">
              <a16:creationId xmlns="" xmlns:a16="http://schemas.microsoft.com/office/drawing/2014/main" id="{00000000-0008-0000-0000-00005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2" name="Text Box 81">
          <a:extLst>
            <a:ext uri="{FF2B5EF4-FFF2-40B4-BE49-F238E27FC236}">
              <a16:creationId xmlns="" xmlns:a16="http://schemas.microsoft.com/office/drawing/2014/main" id="{00000000-0008-0000-0000-00006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753" name="Text Box 82">
          <a:extLst>
            <a:ext uri="{FF2B5EF4-FFF2-40B4-BE49-F238E27FC236}">
              <a16:creationId xmlns="" xmlns:a16="http://schemas.microsoft.com/office/drawing/2014/main" id="{00000000-0008-0000-0000-00006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4" name="Text Box 3079">
          <a:extLst>
            <a:ext uri="{FF2B5EF4-FFF2-40B4-BE49-F238E27FC236}">
              <a16:creationId xmlns="" xmlns:a16="http://schemas.microsoft.com/office/drawing/2014/main" id="{00000000-0008-0000-0000-00006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5" name="Text Box 3080">
          <a:extLst>
            <a:ext uri="{FF2B5EF4-FFF2-40B4-BE49-F238E27FC236}">
              <a16:creationId xmlns="" xmlns:a16="http://schemas.microsoft.com/office/drawing/2014/main" id="{00000000-0008-0000-0000-00006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6" name="Text Box 3081">
          <a:extLst>
            <a:ext uri="{FF2B5EF4-FFF2-40B4-BE49-F238E27FC236}">
              <a16:creationId xmlns="" xmlns:a16="http://schemas.microsoft.com/office/drawing/2014/main" id="{00000000-0008-0000-0000-00006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7" name="Text Box 3082">
          <a:extLst>
            <a:ext uri="{FF2B5EF4-FFF2-40B4-BE49-F238E27FC236}">
              <a16:creationId xmlns="" xmlns:a16="http://schemas.microsoft.com/office/drawing/2014/main" id="{00000000-0008-0000-0000-00006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8" name="Text Box 3083">
          <a:extLst>
            <a:ext uri="{FF2B5EF4-FFF2-40B4-BE49-F238E27FC236}">
              <a16:creationId xmlns="" xmlns:a16="http://schemas.microsoft.com/office/drawing/2014/main" id="{00000000-0008-0000-0000-00006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9" name="Text Box 3084">
          <a:extLst>
            <a:ext uri="{FF2B5EF4-FFF2-40B4-BE49-F238E27FC236}">
              <a16:creationId xmlns="" xmlns:a16="http://schemas.microsoft.com/office/drawing/2014/main" id="{00000000-0008-0000-0000-00006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0" name="Text Box 3085">
          <a:extLst>
            <a:ext uri="{FF2B5EF4-FFF2-40B4-BE49-F238E27FC236}">
              <a16:creationId xmlns="" xmlns:a16="http://schemas.microsoft.com/office/drawing/2014/main" id="{00000000-0008-0000-0000-00006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1" name="Text Box 3086">
          <a:extLst>
            <a:ext uri="{FF2B5EF4-FFF2-40B4-BE49-F238E27FC236}">
              <a16:creationId xmlns="" xmlns:a16="http://schemas.microsoft.com/office/drawing/2014/main" id="{00000000-0008-0000-0000-00006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2" name="Text Box 3087">
          <a:extLst>
            <a:ext uri="{FF2B5EF4-FFF2-40B4-BE49-F238E27FC236}">
              <a16:creationId xmlns="" xmlns:a16="http://schemas.microsoft.com/office/drawing/2014/main" id="{00000000-0008-0000-0000-00006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3" name="Text Box 3088">
          <a:extLst>
            <a:ext uri="{FF2B5EF4-FFF2-40B4-BE49-F238E27FC236}">
              <a16:creationId xmlns="" xmlns:a16="http://schemas.microsoft.com/office/drawing/2014/main" id="{00000000-0008-0000-0000-00006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4" name="Text Box 3089">
          <a:extLst>
            <a:ext uri="{FF2B5EF4-FFF2-40B4-BE49-F238E27FC236}">
              <a16:creationId xmlns="" xmlns:a16="http://schemas.microsoft.com/office/drawing/2014/main" id="{00000000-0008-0000-0000-00006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5" name="Text Box 3090">
          <a:extLst>
            <a:ext uri="{FF2B5EF4-FFF2-40B4-BE49-F238E27FC236}">
              <a16:creationId xmlns="" xmlns:a16="http://schemas.microsoft.com/office/drawing/2014/main" id="{00000000-0008-0000-0000-00006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6" name="Text Box 3091">
          <a:extLst>
            <a:ext uri="{FF2B5EF4-FFF2-40B4-BE49-F238E27FC236}">
              <a16:creationId xmlns="" xmlns:a16="http://schemas.microsoft.com/office/drawing/2014/main" id="{00000000-0008-0000-0000-00006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7" name="Text Box 3092">
          <a:extLst>
            <a:ext uri="{FF2B5EF4-FFF2-40B4-BE49-F238E27FC236}">
              <a16:creationId xmlns="" xmlns:a16="http://schemas.microsoft.com/office/drawing/2014/main" id="{00000000-0008-0000-0000-00006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8" name="Text Box 3093">
          <a:extLst>
            <a:ext uri="{FF2B5EF4-FFF2-40B4-BE49-F238E27FC236}">
              <a16:creationId xmlns="" xmlns:a16="http://schemas.microsoft.com/office/drawing/2014/main" id="{00000000-0008-0000-0000-00007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9" name="Text Box 3094">
          <a:extLst>
            <a:ext uri="{FF2B5EF4-FFF2-40B4-BE49-F238E27FC236}">
              <a16:creationId xmlns="" xmlns:a16="http://schemas.microsoft.com/office/drawing/2014/main" id="{00000000-0008-0000-0000-00007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0" name="Text Box 3095">
          <a:extLst>
            <a:ext uri="{FF2B5EF4-FFF2-40B4-BE49-F238E27FC236}">
              <a16:creationId xmlns="" xmlns:a16="http://schemas.microsoft.com/office/drawing/2014/main" id="{00000000-0008-0000-0000-00007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1" name="Text Box 3096">
          <a:extLst>
            <a:ext uri="{FF2B5EF4-FFF2-40B4-BE49-F238E27FC236}">
              <a16:creationId xmlns="" xmlns:a16="http://schemas.microsoft.com/office/drawing/2014/main" id="{00000000-0008-0000-0000-00007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2" name="Text Box 3097">
          <a:extLst>
            <a:ext uri="{FF2B5EF4-FFF2-40B4-BE49-F238E27FC236}">
              <a16:creationId xmlns="" xmlns:a16="http://schemas.microsoft.com/office/drawing/2014/main" id="{00000000-0008-0000-0000-00007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3" name="Text Box 3098">
          <a:extLst>
            <a:ext uri="{FF2B5EF4-FFF2-40B4-BE49-F238E27FC236}">
              <a16:creationId xmlns="" xmlns:a16="http://schemas.microsoft.com/office/drawing/2014/main" id="{00000000-0008-0000-0000-00007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4" name="Text Box 3099">
          <a:extLst>
            <a:ext uri="{FF2B5EF4-FFF2-40B4-BE49-F238E27FC236}">
              <a16:creationId xmlns="" xmlns:a16="http://schemas.microsoft.com/office/drawing/2014/main" id="{00000000-0008-0000-0000-00007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5" name="Text Box 3100">
          <a:extLst>
            <a:ext uri="{FF2B5EF4-FFF2-40B4-BE49-F238E27FC236}">
              <a16:creationId xmlns="" xmlns:a16="http://schemas.microsoft.com/office/drawing/2014/main" id="{00000000-0008-0000-0000-00007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6" name="Text Box 3101">
          <a:extLst>
            <a:ext uri="{FF2B5EF4-FFF2-40B4-BE49-F238E27FC236}">
              <a16:creationId xmlns="" xmlns:a16="http://schemas.microsoft.com/office/drawing/2014/main" id="{00000000-0008-0000-0000-00007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777" name="Text Box 3102">
          <a:extLst>
            <a:ext uri="{FF2B5EF4-FFF2-40B4-BE49-F238E27FC236}">
              <a16:creationId xmlns="" xmlns:a16="http://schemas.microsoft.com/office/drawing/2014/main" id="{00000000-0008-0000-0000-00007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78" name="Text Box 59">
          <a:extLst>
            <a:ext uri="{FF2B5EF4-FFF2-40B4-BE49-F238E27FC236}">
              <a16:creationId xmlns="" xmlns:a16="http://schemas.microsoft.com/office/drawing/2014/main" id="{00000000-0008-0000-0000-00007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79" name="Text Box 60">
          <a:extLst>
            <a:ext uri="{FF2B5EF4-FFF2-40B4-BE49-F238E27FC236}">
              <a16:creationId xmlns="" xmlns:a16="http://schemas.microsoft.com/office/drawing/2014/main" id="{00000000-0008-0000-0000-00007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0" name="Text Box 61">
          <a:extLst>
            <a:ext uri="{FF2B5EF4-FFF2-40B4-BE49-F238E27FC236}">
              <a16:creationId xmlns="" xmlns:a16="http://schemas.microsoft.com/office/drawing/2014/main" id="{00000000-0008-0000-0000-00007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1" name="Text Box 62">
          <a:extLst>
            <a:ext uri="{FF2B5EF4-FFF2-40B4-BE49-F238E27FC236}">
              <a16:creationId xmlns="" xmlns:a16="http://schemas.microsoft.com/office/drawing/2014/main" id="{00000000-0008-0000-0000-00007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2" name="Text Box 63">
          <a:extLst>
            <a:ext uri="{FF2B5EF4-FFF2-40B4-BE49-F238E27FC236}">
              <a16:creationId xmlns="" xmlns:a16="http://schemas.microsoft.com/office/drawing/2014/main" id="{00000000-0008-0000-0000-00007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3" name="Text Box 64">
          <a:extLst>
            <a:ext uri="{FF2B5EF4-FFF2-40B4-BE49-F238E27FC236}">
              <a16:creationId xmlns="" xmlns:a16="http://schemas.microsoft.com/office/drawing/2014/main" id="{00000000-0008-0000-0000-00007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4" name="Text Box 65">
          <a:extLst>
            <a:ext uri="{FF2B5EF4-FFF2-40B4-BE49-F238E27FC236}">
              <a16:creationId xmlns="" xmlns:a16="http://schemas.microsoft.com/office/drawing/2014/main" id="{00000000-0008-0000-0000-00008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5" name="Text Box 66">
          <a:extLst>
            <a:ext uri="{FF2B5EF4-FFF2-40B4-BE49-F238E27FC236}">
              <a16:creationId xmlns="" xmlns:a16="http://schemas.microsoft.com/office/drawing/2014/main" id="{00000000-0008-0000-0000-00008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6" name="Text Box 67">
          <a:extLst>
            <a:ext uri="{FF2B5EF4-FFF2-40B4-BE49-F238E27FC236}">
              <a16:creationId xmlns="" xmlns:a16="http://schemas.microsoft.com/office/drawing/2014/main" id="{00000000-0008-0000-0000-00008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7" name="Text Box 68">
          <a:extLst>
            <a:ext uri="{FF2B5EF4-FFF2-40B4-BE49-F238E27FC236}">
              <a16:creationId xmlns="" xmlns:a16="http://schemas.microsoft.com/office/drawing/2014/main" id="{00000000-0008-0000-0000-00008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8" name="Text Box 69">
          <a:extLst>
            <a:ext uri="{FF2B5EF4-FFF2-40B4-BE49-F238E27FC236}">
              <a16:creationId xmlns="" xmlns:a16="http://schemas.microsoft.com/office/drawing/2014/main" id="{00000000-0008-0000-0000-00008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9" name="Text Box 70">
          <a:extLst>
            <a:ext uri="{FF2B5EF4-FFF2-40B4-BE49-F238E27FC236}">
              <a16:creationId xmlns="" xmlns:a16="http://schemas.microsoft.com/office/drawing/2014/main" id="{00000000-0008-0000-0000-00008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0" name="Text Box 71">
          <a:extLst>
            <a:ext uri="{FF2B5EF4-FFF2-40B4-BE49-F238E27FC236}">
              <a16:creationId xmlns="" xmlns:a16="http://schemas.microsoft.com/office/drawing/2014/main" id="{00000000-0008-0000-0000-00008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1" name="Text Box 72">
          <a:extLst>
            <a:ext uri="{FF2B5EF4-FFF2-40B4-BE49-F238E27FC236}">
              <a16:creationId xmlns="" xmlns:a16="http://schemas.microsoft.com/office/drawing/2014/main" id="{00000000-0008-0000-0000-00008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2" name="Text Box 73">
          <a:extLst>
            <a:ext uri="{FF2B5EF4-FFF2-40B4-BE49-F238E27FC236}">
              <a16:creationId xmlns="" xmlns:a16="http://schemas.microsoft.com/office/drawing/2014/main" id="{00000000-0008-0000-0000-00008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3" name="Text Box 74">
          <a:extLst>
            <a:ext uri="{FF2B5EF4-FFF2-40B4-BE49-F238E27FC236}">
              <a16:creationId xmlns="" xmlns:a16="http://schemas.microsoft.com/office/drawing/2014/main" id="{00000000-0008-0000-0000-00008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4" name="Text Box 75">
          <a:extLst>
            <a:ext uri="{FF2B5EF4-FFF2-40B4-BE49-F238E27FC236}">
              <a16:creationId xmlns="" xmlns:a16="http://schemas.microsoft.com/office/drawing/2014/main" id="{00000000-0008-0000-0000-00008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5" name="Text Box 76">
          <a:extLst>
            <a:ext uri="{FF2B5EF4-FFF2-40B4-BE49-F238E27FC236}">
              <a16:creationId xmlns="" xmlns:a16="http://schemas.microsoft.com/office/drawing/2014/main" id="{00000000-0008-0000-0000-00008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6" name="Text Box 77">
          <a:extLst>
            <a:ext uri="{FF2B5EF4-FFF2-40B4-BE49-F238E27FC236}">
              <a16:creationId xmlns="" xmlns:a16="http://schemas.microsoft.com/office/drawing/2014/main" id="{00000000-0008-0000-0000-00008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7" name="Text Box 78">
          <a:extLst>
            <a:ext uri="{FF2B5EF4-FFF2-40B4-BE49-F238E27FC236}">
              <a16:creationId xmlns="" xmlns:a16="http://schemas.microsoft.com/office/drawing/2014/main" id="{00000000-0008-0000-0000-00008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8" name="Text Box 79">
          <a:extLst>
            <a:ext uri="{FF2B5EF4-FFF2-40B4-BE49-F238E27FC236}">
              <a16:creationId xmlns="" xmlns:a16="http://schemas.microsoft.com/office/drawing/2014/main" id="{00000000-0008-0000-0000-00008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9" name="Text Box 80">
          <a:extLst>
            <a:ext uri="{FF2B5EF4-FFF2-40B4-BE49-F238E27FC236}">
              <a16:creationId xmlns="" xmlns:a16="http://schemas.microsoft.com/office/drawing/2014/main" id="{00000000-0008-0000-0000-00008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00" name="Text Box 81">
          <a:extLst>
            <a:ext uri="{FF2B5EF4-FFF2-40B4-BE49-F238E27FC236}">
              <a16:creationId xmlns="" xmlns:a16="http://schemas.microsoft.com/office/drawing/2014/main" id="{00000000-0008-0000-0000-00009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1" name="Text Box 3079">
          <a:extLst>
            <a:ext uri="{FF2B5EF4-FFF2-40B4-BE49-F238E27FC236}">
              <a16:creationId xmlns="" xmlns:a16="http://schemas.microsoft.com/office/drawing/2014/main" id="{00000000-0008-0000-0000-00009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2" name="Text Box 3080">
          <a:extLst>
            <a:ext uri="{FF2B5EF4-FFF2-40B4-BE49-F238E27FC236}">
              <a16:creationId xmlns="" xmlns:a16="http://schemas.microsoft.com/office/drawing/2014/main" id="{00000000-0008-0000-0000-00009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3" name="Text Box 3081">
          <a:extLst>
            <a:ext uri="{FF2B5EF4-FFF2-40B4-BE49-F238E27FC236}">
              <a16:creationId xmlns="" xmlns:a16="http://schemas.microsoft.com/office/drawing/2014/main" id="{00000000-0008-0000-0000-00009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4" name="Text Box 3082">
          <a:extLst>
            <a:ext uri="{FF2B5EF4-FFF2-40B4-BE49-F238E27FC236}">
              <a16:creationId xmlns="" xmlns:a16="http://schemas.microsoft.com/office/drawing/2014/main" id="{00000000-0008-0000-0000-00009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5" name="Text Box 3083">
          <a:extLst>
            <a:ext uri="{FF2B5EF4-FFF2-40B4-BE49-F238E27FC236}">
              <a16:creationId xmlns="" xmlns:a16="http://schemas.microsoft.com/office/drawing/2014/main" id="{00000000-0008-0000-0000-00009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6" name="Text Box 3084">
          <a:extLst>
            <a:ext uri="{FF2B5EF4-FFF2-40B4-BE49-F238E27FC236}">
              <a16:creationId xmlns="" xmlns:a16="http://schemas.microsoft.com/office/drawing/2014/main" id="{00000000-0008-0000-0000-00009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7" name="Text Box 3085">
          <a:extLst>
            <a:ext uri="{FF2B5EF4-FFF2-40B4-BE49-F238E27FC236}">
              <a16:creationId xmlns="" xmlns:a16="http://schemas.microsoft.com/office/drawing/2014/main" id="{00000000-0008-0000-0000-00009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8" name="Text Box 3086">
          <a:extLst>
            <a:ext uri="{FF2B5EF4-FFF2-40B4-BE49-F238E27FC236}">
              <a16:creationId xmlns="" xmlns:a16="http://schemas.microsoft.com/office/drawing/2014/main" id="{00000000-0008-0000-0000-00009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9" name="Text Box 3087">
          <a:extLst>
            <a:ext uri="{FF2B5EF4-FFF2-40B4-BE49-F238E27FC236}">
              <a16:creationId xmlns="" xmlns:a16="http://schemas.microsoft.com/office/drawing/2014/main" id="{00000000-0008-0000-0000-00009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0" name="Text Box 3088">
          <a:extLst>
            <a:ext uri="{FF2B5EF4-FFF2-40B4-BE49-F238E27FC236}">
              <a16:creationId xmlns="" xmlns:a16="http://schemas.microsoft.com/office/drawing/2014/main" id="{00000000-0008-0000-0000-00009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1" name="Text Box 3089">
          <a:extLst>
            <a:ext uri="{FF2B5EF4-FFF2-40B4-BE49-F238E27FC236}">
              <a16:creationId xmlns="" xmlns:a16="http://schemas.microsoft.com/office/drawing/2014/main" id="{00000000-0008-0000-0000-00009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2" name="Text Box 3090">
          <a:extLst>
            <a:ext uri="{FF2B5EF4-FFF2-40B4-BE49-F238E27FC236}">
              <a16:creationId xmlns="" xmlns:a16="http://schemas.microsoft.com/office/drawing/2014/main" id="{00000000-0008-0000-0000-00009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3" name="Text Box 3091">
          <a:extLst>
            <a:ext uri="{FF2B5EF4-FFF2-40B4-BE49-F238E27FC236}">
              <a16:creationId xmlns="" xmlns:a16="http://schemas.microsoft.com/office/drawing/2014/main" id="{00000000-0008-0000-0000-00009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4" name="Text Box 3092">
          <a:extLst>
            <a:ext uri="{FF2B5EF4-FFF2-40B4-BE49-F238E27FC236}">
              <a16:creationId xmlns="" xmlns:a16="http://schemas.microsoft.com/office/drawing/2014/main" id="{00000000-0008-0000-0000-00009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5" name="Text Box 3093">
          <a:extLst>
            <a:ext uri="{FF2B5EF4-FFF2-40B4-BE49-F238E27FC236}">
              <a16:creationId xmlns="" xmlns:a16="http://schemas.microsoft.com/office/drawing/2014/main" id="{00000000-0008-0000-0000-00009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6" name="Text Box 3094">
          <a:extLst>
            <a:ext uri="{FF2B5EF4-FFF2-40B4-BE49-F238E27FC236}">
              <a16:creationId xmlns="" xmlns:a16="http://schemas.microsoft.com/office/drawing/2014/main" id="{00000000-0008-0000-0000-0000A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7" name="Text Box 3095">
          <a:extLst>
            <a:ext uri="{FF2B5EF4-FFF2-40B4-BE49-F238E27FC236}">
              <a16:creationId xmlns="" xmlns:a16="http://schemas.microsoft.com/office/drawing/2014/main" id="{00000000-0008-0000-0000-0000A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8" name="Text Box 3096">
          <a:extLst>
            <a:ext uri="{FF2B5EF4-FFF2-40B4-BE49-F238E27FC236}">
              <a16:creationId xmlns="" xmlns:a16="http://schemas.microsoft.com/office/drawing/2014/main" id="{00000000-0008-0000-0000-0000A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9" name="Text Box 3097">
          <a:extLst>
            <a:ext uri="{FF2B5EF4-FFF2-40B4-BE49-F238E27FC236}">
              <a16:creationId xmlns="" xmlns:a16="http://schemas.microsoft.com/office/drawing/2014/main" id="{00000000-0008-0000-0000-0000A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0" name="Text Box 3098">
          <a:extLst>
            <a:ext uri="{FF2B5EF4-FFF2-40B4-BE49-F238E27FC236}">
              <a16:creationId xmlns="" xmlns:a16="http://schemas.microsoft.com/office/drawing/2014/main" id="{00000000-0008-0000-0000-0000A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1" name="Text Box 3099">
          <a:extLst>
            <a:ext uri="{FF2B5EF4-FFF2-40B4-BE49-F238E27FC236}">
              <a16:creationId xmlns="" xmlns:a16="http://schemas.microsoft.com/office/drawing/2014/main" id="{00000000-0008-0000-0000-0000A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2" name="Text Box 3100">
          <a:extLst>
            <a:ext uri="{FF2B5EF4-FFF2-40B4-BE49-F238E27FC236}">
              <a16:creationId xmlns="" xmlns:a16="http://schemas.microsoft.com/office/drawing/2014/main" id="{00000000-0008-0000-0000-0000A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3" name="Text Box 3101">
          <a:extLst>
            <a:ext uri="{FF2B5EF4-FFF2-40B4-BE49-F238E27FC236}">
              <a16:creationId xmlns="" xmlns:a16="http://schemas.microsoft.com/office/drawing/2014/main" id="{00000000-0008-0000-0000-0000A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824" name="Text Box 3102">
          <a:extLst>
            <a:ext uri="{FF2B5EF4-FFF2-40B4-BE49-F238E27FC236}">
              <a16:creationId xmlns="" xmlns:a16="http://schemas.microsoft.com/office/drawing/2014/main" id="{00000000-0008-0000-0000-0000A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5" name="Text Box 59">
          <a:extLst>
            <a:ext uri="{FF2B5EF4-FFF2-40B4-BE49-F238E27FC236}">
              <a16:creationId xmlns="" xmlns:a16="http://schemas.microsoft.com/office/drawing/2014/main" id="{00000000-0008-0000-0000-0000A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6" name="Text Box 60">
          <a:extLst>
            <a:ext uri="{FF2B5EF4-FFF2-40B4-BE49-F238E27FC236}">
              <a16:creationId xmlns="" xmlns:a16="http://schemas.microsoft.com/office/drawing/2014/main" id="{00000000-0008-0000-0000-0000A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7" name="Text Box 61">
          <a:extLst>
            <a:ext uri="{FF2B5EF4-FFF2-40B4-BE49-F238E27FC236}">
              <a16:creationId xmlns="" xmlns:a16="http://schemas.microsoft.com/office/drawing/2014/main" id="{00000000-0008-0000-0000-0000A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8" name="Text Box 62">
          <a:extLst>
            <a:ext uri="{FF2B5EF4-FFF2-40B4-BE49-F238E27FC236}">
              <a16:creationId xmlns="" xmlns:a16="http://schemas.microsoft.com/office/drawing/2014/main" id="{00000000-0008-0000-0000-0000A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9" name="Text Box 63">
          <a:extLst>
            <a:ext uri="{FF2B5EF4-FFF2-40B4-BE49-F238E27FC236}">
              <a16:creationId xmlns="" xmlns:a16="http://schemas.microsoft.com/office/drawing/2014/main" id="{00000000-0008-0000-0000-0000A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0" name="Text Box 64">
          <a:extLst>
            <a:ext uri="{FF2B5EF4-FFF2-40B4-BE49-F238E27FC236}">
              <a16:creationId xmlns="" xmlns:a16="http://schemas.microsoft.com/office/drawing/2014/main" id="{00000000-0008-0000-0000-0000A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1" name="Text Box 65">
          <a:extLst>
            <a:ext uri="{FF2B5EF4-FFF2-40B4-BE49-F238E27FC236}">
              <a16:creationId xmlns="" xmlns:a16="http://schemas.microsoft.com/office/drawing/2014/main" id="{00000000-0008-0000-0000-0000A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2" name="Text Box 66">
          <a:extLst>
            <a:ext uri="{FF2B5EF4-FFF2-40B4-BE49-F238E27FC236}">
              <a16:creationId xmlns="" xmlns:a16="http://schemas.microsoft.com/office/drawing/2014/main" id="{00000000-0008-0000-0000-0000B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3" name="Text Box 67">
          <a:extLst>
            <a:ext uri="{FF2B5EF4-FFF2-40B4-BE49-F238E27FC236}">
              <a16:creationId xmlns="" xmlns:a16="http://schemas.microsoft.com/office/drawing/2014/main" id="{00000000-0008-0000-0000-0000B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4" name="Text Box 68">
          <a:extLst>
            <a:ext uri="{FF2B5EF4-FFF2-40B4-BE49-F238E27FC236}">
              <a16:creationId xmlns="" xmlns:a16="http://schemas.microsoft.com/office/drawing/2014/main" id="{00000000-0008-0000-0000-0000B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5" name="Text Box 69">
          <a:extLst>
            <a:ext uri="{FF2B5EF4-FFF2-40B4-BE49-F238E27FC236}">
              <a16:creationId xmlns="" xmlns:a16="http://schemas.microsoft.com/office/drawing/2014/main" id="{00000000-0008-0000-0000-0000B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6" name="Text Box 70">
          <a:extLst>
            <a:ext uri="{FF2B5EF4-FFF2-40B4-BE49-F238E27FC236}">
              <a16:creationId xmlns="" xmlns:a16="http://schemas.microsoft.com/office/drawing/2014/main" id="{00000000-0008-0000-0000-0000B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7" name="Text Box 71">
          <a:extLst>
            <a:ext uri="{FF2B5EF4-FFF2-40B4-BE49-F238E27FC236}">
              <a16:creationId xmlns="" xmlns:a16="http://schemas.microsoft.com/office/drawing/2014/main" id="{00000000-0008-0000-0000-0000B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8" name="Text Box 72">
          <a:extLst>
            <a:ext uri="{FF2B5EF4-FFF2-40B4-BE49-F238E27FC236}">
              <a16:creationId xmlns="" xmlns:a16="http://schemas.microsoft.com/office/drawing/2014/main" id="{00000000-0008-0000-0000-0000B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9" name="Text Box 73">
          <a:extLst>
            <a:ext uri="{FF2B5EF4-FFF2-40B4-BE49-F238E27FC236}">
              <a16:creationId xmlns="" xmlns:a16="http://schemas.microsoft.com/office/drawing/2014/main" id="{00000000-0008-0000-0000-0000B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0" name="Text Box 74">
          <a:extLst>
            <a:ext uri="{FF2B5EF4-FFF2-40B4-BE49-F238E27FC236}">
              <a16:creationId xmlns="" xmlns:a16="http://schemas.microsoft.com/office/drawing/2014/main" id="{00000000-0008-0000-0000-0000B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1" name="Text Box 75">
          <a:extLst>
            <a:ext uri="{FF2B5EF4-FFF2-40B4-BE49-F238E27FC236}">
              <a16:creationId xmlns="" xmlns:a16="http://schemas.microsoft.com/office/drawing/2014/main" id="{00000000-0008-0000-0000-0000B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2" name="Text Box 76">
          <a:extLst>
            <a:ext uri="{FF2B5EF4-FFF2-40B4-BE49-F238E27FC236}">
              <a16:creationId xmlns="" xmlns:a16="http://schemas.microsoft.com/office/drawing/2014/main" id="{00000000-0008-0000-0000-0000B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3" name="Text Box 77">
          <a:extLst>
            <a:ext uri="{FF2B5EF4-FFF2-40B4-BE49-F238E27FC236}">
              <a16:creationId xmlns="" xmlns:a16="http://schemas.microsoft.com/office/drawing/2014/main" id="{00000000-0008-0000-0000-0000B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4" name="Text Box 78">
          <a:extLst>
            <a:ext uri="{FF2B5EF4-FFF2-40B4-BE49-F238E27FC236}">
              <a16:creationId xmlns="" xmlns:a16="http://schemas.microsoft.com/office/drawing/2014/main" id="{00000000-0008-0000-0000-0000B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5" name="Text Box 79">
          <a:extLst>
            <a:ext uri="{FF2B5EF4-FFF2-40B4-BE49-F238E27FC236}">
              <a16:creationId xmlns="" xmlns:a16="http://schemas.microsoft.com/office/drawing/2014/main" id="{00000000-0008-0000-0000-0000B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6" name="Text Box 80">
          <a:extLst>
            <a:ext uri="{FF2B5EF4-FFF2-40B4-BE49-F238E27FC236}">
              <a16:creationId xmlns="" xmlns:a16="http://schemas.microsoft.com/office/drawing/2014/main" id="{00000000-0008-0000-0000-0000B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7" name="Text Box 81">
          <a:extLst>
            <a:ext uri="{FF2B5EF4-FFF2-40B4-BE49-F238E27FC236}">
              <a16:creationId xmlns="" xmlns:a16="http://schemas.microsoft.com/office/drawing/2014/main" id="{00000000-0008-0000-0000-0000B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848" name="Text Box 82">
          <a:extLst>
            <a:ext uri="{FF2B5EF4-FFF2-40B4-BE49-F238E27FC236}">
              <a16:creationId xmlns="" xmlns:a16="http://schemas.microsoft.com/office/drawing/2014/main" id="{00000000-0008-0000-0000-0000C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49" name="Text Box 3079">
          <a:extLst>
            <a:ext uri="{FF2B5EF4-FFF2-40B4-BE49-F238E27FC236}">
              <a16:creationId xmlns="" xmlns:a16="http://schemas.microsoft.com/office/drawing/2014/main" id="{00000000-0008-0000-0000-0000C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0" name="Text Box 3080">
          <a:extLst>
            <a:ext uri="{FF2B5EF4-FFF2-40B4-BE49-F238E27FC236}">
              <a16:creationId xmlns="" xmlns:a16="http://schemas.microsoft.com/office/drawing/2014/main" id="{00000000-0008-0000-0000-0000C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1" name="Text Box 3081">
          <a:extLst>
            <a:ext uri="{FF2B5EF4-FFF2-40B4-BE49-F238E27FC236}">
              <a16:creationId xmlns="" xmlns:a16="http://schemas.microsoft.com/office/drawing/2014/main" id="{00000000-0008-0000-0000-0000C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2" name="Text Box 3082">
          <a:extLst>
            <a:ext uri="{FF2B5EF4-FFF2-40B4-BE49-F238E27FC236}">
              <a16:creationId xmlns="" xmlns:a16="http://schemas.microsoft.com/office/drawing/2014/main" id="{00000000-0008-0000-0000-0000C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3" name="Text Box 3083">
          <a:extLst>
            <a:ext uri="{FF2B5EF4-FFF2-40B4-BE49-F238E27FC236}">
              <a16:creationId xmlns="" xmlns:a16="http://schemas.microsoft.com/office/drawing/2014/main" id="{00000000-0008-0000-0000-0000C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4" name="Text Box 3084">
          <a:extLst>
            <a:ext uri="{FF2B5EF4-FFF2-40B4-BE49-F238E27FC236}">
              <a16:creationId xmlns="" xmlns:a16="http://schemas.microsoft.com/office/drawing/2014/main" id="{00000000-0008-0000-0000-0000C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5" name="Text Box 3085">
          <a:extLst>
            <a:ext uri="{FF2B5EF4-FFF2-40B4-BE49-F238E27FC236}">
              <a16:creationId xmlns="" xmlns:a16="http://schemas.microsoft.com/office/drawing/2014/main" id="{00000000-0008-0000-0000-0000C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6" name="Text Box 3086">
          <a:extLst>
            <a:ext uri="{FF2B5EF4-FFF2-40B4-BE49-F238E27FC236}">
              <a16:creationId xmlns="" xmlns:a16="http://schemas.microsoft.com/office/drawing/2014/main" id="{00000000-0008-0000-0000-0000C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7" name="Text Box 3087">
          <a:extLst>
            <a:ext uri="{FF2B5EF4-FFF2-40B4-BE49-F238E27FC236}">
              <a16:creationId xmlns="" xmlns:a16="http://schemas.microsoft.com/office/drawing/2014/main" id="{00000000-0008-0000-0000-0000C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8" name="Text Box 3088">
          <a:extLst>
            <a:ext uri="{FF2B5EF4-FFF2-40B4-BE49-F238E27FC236}">
              <a16:creationId xmlns="" xmlns:a16="http://schemas.microsoft.com/office/drawing/2014/main" id="{00000000-0008-0000-0000-0000C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9" name="Text Box 3089">
          <a:extLst>
            <a:ext uri="{FF2B5EF4-FFF2-40B4-BE49-F238E27FC236}">
              <a16:creationId xmlns="" xmlns:a16="http://schemas.microsoft.com/office/drawing/2014/main" id="{00000000-0008-0000-0000-0000C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0" name="Text Box 3090">
          <a:extLst>
            <a:ext uri="{FF2B5EF4-FFF2-40B4-BE49-F238E27FC236}">
              <a16:creationId xmlns="" xmlns:a16="http://schemas.microsoft.com/office/drawing/2014/main" id="{00000000-0008-0000-0000-0000C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1" name="Text Box 3091">
          <a:extLst>
            <a:ext uri="{FF2B5EF4-FFF2-40B4-BE49-F238E27FC236}">
              <a16:creationId xmlns="" xmlns:a16="http://schemas.microsoft.com/office/drawing/2014/main" id="{00000000-0008-0000-0000-0000C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2" name="Text Box 3092">
          <a:extLst>
            <a:ext uri="{FF2B5EF4-FFF2-40B4-BE49-F238E27FC236}">
              <a16:creationId xmlns="" xmlns:a16="http://schemas.microsoft.com/office/drawing/2014/main" id="{00000000-0008-0000-0000-0000C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3" name="Text Box 3093">
          <a:extLst>
            <a:ext uri="{FF2B5EF4-FFF2-40B4-BE49-F238E27FC236}">
              <a16:creationId xmlns="" xmlns:a16="http://schemas.microsoft.com/office/drawing/2014/main" id="{00000000-0008-0000-0000-0000C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4" name="Text Box 3094">
          <a:extLst>
            <a:ext uri="{FF2B5EF4-FFF2-40B4-BE49-F238E27FC236}">
              <a16:creationId xmlns="" xmlns:a16="http://schemas.microsoft.com/office/drawing/2014/main" id="{00000000-0008-0000-0000-0000D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5" name="Text Box 3095">
          <a:extLst>
            <a:ext uri="{FF2B5EF4-FFF2-40B4-BE49-F238E27FC236}">
              <a16:creationId xmlns="" xmlns:a16="http://schemas.microsoft.com/office/drawing/2014/main" id="{00000000-0008-0000-0000-0000D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6" name="Text Box 3096">
          <a:extLst>
            <a:ext uri="{FF2B5EF4-FFF2-40B4-BE49-F238E27FC236}">
              <a16:creationId xmlns="" xmlns:a16="http://schemas.microsoft.com/office/drawing/2014/main" id="{00000000-0008-0000-0000-0000D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7" name="Text Box 3097">
          <a:extLst>
            <a:ext uri="{FF2B5EF4-FFF2-40B4-BE49-F238E27FC236}">
              <a16:creationId xmlns="" xmlns:a16="http://schemas.microsoft.com/office/drawing/2014/main" id="{00000000-0008-0000-0000-0000D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8" name="Text Box 3098">
          <a:extLst>
            <a:ext uri="{FF2B5EF4-FFF2-40B4-BE49-F238E27FC236}">
              <a16:creationId xmlns="" xmlns:a16="http://schemas.microsoft.com/office/drawing/2014/main" id="{00000000-0008-0000-0000-0000D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9" name="Text Box 3099">
          <a:extLst>
            <a:ext uri="{FF2B5EF4-FFF2-40B4-BE49-F238E27FC236}">
              <a16:creationId xmlns="" xmlns:a16="http://schemas.microsoft.com/office/drawing/2014/main" id="{00000000-0008-0000-0000-0000D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70" name="Text Box 3100">
          <a:extLst>
            <a:ext uri="{FF2B5EF4-FFF2-40B4-BE49-F238E27FC236}">
              <a16:creationId xmlns="" xmlns:a16="http://schemas.microsoft.com/office/drawing/2014/main" id="{00000000-0008-0000-0000-0000D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71" name="Text Box 3101">
          <a:extLst>
            <a:ext uri="{FF2B5EF4-FFF2-40B4-BE49-F238E27FC236}">
              <a16:creationId xmlns="" xmlns:a16="http://schemas.microsoft.com/office/drawing/2014/main" id="{00000000-0008-0000-0000-0000D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872" name="Text Box 3102">
          <a:extLst>
            <a:ext uri="{FF2B5EF4-FFF2-40B4-BE49-F238E27FC236}">
              <a16:creationId xmlns="" xmlns:a16="http://schemas.microsoft.com/office/drawing/2014/main" id="{00000000-0008-0000-0000-0000D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3" name="Text Box 59">
          <a:extLst>
            <a:ext uri="{FF2B5EF4-FFF2-40B4-BE49-F238E27FC236}">
              <a16:creationId xmlns="" xmlns:a16="http://schemas.microsoft.com/office/drawing/2014/main" id="{00000000-0008-0000-0000-0000D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4" name="Text Box 60">
          <a:extLst>
            <a:ext uri="{FF2B5EF4-FFF2-40B4-BE49-F238E27FC236}">
              <a16:creationId xmlns="" xmlns:a16="http://schemas.microsoft.com/office/drawing/2014/main" id="{00000000-0008-0000-0000-0000D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5" name="Text Box 61">
          <a:extLst>
            <a:ext uri="{FF2B5EF4-FFF2-40B4-BE49-F238E27FC236}">
              <a16:creationId xmlns="" xmlns:a16="http://schemas.microsoft.com/office/drawing/2014/main" id="{00000000-0008-0000-0000-0000D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6" name="Text Box 62">
          <a:extLst>
            <a:ext uri="{FF2B5EF4-FFF2-40B4-BE49-F238E27FC236}">
              <a16:creationId xmlns="" xmlns:a16="http://schemas.microsoft.com/office/drawing/2014/main" id="{00000000-0008-0000-0000-0000D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7" name="Text Box 63">
          <a:extLst>
            <a:ext uri="{FF2B5EF4-FFF2-40B4-BE49-F238E27FC236}">
              <a16:creationId xmlns="" xmlns:a16="http://schemas.microsoft.com/office/drawing/2014/main" id="{00000000-0008-0000-0000-0000D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8" name="Text Box 64">
          <a:extLst>
            <a:ext uri="{FF2B5EF4-FFF2-40B4-BE49-F238E27FC236}">
              <a16:creationId xmlns="" xmlns:a16="http://schemas.microsoft.com/office/drawing/2014/main" id="{00000000-0008-0000-0000-0000D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9" name="Text Box 65">
          <a:extLst>
            <a:ext uri="{FF2B5EF4-FFF2-40B4-BE49-F238E27FC236}">
              <a16:creationId xmlns="" xmlns:a16="http://schemas.microsoft.com/office/drawing/2014/main" id="{00000000-0008-0000-0000-0000D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0" name="Text Box 66">
          <a:extLst>
            <a:ext uri="{FF2B5EF4-FFF2-40B4-BE49-F238E27FC236}">
              <a16:creationId xmlns="" xmlns:a16="http://schemas.microsoft.com/office/drawing/2014/main" id="{00000000-0008-0000-0000-0000E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1" name="Text Box 67">
          <a:extLst>
            <a:ext uri="{FF2B5EF4-FFF2-40B4-BE49-F238E27FC236}">
              <a16:creationId xmlns="" xmlns:a16="http://schemas.microsoft.com/office/drawing/2014/main" id="{00000000-0008-0000-0000-0000E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2" name="Text Box 68">
          <a:extLst>
            <a:ext uri="{FF2B5EF4-FFF2-40B4-BE49-F238E27FC236}">
              <a16:creationId xmlns="" xmlns:a16="http://schemas.microsoft.com/office/drawing/2014/main" id="{00000000-0008-0000-0000-0000E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3" name="Text Box 69">
          <a:extLst>
            <a:ext uri="{FF2B5EF4-FFF2-40B4-BE49-F238E27FC236}">
              <a16:creationId xmlns="" xmlns:a16="http://schemas.microsoft.com/office/drawing/2014/main" id="{00000000-0008-0000-0000-0000E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4" name="Text Box 70">
          <a:extLst>
            <a:ext uri="{FF2B5EF4-FFF2-40B4-BE49-F238E27FC236}">
              <a16:creationId xmlns="" xmlns:a16="http://schemas.microsoft.com/office/drawing/2014/main" id="{00000000-0008-0000-0000-0000E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5" name="Text Box 71">
          <a:extLst>
            <a:ext uri="{FF2B5EF4-FFF2-40B4-BE49-F238E27FC236}">
              <a16:creationId xmlns="" xmlns:a16="http://schemas.microsoft.com/office/drawing/2014/main" id="{00000000-0008-0000-0000-0000E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6" name="Text Box 72">
          <a:extLst>
            <a:ext uri="{FF2B5EF4-FFF2-40B4-BE49-F238E27FC236}">
              <a16:creationId xmlns="" xmlns:a16="http://schemas.microsoft.com/office/drawing/2014/main" id="{00000000-0008-0000-0000-0000E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7" name="Text Box 73">
          <a:extLst>
            <a:ext uri="{FF2B5EF4-FFF2-40B4-BE49-F238E27FC236}">
              <a16:creationId xmlns="" xmlns:a16="http://schemas.microsoft.com/office/drawing/2014/main" id="{00000000-0008-0000-0000-0000E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8" name="Text Box 74">
          <a:extLst>
            <a:ext uri="{FF2B5EF4-FFF2-40B4-BE49-F238E27FC236}">
              <a16:creationId xmlns="" xmlns:a16="http://schemas.microsoft.com/office/drawing/2014/main" id="{00000000-0008-0000-0000-0000E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9" name="Text Box 75">
          <a:extLst>
            <a:ext uri="{FF2B5EF4-FFF2-40B4-BE49-F238E27FC236}">
              <a16:creationId xmlns="" xmlns:a16="http://schemas.microsoft.com/office/drawing/2014/main" id="{00000000-0008-0000-0000-0000E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0" name="Text Box 76">
          <a:extLst>
            <a:ext uri="{FF2B5EF4-FFF2-40B4-BE49-F238E27FC236}">
              <a16:creationId xmlns="" xmlns:a16="http://schemas.microsoft.com/office/drawing/2014/main" id="{00000000-0008-0000-0000-0000E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1" name="Text Box 77">
          <a:extLst>
            <a:ext uri="{FF2B5EF4-FFF2-40B4-BE49-F238E27FC236}">
              <a16:creationId xmlns="" xmlns:a16="http://schemas.microsoft.com/office/drawing/2014/main" id="{00000000-0008-0000-0000-0000E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2" name="Text Box 78">
          <a:extLst>
            <a:ext uri="{FF2B5EF4-FFF2-40B4-BE49-F238E27FC236}">
              <a16:creationId xmlns="" xmlns:a16="http://schemas.microsoft.com/office/drawing/2014/main" id="{00000000-0008-0000-0000-0000E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3" name="Text Box 79">
          <a:extLst>
            <a:ext uri="{FF2B5EF4-FFF2-40B4-BE49-F238E27FC236}">
              <a16:creationId xmlns="" xmlns:a16="http://schemas.microsoft.com/office/drawing/2014/main" id="{00000000-0008-0000-0000-0000E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4" name="Text Box 80">
          <a:extLst>
            <a:ext uri="{FF2B5EF4-FFF2-40B4-BE49-F238E27FC236}">
              <a16:creationId xmlns="" xmlns:a16="http://schemas.microsoft.com/office/drawing/2014/main" id="{00000000-0008-0000-0000-0000E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5" name="Text Box 81">
          <a:extLst>
            <a:ext uri="{FF2B5EF4-FFF2-40B4-BE49-F238E27FC236}">
              <a16:creationId xmlns="" xmlns:a16="http://schemas.microsoft.com/office/drawing/2014/main" id="{00000000-0008-0000-0000-0000E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6" name="Text Box 3079">
          <a:extLst>
            <a:ext uri="{FF2B5EF4-FFF2-40B4-BE49-F238E27FC236}">
              <a16:creationId xmlns="" xmlns:a16="http://schemas.microsoft.com/office/drawing/2014/main" id="{00000000-0008-0000-0000-0000F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7" name="Text Box 3080">
          <a:extLst>
            <a:ext uri="{FF2B5EF4-FFF2-40B4-BE49-F238E27FC236}">
              <a16:creationId xmlns="" xmlns:a16="http://schemas.microsoft.com/office/drawing/2014/main" id="{00000000-0008-0000-0000-0000F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8" name="Text Box 3081">
          <a:extLst>
            <a:ext uri="{FF2B5EF4-FFF2-40B4-BE49-F238E27FC236}">
              <a16:creationId xmlns="" xmlns:a16="http://schemas.microsoft.com/office/drawing/2014/main" id="{00000000-0008-0000-0000-0000F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9" name="Text Box 3082">
          <a:extLst>
            <a:ext uri="{FF2B5EF4-FFF2-40B4-BE49-F238E27FC236}">
              <a16:creationId xmlns="" xmlns:a16="http://schemas.microsoft.com/office/drawing/2014/main" id="{00000000-0008-0000-0000-0000F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0" name="Text Box 3083">
          <a:extLst>
            <a:ext uri="{FF2B5EF4-FFF2-40B4-BE49-F238E27FC236}">
              <a16:creationId xmlns="" xmlns:a16="http://schemas.microsoft.com/office/drawing/2014/main" id="{00000000-0008-0000-0000-0000F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1" name="Text Box 3084">
          <a:extLst>
            <a:ext uri="{FF2B5EF4-FFF2-40B4-BE49-F238E27FC236}">
              <a16:creationId xmlns="" xmlns:a16="http://schemas.microsoft.com/office/drawing/2014/main" id="{00000000-0008-0000-0000-0000F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2" name="Text Box 3085">
          <a:extLst>
            <a:ext uri="{FF2B5EF4-FFF2-40B4-BE49-F238E27FC236}">
              <a16:creationId xmlns="" xmlns:a16="http://schemas.microsoft.com/office/drawing/2014/main" id="{00000000-0008-0000-0000-0000F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3" name="Text Box 3086">
          <a:extLst>
            <a:ext uri="{FF2B5EF4-FFF2-40B4-BE49-F238E27FC236}">
              <a16:creationId xmlns="" xmlns:a16="http://schemas.microsoft.com/office/drawing/2014/main" id="{00000000-0008-0000-0000-0000F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4" name="Text Box 3087">
          <a:extLst>
            <a:ext uri="{FF2B5EF4-FFF2-40B4-BE49-F238E27FC236}">
              <a16:creationId xmlns="" xmlns:a16="http://schemas.microsoft.com/office/drawing/2014/main" id="{00000000-0008-0000-0000-0000F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5" name="Text Box 3088">
          <a:extLst>
            <a:ext uri="{FF2B5EF4-FFF2-40B4-BE49-F238E27FC236}">
              <a16:creationId xmlns="" xmlns:a16="http://schemas.microsoft.com/office/drawing/2014/main" id="{00000000-0008-0000-0000-0000F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6" name="Text Box 3089">
          <a:extLst>
            <a:ext uri="{FF2B5EF4-FFF2-40B4-BE49-F238E27FC236}">
              <a16:creationId xmlns="" xmlns:a16="http://schemas.microsoft.com/office/drawing/2014/main" id="{00000000-0008-0000-0000-0000F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7" name="Text Box 3090">
          <a:extLst>
            <a:ext uri="{FF2B5EF4-FFF2-40B4-BE49-F238E27FC236}">
              <a16:creationId xmlns="" xmlns:a16="http://schemas.microsoft.com/office/drawing/2014/main" id="{00000000-0008-0000-0000-0000F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8" name="Text Box 3091">
          <a:extLst>
            <a:ext uri="{FF2B5EF4-FFF2-40B4-BE49-F238E27FC236}">
              <a16:creationId xmlns="" xmlns:a16="http://schemas.microsoft.com/office/drawing/2014/main" id="{00000000-0008-0000-0000-0000F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9" name="Text Box 3092">
          <a:extLst>
            <a:ext uri="{FF2B5EF4-FFF2-40B4-BE49-F238E27FC236}">
              <a16:creationId xmlns="" xmlns:a16="http://schemas.microsoft.com/office/drawing/2014/main" id="{00000000-0008-0000-0000-0000F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0" name="Text Box 3093">
          <a:extLst>
            <a:ext uri="{FF2B5EF4-FFF2-40B4-BE49-F238E27FC236}">
              <a16:creationId xmlns="" xmlns:a16="http://schemas.microsoft.com/office/drawing/2014/main" id="{00000000-0008-0000-0000-0000F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1" name="Text Box 3094">
          <a:extLst>
            <a:ext uri="{FF2B5EF4-FFF2-40B4-BE49-F238E27FC236}">
              <a16:creationId xmlns="" xmlns:a16="http://schemas.microsoft.com/office/drawing/2014/main" id="{00000000-0008-0000-0000-0000F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2" name="Text Box 3095">
          <a:extLst>
            <a:ext uri="{FF2B5EF4-FFF2-40B4-BE49-F238E27FC236}">
              <a16:creationId xmlns="" xmlns:a16="http://schemas.microsoft.com/office/drawing/2014/main" id="{00000000-0008-0000-0000-00000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3" name="Text Box 3096">
          <a:extLst>
            <a:ext uri="{FF2B5EF4-FFF2-40B4-BE49-F238E27FC236}">
              <a16:creationId xmlns="" xmlns:a16="http://schemas.microsoft.com/office/drawing/2014/main" id="{00000000-0008-0000-0000-00000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4" name="Text Box 3097">
          <a:extLst>
            <a:ext uri="{FF2B5EF4-FFF2-40B4-BE49-F238E27FC236}">
              <a16:creationId xmlns="" xmlns:a16="http://schemas.microsoft.com/office/drawing/2014/main" id="{00000000-0008-0000-0000-00000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5" name="Text Box 3098">
          <a:extLst>
            <a:ext uri="{FF2B5EF4-FFF2-40B4-BE49-F238E27FC236}">
              <a16:creationId xmlns="" xmlns:a16="http://schemas.microsoft.com/office/drawing/2014/main" id="{00000000-0008-0000-0000-00000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6" name="Text Box 3099">
          <a:extLst>
            <a:ext uri="{FF2B5EF4-FFF2-40B4-BE49-F238E27FC236}">
              <a16:creationId xmlns="" xmlns:a16="http://schemas.microsoft.com/office/drawing/2014/main" id="{00000000-0008-0000-0000-00000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7" name="Text Box 3100">
          <a:extLst>
            <a:ext uri="{FF2B5EF4-FFF2-40B4-BE49-F238E27FC236}">
              <a16:creationId xmlns="" xmlns:a16="http://schemas.microsoft.com/office/drawing/2014/main" id="{00000000-0008-0000-0000-00000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8" name="Text Box 3101">
          <a:extLst>
            <a:ext uri="{FF2B5EF4-FFF2-40B4-BE49-F238E27FC236}">
              <a16:creationId xmlns="" xmlns:a16="http://schemas.microsoft.com/office/drawing/2014/main" id="{00000000-0008-0000-0000-00000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919" name="Text Box 3102">
          <a:extLst>
            <a:ext uri="{FF2B5EF4-FFF2-40B4-BE49-F238E27FC236}">
              <a16:creationId xmlns="" xmlns:a16="http://schemas.microsoft.com/office/drawing/2014/main" id="{00000000-0008-0000-0000-00000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0" name="Text Box 59">
          <a:extLst>
            <a:ext uri="{FF2B5EF4-FFF2-40B4-BE49-F238E27FC236}">
              <a16:creationId xmlns="" xmlns:a16="http://schemas.microsoft.com/office/drawing/2014/main" id="{00000000-0008-0000-0000-00000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1" name="Text Box 60">
          <a:extLst>
            <a:ext uri="{FF2B5EF4-FFF2-40B4-BE49-F238E27FC236}">
              <a16:creationId xmlns="" xmlns:a16="http://schemas.microsoft.com/office/drawing/2014/main" id="{00000000-0008-0000-0000-00000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2" name="Text Box 61">
          <a:extLst>
            <a:ext uri="{FF2B5EF4-FFF2-40B4-BE49-F238E27FC236}">
              <a16:creationId xmlns="" xmlns:a16="http://schemas.microsoft.com/office/drawing/2014/main" id="{00000000-0008-0000-0000-00000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3" name="Text Box 62">
          <a:extLst>
            <a:ext uri="{FF2B5EF4-FFF2-40B4-BE49-F238E27FC236}">
              <a16:creationId xmlns="" xmlns:a16="http://schemas.microsoft.com/office/drawing/2014/main" id="{00000000-0008-0000-0000-00000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4" name="Text Box 63">
          <a:extLst>
            <a:ext uri="{FF2B5EF4-FFF2-40B4-BE49-F238E27FC236}">
              <a16:creationId xmlns="" xmlns:a16="http://schemas.microsoft.com/office/drawing/2014/main" id="{00000000-0008-0000-0000-00000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5" name="Text Box 64">
          <a:extLst>
            <a:ext uri="{FF2B5EF4-FFF2-40B4-BE49-F238E27FC236}">
              <a16:creationId xmlns="" xmlns:a16="http://schemas.microsoft.com/office/drawing/2014/main" id="{00000000-0008-0000-0000-00000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6" name="Text Box 65">
          <a:extLst>
            <a:ext uri="{FF2B5EF4-FFF2-40B4-BE49-F238E27FC236}">
              <a16:creationId xmlns="" xmlns:a16="http://schemas.microsoft.com/office/drawing/2014/main" id="{00000000-0008-0000-0000-00000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7" name="Text Box 66">
          <a:extLst>
            <a:ext uri="{FF2B5EF4-FFF2-40B4-BE49-F238E27FC236}">
              <a16:creationId xmlns="" xmlns:a16="http://schemas.microsoft.com/office/drawing/2014/main" id="{00000000-0008-0000-0000-00000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8" name="Text Box 67">
          <a:extLst>
            <a:ext uri="{FF2B5EF4-FFF2-40B4-BE49-F238E27FC236}">
              <a16:creationId xmlns="" xmlns:a16="http://schemas.microsoft.com/office/drawing/2014/main" id="{00000000-0008-0000-0000-00001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9" name="Text Box 68">
          <a:extLst>
            <a:ext uri="{FF2B5EF4-FFF2-40B4-BE49-F238E27FC236}">
              <a16:creationId xmlns="" xmlns:a16="http://schemas.microsoft.com/office/drawing/2014/main" id="{00000000-0008-0000-0000-00001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0" name="Text Box 69">
          <a:extLst>
            <a:ext uri="{FF2B5EF4-FFF2-40B4-BE49-F238E27FC236}">
              <a16:creationId xmlns="" xmlns:a16="http://schemas.microsoft.com/office/drawing/2014/main" id="{00000000-0008-0000-0000-00001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1" name="Text Box 70">
          <a:extLst>
            <a:ext uri="{FF2B5EF4-FFF2-40B4-BE49-F238E27FC236}">
              <a16:creationId xmlns="" xmlns:a16="http://schemas.microsoft.com/office/drawing/2014/main" id="{00000000-0008-0000-0000-00001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2" name="Text Box 71">
          <a:extLst>
            <a:ext uri="{FF2B5EF4-FFF2-40B4-BE49-F238E27FC236}">
              <a16:creationId xmlns="" xmlns:a16="http://schemas.microsoft.com/office/drawing/2014/main" id="{00000000-0008-0000-0000-00001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3" name="Text Box 72">
          <a:extLst>
            <a:ext uri="{FF2B5EF4-FFF2-40B4-BE49-F238E27FC236}">
              <a16:creationId xmlns="" xmlns:a16="http://schemas.microsoft.com/office/drawing/2014/main" id="{00000000-0008-0000-0000-00001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4" name="Text Box 73">
          <a:extLst>
            <a:ext uri="{FF2B5EF4-FFF2-40B4-BE49-F238E27FC236}">
              <a16:creationId xmlns="" xmlns:a16="http://schemas.microsoft.com/office/drawing/2014/main" id="{00000000-0008-0000-0000-00001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5" name="Text Box 74">
          <a:extLst>
            <a:ext uri="{FF2B5EF4-FFF2-40B4-BE49-F238E27FC236}">
              <a16:creationId xmlns="" xmlns:a16="http://schemas.microsoft.com/office/drawing/2014/main" id="{00000000-0008-0000-0000-00001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6" name="Text Box 75">
          <a:extLst>
            <a:ext uri="{FF2B5EF4-FFF2-40B4-BE49-F238E27FC236}">
              <a16:creationId xmlns="" xmlns:a16="http://schemas.microsoft.com/office/drawing/2014/main" id="{00000000-0008-0000-0000-00001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7" name="Text Box 76">
          <a:extLst>
            <a:ext uri="{FF2B5EF4-FFF2-40B4-BE49-F238E27FC236}">
              <a16:creationId xmlns="" xmlns:a16="http://schemas.microsoft.com/office/drawing/2014/main" id="{00000000-0008-0000-0000-00001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8" name="Text Box 77">
          <a:extLst>
            <a:ext uri="{FF2B5EF4-FFF2-40B4-BE49-F238E27FC236}">
              <a16:creationId xmlns="" xmlns:a16="http://schemas.microsoft.com/office/drawing/2014/main" id="{00000000-0008-0000-0000-00001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9" name="Text Box 78">
          <a:extLst>
            <a:ext uri="{FF2B5EF4-FFF2-40B4-BE49-F238E27FC236}">
              <a16:creationId xmlns="" xmlns:a16="http://schemas.microsoft.com/office/drawing/2014/main" id="{00000000-0008-0000-0000-00001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0" name="Text Box 79">
          <a:extLst>
            <a:ext uri="{FF2B5EF4-FFF2-40B4-BE49-F238E27FC236}">
              <a16:creationId xmlns="" xmlns:a16="http://schemas.microsoft.com/office/drawing/2014/main" id="{00000000-0008-0000-0000-00001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1" name="Text Box 80">
          <a:extLst>
            <a:ext uri="{FF2B5EF4-FFF2-40B4-BE49-F238E27FC236}">
              <a16:creationId xmlns="" xmlns:a16="http://schemas.microsoft.com/office/drawing/2014/main" id="{00000000-0008-0000-0000-00001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2" name="Text Box 81">
          <a:extLst>
            <a:ext uri="{FF2B5EF4-FFF2-40B4-BE49-F238E27FC236}">
              <a16:creationId xmlns="" xmlns:a16="http://schemas.microsoft.com/office/drawing/2014/main" id="{00000000-0008-0000-0000-00001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943" name="Text Box 82">
          <a:extLst>
            <a:ext uri="{FF2B5EF4-FFF2-40B4-BE49-F238E27FC236}">
              <a16:creationId xmlns="" xmlns:a16="http://schemas.microsoft.com/office/drawing/2014/main" id="{00000000-0008-0000-0000-00001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4" name="Text Box 3079">
          <a:extLst>
            <a:ext uri="{FF2B5EF4-FFF2-40B4-BE49-F238E27FC236}">
              <a16:creationId xmlns="" xmlns:a16="http://schemas.microsoft.com/office/drawing/2014/main" id="{00000000-0008-0000-0000-00002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5" name="Text Box 3080">
          <a:extLst>
            <a:ext uri="{FF2B5EF4-FFF2-40B4-BE49-F238E27FC236}">
              <a16:creationId xmlns="" xmlns:a16="http://schemas.microsoft.com/office/drawing/2014/main" id="{00000000-0008-0000-0000-00002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6" name="Text Box 3081">
          <a:extLst>
            <a:ext uri="{FF2B5EF4-FFF2-40B4-BE49-F238E27FC236}">
              <a16:creationId xmlns="" xmlns:a16="http://schemas.microsoft.com/office/drawing/2014/main" id="{00000000-0008-0000-0000-00002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7" name="Text Box 3082">
          <a:extLst>
            <a:ext uri="{FF2B5EF4-FFF2-40B4-BE49-F238E27FC236}">
              <a16:creationId xmlns="" xmlns:a16="http://schemas.microsoft.com/office/drawing/2014/main" id="{00000000-0008-0000-0000-00002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8" name="Text Box 3083">
          <a:extLst>
            <a:ext uri="{FF2B5EF4-FFF2-40B4-BE49-F238E27FC236}">
              <a16:creationId xmlns="" xmlns:a16="http://schemas.microsoft.com/office/drawing/2014/main" id="{00000000-0008-0000-0000-00002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9" name="Text Box 3084">
          <a:extLst>
            <a:ext uri="{FF2B5EF4-FFF2-40B4-BE49-F238E27FC236}">
              <a16:creationId xmlns="" xmlns:a16="http://schemas.microsoft.com/office/drawing/2014/main" id="{00000000-0008-0000-0000-00002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0" name="Text Box 3085">
          <a:extLst>
            <a:ext uri="{FF2B5EF4-FFF2-40B4-BE49-F238E27FC236}">
              <a16:creationId xmlns="" xmlns:a16="http://schemas.microsoft.com/office/drawing/2014/main" id="{00000000-0008-0000-0000-00002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1" name="Text Box 3086">
          <a:extLst>
            <a:ext uri="{FF2B5EF4-FFF2-40B4-BE49-F238E27FC236}">
              <a16:creationId xmlns="" xmlns:a16="http://schemas.microsoft.com/office/drawing/2014/main" id="{00000000-0008-0000-0000-00002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2" name="Text Box 3087">
          <a:extLst>
            <a:ext uri="{FF2B5EF4-FFF2-40B4-BE49-F238E27FC236}">
              <a16:creationId xmlns="" xmlns:a16="http://schemas.microsoft.com/office/drawing/2014/main" id="{00000000-0008-0000-0000-00002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3" name="Text Box 3088">
          <a:extLst>
            <a:ext uri="{FF2B5EF4-FFF2-40B4-BE49-F238E27FC236}">
              <a16:creationId xmlns="" xmlns:a16="http://schemas.microsoft.com/office/drawing/2014/main" id="{00000000-0008-0000-0000-00002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4" name="Text Box 3089">
          <a:extLst>
            <a:ext uri="{FF2B5EF4-FFF2-40B4-BE49-F238E27FC236}">
              <a16:creationId xmlns="" xmlns:a16="http://schemas.microsoft.com/office/drawing/2014/main" id="{00000000-0008-0000-0000-00002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5" name="Text Box 3090">
          <a:extLst>
            <a:ext uri="{FF2B5EF4-FFF2-40B4-BE49-F238E27FC236}">
              <a16:creationId xmlns="" xmlns:a16="http://schemas.microsoft.com/office/drawing/2014/main" id="{00000000-0008-0000-0000-00002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6" name="Text Box 3091">
          <a:extLst>
            <a:ext uri="{FF2B5EF4-FFF2-40B4-BE49-F238E27FC236}">
              <a16:creationId xmlns="" xmlns:a16="http://schemas.microsoft.com/office/drawing/2014/main" id="{00000000-0008-0000-0000-00002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7" name="Text Box 3092">
          <a:extLst>
            <a:ext uri="{FF2B5EF4-FFF2-40B4-BE49-F238E27FC236}">
              <a16:creationId xmlns="" xmlns:a16="http://schemas.microsoft.com/office/drawing/2014/main" id="{00000000-0008-0000-0000-00002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8" name="Text Box 3093">
          <a:extLst>
            <a:ext uri="{FF2B5EF4-FFF2-40B4-BE49-F238E27FC236}">
              <a16:creationId xmlns="" xmlns:a16="http://schemas.microsoft.com/office/drawing/2014/main" id="{00000000-0008-0000-0000-00002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9" name="Text Box 3094">
          <a:extLst>
            <a:ext uri="{FF2B5EF4-FFF2-40B4-BE49-F238E27FC236}">
              <a16:creationId xmlns="" xmlns:a16="http://schemas.microsoft.com/office/drawing/2014/main" id="{00000000-0008-0000-0000-00002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0" name="Text Box 3095">
          <a:extLst>
            <a:ext uri="{FF2B5EF4-FFF2-40B4-BE49-F238E27FC236}">
              <a16:creationId xmlns="" xmlns:a16="http://schemas.microsoft.com/office/drawing/2014/main" id="{00000000-0008-0000-0000-00003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1" name="Text Box 3096">
          <a:extLst>
            <a:ext uri="{FF2B5EF4-FFF2-40B4-BE49-F238E27FC236}">
              <a16:creationId xmlns="" xmlns:a16="http://schemas.microsoft.com/office/drawing/2014/main" id="{00000000-0008-0000-0000-00003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2" name="Text Box 3097">
          <a:extLst>
            <a:ext uri="{FF2B5EF4-FFF2-40B4-BE49-F238E27FC236}">
              <a16:creationId xmlns="" xmlns:a16="http://schemas.microsoft.com/office/drawing/2014/main" id="{00000000-0008-0000-0000-00003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3" name="Text Box 3098">
          <a:extLst>
            <a:ext uri="{FF2B5EF4-FFF2-40B4-BE49-F238E27FC236}">
              <a16:creationId xmlns="" xmlns:a16="http://schemas.microsoft.com/office/drawing/2014/main" id="{00000000-0008-0000-0000-00003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4" name="Text Box 3099">
          <a:extLst>
            <a:ext uri="{FF2B5EF4-FFF2-40B4-BE49-F238E27FC236}">
              <a16:creationId xmlns="" xmlns:a16="http://schemas.microsoft.com/office/drawing/2014/main" id="{00000000-0008-0000-0000-00003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5" name="Text Box 3100">
          <a:extLst>
            <a:ext uri="{FF2B5EF4-FFF2-40B4-BE49-F238E27FC236}">
              <a16:creationId xmlns="" xmlns:a16="http://schemas.microsoft.com/office/drawing/2014/main" id="{00000000-0008-0000-0000-00003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6" name="Text Box 3101">
          <a:extLst>
            <a:ext uri="{FF2B5EF4-FFF2-40B4-BE49-F238E27FC236}">
              <a16:creationId xmlns="" xmlns:a16="http://schemas.microsoft.com/office/drawing/2014/main" id="{00000000-0008-0000-0000-00003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967" name="Text Box 3102">
          <a:extLst>
            <a:ext uri="{FF2B5EF4-FFF2-40B4-BE49-F238E27FC236}">
              <a16:creationId xmlns="" xmlns:a16="http://schemas.microsoft.com/office/drawing/2014/main" id="{00000000-0008-0000-0000-00003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68" name="Text Box 59">
          <a:extLst>
            <a:ext uri="{FF2B5EF4-FFF2-40B4-BE49-F238E27FC236}">
              <a16:creationId xmlns="" xmlns:a16="http://schemas.microsoft.com/office/drawing/2014/main" id="{00000000-0008-0000-0000-00003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69" name="Text Box 60">
          <a:extLst>
            <a:ext uri="{FF2B5EF4-FFF2-40B4-BE49-F238E27FC236}">
              <a16:creationId xmlns="" xmlns:a16="http://schemas.microsoft.com/office/drawing/2014/main" id="{00000000-0008-0000-0000-00003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0" name="Text Box 61">
          <a:extLst>
            <a:ext uri="{FF2B5EF4-FFF2-40B4-BE49-F238E27FC236}">
              <a16:creationId xmlns="" xmlns:a16="http://schemas.microsoft.com/office/drawing/2014/main" id="{00000000-0008-0000-0000-00003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1" name="Text Box 62">
          <a:extLst>
            <a:ext uri="{FF2B5EF4-FFF2-40B4-BE49-F238E27FC236}">
              <a16:creationId xmlns="" xmlns:a16="http://schemas.microsoft.com/office/drawing/2014/main" id="{00000000-0008-0000-0000-00003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2" name="Text Box 63">
          <a:extLst>
            <a:ext uri="{FF2B5EF4-FFF2-40B4-BE49-F238E27FC236}">
              <a16:creationId xmlns="" xmlns:a16="http://schemas.microsoft.com/office/drawing/2014/main" id="{00000000-0008-0000-0000-00003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3" name="Text Box 64">
          <a:extLst>
            <a:ext uri="{FF2B5EF4-FFF2-40B4-BE49-F238E27FC236}">
              <a16:creationId xmlns="" xmlns:a16="http://schemas.microsoft.com/office/drawing/2014/main" id="{00000000-0008-0000-0000-00003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4" name="Text Box 65">
          <a:extLst>
            <a:ext uri="{FF2B5EF4-FFF2-40B4-BE49-F238E27FC236}">
              <a16:creationId xmlns="" xmlns:a16="http://schemas.microsoft.com/office/drawing/2014/main" id="{00000000-0008-0000-0000-00003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5" name="Text Box 66">
          <a:extLst>
            <a:ext uri="{FF2B5EF4-FFF2-40B4-BE49-F238E27FC236}">
              <a16:creationId xmlns="" xmlns:a16="http://schemas.microsoft.com/office/drawing/2014/main" id="{00000000-0008-0000-0000-00003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6" name="Text Box 67">
          <a:extLst>
            <a:ext uri="{FF2B5EF4-FFF2-40B4-BE49-F238E27FC236}">
              <a16:creationId xmlns="" xmlns:a16="http://schemas.microsoft.com/office/drawing/2014/main" id="{00000000-0008-0000-0000-00004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7" name="Text Box 68">
          <a:extLst>
            <a:ext uri="{FF2B5EF4-FFF2-40B4-BE49-F238E27FC236}">
              <a16:creationId xmlns="" xmlns:a16="http://schemas.microsoft.com/office/drawing/2014/main" id="{00000000-0008-0000-0000-00004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8" name="Text Box 69">
          <a:extLst>
            <a:ext uri="{FF2B5EF4-FFF2-40B4-BE49-F238E27FC236}">
              <a16:creationId xmlns="" xmlns:a16="http://schemas.microsoft.com/office/drawing/2014/main" id="{00000000-0008-0000-0000-00004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9" name="Text Box 70">
          <a:extLst>
            <a:ext uri="{FF2B5EF4-FFF2-40B4-BE49-F238E27FC236}">
              <a16:creationId xmlns="" xmlns:a16="http://schemas.microsoft.com/office/drawing/2014/main" id="{00000000-0008-0000-0000-00004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0" name="Text Box 71">
          <a:extLst>
            <a:ext uri="{FF2B5EF4-FFF2-40B4-BE49-F238E27FC236}">
              <a16:creationId xmlns="" xmlns:a16="http://schemas.microsoft.com/office/drawing/2014/main" id="{00000000-0008-0000-0000-00004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1" name="Text Box 72">
          <a:extLst>
            <a:ext uri="{FF2B5EF4-FFF2-40B4-BE49-F238E27FC236}">
              <a16:creationId xmlns="" xmlns:a16="http://schemas.microsoft.com/office/drawing/2014/main" id="{00000000-0008-0000-0000-00004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2" name="Text Box 73">
          <a:extLst>
            <a:ext uri="{FF2B5EF4-FFF2-40B4-BE49-F238E27FC236}">
              <a16:creationId xmlns="" xmlns:a16="http://schemas.microsoft.com/office/drawing/2014/main" id="{00000000-0008-0000-0000-00004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3" name="Text Box 74">
          <a:extLst>
            <a:ext uri="{FF2B5EF4-FFF2-40B4-BE49-F238E27FC236}">
              <a16:creationId xmlns="" xmlns:a16="http://schemas.microsoft.com/office/drawing/2014/main" id="{00000000-0008-0000-0000-00004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4" name="Text Box 75">
          <a:extLst>
            <a:ext uri="{FF2B5EF4-FFF2-40B4-BE49-F238E27FC236}">
              <a16:creationId xmlns="" xmlns:a16="http://schemas.microsoft.com/office/drawing/2014/main" id="{00000000-0008-0000-0000-00004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5" name="Text Box 76">
          <a:extLst>
            <a:ext uri="{FF2B5EF4-FFF2-40B4-BE49-F238E27FC236}">
              <a16:creationId xmlns="" xmlns:a16="http://schemas.microsoft.com/office/drawing/2014/main" id="{00000000-0008-0000-0000-00004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6" name="Text Box 77">
          <a:extLst>
            <a:ext uri="{FF2B5EF4-FFF2-40B4-BE49-F238E27FC236}">
              <a16:creationId xmlns="" xmlns:a16="http://schemas.microsoft.com/office/drawing/2014/main" id="{00000000-0008-0000-0000-00004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7" name="Text Box 78">
          <a:extLst>
            <a:ext uri="{FF2B5EF4-FFF2-40B4-BE49-F238E27FC236}">
              <a16:creationId xmlns="" xmlns:a16="http://schemas.microsoft.com/office/drawing/2014/main" id="{00000000-0008-0000-0000-00004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8" name="Text Box 79">
          <a:extLst>
            <a:ext uri="{FF2B5EF4-FFF2-40B4-BE49-F238E27FC236}">
              <a16:creationId xmlns="" xmlns:a16="http://schemas.microsoft.com/office/drawing/2014/main" id="{00000000-0008-0000-0000-00004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9" name="Text Box 80">
          <a:extLst>
            <a:ext uri="{FF2B5EF4-FFF2-40B4-BE49-F238E27FC236}">
              <a16:creationId xmlns="" xmlns:a16="http://schemas.microsoft.com/office/drawing/2014/main" id="{00000000-0008-0000-0000-00004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90" name="Text Box 81">
          <a:extLst>
            <a:ext uri="{FF2B5EF4-FFF2-40B4-BE49-F238E27FC236}">
              <a16:creationId xmlns="" xmlns:a16="http://schemas.microsoft.com/office/drawing/2014/main" id="{00000000-0008-0000-0000-00004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1" name="Text Box 3079">
          <a:extLst>
            <a:ext uri="{FF2B5EF4-FFF2-40B4-BE49-F238E27FC236}">
              <a16:creationId xmlns="" xmlns:a16="http://schemas.microsoft.com/office/drawing/2014/main" id="{00000000-0008-0000-0000-00004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2" name="Text Box 3080">
          <a:extLst>
            <a:ext uri="{FF2B5EF4-FFF2-40B4-BE49-F238E27FC236}">
              <a16:creationId xmlns="" xmlns:a16="http://schemas.microsoft.com/office/drawing/2014/main" id="{00000000-0008-0000-0000-00005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3" name="Text Box 3081">
          <a:extLst>
            <a:ext uri="{FF2B5EF4-FFF2-40B4-BE49-F238E27FC236}">
              <a16:creationId xmlns="" xmlns:a16="http://schemas.microsoft.com/office/drawing/2014/main" id="{00000000-0008-0000-0000-00005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4" name="Text Box 3082">
          <a:extLst>
            <a:ext uri="{FF2B5EF4-FFF2-40B4-BE49-F238E27FC236}">
              <a16:creationId xmlns="" xmlns:a16="http://schemas.microsoft.com/office/drawing/2014/main" id="{00000000-0008-0000-0000-00005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5" name="Text Box 3083">
          <a:extLst>
            <a:ext uri="{FF2B5EF4-FFF2-40B4-BE49-F238E27FC236}">
              <a16:creationId xmlns="" xmlns:a16="http://schemas.microsoft.com/office/drawing/2014/main" id="{00000000-0008-0000-0000-00005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6" name="Text Box 3084">
          <a:extLst>
            <a:ext uri="{FF2B5EF4-FFF2-40B4-BE49-F238E27FC236}">
              <a16:creationId xmlns="" xmlns:a16="http://schemas.microsoft.com/office/drawing/2014/main" id="{00000000-0008-0000-0000-00005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7" name="Text Box 3085">
          <a:extLst>
            <a:ext uri="{FF2B5EF4-FFF2-40B4-BE49-F238E27FC236}">
              <a16:creationId xmlns="" xmlns:a16="http://schemas.microsoft.com/office/drawing/2014/main" id="{00000000-0008-0000-0000-00005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8" name="Text Box 3086">
          <a:extLst>
            <a:ext uri="{FF2B5EF4-FFF2-40B4-BE49-F238E27FC236}">
              <a16:creationId xmlns="" xmlns:a16="http://schemas.microsoft.com/office/drawing/2014/main" id="{00000000-0008-0000-0000-00005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9" name="Text Box 3087">
          <a:extLst>
            <a:ext uri="{FF2B5EF4-FFF2-40B4-BE49-F238E27FC236}">
              <a16:creationId xmlns="" xmlns:a16="http://schemas.microsoft.com/office/drawing/2014/main" id="{00000000-0008-0000-0000-00005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0" name="Text Box 3088">
          <a:extLst>
            <a:ext uri="{FF2B5EF4-FFF2-40B4-BE49-F238E27FC236}">
              <a16:creationId xmlns="" xmlns:a16="http://schemas.microsoft.com/office/drawing/2014/main" id="{00000000-0008-0000-0000-00005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1" name="Text Box 3089">
          <a:extLst>
            <a:ext uri="{FF2B5EF4-FFF2-40B4-BE49-F238E27FC236}">
              <a16:creationId xmlns="" xmlns:a16="http://schemas.microsoft.com/office/drawing/2014/main" id="{00000000-0008-0000-0000-00005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2" name="Text Box 3090">
          <a:extLst>
            <a:ext uri="{FF2B5EF4-FFF2-40B4-BE49-F238E27FC236}">
              <a16:creationId xmlns="" xmlns:a16="http://schemas.microsoft.com/office/drawing/2014/main" id="{00000000-0008-0000-0000-00005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3" name="Text Box 3091">
          <a:extLst>
            <a:ext uri="{FF2B5EF4-FFF2-40B4-BE49-F238E27FC236}">
              <a16:creationId xmlns="" xmlns:a16="http://schemas.microsoft.com/office/drawing/2014/main" id="{00000000-0008-0000-0000-00005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4" name="Text Box 3092">
          <a:extLst>
            <a:ext uri="{FF2B5EF4-FFF2-40B4-BE49-F238E27FC236}">
              <a16:creationId xmlns="" xmlns:a16="http://schemas.microsoft.com/office/drawing/2014/main" id="{00000000-0008-0000-0000-00005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5" name="Text Box 3093">
          <a:extLst>
            <a:ext uri="{FF2B5EF4-FFF2-40B4-BE49-F238E27FC236}">
              <a16:creationId xmlns="" xmlns:a16="http://schemas.microsoft.com/office/drawing/2014/main" id="{00000000-0008-0000-0000-00005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6" name="Text Box 3094">
          <a:extLst>
            <a:ext uri="{FF2B5EF4-FFF2-40B4-BE49-F238E27FC236}">
              <a16:creationId xmlns="" xmlns:a16="http://schemas.microsoft.com/office/drawing/2014/main" id="{00000000-0008-0000-0000-00005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7" name="Text Box 3095">
          <a:extLst>
            <a:ext uri="{FF2B5EF4-FFF2-40B4-BE49-F238E27FC236}">
              <a16:creationId xmlns="" xmlns:a16="http://schemas.microsoft.com/office/drawing/2014/main" id="{00000000-0008-0000-0000-00005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8" name="Text Box 3096">
          <a:extLst>
            <a:ext uri="{FF2B5EF4-FFF2-40B4-BE49-F238E27FC236}">
              <a16:creationId xmlns="" xmlns:a16="http://schemas.microsoft.com/office/drawing/2014/main" id="{00000000-0008-0000-0000-00006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9" name="Text Box 3097">
          <a:extLst>
            <a:ext uri="{FF2B5EF4-FFF2-40B4-BE49-F238E27FC236}">
              <a16:creationId xmlns="" xmlns:a16="http://schemas.microsoft.com/office/drawing/2014/main" id="{00000000-0008-0000-0000-00006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0" name="Text Box 3098">
          <a:extLst>
            <a:ext uri="{FF2B5EF4-FFF2-40B4-BE49-F238E27FC236}">
              <a16:creationId xmlns="" xmlns:a16="http://schemas.microsoft.com/office/drawing/2014/main" id="{00000000-0008-0000-0000-00006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1" name="Text Box 3099">
          <a:extLst>
            <a:ext uri="{FF2B5EF4-FFF2-40B4-BE49-F238E27FC236}">
              <a16:creationId xmlns="" xmlns:a16="http://schemas.microsoft.com/office/drawing/2014/main" id="{00000000-0008-0000-0000-00006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2" name="Text Box 3100">
          <a:extLst>
            <a:ext uri="{FF2B5EF4-FFF2-40B4-BE49-F238E27FC236}">
              <a16:creationId xmlns="" xmlns:a16="http://schemas.microsoft.com/office/drawing/2014/main" id="{00000000-0008-0000-0000-00006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3" name="Text Box 3101">
          <a:extLst>
            <a:ext uri="{FF2B5EF4-FFF2-40B4-BE49-F238E27FC236}">
              <a16:creationId xmlns="" xmlns:a16="http://schemas.microsoft.com/office/drawing/2014/main" id="{00000000-0008-0000-0000-00006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014" name="Text Box 3102">
          <a:extLst>
            <a:ext uri="{FF2B5EF4-FFF2-40B4-BE49-F238E27FC236}">
              <a16:creationId xmlns="" xmlns:a16="http://schemas.microsoft.com/office/drawing/2014/main" id="{00000000-0008-0000-0000-00006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5" name="Text Box 59">
          <a:extLst>
            <a:ext uri="{FF2B5EF4-FFF2-40B4-BE49-F238E27FC236}">
              <a16:creationId xmlns="" xmlns:a16="http://schemas.microsoft.com/office/drawing/2014/main" id="{00000000-0008-0000-0000-00006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6" name="Text Box 60">
          <a:extLst>
            <a:ext uri="{FF2B5EF4-FFF2-40B4-BE49-F238E27FC236}">
              <a16:creationId xmlns="" xmlns:a16="http://schemas.microsoft.com/office/drawing/2014/main" id="{00000000-0008-0000-0000-00006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7" name="Text Box 61">
          <a:extLst>
            <a:ext uri="{FF2B5EF4-FFF2-40B4-BE49-F238E27FC236}">
              <a16:creationId xmlns="" xmlns:a16="http://schemas.microsoft.com/office/drawing/2014/main" id="{00000000-0008-0000-0000-00006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8" name="Text Box 62">
          <a:extLst>
            <a:ext uri="{FF2B5EF4-FFF2-40B4-BE49-F238E27FC236}">
              <a16:creationId xmlns="" xmlns:a16="http://schemas.microsoft.com/office/drawing/2014/main" id="{00000000-0008-0000-0000-00006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9" name="Text Box 63">
          <a:extLst>
            <a:ext uri="{FF2B5EF4-FFF2-40B4-BE49-F238E27FC236}">
              <a16:creationId xmlns="" xmlns:a16="http://schemas.microsoft.com/office/drawing/2014/main" id="{00000000-0008-0000-0000-00006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0" name="Text Box 64">
          <a:extLst>
            <a:ext uri="{FF2B5EF4-FFF2-40B4-BE49-F238E27FC236}">
              <a16:creationId xmlns="" xmlns:a16="http://schemas.microsoft.com/office/drawing/2014/main" id="{00000000-0008-0000-0000-00006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1" name="Text Box 65">
          <a:extLst>
            <a:ext uri="{FF2B5EF4-FFF2-40B4-BE49-F238E27FC236}">
              <a16:creationId xmlns="" xmlns:a16="http://schemas.microsoft.com/office/drawing/2014/main" id="{00000000-0008-0000-0000-00006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2" name="Text Box 66">
          <a:extLst>
            <a:ext uri="{FF2B5EF4-FFF2-40B4-BE49-F238E27FC236}">
              <a16:creationId xmlns="" xmlns:a16="http://schemas.microsoft.com/office/drawing/2014/main" id="{00000000-0008-0000-0000-00006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3" name="Text Box 67">
          <a:extLst>
            <a:ext uri="{FF2B5EF4-FFF2-40B4-BE49-F238E27FC236}">
              <a16:creationId xmlns="" xmlns:a16="http://schemas.microsoft.com/office/drawing/2014/main" id="{00000000-0008-0000-0000-00006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4" name="Text Box 68">
          <a:extLst>
            <a:ext uri="{FF2B5EF4-FFF2-40B4-BE49-F238E27FC236}">
              <a16:creationId xmlns="" xmlns:a16="http://schemas.microsoft.com/office/drawing/2014/main" id="{00000000-0008-0000-0000-00007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5" name="Text Box 69">
          <a:extLst>
            <a:ext uri="{FF2B5EF4-FFF2-40B4-BE49-F238E27FC236}">
              <a16:creationId xmlns="" xmlns:a16="http://schemas.microsoft.com/office/drawing/2014/main" id="{00000000-0008-0000-0000-00007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6" name="Text Box 70">
          <a:extLst>
            <a:ext uri="{FF2B5EF4-FFF2-40B4-BE49-F238E27FC236}">
              <a16:creationId xmlns="" xmlns:a16="http://schemas.microsoft.com/office/drawing/2014/main" id="{00000000-0008-0000-0000-00007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7" name="Text Box 71">
          <a:extLst>
            <a:ext uri="{FF2B5EF4-FFF2-40B4-BE49-F238E27FC236}">
              <a16:creationId xmlns="" xmlns:a16="http://schemas.microsoft.com/office/drawing/2014/main" id="{00000000-0008-0000-0000-00007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8" name="Text Box 72">
          <a:extLst>
            <a:ext uri="{FF2B5EF4-FFF2-40B4-BE49-F238E27FC236}">
              <a16:creationId xmlns="" xmlns:a16="http://schemas.microsoft.com/office/drawing/2014/main" id="{00000000-0008-0000-0000-00007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9" name="Text Box 73">
          <a:extLst>
            <a:ext uri="{FF2B5EF4-FFF2-40B4-BE49-F238E27FC236}">
              <a16:creationId xmlns="" xmlns:a16="http://schemas.microsoft.com/office/drawing/2014/main" id="{00000000-0008-0000-0000-00007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0" name="Text Box 74">
          <a:extLst>
            <a:ext uri="{FF2B5EF4-FFF2-40B4-BE49-F238E27FC236}">
              <a16:creationId xmlns="" xmlns:a16="http://schemas.microsoft.com/office/drawing/2014/main" id="{00000000-0008-0000-0000-00007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1" name="Text Box 75">
          <a:extLst>
            <a:ext uri="{FF2B5EF4-FFF2-40B4-BE49-F238E27FC236}">
              <a16:creationId xmlns="" xmlns:a16="http://schemas.microsoft.com/office/drawing/2014/main" id="{00000000-0008-0000-0000-00007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2" name="Text Box 76">
          <a:extLst>
            <a:ext uri="{FF2B5EF4-FFF2-40B4-BE49-F238E27FC236}">
              <a16:creationId xmlns="" xmlns:a16="http://schemas.microsoft.com/office/drawing/2014/main" id="{00000000-0008-0000-0000-00007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3" name="Text Box 77">
          <a:extLst>
            <a:ext uri="{FF2B5EF4-FFF2-40B4-BE49-F238E27FC236}">
              <a16:creationId xmlns="" xmlns:a16="http://schemas.microsoft.com/office/drawing/2014/main" id="{00000000-0008-0000-0000-00007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4" name="Text Box 78">
          <a:extLst>
            <a:ext uri="{FF2B5EF4-FFF2-40B4-BE49-F238E27FC236}">
              <a16:creationId xmlns="" xmlns:a16="http://schemas.microsoft.com/office/drawing/2014/main" id="{00000000-0008-0000-0000-00007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5" name="Text Box 79">
          <a:extLst>
            <a:ext uri="{FF2B5EF4-FFF2-40B4-BE49-F238E27FC236}">
              <a16:creationId xmlns="" xmlns:a16="http://schemas.microsoft.com/office/drawing/2014/main" id="{00000000-0008-0000-0000-00007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6" name="Text Box 80">
          <a:extLst>
            <a:ext uri="{FF2B5EF4-FFF2-40B4-BE49-F238E27FC236}">
              <a16:creationId xmlns="" xmlns:a16="http://schemas.microsoft.com/office/drawing/2014/main" id="{00000000-0008-0000-0000-00007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7" name="Text Box 81">
          <a:extLst>
            <a:ext uri="{FF2B5EF4-FFF2-40B4-BE49-F238E27FC236}">
              <a16:creationId xmlns="" xmlns:a16="http://schemas.microsoft.com/office/drawing/2014/main" id="{00000000-0008-0000-0000-00007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038" name="Text Box 82">
          <a:extLst>
            <a:ext uri="{FF2B5EF4-FFF2-40B4-BE49-F238E27FC236}">
              <a16:creationId xmlns="" xmlns:a16="http://schemas.microsoft.com/office/drawing/2014/main" id="{00000000-0008-0000-0000-00007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39" name="Text Box 3079">
          <a:extLst>
            <a:ext uri="{FF2B5EF4-FFF2-40B4-BE49-F238E27FC236}">
              <a16:creationId xmlns="" xmlns:a16="http://schemas.microsoft.com/office/drawing/2014/main" id="{00000000-0008-0000-0000-00007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0" name="Text Box 3080">
          <a:extLst>
            <a:ext uri="{FF2B5EF4-FFF2-40B4-BE49-F238E27FC236}">
              <a16:creationId xmlns="" xmlns:a16="http://schemas.microsoft.com/office/drawing/2014/main" id="{00000000-0008-0000-0000-00008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1" name="Text Box 3081">
          <a:extLst>
            <a:ext uri="{FF2B5EF4-FFF2-40B4-BE49-F238E27FC236}">
              <a16:creationId xmlns="" xmlns:a16="http://schemas.microsoft.com/office/drawing/2014/main" id="{00000000-0008-0000-0000-00008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2" name="Text Box 3082">
          <a:extLst>
            <a:ext uri="{FF2B5EF4-FFF2-40B4-BE49-F238E27FC236}">
              <a16:creationId xmlns="" xmlns:a16="http://schemas.microsoft.com/office/drawing/2014/main" id="{00000000-0008-0000-0000-00008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3" name="Text Box 3083">
          <a:extLst>
            <a:ext uri="{FF2B5EF4-FFF2-40B4-BE49-F238E27FC236}">
              <a16:creationId xmlns="" xmlns:a16="http://schemas.microsoft.com/office/drawing/2014/main" id="{00000000-0008-0000-0000-00008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4" name="Text Box 3084">
          <a:extLst>
            <a:ext uri="{FF2B5EF4-FFF2-40B4-BE49-F238E27FC236}">
              <a16:creationId xmlns="" xmlns:a16="http://schemas.microsoft.com/office/drawing/2014/main" id="{00000000-0008-0000-0000-00008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5" name="Text Box 3085">
          <a:extLst>
            <a:ext uri="{FF2B5EF4-FFF2-40B4-BE49-F238E27FC236}">
              <a16:creationId xmlns="" xmlns:a16="http://schemas.microsoft.com/office/drawing/2014/main" id="{00000000-0008-0000-0000-00008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6" name="Text Box 3086">
          <a:extLst>
            <a:ext uri="{FF2B5EF4-FFF2-40B4-BE49-F238E27FC236}">
              <a16:creationId xmlns="" xmlns:a16="http://schemas.microsoft.com/office/drawing/2014/main" id="{00000000-0008-0000-0000-00008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7" name="Text Box 3087">
          <a:extLst>
            <a:ext uri="{FF2B5EF4-FFF2-40B4-BE49-F238E27FC236}">
              <a16:creationId xmlns="" xmlns:a16="http://schemas.microsoft.com/office/drawing/2014/main" id="{00000000-0008-0000-0000-00008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8" name="Text Box 3088">
          <a:extLst>
            <a:ext uri="{FF2B5EF4-FFF2-40B4-BE49-F238E27FC236}">
              <a16:creationId xmlns="" xmlns:a16="http://schemas.microsoft.com/office/drawing/2014/main" id="{00000000-0008-0000-0000-00008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9" name="Text Box 3089">
          <a:extLst>
            <a:ext uri="{FF2B5EF4-FFF2-40B4-BE49-F238E27FC236}">
              <a16:creationId xmlns="" xmlns:a16="http://schemas.microsoft.com/office/drawing/2014/main" id="{00000000-0008-0000-0000-00008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0" name="Text Box 3090">
          <a:extLst>
            <a:ext uri="{FF2B5EF4-FFF2-40B4-BE49-F238E27FC236}">
              <a16:creationId xmlns="" xmlns:a16="http://schemas.microsoft.com/office/drawing/2014/main" id="{00000000-0008-0000-0000-00008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1" name="Text Box 3091">
          <a:extLst>
            <a:ext uri="{FF2B5EF4-FFF2-40B4-BE49-F238E27FC236}">
              <a16:creationId xmlns="" xmlns:a16="http://schemas.microsoft.com/office/drawing/2014/main" id="{00000000-0008-0000-0000-00008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2" name="Text Box 3092">
          <a:extLst>
            <a:ext uri="{FF2B5EF4-FFF2-40B4-BE49-F238E27FC236}">
              <a16:creationId xmlns="" xmlns:a16="http://schemas.microsoft.com/office/drawing/2014/main" id="{00000000-0008-0000-0000-00008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3" name="Text Box 3093">
          <a:extLst>
            <a:ext uri="{FF2B5EF4-FFF2-40B4-BE49-F238E27FC236}">
              <a16:creationId xmlns="" xmlns:a16="http://schemas.microsoft.com/office/drawing/2014/main" id="{00000000-0008-0000-0000-00008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4" name="Text Box 3094">
          <a:extLst>
            <a:ext uri="{FF2B5EF4-FFF2-40B4-BE49-F238E27FC236}">
              <a16:creationId xmlns="" xmlns:a16="http://schemas.microsoft.com/office/drawing/2014/main" id="{00000000-0008-0000-0000-00008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5" name="Text Box 3095">
          <a:extLst>
            <a:ext uri="{FF2B5EF4-FFF2-40B4-BE49-F238E27FC236}">
              <a16:creationId xmlns="" xmlns:a16="http://schemas.microsoft.com/office/drawing/2014/main" id="{00000000-0008-0000-0000-00008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6" name="Text Box 3096">
          <a:extLst>
            <a:ext uri="{FF2B5EF4-FFF2-40B4-BE49-F238E27FC236}">
              <a16:creationId xmlns="" xmlns:a16="http://schemas.microsoft.com/office/drawing/2014/main" id="{00000000-0008-0000-0000-00009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7" name="Text Box 3097">
          <a:extLst>
            <a:ext uri="{FF2B5EF4-FFF2-40B4-BE49-F238E27FC236}">
              <a16:creationId xmlns="" xmlns:a16="http://schemas.microsoft.com/office/drawing/2014/main" id="{00000000-0008-0000-0000-00009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8" name="Text Box 3098">
          <a:extLst>
            <a:ext uri="{FF2B5EF4-FFF2-40B4-BE49-F238E27FC236}">
              <a16:creationId xmlns="" xmlns:a16="http://schemas.microsoft.com/office/drawing/2014/main" id="{00000000-0008-0000-0000-00009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9" name="Text Box 3099">
          <a:extLst>
            <a:ext uri="{FF2B5EF4-FFF2-40B4-BE49-F238E27FC236}">
              <a16:creationId xmlns="" xmlns:a16="http://schemas.microsoft.com/office/drawing/2014/main" id="{00000000-0008-0000-0000-00009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60" name="Text Box 3100">
          <a:extLst>
            <a:ext uri="{FF2B5EF4-FFF2-40B4-BE49-F238E27FC236}">
              <a16:creationId xmlns="" xmlns:a16="http://schemas.microsoft.com/office/drawing/2014/main" id="{00000000-0008-0000-0000-00009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61" name="Text Box 3101">
          <a:extLst>
            <a:ext uri="{FF2B5EF4-FFF2-40B4-BE49-F238E27FC236}">
              <a16:creationId xmlns="" xmlns:a16="http://schemas.microsoft.com/office/drawing/2014/main" id="{00000000-0008-0000-0000-00009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062" name="Text Box 3102">
          <a:extLst>
            <a:ext uri="{FF2B5EF4-FFF2-40B4-BE49-F238E27FC236}">
              <a16:creationId xmlns="" xmlns:a16="http://schemas.microsoft.com/office/drawing/2014/main" id="{00000000-0008-0000-0000-00009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3" name="Text Box 59">
          <a:extLst>
            <a:ext uri="{FF2B5EF4-FFF2-40B4-BE49-F238E27FC236}">
              <a16:creationId xmlns="" xmlns:a16="http://schemas.microsoft.com/office/drawing/2014/main" id="{00000000-0008-0000-0000-00009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4" name="Text Box 60">
          <a:extLst>
            <a:ext uri="{FF2B5EF4-FFF2-40B4-BE49-F238E27FC236}">
              <a16:creationId xmlns="" xmlns:a16="http://schemas.microsoft.com/office/drawing/2014/main" id="{00000000-0008-0000-0000-00009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5" name="Text Box 61">
          <a:extLst>
            <a:ext uri="{FF2B5EF4-FFF2-40B4-BE49-F238E27FC236}">
              <a16:creationId xmlns="" xmlns:a16="http://schemas.microsoft.com/office/drawing/2014/main" id="{00000000-0008-0000-0000-00009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6" name="Text Box 62">
          <a:extLst>
            <a:ext uri="{FF2B5EF4-FFF2-40B4-BE49-F238E27FC236}">
              <a16:creationId xmlns="" xmlns:a16="http://schemas.microsoft.com/office/drawing/2014/main" id="{00000000-0008-0000-0000-00009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7" name="Text Box 63">
          <a:extLst>
            <a:ext uri="{FF2B5EF4-FFF2-40B4-BE49-F238E27FC236}">
              <a16:creationId xmlns="" xmlns:a16="http://schemas.microsoft.com/office/drawing/2014/main" id="{00000000-0008-0000-0000-00009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8" name="Text Box 64">
          <a:extLst>
            <a:ext uri="{FF2B5EF4-FFF2-40B4-BE49-F238E27FC236}">
              <a16:creationId xmlns="" xmlns:a16="http://schemas.microsoft.com/office/drawing/2014/main" id="{00000000-0008-0000-0000-00009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9" name="Text Box 65">
          <a:extLst>
            <a:ext uri="{FF2B5EF4-FFF2-40B4-BE49-F238E27FC236}">
              <a16:creationId xmlns="" xmlns:a16="http://schemas.microsoft.com/office/drawing/2014/main" id="{00000000-0008-0000-0000-00009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0" name="Text Box 66">
          <a:extLst>
            <a:ext uri="{FF2B5EF4-FFF2-40B4-BE49-F238E27FC236}">
              <a16:creationId xmlns="" xmlns:a16="http://schemas.microsoft.com/office/drawing/2014/main" id="{00000000-0008-0000-0000-00009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1" name="Text Box 67">
          <a:extLst>
            <a:ext uri="{FF2B5EF4-FFF2-40B4-BE49-F238E27FC236}">
              <a16:creationId xmlns="" xmlns:a16="http://schemas.microsoft.com/office/drawing/2014/main" id="{00000000-0008-0000-0000-00009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2" name="Text Box 68">
          <a:extLst>
            <a:ext uri="{FF2B5EF4-FFF2-40B4-BE49-F238E27FC236}">
              <a16:creationId xmlns="" xmlns:a16="http://schemas.microsoft.com/office/drawing/2014/main" id="{00000000-0008-0000-0000-0000A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3" name="Text Box 69">
          <a:extLst>
            <a:ext uri="{FF2B5EF4-FFF2-40B4-BE49-F238E27FC236}">
              <a16:creationId xmlns="" xmlns:a16="http://schemas.microsoft.com/office/drawing/2014/main" id="{00000000-0008-0000-0000-0000A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4" name="Text Box 70">
          <a:extLst>
            <a:ext uri="{FF2B5EF4-FFF2-40B4-BE49-F238E27FC236}">
              <a16:creationId xmlns="" xmlns:a16="http://schemas.microsoft.com/office/drawing/2014/main" id="{00000000-0008-0000-0000-0000A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5" name="Text Box 71">
          <a:extLst>
            <a:ext uri="{FF2B5EF4-FFF2-40B4-BE49-F238E27FC236}">
              <a16:creationId xmlns="" xmlns:a16="http://schemas.microsoft.com/office/drawing/2014/main" id="{00000000-0008-0000-0000-0000A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6" name="Text Box 72">
          <a:extLst>
            <a:ext uri="{FF2B5EF4-FFF2-40B4-BE49-F238E27FC236}">
              <a16:creationId xmlns="" xmlns:a16="http://schemas.microsoft.com/office/drawing/2014/main" id="{00000000-0008-0000-0000-0000A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7" name="Text Box 73">
          <a:extLst>
            <a:ext uri="{FF2B5EF4-FFF2-40B4-BE49-F238E27FC236}">
              <a16:creationId xmlns="" xmlns:a16="http://schemas.microsoft.com/office/drawing/2014/main" id="{00000000-0008-0000-0000-0000A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8" name="Text Box 74">
          <a:extLst>
            <a:ext uri="{FF2B5EF4-FFF2-40B4-BE49-F238E27FC236}">
              <a16:creationId xmlns="" xmlns:a16="http://schemas.microsoft.com/office/drawing/2014/main" id="{00000000-0008-0000-0000-0000A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9" name="Text Box 75">
          <a:extLst>
            <a:ext uri="{FF2B5EF4-FFF2-40B4-BE49-F238E27FC236}">
              <a16:creationId xmlns="" xmlns:a16="http://schemas.microsoft.com/office/drawing/2014/main" id="{00000000-0008-0000-0000-0000A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0" name="Text Box 76">
          <a:extLst>
            <a:ext uri="{FF2B5EF4-FFF2-40B4-BE49-F238E27FC236}">
              <a16:creationId xmlns="" xmlns:a16="http://schemas.microsoft.com/office/drawing/2014/main" id="{00000000-0008-0000-0000-0000A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1" name="Text Box 77">
          <a:extLst>
            <a:ext uri="{FF2B5EF4-FFF2-40B4-BE49-F238E27FC236}">
              <a16:creationId xmlns="" xmlns:a16="http://schemas.microsoft.com/office/drawing/2014/main" id="{00000000-0008-0000-0000-0000A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2" name="Text Box 78">
          <a:extLst>
            <a:ext uri="{FF2B5EF4-FFF2-40B4-BE49-F238E27FC236}">
              <a16:creationId xmlns="" xmlns:a16="http://schemas.microsoft.com/office/drawing/2014/main" id="{00000000-0008-0000-0000-0000A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3" name="Text Box 79">
          <a:extLst>
            <a:ext uri="{FF2B5EF4-FFF2-40B4-BE49-F238E27FC236}">
              <a16:creationId xmlns="" xmlns:a16="http://schemas.microsoft.com/office/drawing/2014/main" id="{00000000-0008-0000-0000-0000A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4" name="Text Box 80">
          <a:extLst>
            <a:ext uri="{FF2B5EF4-FFF2-40B4-BE49-F238E27FC236}">
              <a16:creationId xmlns="" xmlns:a16="http://schemas.microsoft.com/office/drawing/2014/main" id="{00000000-0008-0000-0000-0000A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5" name="Text Box 81">
          <a:extLst>
            <a:ext uri="{FF2B5EF4-FFF2-40B4-BE49-F238E27FC236}">
              <a16:creationId xmlns="" xmlns:a16="http://schemas.microsoft.com/office/drawing/2014/main" id="{00000000-0008-0000-0000-0000A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6" name="Text Box 3079">
          <a:extLst>
            <a:ext uri="{FF2B5EF4-FFF2-40B4-BE49-F238E27FC236}">
              <a16:creationId xmlns="" xmlns:a16="http://schemas.microsoft.com/office/drawing/2014/main" id="{00000000-0008-0000-0000-0000A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7" name="Text Box 3080">
          <a:extLst>
            <a:ext uri="{FF2B5EF4-FFF2-40B4-BE49-F238E27FC236}">
              <a16:creationId xmlns="" xmlns:a16="http://schemas.microsoft.com/office/drawing/2014/main" id="{00000000-0008-0000-0000-0000A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8" name="Text Box 3081">
          <a:extLst>
            <a:ext uri="{FF2B5EF4-FFF2-40B4-BE49-F238E27FC236}">
              <a16:creationId xmlns="" xmlns:a16="http://schemas.microsoft.com/office/drawing/2014/main" id="{00000000-0008-0000-0000-0000B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9" name="Text Box 3082">
          <a:extLst>
            <a:ext uri="{FF2B5EF4-FFF2-40B4-BE49-F238E27FC236}">
              <a16:creationId xmlns="" xmlns:a16="http://schemas.microsoft.com/office/drawing/2014/main" id="{00000000-0008-0000-0000-0000B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0" name="Text Box 3083">
          <a:extLst>
            <a:ext uri="{FF2B5EF4-FFF2-40B4-BE49-F238E27FC236}">
              <a16:creationId xmlns="" xmlns:a16="http://schemas.microsoft.com/office/drawing/2014/main" id="{00000000-0008-0000-0000-0000B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1" name="Text Box 3084">
          <a:extLst>
            <a:ext uri="{FF2B5EF4-FFF2-40B4-BE49-F238E27FC236}">
              <a16:creationId xmlns="" xmlns:a16="http://schemas.microsoft.com/office/drawing/2014/main" id="{00000000-0008-0000-0000-0000B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2" name="Text Box 3085">
          <a:extLst>
            <a:ext uri="{FF2B5EF4-FFF2-40B4-BE49-F238E27FC236}">
              <a16:creationId xmlns="" xmlns:a16="http://schemas.microsoft.com/office/drawing/2014/main" id="{00000000-0008-0000-0000-0000B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3" name="Text Box 3086">
          <a:extLst>
            <a:ext uri="{FF2B5EF4-FFF2-40B4-BE49-F238E27FC236}">
              <a16:creationId xmlns="" xmlns:a16="http://schemas.microsoft.com/office/drawing/2014/main" id="{00000000-0008-0000-0000-0000B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4" name="Text Box 3087">
          <a:extLst>
            <a:ext uri="{FF2B5EF4-FFF2-40B4-BE49-F238E27FC236}">
              <a16:creationId xmlns="" xmlns:a16="http://schemas.microsoft.com/office/drawing/2014/main" id="{00000000-0008-0000-0000-0000B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5" name="Text Box 3088">
          <a:extLst>
            <a:ext uri="{FF2B5EF4-FFF2-40B4-BE49-F238E27FC236}">
              <a16:creationId xmlns="" xmlns:a16="http://schemas.microsoft.com/office/drawing/2014/main" id="{00000000-0008-0000-0000-0000B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6" name="Text Box 3089">
          <a:extLst>
            <a:ext uri="{FF2B5EF4-FFF2-40B4-BE49-F238E27FC236}">
              <a16:creationId xmlns="" xmlns:a16="http://schemas.microsoft.com/office/drawing/2014/main" id="{00000000-0008-0000-0000-0000B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7" name="Text Box 3090">
          <a:extLst>
            <a:ext uri="{FF2B5EF4-FFF2-40B4-BE49-F238E27FC236}">
              <a16:creationId xmlns="" xmlns:a16="http://schemas.microsoft.com/office/drawing/2014/main" id="{00000000-0008-0000-0000-0000B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8" name="Text Box 3091">
          <a:extLst>
            <a:ext uri="{FF2B5EF4-FFF2-40B4-BE49-F238E27FC236}">
              <a16:creationId xmlns="" xmlns:a16="http://schemas.microsoft.com/office/drawing/2014/main" id="{00000000-0008-0000-0000-0000B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9" name="Text Box 3092">
          <a:extLst>
            <a:ext uri="{FF2B5EF4-FFF2-40B4-BE49-F238E27FC236}">
              <a16:creationId xmlns="" xmlns:a16="http://schemas.microsoft.com/office/drawing/2014/main" id="{00000000-0008-0000-0000-0000B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0" name="Text Box 3093">
          <a:extLst>
            <a:ext uri="{FF2B5EF4-FFF2-40B4-BE49-F238E27FC236}">
              <a16:creationId xmlns="" xmlns:a16="http://schemas.microsoft.com/office/drawing/2014/main" id="{00000000-0008-0000-0000-0000B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1" name="Text Box 3094">
          <a:extLst>
            <a:ext uri="{FF2B5EF4-FFF2-40B4-BE49-F238E27FC236}">
              <a16:creationId xmlns="" xmlns:a16="http://schemas.microsoft.com/office/drawing/2014/main" id="{00000000-0008-0000-0000-0000B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2" name="Text Box 3095">
          <a:extLst>
            <a:ext uri="{FF2B5EF4-FFF2-40B4-BE49-F238E27FC236}">
              <a16:creationId xmlns="" xmlns:a16="http://schemas.microsoft.com/office/drawing/2014/main" id="{00000000-0008-0000-0000-0000B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3" name="Text Box 3096">
          <a:extLst>
            <a:ext uri="{FF2B5EF4-FFF2-40B4-BE49-F238E27FC236}">
              <a16:creationId xmlns="" xmlns:a16="http://schemas.microsoft.com/office/drawing/2014/main" id="{00000000-0008-0000-0000-0000B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4" name="Text Box 3097">
          <a:extLst>
            <a:ext uri="{FF2B5EF4-FFF2-40B4-BE49-F238E27FC236}">
              <a16:creationId xmlns="" xmlns:a16="http://schemas.microsoft.com/office/drawing/2014/main" id="{00000000-0008-0000-0000-0000C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5" name="Text Box 3098">
          <a:extLst>
            <a:ext uri="{FF2B5EF4-FFF2-40B4-BE49-F238E27FC236}">
              <a16:creationId xmlns="" xmlns:a16="http://schemas.microsoft.com/office/drawing/2014/main" id="{00000000-0008-0000-0000-0000C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6" name="Text Box 3099">
          <a:extLst>
            <a:ext uri="{FF2B5EF4-FFF2-40B4-BE49-F238E27FC236}">
              <a16:creationId xmlns="" xmlns:a16="http://schemas.microsoft.com/office/drawing/2014/main" id="{00000000-0008-0000-0000-0000C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7" name="Text Box 3100">
          <a:extLst>
            <a:ext uri="{FF2B5EF4-FFF2-40B4-BE49-F238E27FC236}">
              <a16:creationId xmlns="" xmlns:a16="http://schemas.microsoft.com/office/drawing/2014/main" id="{00000000-0008-0000-0000-0000C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8" name="Text Box 3101">
          <a:extLst>
            <a:ext uri="{FF2B5EF4-FFF2-40B4-BE49-F238E27FC236}">
              <a16:creationId xmlns="" xmlns:a16="http://schemas.microsoft.com/office/drawing/2014/main" id="{00000000-0008-0000-0000-0000C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109" name="Text Box 3102">
          <a:extLst>
            <a:ext uri="{FF2B5EF4-FFF2-40B4-BE49-F238E27FC236}">
              <a16:creationId xmlns="" xmlns:a16="http://schemas.microsoft.com/office/drawing/2014/main" id="{00000000-0008-0000-0000-0000C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0" name="Text Box 59">
          <a:extLst>
            <a:ext uri="{FF2B5EF4-FFF2-40B4-BE49-F238E27FC236}">
              <a16:creationId xmlns="" xmlns:a16="http://schemas.microsoft.com/office/drawing/2014/main" id="{00000000-0008-0000-0000-0000C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1" name="Text Box 60">
          <a:extLst>
            <a:ext uri="{FF2B5EF4-FFF2-40B4-BE49-F238E27FC236}">
              <a16:creationId xmlns="" xmlns:a16="http://schemas.microsoft.com/office/drawing/2014/main" id="{00000000-0008-0000-0000-0000C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2" name="Text Box 61">
          <a:extLst>
            <a:ext uri="{FF2B5EF4-FFF2-40B4-BE49-F238E27FC236}">
              <a16:creationId xmlns="" xmlns:a16="http://schemas.microsoft.com/office/drawing/2014/main" id="{00000000-0008-0000-0000-0000C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3" name="Text Box 62">
          <a:extLst>
            <a:ext uri="{FF2B5EF4-FFF2-40B4-BE49-F238E27FC236}">
              <a16:creationId xmlns="" xmlns:a16="http://schemas.microsoft.com/office/drawing/2014/main" id="{00000000-0008-0000-0000-0000C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4" name="Text Box 63">
          <a:extLst>
            <a:ext uri="{FF2B5EF4-FFF2-40B4-BE49-F238E27FC236}">
              <a16:creationId xmlns="" xmlns:a16="http://schemas.microsoft.com/office/drawing/2014/main" id="{00000000-0008-0000-0000-0000C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5" name="Text Box 64">
          <a:extLst>
            <a:ext uri="{FF2B5EF4-FFF2-40B4-BE49-F238E27FC236}">
              <a16:creationId xmlns="" xmlns:a16="http://schemas.microsoft.com/office/drawing/2014/main" id="{00000000-0008-0000-0000-0000C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6" name="Text Box 65">
          <a:extLst>
            <a:ext uri="{FF2B5EF4-FFF2-40B4-BE49-F238E27FC236}">
              <a16:creationId xmlns="" xmlns:a16="http://schemas.microsoft.com/office/drawing/2014/main" id="{00000000-0008-0000-0000-0000C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7" name="Text Box 66">
          <a:extLst>
            <a:ext uri="{FF2B5EF4-FFF2-40B4-BE49-F238E27FC236}">
              <a16:creationId xmlns="" xmlns:a16="http://schemas.microsoft.com/office/drawing/2014/main" id="{00000000-0008-0000-0000-0000C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8" name="Text Box 67">
          <a:extLst>
            <a:ext uri="{FF2B5EF4-FFF2-40B4-BE49-F238E27FC236}">
              <a16:creationId xmlns="" xmlns:a16="http://schemas.microsoft.com/office/drawing/2014/main" id="{00000000-0008-0000-0000-0000C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9" name="Text Box 68">
          <a:extLst>
            <a:ext uri="{FF2B5EF4-FFF2-40B4-BE49-F238E27FC236}">
              <a16:creationId xmlns="" xmlns:a16="http://schemas.microsoft.com/office/drawing/2014/main" id="{00000000-0008-0000-0000-0000C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0" name="Text Box 69">
          <a:extLst>
            <a:ext uri="{FF2B5EF4-FFF2-40B4-BE49-F238E27FC236}">
              <a16:creationId xmlns="" xmlns:a16="http://schemas.microsoft.com/office/drawing/2014/main" id="{00000000-0008-0000-0000-0000D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1" name="Text Box 70">
          <a:extLst>
            <a:ext uri="{FF2B5EF4-FFF2-40B4-BE49-F238E27FC236}">
              <a16:creationId xmlns="" xmlns:a16="http://schemas.microsoft.com/office/drawing/2014/main" id="{00000000-0008-0000-0000-0000D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2" name="Text Box 71">
          <a:extLst>
            <a:ext uri="{FF2B5EF4-FFF2-40B4-BE49-F238E27FC236}">
              <a16:creationId xmlns="" xmlns:a16="http://schemas.microsoft.com/office/drawing/2014/main" id="{00000000-0008-0000-0000-0000D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3" name="Text Box 72">
          <a:extLst>
            <a:ext uri="{FF2B5EF4-FFF2-40B4-BE49-F238E27FC236}">
              <a16:creationId xmlns="" xmlns:a16="http://schemas.microsoft.com/office/drawing/2014/main" id="{00000000-0008-0000-0000-0000D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4" name="Text Box 73">
          <a:extLst>
            <a:ext uri="{FF2B5EF4-FFF2-40B4-BE49-F238E27FC236}">
              <a16:creationId xmlns="" xmlns:a16="http://schemas.microsoft.com/office/drawing/2014/main" id="{00000000-0008-0000-0000-0000D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5" name="Text Box 74">
          <a:extLst>
            <a:ext uri="{FF2B5EF4-FFF2-40B4-BE49-F238E27FC236}">
              <a16:creationId xmlns="" xmlns:a16="http://schemas.microsoft.com/office/drawing/2014/main" id="{00000000-0008-0000-0000-0000D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6" name="Text Box 75">
          <a:extLst>
            <a:ext uri="{FF2B5EF4-FFF2-40B4-BE49-F238E27FC236}">
              <a16:creationId xmlns="" xmlns:a16="http://schemas.microsoft.com/office/drawing/2014/main" id="{00000000-0008-0000-0000-0000D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7" name="Text Box 76">
          <a:extLst>
            <a:ext uri="{FF2B5EF4-FFF2-40B4-BE49-F238E27FC236}">
              <a16:creationId xmlns="" xmlns:a16="http://schemas.microsoft.com/office/drawing/2014/main" id="{00000000-0008-0000-0000-0000D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8" name="Text Box 77">
          <a:extLst>
            <a:ext uri="{FF2B5EF4-FFF2-40B4-BE49-F238E27FC236}">
              <a16:creationId xmlns="" xmlns:a16="http://schemas.microsoft.com/office/drawing/2014/main" id="{00000000-0008-0000-0000-0000D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9" name="Text Box 78">
          <a:extLst>
            <a:ext uri="{FF2B5EF4-FFF2-40B4-BE49-F238E27FC236}">
              <a16:creationId xmlns="" xmlns:a16="http://schemas.microsoft.com/office/drawing/2014/main" id="{00000000-0008-0000-0000-0000D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0" name="Text Box 79">
          <a:extLst>
            <a:ext uri="{FF2B5EF4-FFF2-40B4-BE49-F238E27FC236}">
              <a16:creationId xmlns="" xmlns:a16="http://schemas.microsoft.com/office/drawing/2014/main" id="{00000000-0008-0000-0000-0000D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1" name="Text Box 80">
          <a:extLst>
            <a:ext uri="{FF2B5EF4-FFF2-40B4-BE49-F238E27FC236}">
              <a16:creationId xmlns="" xmlns:a16="http://schemas.microsoft.com/office/drawing/2014/main" id="{00000000-0008-0000-0000-0000D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2" name="Text Box 81">
          <a:extLst>
            <a:ext uri="{FF2B5EF4-FFF2-40B4-BE49-F238E27FC236}">
              <a16:creationId xmlns="" xmlns:a16="http://schemas.microsoft.com/office/drawing/2014/main" id="{00000000-0008-0000-0000-0000D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133" name="Text Box 82">
          <a:extLst>
            <a:ext uri="{FF2B5EF4-FFF2-40B4-BE49-F238E27FC236}">
              <a16:creationId xmlns="" xmlns:a16="http://schemas.microsoft.com/office/drawing/2014/main" id="{00000000-0008-0000-0000-0000D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4" name="Text Box 3079">
          <a:extLst>
            <a:ext uri="{FF2B5EF4-FFF2-40B4-BE49-F238E27FC236}">
              <a16:creationId xmlns="" xmlns:a16="http://schemas.microsoft.com/office/drawing/2014/main" id="{00000000-0008-0000-0000-0000D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5" name="Text Box 3080">
          <a:extLst>
            <a:ext uri="{FF2B5EF4-FFF2-40B4-BE49-F238E27FC236}">
              <a16:creationId xmlns="" xmlns:a16="http://schemas.microsoft.com/office/drawing/2014/main" id="{00000000-0008-0000-0000-0000D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6" name="Text Box 3081">
          <a:extLst>
            <a:ext uri="{FF2B5EF4-FFF2-40B4-BE49-F238E27FC236}">
              <a16:creationId xmlns="" xmlns:a16="http://schemas.microsoft.com/office/drawing/2014/main" id="{00000000-0008-0000-0000-0000E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7" name="Text Box 3082">
          <a:extLst>
            <a:ext uri="{FF2B5EF4-FFF2-40B4-BE49-F238E27FC236}">
              <a16:creationId xmlns="" xmlns:a16="http://schemas.microsoft.com/office/drawing/2014/main" id="{00000000-0008-0000-0000-0000E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8" name="Text Box 3083">
          <a:extLst>
            <a:ext uri="{FF2B5EF4-FFF2-40B4-BE49-F238E27FC236}">
              <a16:creationId xmlns="" xmlns:a16="http://schemas.microsoft.com/office/drawing/2014/main" id="{00000000-0008-0000-0000-0000E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9" name="Text Box 3084">
          <a:extLst>
            <a:ext uri="{FF2B5EF4-FFF2-40B4-BE49-F238E27FC236}">
              <a16:creationId xmlns="" xmlns:a16="http://schemas.microsoft.com/office/drawing/2014/main" id="{00000000-0008-0000-0000-0000E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0" name="Text Box 3085">
          <a:extLst>
            <a:ext uri="{FF2B5EF4-FFF2-40B4-BE49-F238E27FC236}">
              <a16:creationId xmlns="" xmlns:a16="http://schemas.microsoft.com/office/drawing/2014/main" id="{00000000-0008-0000-0000-0000E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1" name="Text Box 3086">
          <a:extLst>
            <a:ext uri="{FF2B5EF4-FFF2-40B4-BE49-F238E27FC236}">
              <a16:creationId xmlns="" xmlns:a16="http://schemas.microsoft.com/office/drawing/2014/main" id="{00000000-0008-0000-0000-0000E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2" name="Text Box 3087">
          <a:extLst>
            <a:ext uri="{FF2B5EF4-FFF2-40B4-BE49-F238E27FC236}">
              <a16:creationId xmlns="" xmlns:a16="http://schemas.microsoft.com/office/drawing/2014/main" id="{00000000-0008-0000-0000-0000E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3" name="Text Box 3088">
          <a:extLst>
            <a:ext uri="{FF2B5EF4-FFF2-40B4-BE49-F238E27FC236}">
              <a16:creationId xmlns="" xmlns:a16="http://schemas.microsoft.com/office/drawing/2014/main" id="{00000000-0008-0000-0000-0000E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4" name="Text Box 3089">
          <a:extLst>
            <a:ext uri="{FF2B5EF4-FFF2-40B4-BE49-F238E27FC236}">
              <a16:creationId xmlns="" xmlns:a16="http://schemas.microsoft.com/office/drawing/2014/main" id="{00000000-0008-0000-0000-0000E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5" name="Text Box 3090">
          <a:extLst>
            <a:ext uri="{FF2B5EF4-FFF2-40B4-BE49-F238E27FC236}">
              <a16:creationId xmlns="" xmlns:a16="http://schemas.microsoft.com/office/drawing/2014/main" id="{00000000-0008-0000-0000-0000E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6" name="Text Box 3091">
          <a:extLst>
            <a:ext uri="{FF2B5EF4-FFF2-40B4-BE49-F238E27FC236}">
              <a16:creationId xmlns="" xmlns:a16="http://schemas.microsoft.com/office/drawing/2014/main" id="{00000000-0008-0000-0000-0000E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7" name="Text Box 3092">
          <a:extLst>
            <a:ext uri="{FF2B5EF4-FFF2-40B4-BE49-F238E27FC236}">
              <a16:creationId xmlns="" xmlns:a16="http://schemas.microsoft.com/office/drawing/2014/main" id="{00000000-0008-0000-0000-0000E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8" name="Text Box 3093">
          <a:extLst>
            <a:ext uri="{FF2B5EF4-FFF2-40B4-BE49-F238E27FC236}">
              <a16:creationId xmlns="" xmlns:a16="http://schemas.microsoft.com/office/drawing/2014/main" id="{00000000-0008-0000-0000-0000E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9" name="Text Box 3094">
          <a:extLst>
            <a:ext uri="{FF2B5EF4-FFF2-40B4-BE49-F238E27FC236}">
              <a16:creationId xmlns="" xmlns:a16="http://schemas.microsoft.com/office/drawing/2014/main" id="{00000000-0008-0000-0000-0000E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0" name="Text Box 3095">
          <a:extLst>
            <a:ext uri="{FF2B5EF4-FFF2-40B4-BE49-F238E27FC236}">
              <a16:creationId xmlns="" xmlns:a16="http://schemas.microsoft.com/office/drawing/2014/main" id="{00000000-0008-0000-0000-0000E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1" name="Text Box 3096">
          <a:extLst>
            <a:ext uri="{FF2B5EF4-FFF2-40B4-BE49-F238E27FC236}">
              <a16:creationId xmlns="" xmlns:a16="http://schemas.microsoft.com/office/drawing/2014/main" id="{00000000-0008-0000-0000-0000E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2" name="Text Box 3097">
          <a:extLst>
            <a:ext uri="{FF2B5EF4-FFF2-40B4-BE49-F238E27FC236}">
              <a16:creationId xmlns="" xmlns:a16="http://schemas.microsoft.com/office/drawing/2014/main" id="{00000000-0008-0000-0000-0000F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3" name="Text Box 3098">
          <a:extLst>
            <a:ext uri="{FF2B5EF4-FFF2-40B4-BE49-F238E27FC236}">
              <a16:creationId xmlns="" xmlns:a16="http://schemas.microsoft.com/office/drawing/2014/main" id="{00000000-0008-0000-0000-0000F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4" name="Text Box 3099">
          <a:extLst>
            <a:ext uri="{FF2B5EF4-FFF2-40B4-BE49-F238E27FC236}">
              <a16:creationId xmlns="" xmlns:a16="http://schemas.microsoft.com/office/drawing/2014/main" id="{00000000-0008-0000-0000-0000F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5" name="Text Box 3100">
          <a:extLst>
            <a:ext uri="{FF2B5EF4-FFF2-40B4-BE49-F238E27FC236}">
              <a16:creationId xmlns="" xmlns:a16="http://schemas.microsoft.com/office/drawing/2014/main" id="{00000000-0008-0000-0000-0000F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6" name="Text Box 3101">
          <a:extLst>
            <a:ext uri="{FF2B5EF4-FFF2-40B4-BE49-F238E27FC236}">
              <a16:creationId xmlns="" xmlns:a16="http://schemas.microsoft.com/office/drawing/2014/main" id="{00000000-0008-0000-0000-0000F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157" name="Text Box 3102">
          <a:extLst>
            <a:ext uri="{FF2B5EF4-FFF2-40B4-BE49-F238E27FC236}">
              <a16:creationId xmlns="" xmlns:a16="http://schemas.microsoft.com/office/drawing/2014/main" id="{00000000-0008-0000-0000-0000F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58" name="Text Box 59">
          <a:extLst>
            <a:ext uri="{FF2B5EF4-FFF2-40B4-BE49-F238E27FC236}">
              <a16:creationId xmlns="" xmlns:a16="http://schemas.microsoft.com/office/drawing/2014/main" id="{00000000-0008-0000-0000-0000F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59" name="Text Box 60">
          <a:extLst>
            <a:ext uri="{FF2B5EF4-FFF2-40B4-BE49-F238E27FC236}">
              <a16:creationId xmlns="" xmlns:a16="http://schemas.microsoft.com/office/drawing/2014/main" id="{00000000-0008-0000-0000-0000F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0" name="Text Box 61">
          <a:extLst>
            <a:ext uri="{FF2B5EF4-FFF2-40B4-BE49-F238E27FC236}">
              <a16:creationId xmlns="" xmlns:a16="http://schemas.microsoft.com/office/drawing/2014/main" id="{00000000-0008-0000-0000-0000F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1" name="Text Box 62">
          <a:extLst>
            <a:ext uri="{FF2B5EF4-FFF2-40B4-BE49-F238E27FC236}">
              <a16:creationId xmlns="" xmlns:a16="http://schemas.microsoft.com/office/drawing/2014/main" id="{00000000-0008-0000-0000-0000F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2" name="Text Box 63">
          <a:extLst>
            <a:ext uri="{FF2B5EF4-FFF2-40B4-BE49-F238E27FC236}">
              <a16:creationId xmlns="" xmlns:a16="http://schemas.microsoft.com/office/drawing/2014/main" id="{00000000-0008-0000-0000-0000F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3" name="Text Box 64">
          <a:extLst>
            <a:ext uri="{FF2B5EF4-FFF2-40B4-BE49-F238E27FC236}">
              <a16:creationId xmlns="" xmlns:a16="http://schemas.microsoft.com/office/drawing/2014/main" id="{00000000-0008-0000-0000-0000F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4" name="Text Box 65">
          <a:extLst>
            <a:ext uri="{FF2B5EF4-FFF2-40B4-BE49-F238E27FC236}">
              <a16:creationId xmlns="" xmlns:a16="http://schemas.microsoft.com/office/drawing/2014/main" id="{00000000-0008-0000-0000-0000F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5" name="Text Box 66">
          <a:extLst>
            <a:ext uri="{FF2B5EF4-FFF2-40B4-BE49-F238E27FC236}">
              <a16:creationId xmlns="" xmlns:a16="http://schemas.microsoft.com/office/drawing/2014/main" id="{00000000-0008-0000-0000-0000F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6" name="Text Box 67">
          <a:extLst>
            <a:ext uri="{FF2B5EF4-FFF2-40B4-BE49-F238E27FC236}">
              <a16:creationId xmlns="" xmlns:a16="http://schemas.microsoft.com/office/drawing/2014/main" id="{00000000-0008-0000-0000-0000F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7" name="Text Box 68">
          <a:extLst>
            <a:ext uri="{FF2B5EF4-FFF2-40B4-BE49-F238E27FC236}">
              <a16:creationId xmlns="" xmlns:a16="http://schemas.microsoft.com/office/drawing/2014/main" id="{00000000-0008-0000-0000-0000F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8" name="Text Box 69">
          <a:extLst>
            <a:ext uri="{FF2B5EF4-FFF2-40B4-BE49-F238E27FC236}">
              <a16:creationId xmlns="" xmlns:a16="http://schemas.microsoft.com/office/drawing/2014/main" id="{00000000-0008-0000-0000-00000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9" name="Text Box 70">
          <a:extLst>
            <a:ext uri="{FF2B5EF4-FFF2-40B4-BE49-F238E27FC236}">
              <a16:creationId xmlns="" xmlns:a16="http://schemas.microsoft.com/office/drawing/2014/main" id="{00000000-0008-0000-0000-00000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0" name="Text Box 71">
          <a:extLst>
            <a:ext uri="{FF2B5EF4-FFF2-40B4-BE49-F238E27FC236}">
              <a16:creationId xmlns=""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1" name="Text Box 72">
          <a:extLst>
            <a:ext uri="{FF2B5EF4-FFF2-40B4-BE49-F238E27FC236}">
              <a16:creationId xmlns="" xmlns:a16="http://schemas.microsoft.com/office/drawing/2014/main" id="{00000000-0008-0000-0000-00000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2" name="Text Box 73">
          <a:extLst>
            <a:ext uri="{FF2B5EF4-FFF2-40B4-BE49-F238E27FC236}">
              <a16:creationId xmlns="" xmlns:a16="http://schemas.microsoft.com/office/drawing/2014/main" id="{00000000-0008-0000-0000-00000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3" name="Text Box 74">
          <a:extLst>
            <a:ext uri="{FF2B5EF4-FFF2-40B4-BE49-F238E27FC236}">
              <a16:creationId xmlns="" xmlns:a16="http://schemas.microsoft.com/office/drawing/2014/main" id="{00000000-0008-0000-0000-00000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4" name="Text Box 75">
          <a:extLst>
            <a:ext uri="{FF2B5EF4-FFF2-40B4-BE49-F238E27FC236}">
              <a16:creationId xmlns="" xmlns:a16="http://schemas.microsoft.com/office/drawing/2014/main" id="{00000000-0008-0000-0000-00000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5" name="Text Box 76">
          <a:extLst>
            <a:ext uri="{FF2B5EF4-FFF2-40B4-BE49-F238E27FC236}">
              <a16:creationId xmlns="" xmlns:a16="http://schemas.microsoft.com/office/drawing/2014/main" id="{00000000-0008-0000-0000-00000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6" name="Text Box 77">
          <a:extLst>
            <a:ext uri="{FF2B5EF4-FFF2-40B4-BE49-F238E27FC236}">
              <a16:creationId xmlns="" xmlns:a16="http://schemas.microsoft.com/office/drawing/2014/main" id="{00000000-0008-0000-0000-00000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7" name="Text Box 78">
          <a:extLst>
            <a:ext uri="{FF2B5EF4-FFF2-40B4-BE49-F238E27FC236}">
              <a16:creationId xmlns="" xmlns:a16="http://schemas.microsoft.com/office/drawing/2014/main" id="{00000000-0008-0000-0000-00000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8" name="Text Box 79">
          <a:extLst>
            <a:ext uri="{FF2B5EF4-FFF2-40B4-BE49-F238E27FC236}">
              <a16:creationId xmlns="" xmlns:a16="http://schemas.microsoft.com/office/drawing/2014/main" id="{00000000-0008-0000-0000-00000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9" name="Text Box 80">
          <a:extLst>
            <a:ext uri="{FF2B5EF4-FFF2-40B4-BE49-F238E27FC236}">
              <a16:creationId xmlns="" xmlns:a16="http://schemas.microsoft.com/office/drawing/2014/main" id="{00000000-0008-0000-0000-00000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80" name="Text Box 81">
          <a:extLst>
            <a:ext uri="{FF2B5EF4-FFF2-40B4-BE49-F238E27FC236}">
              <a16:creationId xmlns="" xmlns:a16="http://schemas.microsoft.com/office/drawing/2014/main" id="{00000000-0008-0000-0000-00000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1" name="Text Box 3079">
          <a:extLst>
            <a:ext uri="{FF2B5EF4-FFF2-40B4-BE49-F238E27FC236}">
              <a16:creationId xmlns="" xmlns:a16="http://schemas.microsoft.com/office/drawing/2014/main" id="{00000000-0008-0000-0000-00000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2" name="Text Box 3080">
          <a:extLst>
            <a:ext uri="{FF2B5EF4-FFF2-40B4-BE49-F238E27FC236}">
              <a16:creationId xmlns="" xmlns:a16="http://schemas.microsoft.com/office/drawing/2014/main" id="{00000000-0008-0000-0000-00000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3" name="Text Box 3081">
          <a:extLst>
            <a:ext uri="{FF2B5EF4-FFF2-40B4-BE49-F238E27FC236}">
              <a16:creationId xmlns="" xmlns:a16="http://schemas.microsoft.com/office/drawing/2014/main" id="{00000000-0008-0000-0000-00000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4" name="Text Box 3082">
          <a:extLst>
            <a:ext uri="{FF2B5EF4-FFF2-40B4-BE49-F238E27FC236}">
              <a16:creationId xmlns="" xmlns:a16="http://schemas.microsoft.com/office/drawing/2014/main" id="{00000000-0008-0000-0000-00001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5" name="Text Box 3083">
          <a:extLst>
            <a:ext uri="{FF2B5EF4-FFF2-40B4-BE49-F238E27FC236}">
              <a16:creationId xmlns="" xmlns:a16="http://schemas.microsoft.com/office/drawing/2014/main" id="{00000000-0008-0000-0000-00001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6" name="Text Box 3084">
          <a:extLst>
            <a:ext uri="{FF2B5EF4-FFF2-40B4-BE49-F238E27FC236}">
              <a16:creationId xmlns="" xmlns:a16="http://schemas.microsoft.com/office/drawing/2014/main" id="{00000000-0008-0000-0000-00001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7" name="Text Box 3085">
          <a:extLst>
            <a:ext uri="{FF2B5EF4-FFF2-40B4-BE49-F238E27FC236}">
              <a16:creationId xmlns="" xmlns:a16="http://schemas.microsoft.com/office/drawing/2014/main" id="{00000000-0008-0000-0000-00001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8" name="Text Box 3086">
          <a:extLst>
            <a:ext uri="{FF2B5EF4-FFF2-40B4-BE49-F238E27FC236}">
              <a16:creationId xmlns="" xmlns:a16="http://schemas.microsoft.com/office/drawing/2014/main" id="{00000000-0008-0000-0000-00001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9" name="Text Box 3087">
          <a:extLst>
            <a:ext uri="{FF2B5EF4-FFF2-40B4-BE49-F238E27FC236}">
              <a16:creationId xmlns="" xmlns:a16="http://schemas.microsoft.com/office/drawing/2014/main" id="{00000000-0008-0000-0000-00001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0" name="Text Box 3088">
          <a:extLst>
            <a:ext uri="{FF2B5EF4-FFF2-40B4-BE49-F238E27FC236}">
              <a16:creationId xmlns="" xmlns:a16="http://schemas.microsoft.com/office/drawing/2014/main" id="{00000000-0008-0000-0000-00001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1" name="Text Box 3089">
          <a:extLst>
            <a:ext uri="{FF2B5EF4-FFF2-40B4-BE49-F238E27FC236}">
              <a16:creationId xmlns="" xmlns:a16="http://schemas.microsoft.com/office/drawing/2014/main" id="{00000000-0008-0000-0000-00001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2" name="Text Box 3090">
          <a:extLst>
            <a:ext uri="{FF2B5EF4-FFF2-40B4-BE49-F238E27FC236}">
              <a16:creationId xmlns="" xmlns:a16="http://schemas.microsoft.com/office/drawing/2014/main" id="{00000000-0008-0000-0000-00001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3" name="Text Box 3091">
          <a:extLst>
            <a:ext uri="{FF2B5EF4-FFF2-40B4-BE49-F238E27FC236}">
              <a16:creationId xmlns="" xmlns:a16="http://schemas.microsoft.com/office/drawing/2014/main" id="{00000000-0008-0000-0000-00001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4" name="Text Box 3092">
          <a:extLst>
            <a:ext uri="{FF2B5EF4-FFF2-40B4-BE49-F238E27FC236}">
              <a16:creationId xmlns="" xmlns:a16="http://schemas.microsoft.com/office/drawing/2014/main" id="{00000000-0008-0000-0000-00001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5" name="Text Box 3093">
          <a:extLst>
            <a:ext uri="{FF2B5EF4-FFF2-40B4-BE49-F238E27FC236}">
              <a16:creationId xmlns="" xmlns:a16="http://schemas.microsoft.com/office/drawing/2014/main" id="{00000000-0008-0000-0000-00001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6" name="Text Box 3094">
          <a:extLst>
            <a:ext uri="{FF2B5EF4-FFF2-40B4-BE49-F238E27FC236}">
              <a16:creationId xmlns="" xmlns:a16="http://schemas.microsoft.com/office/drawing/2014/main" id="{00000000-0008-0000-0000-00001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7" name="Text Box 3095">
          <a:extLst>
            <a:ext uri="{FF2B5EF4-FFF2-40B4-BE49-F238E27FC236}">
              <a16:creationId xmlns="" xmlns:a16="http://schemas.microsoft.com/office/drawing/2014/main" id="{00000000-0008-0000-0000-00001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8" name="Text Box 3096">
          <a:extLst>
            <a:ext uri="{FF2B5EF4-FFF2-40B4-BE49-F238E27FC236}">
              <a16:creationId xmlns="" xmlns:a16="http://schemas.microsoft.com/office/drawing/2014/main" id="{00000000-0008-0000-0000-00001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9" name="Text Box 3097">
          <a:extLst>
            <a:ext uri="{FF2B5EF4-FFF2-40B4-BE49-F238E27FC236}">
              <a16:creationId xmlns="" xmlns:a16="http://schemas.microsoft.com/office/drawing/2014/main" id="{00000000-0008-0000-0000-00001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0" name="Text Box 3098">
          <a:extLst>
            <a:ext uri="{FF2B5EF4-FFF2-40B4-BE49-F238E27FC236}">
              <a16:creationId xmlns="" xmlns:a16="http://schemas.microsoft.com/office/drawing/2014/main" id="{00000000-0008-0000-0000-00002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1" name="Text Box 3099">
          <a:extLst>
            <a:ext uri="{FF2B5EF4-FFF2-40B4-BE49-F238E27FC236}">
              <a16:creationId xmlns="" xmlns:a16="http://schemas.microsoft.com/office/drawing/2014/main" id="{00000000-0008-0000-0000-00002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2" name="Text Box 3100">
          <a:extLst>
            <a:ext uri="{FF2B5EF4-FFF2-40B4-BE49-F238E27FC236}">
              <a16:creationId xmlns="" xmlns:a16="http://schemas.microsoft.com/office/drawing/2014/main" id="{00000000-0008-0000-0000-00002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3" name="Text Box 3101">
          <a:extLst>
            <a:ext uri="{FF2B5EF4-FFF2-40B4-BE49-F238E27FC236}">
              <a16:creationId xmlns="" xmlns:a16="http://schemas.microsoft.com/office/drawing/2014/main" id="{00000000-0008-0000-0000-00002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04" name="Text Box 3102">
          <a:extLst>
            <a:ext uri="{FF2B5EF4-FFF2-40B4-BE49-F238E27FC236}">
              <a16:creationId xmlns="" xmlns:a16="http://schemas.microsoft.com/office/drawing/2014/main" id="{00000000-0008-0000-0000-00002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5" name="Text Box 59">
          <a:extLst>
            <a:ext uri="{FF2B5EF4-FFF2-40B4-BE49-F238E27FC236}">
              <a16:creationId xmlns="" xmlns:a16="http://schemas.microsoft.com/office/drawing/2014/main" id="{00000000-0008-0000-0000-00002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6" name="Text Box 60">
          <a:extLst>
            <a:ext uri="{FF2B5EF4-FFF2-40B4-BE49-F238E27FC236}">
              <a16:creationId xmlns="" xmlns:a16="http://schemas.microsoft.com/office/drawing/2014/main" id="{00000000-0008-0000-0000-00002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7" name="Text Box 61">
          <a:extLst>
            <a:ext uri="{FF2B5EF4-FFF2-40B4-BE49-F238E27FC236}">
              <a16:creationId xmlns="" xmlns:a16="http://schemas.microsoft.com/office/drawing/2014/main" id="{00000000-0008-0000-0000-00002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8" name="Text Box 62">
          <a:extLst>
            <a:ext uri="{FF2B5EF4-FFF2-40B4-BE49-F238E27FC236}">
              <a16:creationId xmlns="" xmlns:a16="http://schemas.microsoft.com/office/drawing/2014/main" id="{00000000-0008-0000-0000-00002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9" name="Text Box 63">
          <a:extLst>
            <a:ext uri="{FF2B5EF4-FFF2-40B4-BE49-F238E27FC236}">
              <a16:creationId xmlns="" xmlns:a16="http://schemas.microsoft.com/office/drawing/2014/main" id="{00000000-0008-0000-0000-00002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0" name="Text Box 64">
          <a:extLst>
            <a:ext uri="{FF2B5EF4-FFF2-40B4-BE49-F238E27FC236}">
              <a16:creationId xmlns="" xmlns:a16="http://schemas.microsoft.com/office/drawing/2014/main" id="{00000000-0008-0000-0000-00002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1" name="Text Box 65">
          <a:extLst>
            <a:ext uri="{FF2B5EF4-FFF2-40B4-BE49-F238E27FC236}">
              <a16:creationId xmlns="" xmlns:a16="http://schemas.microsoft.com/office/drawing/2014/main" id="{00000000-0008-0000-0000-00002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2" name="Text Box 66">
          <a:extLst>
            <a:ext uri="{FF2B5EF4-FFF2-40B4-BE49-F238E27FC236}">
              <a16:creationId xmlns="" xmlns:a16="http://schemas.microsoft.com/office/drawing/2014/main" id="{00000000-0008-0000-0000-00002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3" name="Text Box 67">
          <a:extLst>
            <a:ext uri="{FF2B5EF4-FFF2-40B4-BE49-F238E27FC236}">
              <a16:creationId xmlns="" xmlns:a16="http://schemas.microsoft.com/office/drawing/2014/main" id="{00000000-0008-0000-0000-00002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4" name="Text Box 68">
          <a:extLst>
            <a:ext uri="{FF2B5EF4-FFF2-40B4-BE49-F238E27FC236}">
              <a16:creationId xmlns="" xmlns:a16="http://schemas.microsoft.com/office/drawing/2014/main" id="{00000000-0008-0000-0000-00002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5" name="Text Box 69">
          <a:extLst>
            <a:ext uri="{FF2B5EF4-FFF2-40B4-BE49-F238E27FC236}">
              <a16:creationId xmlns="" xmlns:a16="http://schemas.microsoft.com/office/drawing/2014/main" id="{00000000-0008-0000-0000-00002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6" name="Text Box 70">
          <a:extLst>
            <a:ext uri="{FF2B5EF4-FFF2-40B4-BE49-F238E27FC236}">
              <a16:creationId xmlns="" xmlns:a16="http://schemas.microsoft.com/office/drawing/2014/main" id="{00000000-0008-0000-0000-00003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7" name="Text Box 71">
          <a:extLst>
            <a:ext uri="{FF2B5EF4-FFF2-40B4-BE49-F238E27FC236}">
              <a16:creationId xmlns="" xmlns:a16="http://schemas.microsoft.com/office/drawing/2014/main" id="{00000000-0008-0000-0000-00003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8" name="Text Box 72">
          <a:extLst>
            <a:ext uri="{FF2B5EF4-FFF2-40B4-BE49-F238E27FC236}">
              <a16:creationId xmlns="" xmlns:a16="http://schemas.microsoft.com/office/drawing/2014/main" id="{00000000-0008-0000-0000-00003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9" name="Text Box 73">
          <a:extLst>
            <a:ext uri="{FF2B5EF4-FFF2-40B4-BE49-F238E27FC236}">
              <a16:creationId xmlns="" xmlns:a16="http://schemas.microsoft.com/office/drawing/2014/main" id="{00000000-0008-0000-0000-00003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0" name="Text Box 74">
          <a:extLst>
            <a:ext uri="{FF2B5EF4-FFF2-40B4-BE49-F238E27FC236}">
              <a16:creationId xmlns="" xmlns:a16="http://schemas.microsoft.com/office/drawing/2014/main" id="{00000000-0008-0000-0000-00003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1" name="Text Box 75">
          <a:extLst>
            <a:ext uri="{FF2B5EF4-FFF2-40B4-BE49-F238E27FC236}">
              <a16:creationId xmlns="" xmlns:a16="http://schemas.microsoft.com/office/drawing/2014/main" id="{00000000-0008-0000-0000-00003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2" name="Text Box 76">
          <a:extLst>
            <a:ext uri="{FF2B5EF4-FFF2-40B4-BE49-F238E27FC236}">
              <a16:creationId xmlns="" xmlns:a16="http://schemas.microsoft.com/office/drawing/2014/main" id="{00000000-0008-0000-0000-00003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3" name="Text Box 77">
          <a:extLst>
            <a:ext uri="{FF2B5EF4-FFF2-40B4-BE49-F238E27FC236}">
              <a16:creationId xmlns="" xmlns:a16="http://schemas.microsoft.com/office/drawing/2014/main" id="{00000000-0008-0000-0000-00003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4" name="Text Box 78">
          <a:extLst>
            <a:ext uri="{FF2B5EF4-FFF2-40B4-BE49-F238E27FC236}">
              <a16:creationId xmlns="" xmlns:a16="http://schemas.microsoft.com/office/drawing/2014/main" id="{00000000-0008-0000-0000-00003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5" name="Text Box 79">
          <a:extLst>
            <a:ext uri="{FF2B5EF4-FFF2-40B4-BE49-F238E27FC236}">
              <a16:creationId xmlns="" xmlns:a16="http://schemas.microsoft.com/office/drawing/2014/main" id="{00000000-0008-0000-0000-00003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6" name="Text Box 80">
          <a:extLst>
            <a:ext uri="{FF2B5EF4-FFF2-40B4-BE49-F238E27FC236}">
              <a16:creationId xmlns="" xmlns:a16="http://schemas.microsoft.com/office/drawing/2014/main" id="{00000000-0008-0000-0000-00003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7" name="Text Box 81">
          <a:extLst>
            <a:ext uri="{FF2B5EF4-FFF2-40B4-BE49-F238E27FC236}">
              <a16:creationId xmlns="" xmlns:a16="http://schemas.microsoft.com/office/drawing/2014/main" id="{00000000-0008-0000-0000-00003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228" name="Text Box 82">
          <a:extLst>
            <a:ext uri="{FF2B5EF4-FFF2-40B4-BE49-F238E27FC236}">
              <a16:creationId xmlns="" xmlns:a16="http://schemas.microsoft.com/office/drawing/2014/main" id="{00000000-0008-0000-0000-00003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29" name="Text Box 3079">
          <a:extLst>
            <a:ext uri="{FF2B5EF4-FFF2-40B4-BE49-F238E27FC236}">
              <a16:creationId xmlns="" xmlns:a16="http://schemas.microsoft.com/office/drawing/2014/main" id="{00000000-0008-0000-0000-00003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0" name="Text Box 3080">
          <a:extLst>
            <a:ext uri="{FF2B5EF4-FFF2-40B4-BE49-F238E27FC236}">
              <a16:creationId xmlns="" xmlns:a16="http://schemas.microsoft.com/office/drawing/2014/main" id="{00000000-0008-0000-0000-00003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1" name="Text Box 3081">
          <a:extLst>
            <a:ext uri="{FF2B5EF4-FFF2-40B4-BE49-F238E27FC236}">
              <a16:creationId xmlns="" xmlns:a16="http://schemas.microsoft.com/office/drawing/2014/main" id="{00000000-0008-0000-0000-00003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2" name="Text Box 3082">
          <a:extLst>
            <a:ext uri="{FF2B5EF4-FFF2-40B4-BE49-F238E27FC236}">
              <a16:creationId xmlns="" xmlns:a16="http://schemas.microsoft.com/office/drawing/2014/main" id="{00000000-0008-0000-0000-00004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3" name="Text Box 3083">
          <a:extLst>
            <a:ext uri="{FF2B5EF4-FFF2-40B4-BE49-F238E27FC236}">
              <a16:creationId xmlns="" xmlns:a16="http://schemas.microsoft.com/office/drawing/2014/main" id="{00000000-0008-0000-0000-00004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4" name="Text Box 3084">
          <a:extLst>
            <a:ext uri="{FF2B5EF4-FFF2-40B4-BE49-F238E27FC236}">
              <a16:creationId xmlns="" xmlns:a16="http://schemas.microsoft.com/office/drawing/2014/main" id="{00000000-0008-0000-0000-00004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5" name="Text Box 3085">
          <a:extLst>
            <a:ext uri="{FF2B5EF4-FFF2-40B4-BE49-F238E27FC236}">
              <a16:creationId xmlns="" xmlns:a16="http://schemas.microsoft.com/office/drawing/2014/main" id="{00000000-0008-0000-0000-00004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6" name="Text Box 3086">
          <a:extLst>
            <a:ext uri="{FF2B5EF4-FFF2-40B4-BE49-F238E27FC236}">
              <a16:creationId xmlns="" xmlns:a16="http://schemas.microsoft.com/office/drawing/2014/main" id="{00000000-0008-0000-0000-00004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7" name="Text Box 3087">
          <a:extLst>
            <a:ext uri="{FF2B5EF4-FFF2-40B4-BE49-F238E27FC236}">
              <a16:creationId xmlns="" xmlns:a16="http://schemas.microsoft.com/office/drawing/2014/main" id="{00000000-0008-0000-0000-00004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8" name="Text Box 3088">
          <a:extLst>
            <a:ext uri="{FF2B5EF4-FFF2-40B4-BE49-F238E27FC236}">
              <a16:creationId xmlns="" xmlns:a16="http://schemas.microsoft.com/office/drawing/2014/main" id="{00000000-0008-0000-0000-00004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9" name="Text Box 3089">
          <a:extLst>
            <a:ext uri="{FF2B5EF4-FFF2-40B4-BE49-F238E27FC236}">
              <a16:creationId xmlns="" xmlns:a16="http://schemas.microsoft.com/office/drawing/2014/main" id="{00000000-0008-0000-0000-00004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0" name="Text Box 3090">
          <a:extLst>
            <a:ext uri="{FF2B5EF4-FFF2-40B4-BE49-F238E27FC236}">
              <a16:creationId xmlns="" xmlns:a16="http://schemas.microsoft.com/office/drawing/2014/main" id="{00000000-0008-0000-0000-00004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1" name="Text Box 3091">
          <a:extLst>
            <a:ext uri="{FF2B5EF4-FFF2-40B4-BE49-F238E27FC236}">
              <a16:creationId xmlns="" xmlns:a16="http://schemas.microsoft.com/office/drawing/2014/main" id="{00000000-0008-0000-0000-00004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2" name="Text Box 3092">
          <a:extLst>
            <a:ext uri="{FF2B5EF4-FFF2-40B4-BE49-F238E27FC236}">
              <a16:creationId xmlns="" xmlns:a16="http://schemas.microsoft.com/office/drawing/2014/main" id="{00000000-0008-0000-0000-00004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3" name="Text Box 3093">
          <a:extLst>
            <a:ext uri="{FF2B5EF4-FFF2-40B4-BE49-F238E27FC236}">
              <a16:creationId xmlns="" xmlns:a16="http://schemas.microsoft.com/office/drawing/2014/main" id="{00000000-0008-0000-0000-00004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4" name="Text Box 3094">
          <a:extLst>
            <a:ext uri="{FF2B5EF4-FFF2-40B4-BE49-F238E27FC236}">
              <a16:creationId xmlns="" xmlns:a16="http://schemas.microsoft.com/office/drawing/2014/main" id="{00000000-0008-0000-0000-00004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5" name="Text Box 3095">
          <a:extLst>
            <a:ext uri="{FF2B5EF4-FFF2-40B4-BE49-F238E27FC236}">
              <a16:creationId xmlns="" xmlns:a16="http://schemas.microsoft.com/office/drawing/2014/main" id="{00000000-0008-0000-0000-00004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6" name="Text Box 3096">
          <a:extLst>
            <a:ext uri="{FF2B5EF4-FFF2-40B4-BE49-F238E27FC236}">
              <a16:creationId xmlns="" xmlns:a16="http://schemas.microsoft.com/office/drawing/2014/main" id="{00000000-0008-0000-0000-00004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7" name="Text Box 3097">
          <a:extLst>
            <a:ext uri="{FF2B5EF4-FFF2-40B4-BE49-F238E27FC236}">
              <a16:creationId xmlns="" xmlns:a16="http://schemas.microsoft.com/office/drawing/2014/main" id="{00000000-0008-0000-0000-00004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8" name="Text Box 3098">
          <a:extLst>
            <a:ext uri="{FF2B5EF4-FFF2-40B4-BE49-F238E27FC236}">
              <a16:creationId xmlns="" xmlns:a16="http://schemas.microsoft.com/office/drawing/2014/main" id="{00000000-0008-0000-0000-00005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9" name="Text Box 3099">
          <a:extLst>
            <a:ext uri="{FF2B5EF4-FFF2-40B4-BE49-F238E27FC236}">
              <a16:creationId xmlns="" xmlns:a16="http://schemas.microsoft.com/office/drawing/2014/main" id="{00000000-0008-0000-0000-00005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50" name="Text Box 3100">
          <a:extLst>
            <a:ext uri="{FF2B5EF4-FFF2-40B4-BE49-F238E27FC236}">
              <a16:creationId xmlns="" xmlns:a16="http://schemas.microsoft.com/office/drawing/2014/main" id="{00000000-0008-0000-0000-00005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51" name="Text Box 3101">
          <a:extLst>
            <a:ext uri="{FF2B5EF4-FFF2-40B4-BE49-F238E27FC236}">
              <a16:creationId xmlns="" xmlns:a16="http://schemas.microsoft.com/office/drawing/2014/main" id="{00000000-0008-0000-0000-00005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52" name="Text Box 3102">
          <a:extLst>
            <a:ext uri="{FF2B5EF4-FFF2-40B4-BE49-F238E27FC236}">
              <a16:creationId xmlns="" xmlns:a16="http://schemas.microsoft.com/office/drawing/2014/main" id="{00000000-0008-0000-0000-00005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3" name="Text Box 59">
          <a:extLst>
            <a:ext uri="{FF2B5EF4-FFF2-40B4-BE49-F238E27FC236}">
              <a16:creationId xmlns="" xmlns:a16="http://schemas.microsoft.com/office/drawing/2014/main" id="{00000000-0008-0000-0000-00005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4" name="Text Box 60">
          <a:extLst>
            <a:ext uri="{FF2B5EF4-FFF2-40B4-BE49-F238E27FC236}">
              <a16:creationId xmlns="" xmlns:a16="http://schemas.microsoft.com/office/drawing/2014/main" id="{00000000-0008-0000-0000-00005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5" name="Text Box 61">
          <a:extLst>
            <a:ext uri="{FF2B5EF4-FFF2-40B4-BE49-F238E27FC236}">
              <a16:creationId xmlns="" xmlns:a16="http://schemas.microsoft.com/office/drawing/2014/main" id="{00000000-0008-0000-0000-00005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6" name="Text Box 62">
          <a:extLst>
            <a:ext uri="{FF2B5EF4-FFF2-40B4-BE49-F238E27FC236}">
              <a16:creationId xmlns="" xmlns:a16="http://schemas.microsoft.com/office/drawing/2014/main" id="{00000000-0008-0000-0000-00005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7" name="Text Box 63">
          <a:extLst>
            <a:ext uri="{FF2B5EF4-FFF2-40B4-BE49-F238E27FC236}">
              <a16:creationId xmlns="" xmlns:a16="http://schemas.microsoft.com/office/drawing/2014/main" id="{00000000-0008-0000-0000-00005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8" name="Text Box 64">
          <a:extLst>
            <a:ext uri="{FF2B5EF4-FFF2-40B4-BE49-F238E27FC236}">
              <a16:creationId xmlns="" xmlns:a16="http://schemas.microsoft.com/office/drawing/2014/main" id="{00000000-0008-0000-0000-00005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9" name="Text Box 65">
          <a:extLst>
            <a:ext uri="{FF2B5EF4-FFF2-40B4-BE49-F238E27FC236}">
              <a16:creationId xmlns="" xmlns:a16="http://schemas.microsoft.com/office/drawing/2014/main" id="{00000000-0008-0000-0000-00005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0" name="Text Box 66">
          <a:extLst>
            <a:ext uri="{FF2B5EF4-FFF2-40B4-BE49-F238E27FC236}">
              <a16:creationId xmlns="" xmlns:a16="http://schemas.microsoft.com/office/drawing/2014/main" id="{00000000-0008-0000-0000-00005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1" name="Text Box 67">
          <a:extLst>
            <a:ext uri="{FF2B5EF4-FFF2-40B4-BE49-F238E27FC236}">
              <a16:creationId xmlns="" xmlns:a16="http://schemas.microsoft.com/office/drawing/2014/main" id="{00000000-0008-0000-0000-00005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2" name="Text Box 68">
          <a:extLst>
            <a:ext uri="{FF2B5EF4-FFF2-40B4-BE49-F238E27FC236}">
              <a16:creationId xmlns="" xmlns:a16="http://schemas.microsoft.com/office/drawing/2014/main" id="{00000000-0008-0000-0000-00005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3" name="Text Box 69">
          <a:extLst>
            <a:ext uri="{FF2B5EF4-FFF2-40B4-BE49-F238E27FC236}">
              <a16:creationId xmlns="" xmlns:a16="http://schemas.microsoft.com/office/drawing/2014/main" id="{00000000-0008-0000-0000-00005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4" name="Text Box 70">
          <a:extLst>
            <a:ext uri="{FF2B5EF4-FFF2-40B4-BE49-F238E27FC236}">
              <a16:creationId xmlns="" xmlns:a16="http://schemas.microsoft.com/office/drawing/2014/main" id="{00000000-0008-0000-0000-00006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5" name="Text Box 71">
          <a:extLst>
            <a:ext uri="{FF2B5EF4-FFF2-40B4-BE49-F238E27FC236}">
              <a16:creationId xmlns="" xmlns:a16="http://schemas.microsoft.com/office/drawing/2014/main" id="{00000000-0008-0000-0000-00006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6" name="Text Box 72">
          <a:extLst>
            <a:ext uri="{FF2B5EF4-FFF2-40B4-BE49-F238E27FC236}">
              <a16:creationId xmlns="" xmlns:a16="http://schemas.microsoft.com/office/drawing/2014/main" id="{00000000-0008-0000-0000-00006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7" name="Text Box 73">
          <a:extLst>
            <a:ext uri="{FF2B5EF4-FFF2-40B4-BE49-F238E27FC236}">
              <a16:creationId xmlns="" xmlns:a16="http://schemas.microsoft.com/office/drawing/2014/main" id="{00000000-0008-0000-0000-00006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8" name="Text Box 74">
          <a:extLst>
            <a:ext uri="{FF2B5EF4-FFF2-40B4-BE49-F238E27FC236}">
              <a16:creationId xmlns="" xmlns:a16="http://schemas.microsoft.com/office/drawing/2014/main" id="{00000000-0008-0000-0000-00006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9" name="Text Box 75">
          <a:extLst>
            <a:ext uri="{FF2B5EF4-FFF2-40B4-BE49-F238E27FC236}">
              <a16:creationId xmlns="" xmlns:a16="http://schemas.microsoft.com/office/drawing/2014/main" id="{00000000-0008-0000-0000-00006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0" name="Text Box 76">
          <a:extLst>
            <a:ext uri="{FF2B5EF4-FFF2-40B4-BE49-F238E27FC236}">
              <a16:creationId xmlns="" xmlns:a16="http://schemas.microsoft.com/office/drawing/2014/main" id="{00000000-0008-0000-0000-00006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1" name="Text Box 77">
          <a:extLst>
            <a:ext uri="{FF2B5EF4-FFF2-40B4-BE49-F238E27FC236}">
              <a16:creationId xmlns="" xmlns:a16="http://schemas.microsoft.com/office/drawing/2014/main" id="{00000000-0008-0000-0000-00006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2" name="Text Box 78">
          <a:extLst>
            <a:ext uri="{FF2B5EF4-FFF2-40B4-BE49-F238E27FC236}">
              <a16:creationId xmlns="" xmlns:a16="http://schemas.microsoft.com/office/drawing/2014/main" id="{00000000-0008-0000-0000-00006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3" name="Text Box 79">
          <a:extLst>
            <a:ext uri="{FF2B5EF4-FFF2-40B4-BE49-F238E27FC236}">
              <a16:creationId xmlns="" xmlns:a16="http://schemas.microsoft.com/office/drawing/2014/main" id="{00000000-0008-0000-0000-00006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4" name="Text Box 80">
          <a:extLst>
            <a:ext uri="{FF2B5EF4-FFF2-40B4-BE49-F238E27FC236}">
              <a16:creationId xmlns="" xmlns:a16="http://schemas.microsoft.com/office/drawing/2014/main" id="{00000000-0008-0000-0000-00006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5" name="Text Box 81">
          <a:extLst>
            <a:ext uri="{FF2B5EF4-FFF2-40B4-BE49-F238E27FC236}">
              <a16:creationId xmlns="" xmlns:a16="http://schemas.microsoft.com/office/drawing/2014/main" id="{00000000-0008-0000-0000-00006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6" name="Text Box 3079">
          <a:extLst>
            <a:ext uri="{FF2B5EF4-FFF2-40B4-BE49-F238E27FC236}">
              <a16:creationId xmlns="" xmlns:a16="http://schemas.microsoft.com/office/drawing/2014/main" id="{00000000-0008-0000-0000-00006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7" name="Text Box 3080">
          <a:extLst>
            <a:ext uri="{FF2B5EF4-FFF2-40B4-BE49-F238E27FC236}">
              <a16:creationId xmlns="" xmlns:a16="http://schemas.microsoft.com/office/drawing/2014/main" id="{00000000-0008-0000-0000-00006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8" name="Text Box 3081">
          <a:extLst>
            <a:ext uri="{FF2B5EF4-FFF2-40B4-BE49-F238E27FC236}">
              <a16:creationId xmlns="" xmlns:a16="http://schemas.microsoft.com/office/drawing/2014/main" id="{00000000-0008-0000-0000-00006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9" name="Text Box 3082">
          <a:extLst>
            <a:ext uri="{FF2B5EF4-FFF2-40B4-BE49-F238E27FC236}">
              <a16:creationId xmlns="" xmlns:a16="http://schemas.microsoft.com/office/drawing/2014/main" id="{00000000-0008-0000-0000-00006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0" name="Text Box 3083">
          <a:extLst>
            <a:ext uri="{FF2B5EF4-FFF2-40B4-BE49-F238E27FC236}">
              <a16:creationId xmlns="" xmlns:a16="http://schemas.microsoft.com/office/drawing/2014/main" id="{00000000-0008-0000-0000-00007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1" name="Text Box 3084">
          <a:extLst>
            <a:ext uri="{FF2B5EF4-FFF2-40B4-BE49-F238E27FC236}">
              <a16:creationId xmlns="" xmlns:a16="http://schemas.microsoft.com/office/drawing/2014/main" id="{00000000-0008-0000-0000-00007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2" name="Text Box 3085">
          <a:extLst>
            <a:ext uri="{FF2B5EF4-FFF2-40B4-BE49-F238E27FC236}">
              <a16:creationId xmlns="" xmlns:a16="http://schemas.microsoft.com/office/drawing/2014/main" id="{00000000-0008-0000-0000-00007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3" name="Text Box 3086">
          <a:extLst>
            <a:ext uri="{FF2B5EF4-FFF2-40B4-BE49-F238E27FC236}">
              <a16:creationId xmlns="" xmlns:a16="http://schemas.microsoft.com/office/drawing/2014/main" id="{00000000-0008-0000-0000-00007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4" name="Text Box 3087">
          <a:extLst>
            <a:ext uri="{FF2B5EF4-FFF2-40B4-BE49-F238E27FC236}">
              <a16:creationId xmlns="" xmlns:a16="http://schemas.microsoft.com/office/drawing/2014/main" id="{00000000-0008-0000-0000-00007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5" name="Text Box 3088">
          <a:extLst>
            <a:ext uri="{FF2B5EF4-FFF2-40B4-BE49-F238E27FC236}">
              <a16:creationId xmlns="" xmlns:a16="http://schemas.microsoft.com/office/drawing/2014/main" id="{00000000-0008-0000-0000-00007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6" name="Text Box 3089">
          <a:extLst>
            <a:ext uri="{FF2B5EF4-FFF2-40B4-BE49-F238E27FC236}">
              <a16:creationId xmlns="" xmlns:a16="http://schemas.microsoft.com/office/drawing/2014/main" id="{00000000-0008-0000-0000-00007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7" name="Text Box 3090">
          <a:extLst>
            <a:ext uri="{FF2B5EF4-FFF2-40B4-BE49-F238E27FC236}">
              <a16:creationId xmlns="" xmlns:a16="http://schemas.microsoft.com/office/drawing/2014/main" id="{00000000-0008-0000-0000-00007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8" name="Text Box 3091">
          <a:extLst>
            <a:ext uri="{FF2B5EF4-FFF2-40B4-BE49-F238E27FC236}">
              <a16:creationId xmlns="" xmlns:a16="http://schemas.microsoft.com/office/drawing/2014/main" id="{00000000-0008-0000-0000-00007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9" name="Text Box 3092">
          <a:extLst>
            <a:ext uri="{FF2B5EF4-FFF2-40B4-BE49-F238E27FC236}">
              <a16:creationId xmlns="" xmlns:a16="http://schemas.microsoft.com/office/drawing/2014/main" id="{00000000-0008-0000-0000-00007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0" name="Text Box 3093">
          <a:extLst>
            <a:ext uri="{FF2B5EF4-FFF2-40B4-BE49-F238E27FC236}">
              <a16:creationId xmlns="" xmlns:a16="http://schemas.microsoft.com/office/drawing/2014/main" id="{00000000-0008-0000-0000-00007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1" name="Text Box 3094">
          <a:extLst>
            <a:ext uri="{FF2B5EF4-FFF2-40B4-BE49-F238E27FC236}">
              <a16:creationId xmlns="" xmlns:a16="http://schemas.microsoft.com/office/drawing/2014/main" id="{00000000-0008-0000-0000-00007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2" name="Text Box 3095">
          <a:extLst>
            <a:ext uri="{FF2B5EF4-FFF2-40B4-BE49-F238E27FC236}">
              <a16:creationId xmlns="" xmlns:a16="http://schemas.microsoft.com/office/drawing/2014/main" id="{00000000-0008-0000-0000-00007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3" name="Text Box 3096">
          <a:extLst>
            <a:ext uri="{FF2B5EF4-FFF2-40B4-BE49-F238E27FC236}">
              <a16:creationId xmlns="" xmlns:a16="http://schemas.microsoft.com/office/drawing/2014/main" id="{00000000-0008-0000-0000-00007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4" name="Text Box 3097">
          <a:extLst>
            <a:ext uri="{FF2B5EF4-FFF2-40B4-BE49-F238E27FC236}">
              <a16:creationId xmlns="" xmlns:a16="http://schemas.microsoft.com/office/drawing/2014/main" id="{00000000-0008-0000-0000-00007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5" name="Text Box 3098">
          <a:extLst>
            <a:ext uri="{FF2B5EF4-FFF2-40B4-BE49-F238E27FC236}">
              <a16:creationId xmlns="" xmlns:a16="http://schemas.microsoft.com/office/drawing/2014/main" id="{00000000-0008-0000-0000-00007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6" name="Text Box 3099">
          <a:extLst>
            <a:ext uri="{FF2B5EF4-FFF2-40B4-BE49-F238E27FC236}">
              <a16:creationId xmlns="" xmlns:a16="http://schemas.microsoft.com/office/drawing/2014/main" id="{00000000-0008-0000-0000-00008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7" name="Text Box 3100">
          <a:extLst>
            <a:ext uri="{FF2B5EF4-FFF2-40B4-BE49-F238E27FC236}">
              <a16:creationId xmlns="" xmlns:a16="http://schemas.microsoft.com/office/drawing/2014/main" id="{00000000-0008-0000-0000-00008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8" name="Text Box 3101">
          <a:extLst>
            <a:ext uri="{FF2B5EF4-FFF2-40B4-BE49-F238E27FC236}">
              <a16:creationId xmlns="" xmlns:a16="http://schemas.microsoft.com/office/drawing/2014/main" id="{00000000-0008-0000-0000-00008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99" name="Text Box 3102">
          <a:extLst>
            <a:ext uri="{FF2B5EF4-FFF2-40B4-BE49-F238E27FC236}">
              <a16:creationId xmlns="" xmlns:a16="http://schemas.microsoft.com/office/drawing/2014/main" id="{00000000-0008-0000-0000-00008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0" name="Text Box 59">
          <a:extLst>
            <a:ext uri="{FF2B5EF4-FFF2-40B4-BE49-F238E27FC236}">
              <a16:creationId xmlns="" xmlns:a16="http://schemas.microsoft.com/office/drawing/2014/main" id="{00000000-0008-0000-0000-00008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1" name="Text Box 60">
          <a:extLst>
            <a:ext uri="{FF2B5EF4-FFF2-40B4-BE49-F238E27FC236}">
              <a16:creationId xmlns="" xmlns:a16="http://schemas.microsoft.com/office/drawing/2014/main" id="{00000000-0008-0000-0000-00008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2" name="Text Box 61">
          <a:extLst>
            <a:ext uri="{FF2B5EF4-FFF2-40B4-BE49-F238E27FC236}">
              <a16:creationId xmlns="" xmlns:a16="http://schemas.microsoft.com/office/drawing/2014/main" id="{00000000-0008-0000-0000-00008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3" name="Text Box 62">
          <a:extLst>
            <a:ext uri="{FF2B5EF4-FFF2-40B4-BE49-F238E27FC236}">
              <a16:creationId xmlns="" xmlns:a16="http://schemas.microsoft.com/office/drawing/2014/main" id="{00000000-0008-0000-0000-00008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4" name="Text Box 63">
          <a:extLst>
            <a:ext uri="{FF2B5EF4-FFF2-40B4-BE49-F238E27FC236}">
              <a16:creationId xmlns="" xmlns:a16="http://schemas.microsoft.com/office/drawing/2014/main" id="{00000000-0008-0000-0000-00008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5" name="Text Box 64">
          <a:extLst>
            <a:ext uri="{FF2B5EF4-FFF2-40B4-BE49-F238E27FC236}">
              <a16:creationId xmlns="" xmlns:a16="http://schemas.microsoft.com/office/drawing/2014/main" id="{00000000-0008-0000-0000-00008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6" name="Text Box 65">
          <a:extLst>
            <a:ext uri="{FF2B5EF4-FFF2-40B4-BE49-F238E27FC236}">
              <a16:creationId xmlns="" xmlns:a16="http://schemas.microsoft.com/office/drawing/2014/main" id="{00000000-0008-0000-0000-00008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7" name="Text Box 66">
          <a:extLst>
            <a:ext uri="{FF2B5EF4-FFF2-40B4-BE49-F238E27FC236}">
              <a16:creationId xmlns="" xmlns:a16="http://schemas.microsoft.com/office/drawing/2014/main" id="{00000000-0008-0000-0000-00008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8" name="Text Box 67">
          <a:extLst>
            <a:ext uri="{FF2B5EF4-FFF2-40B4-BE49-F238E27FC236}">
              <a16:creationId xmlns="" xmlns:a16="http://schemas.microsoft.com/office/drawing/2014/main" id="{00000000-0008-0000-0000-00008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9" name="Text Box 68">
          <a:extLst>
            <a:ext uri="{FF2B5EF4-FFF2-40B4-BE49-F238E27FC236}">
              <a16:creationId xmlns="" xmlns:a16="http://schemas.microsoft.com/office/drawing/2014/main" id="{00000000-0008-0000-0000-00008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0" name="Text Box 69">
          <a:extLst>
            <a:ext uri="{FF2B5EF4-FFF2-40B4-BE49-F238E27FC236}">
              <a16:creationId xmlns="" xmlns:a16="http://schemas.microsoft.com/office/drawing/2014/main" id="{00000000-0008-0000-0000-00008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1" name="Text Box 70">
          <a:extLst>
            <a:ext uri="{FF2B5EF4-FFF2-40B4-BE49-F238E27FC236}">
              <a16:creationId xmlns="" xmlns:a16="http://schemas.microsoft.com/office/drawing/2014/main" id="{00000000-0008-0000-0000-00008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2" name="Text Box 71">
          <a:extLst>
            <a:ext uri="{FF2B5EF4-FFF2-40B4-BE49-F238E27FC236}">
              <a16:creationId xmlns="" xmlns:a16="http://schemas.microsoft.com/office/drawing/2014/main" id="{00000000-0008-0000-0000-00009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3" name="Text Box 72">
          <a:extLst>
            <a:ext uri="{FF2B5EF4-FFF2-40B4-BE49-F238E27FC236}">
              <a16:creationId xmlns="" xmlns:a16="http://schemas.microsoft.com/office/drawing/2014/main" id="{00000000-0008-0000-0000-00009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4" name="Text Box 73">
          <a:extLst>
            <a:ext uri="{FF2B5EF4-FFF2-40B4-BE49-F238E27FC236}">
              <a16:creationId xmlns="" xmlns:a16="http://schemas.microsoft.com/office/drawing/2014/main" id="{00000000-0008-0000-0000-00009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5" name="Text Box 74">
          <a:extLst>
            <a:ext uri="{FF2B5EF4-FFF2-40B4-BE49-F238E27FC236}">
              <a16:creationId xmlns="" xmlns:a16="http://schemas.microsoft.com/office/drawing/2014/main" id="{00000000-0008-0000-0000-00009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6" name="Text Box 75">
          <a:extLst>
            <a:ext uri="{FF2B5EF4-FFF2-40B4-BE49-F238E27FC236}">
              <a16:creationId xmlns="" xmlns:a16="http://schemas.microsoft.com/office/drawing/2014/main" id="{00000000-0008-0000-0000-00009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7" name="Text Box 76">
          <a:extLst>
            <a:ext uri="{FF2B5EF4-FFF2-40B4-BE49-F238E27FC236}">
              <a16:creationId xmlns="" xmlns:a16="http://schemas.microsoft.com/office/drawing/2014/main" id="{00000000-0008-0000-0000-00009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8" name="Text Box 77">
          <a:extLst>
            <a:ext uri="{FF2B5EF4-FFF2-40B4-BE49-F238E27FC236}">
              <a16:creationId xmlns="" xmlns:a16="http://schemas.microsoft.com/office/drawing/2014/main" id="{00000000-0008-0000-0000-00009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9" name="Text Box 78">
          <a:extLst>
            <a:ext uri="{FF2B5EF4-FFF2-40B4-BE49-F238E27FC236}">
              <a16:creationId xmlns="" xmlns:a16="http://schemas.microsoft.com/office/drawing/2014/main" id="{00000000-0008-0000-0000-00009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0" name="Text Box 79">
          <a:extLst>
            <a:ext uri="{FF2B5EF4-FFF2-40B4-BE49-F238E27FC236}">
              <a16:creationId xmlns="" xmlns:a16="http://schemas.microsoft.com/office/drawing/2014/main" id="{00000000-0008-0000-0000-00009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1" name="Text Box 80">
          <a:extLst>
            <a:ext uri="{FF2B5EF4-FFF2-40B4-BE49-F238E27FC236}">
              <a16:creationId xmlns="" xmlns:a16="http://schemas.microsoft.com/office/drawing/2014/main" id="{00000000-0008-0000-0000-00009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2" name="Text Box 81">
          <a:extLst>
            <a:ext uri="{FF2B5EF4-FFF2-40B4-BE49-F238E27FC236}">
              <a16:creationId xmlns="" xmlns:a16="http://schemas.microsoft.com/office/drawing/2014/main" id="{00000000-0008-0000-0000-00009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323" name="Text Box 82">
          <a:extLst>
            <a:ext uri="{FF2B5EF4-FFF2-40B4-BE49-F238E27FC236}">
              <a16:creationId xmlns="" xmlns:a16="http://schemas.microsoft.com/office/drawing/2014/main" id="{00000000-0008-0000-0000-00009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4" name="Text Box 3079">
          <a:extLst>
            <a:ext uri="{FF2B5EF4-FFF2-40B4-BE49-F238E27FC236}">
              <a16:creationId xmlns="" xmlns:a16="http://schemas.microsoft.com/office/drawing/2014/main" id="{00000000-0008-0000-0000-00009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5" name="Text Box 3080">
          <a:extLst>
            <a:ext uri="{FF2B5EF4-FFF2-40B4-BE49-F238E27FC236}">
              <a16:creationId xmlns="" xmlns:a16="http://schemas.microsoft.com/office/drawing/2014/main" id="{00000000-0008-0000-0000-00009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6" name="Text Box 3081">
          <a:extLst>
            <a:ext uri="{FF2B5EF4-FFF2-40B4-BE49-F238E27FC236}">
              <a16:creationId xmlns="" xmlns:a16="http://schemas.microsoft.com/office/drawing/2014/main" id="{00000000-0008-0000-0000-00009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7" name="Text Box 3082">
          <a:extLst>
            <a:ext uri="{FF2B5EF4-FFF2-40B4-BE49-F238E27FC236}">
              <a16:creationId xmlns="" xmlns:a16="http://schemas.microsoft.com/office/drawing/2014/main" id="{00000000-0008-0000-0000-00009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8" name="Text Box 3083">
          <a:extLst>
            <a:ext uri="{FF2B5EF4-FFF2-40B4-BE49-F238E27FC236}">
              <a16:creationId xmlns="" xmlns:a16="http://schemas.microsoft.com/office/drawing/2014/main" id="{00000000-0008-0000-0000-0000A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9" name="Text Box 3084">
          <a:extLst>
            <a:ext uri="{FF2B5EF4-FFF2-40B4-BE49-F238E27FC236}">
              <a16:creationId xmlns="" xmlns:a16="http://schemas.microsoft.com/office/drawing/2014/main" id="{00000000-0008-0000-0000-0000A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0" name="Text Box 3085">
          <a:extLst>
            <a:ext uri="{FF2B5EF4-FFF2-40B4-BE49-F238E27FC236}">
              <a16:creationId xmlns="" xmlns:a16="http://schemas.microsoft.com/office/drawing/2014/main" id="{00000000-0008-0000-0000-0000A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1" name="Text Box 3086">
          <a:extLst>
            <a:ext uri="{FF2B5EF4-FFF2-40B4-BE49-F238E27FC236}">
              <a16:creationId xmlns="" xmlns:a16="http://schemas.microsoft.com/office/drawing/2014/main" id="{00000000-0008-0000-0000-0000A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2" name="Text Box 3087">
          <a:extLst>
            <a:ext uri="{FF2B5EF4-FFF2-40B4-BE49-F238E27FC236}">
              <a16:creationId xmlns="" xmlns:a16="http://schemas.microsoft.com/office/drawing/2014/main" id="{00000000-0008-0000-0000-0000A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3" name="Text Box 3088">
          <a:extLst>
            <a:ext uri="{FF2B5EF4-FFF2-40B4-BE49-F238E27FC236}">
              <a16:creationId xmlns="" xmlns:a16="http://schemas.microsoft.com/office/drawing/2014/main" id="{00000000-0008-0000-0000-0000A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4" name="Text Box 3089">
          <a:extLst>
            <a:ext uri="{FF2B5EF4-FFF2-40B4-BE49-F238E27FC236}">
              <a16:creationId xmlns="" xmlns:a16="http://schemas.microsoft.com/office/drawing/2014/main" id="{00000000-0008-0000-0000-0000A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5" name="Text Box 3090">
          <a:extLst>
            <a:ext uri="{FF2B5EF4-FFF2-40B4-BE49-F238E27FC236}">
              <a16:creationId xmlns="" xmlns:a16="http://schemas.microsoft.com/office/drawing/2014/main" id="{00000000-0008-0000-0000-0000A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6" name="Text Box 3091">
          <a:extLst>
            <a:ext uri="{FF2B5EF4-FFF2-40B4-BE49-F238E27FC236}">
              <a16:creationId xmlns="" xmlns:a16="http://schemas.microsoft.com/office/drawing/2014/main" id="{00000000-0008-0000-0000-0000A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7" name="Text Box 3092">
          <a:extLst>
            <a:ext uri="{FF2B5EF4-FFF2-40B4-BE49-F238E27FC236}">
              <a16:creationId xmlns="" xmlns:a16="http://schemas.microsoft.com/office/drawing/2014/main" id="{00000000-0008-0000-0000-0000A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8" name="Text Box 3093">
          <a:extLst>
            <a:ext uri="{FF2B5EF4-FFF2-40B4-BE49-F238E27FC236}">
              <a16:creationId xmlns="" xmlns:a16="http://schemas.microsoft.com/office/drawing/2014/main" id="{00000000-0008-0000-0000-0000A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9" name="Text Box 3094">
          <a:extLst>
            <a:ext uri="{FF2B5EF4-FFF2-40B4-BE49-F238E27FC236}">
              <a16:creationId xmlns="" xmlns:a16="http://schemas.microsoft.com/office/drawing/2014/main" id="{00000000-0008-0000-0000-0000A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0" name="Text Box 3095">
          <a:extLst>
            <a:ext uri="{FF2B5EF4-FFF2-40B4-BE49-F238E27FC236}">
              <a16:creationId xmlns="" xmlns:a16="http://schemas.microsoft.com/office/drawing/2014/main" id="{00000000-0008-0000-0000-0000A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1" name="Text Box 3096">
          <a:extLst>
            <a:ext uri="{FF2B5EF4-FFF2-40B4-BE49-F238E27FC236}">
              <a16:creationId xmlns="" xmlns:a16="http://schemas.microsoft.com/office/drawing/2014/main" id="{00000000-0008-0000-0000-0000A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2" name="Text Box 3097">
          <a:extLst>
            <a:ext uri="{FF2B5EF4-FFF2-40B4-BE49-F238E27FC236}">
              <a16:creationId xmlns="" xmlns:a16="http://schemas.microsoft.com/office/drawing/2014/main" id="{00000000-0008-0000-0000-0000A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3" name="Text Box 3098">
          <a:extLst>
            <a:ext uri="{FF2B5EF4-FFF2-40B4-BE49-F238E27FC236}">
              <a16:creationId xmlns="" xmlns:a16="http://schemas.microsoft.com/office/drawing/2014/main" id="{00000000-0008-0000-0000-0000A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4" name="Text Box 3099">
          <a:extLst>
            <a:ext uri="{FF2B5EF4-FFF2-40B4-BE49-F238E27FC236}">
              <a16:creationId xmlns="" xmlns:a16="http://schemas.microsoft.com/office/drawing/2014/main" id="{00000000-0008-0000-0000-0000B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5" name="Text Box 3100">
          <a:extLst>
            <a:ext uri="{FF2B5EF4-FFF2-40B4-BE49-F238E27FC236}">
              <a16:creationId xmlns="" xmlns:a16="http://schemas.microsoft.com/office/drawing/2014/main" id="{00000000-0008-0000-0000-0000B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6" name="Text Box 3101">
          <a:extLst>
            <a:ext uri="{FF2B5EF4-FFF2-40B4-BE49-F238E27FC236}">
              <a16:creationId xmlns="" xmlns:a16="http://schemas.microsoft.com/office/drawing/2014/main" id="{00000000-0008-0000-0000-0000B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347" name="Text Box 3102">
          <a:extLst>
            <a:ext uri="{FF2B5EF4-FFF2-40B4-BE49-F238E27FC236}">
              <a16:creationId xmlns="" xmlns:a16="http://schemas.microsoft.com/office/drawing/2014/main" id="{00000000-0008-0000-0000-0000B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48" name="Text Box 59">
          <a:extLst>
            <a:ext uri="{FF2B5EF4-FFF2-40B4-BE49-F238E27FC236}">
              <a16:creationId xmlns="" xmlns:a16="http://schemas.microsoft.com/office/drawing/2014/main" id="{00000000-0008-0000-0000-0000B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49" name="Text Box 60">
          <a:extLst>
            <a:ext uri="{FF2B5EF4-FFF2-40B4-BE49-F238E27FC236}">
              <a16:creationId xmlns="" xmlns:a16="http://schemas.microsoft.com/office/drawing/2014/main" id="{00000000-0008-0000-0000-0000B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0" name="Text Box 61">
          <a:extLst>
            <a:ext uri="{FF2B5EF4-FFF2-40B4-BE49-F238E27FC236}">
              <a16:creationId xmlns="" xmlns:a16="http://schemas.microsoft.com/office/drawing/2014/main" id="{00000000-0008-0000-0000-0000B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1" name="Text Box 62">
          <a:extLst>
            <a:ext uri="{FF2B5EF4-FFF2-40B4-BE49-F238E27FC236}">
              <a16:creationId xmlns="" xmlns:a16="http://schemas.microsoft.com/office/drawing/2014/main" id="{00000000-0008-0000-0000-0000B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2" name="Text Box 63">
          <a:extLst>
            <a:ext uri="{FF2B5EF4-FFF2-40B4-BE49-F238E27FC236}">
              <a16:creationId xmlns="" xmlns:a16="http://schemas.microsoft.com/office/drawing/2014/main" id="{00000000-0008-0000-0000-0000B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3" name="Text Box 64">
          <a:extLst>
            <a:ext uri="{FF2B5EF4-FFF2-40B4-BE49-F238E27FC236}">
              <a16:creationId xmlns="" xmlns:a16="http://schemas.microsoft.com/office/drawing/2014/main" id="{00000000-0008-0000-0000-0000B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4" name="Text Box 65">
          <a:extLst>
            <a:ext uri="{FF2B5EF4-FFF2-40B4-BE49-F238E27FC236}">
              <a16:creationId xmlns="" xmlns:a16="http://schemas.microsoft.com/office/drawing/2014/main" id="{00000000-0008-0000-0000-0000B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5" name="Text Box 66">
          <a:extLst>
            <a:ext uri="{FF2B5EF4-FFF2-40B4-BE49-F238E27FC236}">
              <a16:creationId xmlns="" xmlns:a16="http://schemas.microsoft.com/office/drawing/2014/main" id="{00000000-0008-0000-0000-0000B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6" name="Text Box 67">
          <a:extLst>
            <a:ext uri="{FF2B5EF4-FFF2-40B4-BE49-F238E27FC236}">
              <a16:creationId xmlns="" xmlns:a16="http://schemas.microsoft.com/office/drawing/2014/main" id="{00000000-0008-0000-0000-0000B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7" name="Text Box 68">
          <a:extLst>
            <a:ext uri="{FF2B5EF4-FFF2-40B4-BE49-F238E27FC236}">
              <a16:creationId xmlns="" xmlns:a16="http://schemas.microsoft.com/office/drawing/2014/main" id="{00000000-0008-0000-0000-0000B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8" name="Text Box 69">
          <a:extLst>
            <a:ext uri="{FF2B5EF4-FFF2-40B4-BE49-F238E27FC236}">
              <a16:creationId xmlns="" xmlns:a16="http://schemas.microsoft.com/office/drawing/2014/main" id="{00000000-0008-0000-0000-0000B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9" name="Text Box 70">
          <a:extLst>
            <a:ext uri="{FF2B5EF4-FFF2-40B4-BE49-F238E27FC236}">
              <a16:creationId xmlns="" xmlns:a16="http://schemas.microsoft.com/office/drawing/2014/main" id="{00000000-0008-0000-0000-0000B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0" name="Text Box 71">
          <a:extLst>
            <a:ext uri="{FF2B5EF4-FFF2-40B4-BE49-F238E27FC236}">
              <a16:creationId xmlns="" xmlns:a16="http://schemas.microsoft.com/office/drawing/2014/main" id="{00000000-0008-0000-0000-0000C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1" name="Text Box 72">
          <a:extLst>
            <a:ext uri="{FF2B5EF4-FFF2-40B4-BE49-F238E27FC236}">
              <a16:creationId xmlns="" xmlns:a16="http://schemas.microsoft.com/office/drawing/2014/main" id="{00000000-0008-0000-0000-0000C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2" name="Text Box 73">
          <a:extLst>
            <a:ext uri="{FF2B5EF4-FFF2-40B4-BE49-F238E27FC236}">
              <a16:creationId xmlns="" xmlns:a16="http://schemas.microsoft.com/office/drawing/2014/main" id="{00000000-0008-0000-0000-0000C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3" name="Text Box 74">
          <a:extLst>
            <a:ext uri="{FF2B5EF4-FFF2-40B4-BE49-F238E27FC236}">
              <a16:creationId xmlns="" xmlns:a16="http://schemas.microsoft.com/office/drawing/2014/main" id="{00000000-0008-0000-0000-0000C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4" name="Text Box 75">
          <a:extLst>
            <a:ext uri="{FF2B5EF4-FFF2-40B4-BE49-F238E27FC236}">
              <a16:creationId xmlns="" xmlns:a16="http://schemas.microsoft.com/office/drawing/2014/main" id="{00000000-0008-0000-0000-0000C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5" name="Text Box 76">
          <a:extLst>
            <a:ext uri="{FF2B5EF4-FFF2-40B4-BE49-F238E27FC236}">
              <a16:creationId xmlns="" xmlns:a16="http://schemas.microsoft.com/office/drawing/2014/main" id="{00000000-0008-0000-0000-0000C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6" name="Text Box 77">
          <a:extLst>
            <a:ext uri="{FF2B5EF4-FFF2-40B4-BE49-F238E27FC236}">
              <a16:creationId xmlns="" xmlns:a16="http://schemas.microsoft.com/office/drawing/2014/main" id="{00000000-0008-0000-0000-0000C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7" name="Text Box 78">
          <a:extLst>
            <a:ext uri="{FF2B5EF4-FFF2-40B4-BE49-F238E27FC236}">
              <a16:creationId xmlns="" xmlns:a16="http://schemas.microsoft.com/office/drawing/2014/main" id="{00000000-0008-0000-0000-0000C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8" name="Text Box 79">
          <a:extLst>
            <a:ext uri="{FF2B5EF4-FFF2-40B4-BE49-F238E27FC236}">
              <a16:creationId xmlns="" xmlns:a16="http://schemas.microsoft.com/office/drawing/2014/main" id="{00000000-0008-0000-0000-0000C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9" name="Text Box 80">
          <a:extLst>
            <a:ext uri="{FF2B5EF4-FFF2-40B4-BE49-F238E27FC236}">
              <a16:creationId xmlns="" xmlns:a16="http://schemas.microsoft.com/office/drawing/2014/main" id="{00000000-0008-0000-0000-0000C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70" name="Text Box 81">
          <a:extLst>
            <a:ext uri="{FF2B5EF4-FFF2-40B4-BE49-F238E27FC236}">
              <a16:creationId xmlns="" xmlns:a16="http://schemas.microsoft.com/office/drawing/2014/main" id="{00000000-0008-0000-0000-0000C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1" name="Text Box 3079">
          <a:extLst>
            <a:ext uri="{FF2B5EF4-FFF2-40B4-BE49-F238E27FC236}">
              <a16:creationId xmlns="" xmlns:a16="http://schemas.microsoft.com/office/drawing/2014/main" id="{00000000-0008-0000-0000-0000C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2" name="Text Box 3080">
          <a:extLst>
            <a:ext uri="{FF2B5EF4-FFF2-40B4-BE49-F238E27FC236}">
              <a16:creationId xmlns="" xmlns:a16="http://schemas.microsoft.com/office/drawing/2014/main" id="{00000000-0008-0000-0000-0000C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3" name="Text Box 3081">
          <a:extLst>
            <a:ext uri="{FF2B5EF4-FFF2-40B4-BE49-F238E27FC236}">
              <a16:creationId xmlns="" xmlns:a16="http://schemas.microsoft.com/office/drawing/2014/main" id="{00000000-0008-0000-0000-0000C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4" name="Text Box 3082">
          <a:extLst>
            <a:ext uri="{FF2B5EF4-FFF2-40B4-BE49-F238E27FC236}">
              <a16:creationId xmlns="" xmlns:a16="http://schemas.microsoft.com/office/drawing/2014/main" id="{00000000-0008-0000-0000-0000C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5" name="Text Box 3083">
          <a:extLst>
            <a:ext uri="{FF2B5EF4-FFF2-40B4-BE49-F238E27FC236}">
              <a16:creationId xmlns="" xmlns:a16="http://schemas.microsoft.com/office/drawing/2014/main" id="{00000000-0008-0000-0000-0000C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6" name="Text Box 3084">
          <a:extLst>
            <a:ext uri="{FF2B5EF4-FFF2-40B4-BE49-F238E27FC236}">
              <a16:creationId xmlns="" xmlns:a16="http://schemas.microsoft.com/office/drawing/2014/main" id="{00000000-0008-0000-0000-0000D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7" name="Text Box 3085">
          <a:extLst>
            <a:ext uri="{FF2B5EF4-FFF2-40B4-BE49-F238E27FC236}">
              <a16:creationId xmlns="" xmlns:a16="http://schemas.microsoft.com/office/drawing/2014/main" id="{00000000-0008-0000-0000-0000D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8" name="Text Box 3086">
          <a:extLst>
            <a:ext uri="{FF2B5EF4-FFF2-40B4-BE49-F238E27FC236}">
              <a16:creationId xmlns="" xmlns:a16="http://schemas.microsoft.com/office/drawing/2014/main" id="{00000000-0008-0000-0000-0000D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9" name="Text Box 3087">
          <a:extLst>
            <a:ext uri="{FF2B5EF4-FFF2-40B4-BE49-F238E27FC236}">
              <a16:creationId xmlns="" xmlns:a16="http://schemas.microsoft.com/office/drawing/2014/main" id="{00000000-0008-0000-0000-0000D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0" name="Text Box 3088">
          <a:extLst>
            <a:ext uri="{FF2B5EF4-FFF2-40B4-BE49-F238E27FC236}">
              <a16:creationId xmlns="" xmlns:a16="http://schemas.microsoft.com/office/drawing/2014/main" id="{00000000-0008-0000-0000-0000D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1" name="Text Box 3089">
          <a:extLst>
            <a:ext uri="{FF2B5EF4-FFF2-40B4-BE49-F238E27FC236}">
              <a16:creationId xmlns="" xmlns:a16="http://schemas.microsoft.com/office/drawing/2014/main" id="{00000000-0008-0000-0000-0000D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2" name="Text Box 3090">
          <a:extLst>
            <a:ext uri="{FF2B5EF4-FFF2-40B4-BE49-F238E27FC236}">
              <a16:creationId xmlns="" xmlns:a16="http://schemas.microsoft.com/office/drawing/2014/main" id="{00000000-0008-0000-0000-0000D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3" name="Text Box 3091">
          <a:extLst>
            <a:ext uri="{FF2B5EF4-FFF2-40B4-BE49-F238E27FC236}">
              <a16:creationId xmlns="" xmlns:a16="http://schemas.microsoft.com/office/drawing/2014/main" id="{00000000-0008-0000-0000-0000D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4" name="Text Box 3092">
          <a:extLst>
            <a:ext uri="{FF2B5EF4-FFF2-40B4-BE49-F238E27FC236}">
              <a16:creationId xmlns="" xmlns:a16="http://schemas.microsoft.com/office/drawing/2014/main" id="{00000000-0008-0000-0000-0000D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5" name="Text Box 3093">
          <a:extLst>
            <a:ext uri="{FF2B5EF4-FFF2-40B4-BE49-F238E27FC236}">
              <a16:creationId xmlns="" xmlns:a16="http://schemas.microsoft.com/office/drawing/2014/main" id="{00000000-0008-0000-0000-0000D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6" name="Text Box 3094">
          <a:extLst>
            <a:ext uri="{FF2B5EF4-FFF2-40B4-BE49-F238E27FC236}">
              <a16:creationId xmlns="" xmlns:a16="http://schemas.microsoft.com/office/drawing/2014/main" id="{00000000-0008-0000-0000-0000D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7" name="Text Box 3095">
          <a:extLst>
            <a:ext uri="{FF2B5EF4-FFF2-40B4-BE49-F238E27FC236}">
              <a16:creationId xmlns="" xmlns:a16="http://schemas.microsoft.com/office/drawing/2014/main" id="{00000000-0008-0000-0000-0000D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8" name="Text Box 3096">
          <a:extLst>
            <a:ext uri="{FF2B5EF4-FFF2-40B4-BE49-F238E27FC236}">
              <a16:creationId xmlns="" xmlns:a16="http://schemas.microsoft.com/office/drawing/2014/main" id="{00000000-0008-0000-0000-0000D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9" name="Text Box 3097">
          <a:extLst>
            <a:ext uri="{FF2B5EF4-FFF2-40B4-BE49-F238E27FC236}">
              <a16:creationId xmlns="" xmlns:a16="http://schemas.microsoft.com/office/drawing/2014/main" id="{00000000-0008-0000-0000-0000D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0" name="Text Box 3098">
          <a:extLst>
            <a:ext uri="{FF2B5EF4-FFF2-40B4-BE49-F238E27FC236}">
              <a16:creationId xmlns="" xmlns:a16="http://schemas.microsoft.com/office/drawing/2014/main" id="{00000000-0008-0000-0000-0000D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1" name="Text Box 3099">
          <a:extLst>
            <a:ext uri="{FF2B5EF4-FFF2-40B4-BE49-F238E27FC236}">
              <a16:creationId xmlns="" xmlns:a16="http://schemas.microsoft.com/office/drawing/2014/main" id="{00000000-0008-0000-0000-0000D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2" name="Text Box 3100">
          <a:extLst>
            <a:ext uri="{FF2B5EF4-FFF2-40B4-BE49-F238E27FC236}">
              <a16:creationId xmlns="" xmlns:a16="http://schemas.microsoft.com/office/drawing/2014/main" id="{00000000-0008-0000-0000-0000E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3" name="Text Box 3101">
          <a:extLst>
            <a:ext uri="{FF2B5EF4-FFF2-40B4-BE49-F238E27FC236}">
              <a16:creationId xmlns="" xmlns:a16="http://schemas.microsoft.com/office/drawing/2014/main" id="{00000000-0008-0000-0000-0000E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394" name="Text Box 3102">
          <a:extLst>
            <a:ext uri="{FF2B5EF4-FFF2-40B4-BE49-F238E27FC236}">
              <a16:creationId xmlns="" xmlns:a16="http://schemas.microsoft.com/office/drawing/2014/main" id="{00000000-0008-0000-0000-0000E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5" name="Text Box 59">
          <a:extLst>
            <a:ext uri="{FF2B5EF4-FFF2-40B4-BE49-F238E27FC236}">
              <a16:creationId xmlns="" xmlns:a16="http://schemas.microsoft.com/office/drawing/2014/main" id="{00000000-0008-0000-0000-0000E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6" name="Text Box 60">
          <a:extLst>
            <a:ext uri="{FF2B5EF4-FFF2-40B4-BE49-F238E27FC236}">
              <a16:creationId xmlns="" xmlns:a16="http://schemas.microsoft.com/office/drawing/2014/main" id="{00000000-0008-0000-0000-0000E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7" name="Text Box 61">
          <a:extLst>
            <a:ext uri="{FF2B5EF4-FFF2-40B4-BE49-F238E27FC236}">
              <a16:creationId xmlns="" xmlns:a16="http://schemas.microsoft.com/office/drawing/2014/main" id="{00000000-0008-0000-0000-0000E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8" name="Text Box 62">
          <a:extLst>
            <a:ext uri="{FF2B5EF4-FFF2-40B4-BE49-F238E27FC236}">
              <a16:creationId xmlns="" xmlns:a16="http://schemas.microsoft.com/office/drawing/2014/main" id="{00000000-0008-0000-0000-0000E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9" name="Text Box 63">
          <a:extLst>
            <a:ext uri="{FF2B5EF4-FFF2-40B4-BE49-F238E27FC236}">
              <a16:creationId xmlns="" xmlns:a16="http://schemas.microsoft.com/office/drawing/2014/main" id="{00000000-0008-0000-0000-0000E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0" name="Text Box 64">
          <a:extLst>
            <a:ext uri="{FF2B5EF4-FFF2-40B4-BE49-F238E27FC236}">
              <a16:creationId xmlns="" xmlns:a16="http://schemas.microsoft.com/office/drawing/2014/main" id="{00000000-0008-0000-0000-0000E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1" name="Text Box 65">
          <a:extLst>
            <a:ext uri="{FF2B5EF4-FFF2-40B4-BE49-F238E27FC236}">
              <a16:creationId xmlns="" xmlns:a16="http://schemas.microsoft.com/office/drawing/2014/main" id="{00000000-0008-0000-0000-0000E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2" name="Text Box 66">
          <a:extLst>
            <a:ext uri="{FF2B5EF4-FFF2-40B4-BE49-F238E27FC236}">
              <a16:creationId xmlns="" xmlns:a16="http://schemas.microsoft.com/office/drawing/2014/main" id="{00000000-0008-0000-0000-0000E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3" name="Text Box 67">
          <a:extLst>
            <a:ext uri="{FF2B5EF4-FFF2-40B4-BE49-F238E27FC236}">
              <a16:creationId xmlns="" xmlns:a16="http://schemas.microsoft.com/office/drawing/2014/main" id="{00000000-0008-0000-0000-0000E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4" name="Text Box 68">
          <a:extLst>
            <a:ext uri="{FF2B5EF4-FFF2-40B4-BE49-F238E27FC236}">
              <a16:creationId xmlns="" xmlns:a16="http://schemas.microsoft.com/office/drawing/2014/main" id="{00000000-0008-0000-0000-0000E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5" name="Text Box 69">
          <a:extLst>
            <a:ext uri="{FF2B5EF4-FFF2-40B4-BE49-F238E27FC236}">
              <a16:creationId xmlns="" xmlns:a16="http://schemas.microsoft.com/office/drawing/2014/main" id="{00000000-0008-0000-0000-0000E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6" name="Text Box 70">
          <a:extLst>
            <a:ext uri="{FF2B5EF4-FFF2-40B4-BE49-F238E27FC236}">
              <a16:creationId xmlns="" xmlns:a16="http://schemas.microsoft.com/office/drawing/2014/main" id="{00000000-0008-0000-0000-0000E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7" name="Text Box 71">
          <a:extLst>
            <a:ext uri="{FF2B5EF4-FFF2-40B4-BE49-F238E27FC236}">
              <a16:creationId xmlns="" xmlns:a16="http://schemas.microsoft.com/office/drawing/2014/main" id="{00000000-0008-0000-0000-0000E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8" name="Text Box 72">
          <a:extLst>
            <a:ext uri="{FF2B5EF4-FFF2-40B4-BE49-F238E27FC236}">
              <a16:creationId xmlns="" xmlns:a16="http://schemas.microsoft.com/office/drawing/2014/main" id="{00000000-0008-0000-0000-0000F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9" name="Text Box 73">
          <a:extLst>
            <a:ext uri="{FF2B5EF4-FFF2-40B4-BE49-F238E27FC236}">
              <a16:creationId xmlns="" xmlns:a16="http://schemas.microsoft.com/office/drawing/2014/main" id="{00000000-0008-0000-0000-0000F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0" name="Text Box 74">
          <a:extLst>
            <a:ext uri="{FF2B5EF4-FFF2-40B4-BE49-F238E27FC236}">
              <a16:creationId xmlns="" xmlns:a16="http://schemas.microsoft.com/office/drawing/2014/main" id="{00000000-0008-0000-0000-0000F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1" name="Text Box 75">
          <a:extLst>
            <a:ext uri="{FF2B5EF4-FFF2-40B4-BE49-F238E27FC236}">
              <a16:creationId xmlns="" xmlns:a16="http://schemas.microsoft.com/office/drawing/2014/main" id="{00000000-0008-0000-0000-0000F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2" name="Text Box 76">
          <a:extLst>
            <a:ext uri="{FF2B5EF4-FFF2-40B4-BE49-F238E27FC236}">
              <a16:creationId xmlns="" xmlns:a16="http://schemas.microsoft.com/office/drawing/2014/main" id="{00000000-0008-0000-0000-0000F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3" name="Text Box 77">
          <a:extLst>
            <a:ext uri="{FF2B5EF4-FFF2-40B4-BE49-F238E27FC236}">
              <a16:creationId xmlns="" xmlns:a16="http://schemas.microsoft.com/office/drawing/2014/main" id="{00000000-0008-0000-0000-0000F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4" name="Text Box 78">
          <a:extLst>
            <a:ext uri="{FF2B5EF4-FFF2-40B4-BE49-F238E27FC236}">
              <a16:creationId xmlns="" xmlns:a16="http://schemas.microsoft.com/office/drawing/2014/main" id="{00000000-0008-0000-0000-0000F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5" name="Text Box 79">
          <a:extLst>
            <a:ext uri="{FF2B5EF4-FFF2-40B4-BE49-F238E27FC236}">
              <a16:creationId xmlns="" xmlns:a16="http://schemas.microsoft.com/office/drawing/2014/main" id="{00000000-0008-0000-0000-0000F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6" name="Text Box 80">
          <a:extLst>
            <a:ext uri="{FF2B5EF4-FFF2-40B4-BE49-F238E27FC236}">
              <a16:creationId xmlns="" xmlns:a16="http://schemas.microsoft.com/office/drawing/2014/main" id="{00000000-0008-0000-0000-0000F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7" name="Text Box 81">
          <a:extLst>
            <a:ext uri="{FF2B5EF4-FFF2-40B4-BE49-F238E27FC236}">
              <a16:creationId xmlns="" xmlns:a16="http://schemas.microsoft.com/office/drawing/2014/main" id="{00000000-0008-0000-0000-0000F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418" name="Text Box 82">
          <a:extLst>
            <a:ext uri="{FF2B5EF4-FFF2-40B4-BE49-F238E27FC236}">
              <a16:creationId xmlns="" xmlns:a16="http://schemas.microsoft.com/office/drawing/2014/main" id="{00000000-0008-0000-0000-0000F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19" name="Text Box 3079">
          <a:extLst>
            <a:ext uri="{FF2B5EF4-FFF2-40B4-BE49-F238E27FC236}">
              <a16:creationId xmlns="" xmlns:a16="http://schemas.microsoft.com/office/drawing/2014/main" id="{00000000-0008-0000-0000-0000F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0" name="Text Box 3080">
          <a:extLst>
            <a:ext uri="{FF2B5EF4-FFF2-40B4-BE49-F238E27FC236}">
              <a16:creationId xmlns="" xmlns:a16="http://schemas.microsoft.com/office/drawing/2014/main" id="{00000000-0008-0000-0000-0000F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1" name="Text Box 3081">
          <a:extLst>
            <a:ext uri="{FF2B5EF4-FFF2-40B4-BE49-F238E27FC236}">
              <a16:creationId xmlns="" xmlns:a16="http://schemas.microsoft.com/office/drawing/2014/main" id="{00000000-0008-0000-0000-0000F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2" name="Text Box 3082">
          <a:extLst>
            <a:ext uri="{FF2B5EF4-FFF2-40B4-BE49-F238E27FC236}">
              <a16:creationId xmlns="" xmlns:a16="http://schemas.microsoft.com/office/drawing/2014/main" id="{00000000-0008-0000-0000-0000F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3" name="Text Box 3083">
          <a:extLst>
            <a:ext uri="{FF2B5EF4-FFF2-40B4-BE49-F238E27FC236}">
              <a16:creationId xmlns="" xmlns:a16="http://schemas.microsoft.com/office/drawing/2014/main" id="{00000000-0008-0000-0000-0000F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4" name="Text Box 3084">
          <a:extLst>
            <a:ext uri="{FF2B5EF4-FFF2-40B4-BE49-F238E27FC236}">
              <a16:creationId xmlns="" xmlns:a16="http://schemas.microsoft.com/office/drawing/2014/main" id="{00000000-0008-0000-0000-00000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5" name="Text Box 3085">
          <a:extLst>
            <a:ext uri="{FF2B5EF4-FFF2-40B4-BE49-F238E27FC236}">
              <a16:creationId xmlns="" xmlns:a16="http://schemas.microsoft.com/office/drawing/2014/main" id="{00000000-0008-0000-0000-00000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6" name="Text Box 3086">
          <a:extLst>
            <a:ext uri="{FF2B5EF4-FFF2-40B4-BE49-F238E27FC236}">
              <a16:creationId xmlns="" xmlns:a16="http://schemas.microsoft.com/office/drawing/2014/main" id="{00000000-0008-0000-0000-00000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7" name="Text Box 3087">
          <a:extLst>
            <a:ext uri="{FF2B5EF4-FFF2-40B4-BE49-F238E27FC236}">
              <a16:creationId xmlns="" xmlns:a16="http://schemas.microsoft.com/office/drawing/2014/main" id="{00000000-0008-0000-0000-00000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8" name="Text Box 3088">
          <a:extLst>
            <a:ext uri="{FF2B5EF4-FFF2-40B4-BE49-F238E27FC236}">
              <a16:creationId xmlns="" xmlns:a16="http://schemas.microsoft.com/office/drawing/2014/main" id="{00000000-0008-0000-0000-00000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9" name="Text Box 3089">
          <a:extLst>
            <a:ext uri="{FF2B5EF4-FFF2-40B4-BE49-F238E27FC236}">
              <a16:creationId xmlns="" xmlns:a16="http://schemas.microsoft.com/office/drawing/2014/main" id="{00000000-0008-0000-0000-00000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0" name="Text Box 3090">
          <a:extLst>
            <a:ext uri="{FF2B5EF4-FFF2-40B4-BE49-F238E27FC236}">
              <a16:creationId xmlns="" xmlns:a16="http://schemas.microsoft.com/office/drawing/2014/main" id="{00000000-0008-0000-0000-00000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1" name="Text Box 3091">
          <a:extLst>
            <a:ext uri="{FF2B5EF4-FFF2-40B4-BE49-F238E27FC236}">
              <a16:creationId xmlns="" xmlns:a16="http://schemas.microsoft.com/office/drawing/2014/main" id="{00000000-0008-0000-0000-00000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2" name="Text Box 3092">
          <a:extLst>
            <a:ext uri="{FF2B5EF4-FFF2-40B4-BE49-F238E27FC236}">
              <a16:creationId xmlns="" xmlns:a16="http://schemas.microsoft.com/office/drawing/2014/main" id="{00000000-0008-0000-0000-00000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3" name="Text Box 3093">
          <a:extLst>
            <a:ext uri="{FF2B5EF4-FFF2-40B4-BE49-F238E27FC236}">
              <a16:creationId xmlns="" xmlns:a16="http://schemas.microsoft.com/office/drawing/2014/main" id="{00000000-0008-0000-0000-00000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4" name="Text Box 3094">
          <a:extLst>
            <a:ext uri="{FF2B5EF4-FFF2-40B4-BE49-F238E27FC236}">
              <a16:creationId xmlns="" xmlns:a16="http://schemas.microsoft.com/office/drawing/2014/main" id="{00000000-0008-0000-0000-00000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5" name="Text Box 3095">
          <a:extLst>
            <a:ext uri="{FF2B5EF4-FFF2-40B4-BE49-F238E27FC236}">
              <a16:creationId xmlns="" xmlns:a16="http://schemas.microsoft.com/office/drawing/2014/main" id="{00000000-0008-0000-0000-00000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6" name="Text Box 3096">
          <a:extLst>
            <a:ext uri="{FF2B5EF4-FFF2-40B4-BE49-F238E27FC236}">
              <a16:creationId xmlns="" xmlns:a16="http://schemas.microsoft.com/office/drawing/2014/main" id="{00000000-0008-0000-0000-00000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7" name="Text Box 3097">
          <a:extLst>
            <a:ext uri="{FF2B5EF4-FFF2-40B4-BE49-F238E27FC236}">
              <a16:creationId xmlns="" xmlns:a16="http://schemas.microsoft.com/office/drawing/2014/main" id="{00000000-0008-0000-0000-00000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8" name="Text Box 3098">
          <a:extLst>
            <a:ext uri="{FF2B5EF4-FFF2-40B4-BE49-F238E27FC236}">
              <a16:creationId xmlns="" xmlns:a16="http://schemas.microsoft.com/office/drawing/2014/main" id="{00000000-0008-0000-0000-00000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9" name="Text Box 3099">
          <a:extLst>
            <a:ext uri="{FF2B5EF4-FFF2-40B4-BE49-F238E27FC236}">
              <a16:creationId xmlns="" xmlns:a16="http://schemas.microsoft.com/office/drawing/2014/main" id="{00000000-0008-0000-0000-00000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40" name="Text Box 3100">
          <a:extLst>
            <a:ext uri="{FF2B5EF4-FFF2-40B4-BE49-F238E27FC236}">
              <a16:creationId xmlns="" xmlns:a16="http://schemas.microsoft.com/office/drawing/2014/main" id="{00000000-0008-0000-0000-00001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41" name="Text Box 3101">
          <a:extLst>
            <a:ext uri="{FF2B5EF4-FFF2-40B4-BE49-F238E27FC236}">
              <a16:creationId xmlns="" xmlns:a16="http://schemas.microsoft.com/office/drawing/2014/main" id="{00000000-0008-0000-0000-00001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442" name="Text Box 3102">
          <a:extLst>
            <a:ext uri="{FF2B5EF4-FFF2-40B4-BE49-F238E27FC236}">
              <a16:creationId xmlns="" xmlns:a16="http://schemas.microsoft.com/office/drawing/2014/main" id="{00000000-0008-0000-0000-00001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3" name="Text Box 59">
          <a:extLst>
            <a:ext uri="{FF2B5EF4-FFF2-40B4-BE49-F238E27FC236}">
              <a16:creationId xmlns="" xmlns:a16="http://schemas.microsoft.com/office/drawing/2014/main" id="{00000000-0008-0000-0000-00001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4" name="Text Box 60">
          <a:extLst>
            <a:ext uri="{FF2B5EF4-FFF2-40B4-BE49-F238E27FC236}">
              <a16:creationId xmlns="" xmlns:a16="http://schemas.microsoft.com/office/drawing/2014/main" id="{00000000-0008-0000-0000-00001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5" name="Text Box 61">
          <a:extLst>
            <a:ext uri="{FF2B5EF4-FFF2-40B4-BE49-F238E27FC236}">
              <a16:creationId xmlns="" xmlns:a16="http://schemas.microsoft.com/office/drawing/2014/main" id="{00000000-0008-0000-0000-00001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6" name="Text Box 62">
          <a:extLst>
            <a:ext uri="{FF2B5EF4-FFF2-40B4-BE49-F238E27FC236}">
              <a16:creationId xmlns="" xmlns:a16="http://schemas.microsoft.com/office/drawing/2014/main" id="{00000000-0008-0000-0000-00001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7" name="Text Box 63">
          <a:extLst>
            <a:ext uri="{FF2B5EF4-FFF2-40B4-BE49-F238E27FC236}">
              <a16:creationId xmlns="" xmlns:a16="http://schemas.microsoft.com/office/drawing/2014/main" id="{00000000-0008-0000-0000-00001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8" name="Text Box 64">
          <a:extLst>
            <a:ext uri="{FF2B5EF4-FFF2-40B4-BE49-F238E27FC236}">
              <a16:creationId xmlns="" xmlns:a16="http://schemas.microsoft.com/office/drawing/2014/main" id="{00000000-0008-0000-0000-00001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9" name="Text Box 65">
          <a:extLst>
            <a:ext uri="{FF2B5EF4-FFF2-40B4-BE49-F238E27FC236}">
              <a16:creationId xmlns="" xmlns:a16="http://schemas.microsoft.com/office/drawing/2014/main" id="{00000000-0008-0000-0000-00001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0" name="Text Box 66">
          <a:extLst>
            <a:ext uri="{FF2B5EF4-FFF2-40B4-BE49-F238E27FC236}">
              <a16:creationId xmlns="" xmlns:a16="http://schemas.microsoft.com/office/drawing/2014/main" id="{00000000-0008-0000-0000-00001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1" name="Text Box 67">
          <a:extLst>
            <a:ext uri="{FF2B5EF4-FFF2-40B4-BE49-F238E27FC236}">
              <a16:creationId xmlns="" xmlns:a16="http://schemas.microsoft.com/office/drawing/2014/main" id="{00000000-0008-0000-0000-00001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2" name="Text Box 68">
          <a:extLst>
            <a:ext uri="{FF2B5EF4-FFF2-40B4-BE49-F238E27FC236}">
              <a16:creationId xmlns="" xmlns:a16="http://schemas.microsoft.com/office/drawing/2014/main" id="{00000000-0008-0000-0000-00001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3" name="Text Box 69">
          <a:extLst>
            <a:ext uri="{FF2B5EF4-FFF2-40B4-BE49-F238E27FC236}">
              <a16:creationId xmlns="" xmlns:a16="http://schemas.microsoft.com/office/drawing/2014/main" id="{00000000-0008-0000-0000-00001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4" name="Text Box 70">
          <a:extLst>
            <a:ext uri="{FF2B5EF4-FFF2-40B4-BE49-F238E27FC236}">
              <a16:creationId xmlns="" xmlns:a16="http://schemas.microsoft.com/office/drawing/2014/main" id="{00000000-0008-0000-0000-00001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5" name="Text Box 71">
          <a:extLst>
            <a:ext uri="{FF2B5EF4-FFF2-40B4-BE49-F238E27FC236}">
              <a16:creationId xmlns="" xmlns:a16="http://schemas.microsoft.com/office/drawing/2014/main" id="{00000000-0008-0000-0000-00001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6" name="Text Box 72">
          <a:extLst>
            <a:ext uri="{FF2B5EF4-FFF2-40B4-BE49-F238E27FC236}">
              <a16:creationId xmlns="" xmlns:a16="http://schemas.microsoft.com/office/drawing/2014/main" id="{00000000-0008-0000-0000-00002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7" name="Text Box 73">
          <a:extLst>
            <a:ext uri="{FF2B5EF4-FFF2-40B4-BE49-F238E27FC236}">
              <a16:creationId xmlns="" xmlns:a16="http://schemas.microsoft.com/office/drawing/2014/main" id="{00000000-0008-0000-0000-00002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8" name="Text Box 74">
          <a:extLst>
            <a:ext uri="{FF2B5EF4-FFF2-40B4-BE49-F238E27FC236}">
              <a16:creationId xmlns="" xmlns:a16="http://schemas.microsoft.com/office/drawing/2014/main" id="{00000000-0008-0000-0000-00002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9" name="Text Box 75">
          <a:extLst>
            <a:ext uri="{FF2B5EF4-FFF2-40B4-BE49-F238E27FC236}">
              <a16:creationId xmlns="" xmlns:a16="http://schemas.microsoft.com/office/drawing/2014/main" id="{00000000-0008-0000-0000-00002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0" name="Text Box 76">
          <a:extLst>
            <a:ext uri="{FF2B5EF4-FFF2-40B4-BE49-F238E27FC236}">
              <a16:creationId xmlns="" xmlns:a16="http://schemas.microsoft.com/office/drawing/2014/main" id="{00000000-0008-0000-0000-00002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1" name="Text Box 77">
          <a:extLst>
            <a:ext uri="{FF2B5EF4-FFF2-40B4-BE49-F238E27FC236}">
              <a16:creationId xmlns="" xmlns:a16="http://schemas.microsoft.com/office/drawing/2014/main" id="{00000000-0008-0000-0000-00002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2" name="Text Box 78">
          <a:extLst>
            <a:ext uri="{FF2B5EF4-FFF2-40B4-BE49-F238E27FC236}">
              <a16:creationId xmlns="" xmlns:a16="http://schemas.microsoft.com/office/drawing/2014/main" id="{00000000-0008-0000-0000-00002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3" name="Text Box 79">
          <a:extLst>
            <a:ext uri="{FF2B5EF4-FFF2-40B4-BE49-F238E27FC236}">
              <a16:creationId xmlns="" xmlns:a16="http://schemas.microsoft.com/office/drawing/2014/main" id="{00000000-0008-0000-0000-00002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4" name="Text Box 80">
          <a:extLst>
            <a:ext uri="{FF2B5EF4-FFF2-40B4-BE49-F238E27FC236}">
              <a16:creationId xmlns="" xmlns:a16="http://schemas.microsoft.com/office/drawing/2014/main" id="{00000000-0008-0000-0000-00002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5" name="Text Box 81">
          <a:extLst>
            <a:ext uri="{FF2B5EF4-FFF2-40B4-BE49-F238E27FC236}">
              <a16:creationId xmlns="" xmlns:a16="http://schemas.microsoft.com/office/drawing/2014/main" id="{00000000-0008-0000-0000-00002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6" name="Text Box 3079">
          <a:extLst>
            <a:ext uri="{FF2B5EF4-FFF2-40B4-BE49-F238E27FC236}">
              <a16:creationId xmlns="" xmlns:a16="http://schemas.microsoft.com/office/drawing/2014/main" id="{00000000-0008-0000-0000-00002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7" name="Text Box 3080">
          <a:extLst>
            <a:ext uri="{FF2B5EF4-FFF2-40B4-BE49-F238E27FC236}">
              <a16:creationId xmlns="" xmlns:a16="http://schemas.microsoft.com/office/drawing/2014/main" id="{00000000-0008-0000-0000-00002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8" name="Text Box 3081">
          <a:extLst>
            <a:ext uri="{FF2B5EF4-FFF2-40B4-BE49-F238E27FC236}">
              <a16:creationId xmlns="" xmlns:a16="http://schemas.microsoft.com/office/drawing/2014/main" id="{00000000-0008-0000-0000-00002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9" name="Text Box 3082">
          <a:extLst>
            <a:ext uri="{FF2B5EF4-FFF2-40B4-BE49-F238E27FC236}">
              <a16:creationId xmlns="" xmlns:a16="http://schemas.microsoft.com/office/drawing/2014/main" id="{00000000-0008-0000-0000-00002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0" name="Text Box 3083">
          <a:extLst>
            <a:ext uri="{FF2B5EF4-FFF2-40B4-BE49-F238E27FC236}">
              <a16:creationId xmlns="" xmlns:a16="http://schemas.microsoft.com/office/drawing/2014/main" id="{00000000-0008-0000-0000-00002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1" name="Text Box 3084">
          <a:extLst>
            <a:ext uri="{FF2B5EF4-FFF2-40B4-BE49-F238E27FC236}">
              <a16:creationId xmlns="" xmlns:a16="http://schemas.microsoft.com/office/drawing/2014/main" id="{00000000-0008-0000-0000-00002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2" name="Text Box 3085">
          <a:extLst>
            <a:ext uri="{FF2B5EF4-FFF2-40B4-BE49-F238E27FC236}">
              <a16:creationId xmlns="" xmlns:a16="http://schemas.microsoft.com/office/drawing/2014/main" id="{00000000-0008-0000-0000-00003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3" name="Text Box 3086">
          <a:extLst>
            <a:ext uri="{FF2B5EF4-FFF2-40B4-BE49-F238E27FC236}">
              <a16:creationId xmlns="" xmlns:a16="http://schemas.microsoft.com/office/drawing/2014/main" id="{00000000-0008-0000-0000-00003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4" name="Text Box 3087">
          <a:extLst>
            <a:ext uri="{FF2B5EF4-FFF2-40B4-BE49-F238E27FC236}">
              <a16:creationId xmlns="" xmlns:a16="http://schemas.microsoft.com/office/drawing/2014/main" id="{00000000-0008-0000-0000-00003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5" name="Text Box 3088">
          <a:extLst>
            <a:ext uri="{FF2B5EF4-FFF2-40B4-BE49-F238E27FC236}">
              <a16:creationId xmlns="" xmlns:a16="http://schemas.microsoft.com/office/drawing/2014/main" id="{00000000-0008-0000-0000-00003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6" name="Text Box 3089">
          <a:extLst>
            <a:ext uri="{FF2B5EF4-FFF2-40B4-BE49-F238E27FC236}">
              <a16:creationId xmlns="" xmlns:a16="http://schemas.microsoft.com/office/drawing/2014/main" id="{00000000-0008-0000-0000-00003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7" name="Text Box 3090">
          <a:extLst>
            <a:ext uri="{FF2B5EF4-FFF2-40B4-BE49-F238E27FC236}">
              <a16:creationId xmlns="" xmlns:a16="http://schemas.microsoft.com/office/drawing/2014/main" id="{00000000-0008-0000-0000-00003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8" name="Text Box 3091">
          <a:extLst>
            <a:ext uri="{FF2B5EF4-FFF2-40B4-BE49-F238E27FC236}">
              <a16:creationId xmlns="" xmlns:a16="http://schemas.microsoft.com/office/drawing/2014/main" id="{00000000-0008-0000-0000-00003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9" name="Text Box 3092">
          <a:extLst>
            <a:ext uri="{FF2B5EF4-FFF2-40B4-BE49-F238E27FC236}">
              <a16:creationId xmlns="" xmlns:a16="http://schemas.microsoft.com/office/drawing/2014/main" id="{00000000-0008-0000-0000-00003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0" name="Text Box 3093">
          <a:extLst>
            <a:ext uri="{FF2B5EF4-FFF2-40B4-BE49-F238E27FC236}">
              <a16:creationId xmlns="" xmlns:a16="http://schemas.microsoft.com/office/drawing/2014/main" id="{00000000-0008-0000-0000-00003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1" name="Text Box 3094">
          <a:extLst>
            <a:ext uri="{FF2B5EF4-FFF2-40B4-BE49-F238E27FC236}">
              <a16:creationId xmlns="" xmlns:a16="http://schemas.microsoft.com/office/drawing/2014/main" id="{00000000-0008-0000-0000-00003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2" name="Text Box 3095">
          <a:extLst>
            <a:ext uri="{FF2B5EF4-FFF2-40B4-BE49-F238E27FC236}">
              <a16:creationId xmlns="" xmlns:a16="http://schemas.microsoft.com/office/drawing/2014/main" id="{00000000-0008-0000-0000-00003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3" name="Text Box 3096">
          <a:extLst>
            <a:ext uri="{FF2B5EF4-FFF2-40B4-BE49-F238E27FC236}">
              <a16:creationId xmlns="" xmlns:a16="http://schemas.microsoft.com/office/drawing/2014/main" id="{00000000-0008-0000-0000-00003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4" name="Text Box 3097">
          <a:extLst>
            <a:ext uri="{FF2B5EF4-FFF2-40B4-BE49-F238E27FC236}">
              <a16:creationId xmlns="" xmlns:a16="http://schemas.microsoft.com/office/drawing/2014/main" id="{00000000-0008-0000-0000-00003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5" name="Text Box 3098">
          <a:extLst>
            <a:ext uri="{FF2B5EF4-FFF2-40B4-BE49-F238E27FC236}">
              <a16:creationId xmlns="" xmlns:a16="http://schemas.microsoft.com/office/drawing/2014/main" id="{00000000-0008-0000-0000-00003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6" name="Text Box 3099">
          <a:extLst>
            <a:ext uri="{FF2B5EF4-FFF2-40B4-BE49-F238E27FC236}">
              <a16:creationId xmlns="" xmlns:a16="http://schemas.microsoft.com/office/drawing/2014/main" id="{00000000-0008-0000-0000-00003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7" name="Text Box 3100">
          <a:extLst>
            <a:ext uri="{FF2B5EF4-FFF2-40B4-BE49-F238E27FC236}">
              <a16:creationId xmlns="" xmlns:a16="http://schemas.microsoft.com/office/drawing/2014/main" id="{00000000-0008-0000-0000-00003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8" name="Text Box 3101">
          <a:extLst>
            <a:ext uri="{FF2B5EF4-FFF2-40B4-BE49-F238E27FC236}">
              <a16:creationId xmlns="" xmlns:a16="http://schemas.microsoft.com/office/drawing/2014/main" id="{00000000-0008-0000-0000-00004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489" name="Text Box 3102">
          <a:extLst>
            <a:ext uri="{FF2B5EF4-FFF2-40B4-BE49-F238E27FC236}">
              <a16:creationId xmlns="" xmlns:a16="http://schemas.microsoft.com/office/drawing/2014/main" id="{00000000-0008-0000-0000-00004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0" name="Text Box 59">
          <a:extLst>
            <a:ext uri="{FF2B5EF4-FFF2-40B4-BE49-F238E27FC236}">
              <a16:creationId xmlns="" xmlns:a16="http://schemas.microsoft.com/office/drawing/2014/main" id="{00000000-0008-0000-0000-00004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1" name="Text Box 60">
          <a:extLst>
            <a:ext uri="{FF2B5EF4-FFF2-40B4-BE49-F238E27FC236}">
              <a16:creationId xmlns="" xmlns:a16="http://schemas.microsoft.com/office/drawing/2014/main" id="{00000000-0008-0000-0000-00004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2" name="Text Box 61">
          <a:extLst>
            <a:ext uri="{FF2B5EF4-FFF2-40B4-BE49-F238E27FC236}">
              <a16:creationId xmlns="" xmlns:a16="http://schemas.microsoft.com/office/drawing/2014/main" id="{00000000-0008-0000-0000-00004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3" name="Text Box 62">
          <a:extLst>
            <a:ext uri="{FF2B5EF4-FFF2-40B4-BE49-F238E27FC236}">
              <a16:creationId xmlns="" xmlns:a16="http://schemas.microsoft.com/office/drawing/2014/main" id="{00000000-0008-0000-0000-00004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4" name="Text Box 63">
          <a:extLst>
            <a:ext uri="{FF2B5EF4-FFF2-40B4-BE49-F238E27FC236}">
              <a16:creationId xmlns="" xmlns:a16="http://schemas.microsoft.com/office/drawing/2014/main" id="{00000000-0008-0000-0000-00004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5" name="Text Box 64">
          <a:extLst>
            <a:ext uri="{FF2B5EF4-FFF2-40B4-BE49-F238E27FC236}">
              <a16:creationId xmlns="" xmlns:a16="http://schemas.microsoft.com/office/drawing/2014/main" id="{00000000-0008-0000-0000-00004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6" name="Text Box 65">
          <a:extLst>
            <a:ext uri="{FF2B5EF4-FFF2-40B4-BE49-F238E27FC236}">
              <a16:creationId xmlns="" xmlns:a16="http://schemas.microsoft.com/office/drawing/2014/main" id="{00000000-0008-0000-0000-00004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7" name="Text Box 66">
          <a:extLst>
            <a:ext uri="{FF2B5EF4-FFF2-40B4-BE49-F238E27FC236}">
              <a16:creationId xmlns="" xmlns:a16="http://schemas.microsoft.com/office/drawing/2014/main" id="{00000000-0008-0000-0000-00004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8" name="Text Box 67">
          <a:extLst>
            <a:ext uri="{FF2B5EF4-FFF2-40B4-BE49-F238E27FC236}">
              <a16:creationId xmlns="" xmlns:a16="http://schemas.microsoft.com/office/drawing/2014/main" id="{00000000-0008-0000-0000-00004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9" name="Text Box 68">
          <a:extLst>
            <a:ext uri="{FF2B5EF4-FFF2-40B4-BE49-F238E27FC236}">
              <a16:creationId xmlns="" xmlns:a16="http://schemas.microsoft.com/office/drawing/2014/main" id="{00000000-0008-0000-0000-00004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0" name="Text Box 69">
          <a:extLst>
            <a:ext uri="{FF2B5EF4-FFF2-40B4-BE49-F238E27FC236}">
              <a16:creationId xmlns="" xmlns:a16="http://schemas.microsoft.com/office/drawing/2014/main" id="{00000000-0008-0000-0000-00004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1" name="Text Box 70">
          <a:extLst>
            <a:ext uri="{FF2B5EF4-FFF2-40B4-BE49-F238E27FC236}">
              <a16:creationId xmlns="" xmlns:a16="http://schemas.microsoft.com/office/drawing/2014/main" id="{00000000-0008-0000-0000-00004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2" name="Text Box 71">
          <a:extLst>
            <a:ext uri="{FF2B5EF4-FFF2-40B4-BE49-F238E27FC236}">
              <a16:creationId xmlns="" xmlns:a16="http://schemas.microsoft.com/office/drawing/2014/main" id="{00000000-0008-0000-0000-00004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3" name="Text Box 72">
          <a:extLst>
            <a:ext uri="{FF2B5EF4-FFF2-40B4-BE49-F238E27FC236}">
              <a16:creationId xmlns="" xmlns:a16="http://schemas.microsoft.com/office/drawing/2014/main" id="{00000000-0008-0000-0000-00004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4" name="Text Box 73">
          <a:extLst>
            <a:ext uri="{FF2B5EF4-FFF2-40B4-BE49-F238E27FC236}">
              <a16:creationId xmlns="" xmlns:a16="http://schemas.microsoft.com/office/drawing/2014/main" id="{00000000-0008-0000-0000-00005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5" name="Text Box 74">
          <a:extLst>
            <a:ext uri="{FF2B5EF4-FFF2-40B4-BE49-F238E27FC236}">
              <a16:creationId xmlns="" xmlns:a16="http://schemas.microsoft.com/office/drawing/2014/main" id="{00000000-0008-0000-0000-00005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6" name="Text Box 75">
          <a:extLst>
            <a:ext uri="{FF2B5EF4-FFF2-40B4-BE49-F238E27FC236}">
              <a16:creationId xmlns="" xmlns:a16="http://schemas.microsoft.com/office/drawing/2014/main" id="{00000000-0008-0000-0000-00005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7" name="Text Box 76">
          <a:extLst>
            <a:ext uri="{FF2B5EF4-FFF2-40B4-BE49-F238E27FC236}">
              <a16:creationId xmlns="" xmlns:a16="http://schemas.microsoft.com/office/drawing/2014/main" id="{00000000-0008-0000-0000-00005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8" name="Text Box 77">
          <a:extLst>
            <a:ext uri="{FF2B5EF4-FFF2-40B4-BE49-F238E27FC236}">
              <a16:creationId xmlns="" xmlns:a16="http://schemas.microsoft.com/office/drawing/2014/main" id="{00000000-0008-0000-0000-00005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9" name="Text Box 78">
          <a:extLst>
            <a:ext uri="{FF2B5EF4-FFF2-40B4-BE49-F238E27FC236}">
              <a16:creationId xmlns="" xmlns:a16="http://schemas.microsoft.com/office/drawing/2014/main" id="{00000000-0008-0000-0000-00005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0" name="Text Box 79">
          <a:extLst>
            <a:ext uri="{FF2B5EF4-FFF2-40B4-BE49-F238E27FC236}">
              <a16:creationId xmlns="" xmlns:a16="http://schemas.microsoft.com/office/drawing/2014/main" id="{00000000-0008-0000-0000-00005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1" name="Text Box 80">
          <a:extLst>
            <a:ext uri="{FF2B5EF4-FFF2-40B4-BE49-F238E27FC236}">
              <a16:creationId xmlns="" xmlns:a16="http://schemas.microsoft.com/office/drawing/2014/main" id="{00000000-0008-0000-0000-00005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2" name="Text Box 81">
          <a:extLst>
            <a:ext uri="{FF2B5EF4-FFF2-40B4-BE49-F238E27FC236}">
              <a16:creationId xmlns="" xmlns:a16="http://schemas.microsoft.com/office/drawing/2014/main" id="{00000000-0008-0000-0000-00005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513" name="Text Box 82">
          <a:extLst>
            <a:ext uri="{FF2B5EF4-FFF2-40B4-BE49-F238E27FC236}">
              <a16:creationId xmlns="" xmlns:a16="http://schemas.microsoft.com/office/drawing/2014/main" id="{00000000-0008-0000-0000-00005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4" name="Text Box 3079">
          <a:extLst>
            <a:ext uri="{FF2B5EF4-FFF2-40B4-BE49-F238E27FC236}">
              <a16:creationId xmlns="" xmlns:a16="http://schemas.microsoft.com/office/drawing/2014/main" id="{00000000-0008-0000-0000-00005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5" name="Text Box 3080">
          <a:extLst>
            <a:ext uri="{FF2B5EF4-FFF2-40B4-BE49-F238E27FC236}">
              <a16:creationId xmlns="" xmlns:a16="http://schemas.microsoft.com/office/drawing/2014/main" id="{00000000-0008-0000-0000-00005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6" name="Text Box 3081">
          <a:extLst>
            <a:ext uri="{FF2B5EF4-FFF2-40B4-BE49-F238E27FC236}">
              <a16:creationId xmlns="" xmlns:a16="http://schemas.microsoft.com/office/drawing/2014/main" id="{00000000-0008-0000-0000-00005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7" name="Text Box 3082">
          <a:extLst>
            <a:ext uri="{FF2B5EF4-FFF2-40B4-BE49-F238E27FC236}">
              <a16:creationId xmlns="" xmlns:a16="http://schemas.microsoft.com/office/drawing/2014/main" id="{00000000-0008-0000-0000-00005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8" name="Text Box 3083">
          <a:extLst>
            <a:ext uri="{FF2B5EF4-FFF2-40B4-BE49-F238E27FC236}">
              <a16:creationId xmlns="" xmlns:a16="http://schemas.microsoft.com/office/drawing/2014/main" id="{00000000-0008-0000-0000-00005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9" name="Text Box 3084">
          <a:extLst>
            <a:ext uri="{FF2B5EF4-FFF2-40B4-BE49-F238E27FC236}">
              <a16:creationId xmlns="" xmlns:a16="http://schemas.microsoft.com/office/drawing/2014/main" id="{00000000-0008-0000-0000-00005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0" name="Text Box 3085">
          <a:extLst>
            <a:ext uri="{FF2B5EF4-FFF2-40B4-BE49-F238E27FC236}">
              <a16:creationId xmlns="" xmlns:a16="http://schemas.microsoft.com/office/drawing/2014/main" id="{00000000-0008-0000-0000-00006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1" name="Text Box 3086">
          <a:extLst>
            <a:ext uri="{FF2B5EF4-FFF2-40B4-BE49-F238E27FC236}">
              <a16:creationId xmlns="" xmlns:a16="http://schemas.microsoft.com/office/drawing/2014/main" id="{00000000-0008-0000-0000-00006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2" name="Text Box 3087">
          <a:extLst>
            <a:ext uri="{FF2B5EF4-FFF2-40B4-BE49-F238E27FC236}">
              <a16:creationId xmlns="" xmlns:a16="http://schemas.microsoft.com/office/drawing/2014/main" id="{00000000-0008-0000-0000-00006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3" name="Text Box 3088">
          <a:extLst>
            <a:ext uri="{FF2B5EF4-FFF2-40B4-BE49-F238E27FC236}">
              <a16:creationId xmlns="" xmlns:a16="http://schemas.microsoft.com/office/drawing/2014/main" id="{00000000-0008-0000-0000-00006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4" name="Text Box 3089">
          <a:extLst>
            <a:ext uri="{FF2B5EF4-FFF2-40B4-BE49-F238E27FC236}">
              <a16:creationId xmlns="" xmlns:a16="http://schemas.microsoft.com/office/drawing/2014/main" id="{00000000-0008-0000-0000-00006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5" name="Text Box 3090">
          <a:extLst>
            <a:ext uri="{FF2B5EF4-FFF2-40B4-BE49-F238E27FC236}">
              <a16:creationId xmlns="" xmlns:a16="http://schemas.microsoft.com/office/drawing/2014/main" id="{00000000-0008-0000-0000-00006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6" name="Text Box 3091">
          <a:extLst>
            <a:ext uri="{FF2B5EF4-FFF2-40B4-BE49-F238E27FC236}">
              <a16:creationId xmlns="" xmlns:a16="http://schemas.microsoft.com/office/drawing/2014/main" id="{00000000-0008-0000-0000-00006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7" name="Text Box 3092">
          <a:extLst>
            <a:ext uri="{FF2B5EF4-FFF2-40B4-BE49-F238E27FC236}">
              <a16:creationId xmlns="" xmlns:a16="http://schemas.microsoft.com/office/drawing/2014/main" id="{00000000-0008-0000-0000-00006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8" name="Text Box 3093">
          <a:extLst>
            <a:ext uri="{FF2B5EF4-FFF2-40B4-BE49-F238E27FC236}">
              <a16:creationId xmlns="" xmlns:a16="http://schemas.microsoft.com/office/drawing/2014/main" id="{00000000-0008-0000-0000-00006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9" name="Text Box 3094">
          <a:extLst>
            <a:ext uri="{FF2B5EF4-FFF2-40B4-BE49-F238E27FC236}">
              <a16:creationId xmlns="" xmlns:a16="http://schemas.microsoft.com/office/drawing/2014/main" id="{00000000-0008-0000-0000-00006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0" name="Text Box 3095">
          <a:extLst>
            <a:ext uri="{FF2B5EF4-FFF2-40B4-BE49-F238E27FC236}">
              <a16:creationId xmlns="" xmlns:a16="http://schemas.microsoft.com/office/drawing/2014/main" id="{00000000-0008-0000-0000-00006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1" name="Text Box 3096">
          <a:extLst>
            <a:ext uri="{FF2B5EF4-FFF2-40B4-BE49-F238E27FC236}">
              <a16:creationId xmlns="" xmlns:a16="http://schemas.microsoft.com/office/drawing/2014/main" id="{00000000-0008-0000-0000-00006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2" name="Text Box 3097">
          <a:extLst>
            <a:ext uri="{FF2B5EF4-FFF2-40B4-BE49-F238E27FC236}">
              <a16:creationId xmlns="" xmlns:a16="http://schemas.microsoft.com/office/drawing/2014/main" id="{00000000-0008-0000-0000-00006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3" name="Text Box 3098">
          <a:extLst>
            <a:ext uri="{FF2B5EF4-FFF2-40B4-BE49-F238E27FC236}">
              <a16:creationId xmlns="" xmlns:a16="http://schemas.microsoft.com/office/drawing/2014/main" id="{00000000-0008-0000-0000-00006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4" name="Text Box 3099">
          <a:extLst>
            <a:ext uri="{FF2B5EF4-FFF2-40B4-BE49-F238E27FC236}">
              <a16:creationId xmlns="" xmlns:a16="http://schemas.microsoft.com/office/drawing/2014/main" id="{00000000-0008-0000-0000-00006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5" name="Text Box 3100">
          <a:extLst>
            <a:ext uri="{FF2B5EF4-FFF2-40B4-BE49-F238E27FC236}">
              <a16:creationId xmlns="" xmlns:a16="http://schemas.microsoft.com/office/drawing/2014/main" id="{00000000-0008-0000-0000-00006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6" name="Text Box 3101">
          <a:extLst>
            <a:ext uri="{FF2B5EF4-FFF2-40B4-BE49-F238E27FC236}">
              <a16:creationId xmlns="" xmlns:a16="http://schemas.microsoft.com/office/drawing/2014/main" id="{00000000-0008-0000-0000-00007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537" name="Text Box 3102">
          <a:extLst>
            <a:ext uri="{FF2B5EF4-FFF2-40B4-BE49-F238E27FC236}">
              <a16:creationId xmlns="" xmlns:a16="http://schemas.microsoft.com/office/drawing/2014/main" id="{00000000-0008-0000-0000-00007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38" name="Text Box 59">
          <a:extLst>
            <a:ext uri="{FF2B5EF4-FFF2-40B4-BE49-F238E27FC236}">
              <a16:creationId xmlns="" xmlns:a16="http://schemas.microsoft.com/office/drawing/2014/main" id="{00000000-0008-0000-0000-00007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39" name="Text Box 60">
          <a:extLst>
            <a:ext uri="{FF2B5EF4-FFF2-40B4-BE49-F238E27FC236}">
              <a16:creationId xmlns="" xmlns:a16="http://schemas.microsoft.com/office/drawing/2014/main" id="{00000000-0008-0000-0000-00007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0" name="Text Box 61">
          <a:extLst>
            <a:ext uri="{FF2B5EF4-FFF2-40B4-BE49-F238E27FC236}">
              <a16:creationId xmlns="" xmlns:a16="http://schemas.microsoft.com/office/drawing/2014/main" id="{00000000-0008-0000-0000-00007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1" name="Text Box 62">
          <a:extLst>
            <a:ext uri="{FF2B5EF4-FFF2-40B4-BE49-F238E27FC236}">
              <a16:creationId xmlns="" xmlns:a16="http://schemas.microsoft.com/office/drawing/2014/main" id="{00000000-0008-0000-0000-00007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2" name="Text Box 63">
          <a:extLst>
            <a:ext uri="{FF2B5EF4-FFF2-40B4-BE49-F238E27FC236}">
              <a16:creationId xmlns="" xmlns:a16="http://schemas.microsoft.com/office/drawing/2014/main" id="{00000000-0008-0000-0000-00007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3" name="Text Box 64">
          <a:extLst>
            <a:ext uri="{FF2B5EF4-FFF2-40B4-BE49-F238E27FC236}">
              <a16:creationId xmlns="" xmlns:a16="http://schemas.microsoft.com/office/drawing/2014/main" id="{00000000-0008-0000-0000-00007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4" name="Text Box 65">
          <a:extLst>
            <a:ext uri="{FF2B5EF4-FFF2-40B4-BE49-F238E27FC236}">
              <a16:creationId xmlns="" xmlns:a16="http://schemas.microsoft.com/office/drawing/2014/main" id="{00000000-0008-0000-0000-00007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5" name="Text Box 66">
          <a:extLst>
            <a:ext uri="{FF2B5EF4-FFF2-40B4-BE49-F238E27FC236}">
              <a16:creationId xmlns="" xmlns:a16="http://schemas.microsoft.com/office/drawing/2014/main" id="{00000000-0008-0000-0000-00007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6" name="Text Box 67">
          <a:extLst>
            <a:ext uri="{FF2B5EF4-FFF2-40B4-BE49-F238E27FC236}">
              <a16:creationId xmlns="" xmlns:a16="http://schemas.microsoft.com/office/drawing/2014/main" id="{00000000-0008-0000-0000-00007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7" name="Text Box 68">
          <a:extLst>
            <a:ext uri="{FF2B5EF4-FFF2-40B4-BE49-F238E27FC236}">
              <a16:creationId xmlns="" xmlns:a16="http://schemas.microsoft.com/office/drawing/2014/main" id="{00000000-0008-0000-0000-00007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8" name="Text Box 69">
          <a:extLst>
            <a:ext uri="{FF2B5EF4-FFF2-40B4-BE49-F238E27FC236}">
              <a16:creationId xmlns="" xmlns:a16="http://schemas.microsoft.com/office/drawing/2014/main" id="{00000000-0008-0000-0000-00007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9" name="Text Box 70">
          <a:extLst>
            <a:ext uri="{FF2B5EF4-FFF2-40B4-BE49-F238E27FC236}">
              <a16:creationId xmlns="" xmlns:a16="http://schemas.microsoft.com/office/drawing/2014/main" id="{00000000-0008-0000-0000-00007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0" name="Text Box 71">
          <a:extLst>
            <a:ext uri="{FF2B5EF4-FFF2-40B4-BE49-F238E27FC236}">
              <a16:creationId xmlns="" xmlns:a16="http://schemas.microsoft.com/office/drawing/2014/main" id="{00000000-0008-0000-0000-00007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1" name="Text Box 72">
          <a:extLst>
            <a:ext uri="{FF2B5EF4-FFF2-40B4-BE49-F238E27FC236}">
              <a16:creationId xmlns="" xmlns:a16="http://schemas.microsoft.com/office/drawing/2014/main" id="{00000000-0008-0000-0000-00007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2" name="Text Box 73">
          <a:extLst>
            <a:ext uri="{FF2B5EF4-FFF2-40B4-BE49-F238E27FC236}">
              <a16:creationId xmlns="" xmlns:a16="http://schemas.microsoft.com/office/drawing/2014/main" id="{00000000-0008-0000-0000-00008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3" name="Text Box 74">
          <a:extLst>
            <a:ext uri="{FF2B5EF4-FFF2-40B4-BE49-F238E27FC236}">
              <a16:creationId xmlns="" xmlns:a16="http://schemas.microsoft.com/office/drawing/2014/main" id="{00000000-0008-0000-0000-00008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4" name="Text Box 75">
          <a:extLst>
            <a:ext uri="{FF2B5EF4-FFF2-40B4-BE49-F238E27FC236}">
              <a16:creationId xmlns="" xmlns:a16="http://schemas.microsoft.com/office/drawing/2014/main" id="{00000000-0008-0000-0000-00008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5" name="Text Box 76">
          <a:extLst>
            <a:ext uri="{FF2B5EF4-FFF2-40B4-BE49-F238E27FC236}">
              <a16:creationId xmlns="" xmlns:a16="http://schemas.microsoft.com/office/drawing/2014/main" id="{00000000-0008-0000-0000-00008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6" name="Text Box 77">
          <a:extLst>
            <a:ext uri="{FF2B5EF4-FFF2-40B4-BE49-F238E27FC236}">
              <a16:creationId xmlns="" xmlns:a16="http://schemas.microsoft.com/office/drawing/2014/main" id="{00000000-0008-0000-0000-00008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7" name="Text Box 78">
          <a:extLst>
            <a:ext uri="{FF2B5EF4-FFF2-40B4-BE49-F238E27FC236}">
              <a16:creationId xmlns="" xmlns:a16="http://schemas.microsoft.com/office/drawing/2014/main" id="{00000000-0008-0000-0000-00008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8" name="Text Box 79">
          <a:extLst>
            <a:ext uri="{FF2B5EF4-FFF2-40B4-BE49-F238E27FC236}">
              <a16:creationId xmlns="" xmlns:a16="http://schemas.microsoft.com/office/drawing/2014/main" id="{00000000-0008-0000-0000-00008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9" name="Text Box 80">
          <a:extLst>
            <a:ext uri="{FF2B5EF4-FFF2-40B4-BE49-F238E27FC236}">
              <a16:creationId xmlns="" xmlns:a16="http://schemas.microsoft.com/office/drawing/2014/main" id="{00000000-0008-0000-0000-00008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60" name="Text Box 81">
          <a:extLst>
            <a:ext uri="{FF2B5EF4-FFF2-40B4-BE49-F238E27FC236}">
              <a16:creationId xmlns="" xmlns:a16="http://schemas.microsoft.com/office/drawing/2014/main" id="{00000000-0008-0000-0000-00008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1" name="Text Box 3079">
          <a:extLst>
            <a:ext uri="{FF2B5EF4-FFF2-40B4-BE49-F238E27FC236}">
              <a16:creationId xmlns="" xmlns:a16="http://schemas.microsoft.com/office/drawing/2014/main" id="{00000000-0008-0000-0000-00008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2" name="Text Box 3080">
          <a:extLst>
            <a:ext uri="{FF2B5EF4-FFF2-40B4-BE49-F238E27FC236}">
              <a16:creationId xmlns="" xmlns:a16="http://schemas.microsoft.com/office/drawing/2014/main" id="{00000000-0008-0000-0000-00008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3" name="Text Box 3081">
          <a:extLst>
            <a:ext uri="{FF2B5EF4-FFF2-40B4-BE49-F238E27FC236}">
              <a16:creationId xmlns="" xmlns:a16="http://schemas.microsoft.com/office/drawing/2014/main" id="{00000000-0008-0000-0000-00008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4" name="Text Box 3082">
          <a:extLst>
            <a:ext uri="{FF2B5EF4-FFF2-40B4-BE49-F238E27FC236}">
              <a16:creationId xmlns="" xmlns:a16="http://schemas.microsoft.com/office/drawing/2014/main" id="{00000000-0008-0000-0000-00008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5" name="Text Box 3083">
          <a:extLst>
            <a:ext uri="{FF2B5EF4-FFF2-40B4-BE49-F238E27FC236}">
              <a16:creationId xmlns="" xmlns:a16="http://schemas.microsoft.com/office/drawing/2014/main" id="{00000000-0008-0000-0000-00008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6" name="Text Box 3084">
          <a:extLst>
            <a:ext uri="{FF2B5EF4-FFF2-40B4-BE49-F238E27FC236}">
              <a16:creationId xmlns="" xmlns:a16="http://schemas.microsoft.com/office/drawing/2014/main" id="{00000000-0008-0000-0000-00008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7" name="Text Box 3085">
          <a:extLst>
            <a:ext uri="{FF2B5EF4-FFF2-40B4-BE49-F238E27FC236}">
              <a16:creationId xmlns="" xmlns:a16="http://schemas.microsoft.com/office/drawing/2014/main" id="{00000000-0008-0000-0000-00008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8" name="Text Box 3086">
          <a:extLst>
            <a:ext uri="{FF2B5EF4-FFF2-40B4-BE49-F238E27FC236}">
              <a16:creationId xmlns="" xmlns:a16="http://schemas.microsoft.com/office/drawing/2014/main" id="{00000000-0008-0000-0000-00009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9" name="Text Box 3087">
          <a:extLst>
            <a:ext uri="{FF2B5EF4-FFF2-40B4-BE49-F238E27FC236}">
              <a16:creationId xmlns="" xmlns:a16="http://schemas.microsoft.com/office/drawing/2014/main" id="{00000000-0008-0000-0000-00009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0" name="Text Box 3088">
          <a:extLst>
            <a:ext uri="{FF2B5EF4-FFF2-40B4-BE49-F238E27FC236}">
              <a16:creationId xmlns="" xmlns:a16="http://schemas.microsoft.com/office/drawing/2014/main" id="{00000000-0008-0000-0000-00009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1" name="Text Box 3089">
          <a:extLst>
            <a:ext uri="{FF2B5EF4-FFF2-40B4-BE49-F238E27FC236}">
              <a16:creationId xmlns="" xmlns:a16="http://schemas.microsoft.com/office/drawing/2014/main" id="{00000000-0008-0000-0000-00009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2" name="Text Box 3090">
          <a:extLst>
            <a:ext uri="{FF2B5EF4-FFF2-40B4-BE49-F238E27FC236}">
              <a16:creationId xmlns="" xmlns:a16="http://schemas.microsoft.com/office/drawing/2014/main" id="{00000000-0008-0000-0000-00009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3" name="Text Box 3091">
          <a:extLst>
            <a:ext uri="{FF2B5EF4-FFF2-40B4-BE49-F238E27FC236}">
              <a16:creationId xmlns="" xmlns:a16="http://schemas.microsoft.com/office/drawing/2014/main" id="{00000000-0008-0000-0000-00009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4" name="Text Box 3092">
          <a:extLst>
            <a:ext uri="{FF2B5EF4-FFF2-40B4-BE49-F238E27FC236}">
              <a16:creationId xmlns="" xmlns:a16="http://schemas.microsoft.com/office/drawing/2014/main" id="{00000000-0008-0000-0000-00009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5" name="Text Box 3093">
          <a:extLst>
            <a:ext uri="{FF2B5EF4-FFF2-40B4-BE49-F238E27FC236}">
              <a16:creationId xmlns="" xmlns:a16="http://schemas.microsoft.com/office/drawing/2014/main" id="{00000000-0008-0000-0000-00009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6" name="Text Box 3094">
          <a:extLst>
            <a:ext uri="{FF2B5EF4-FFF2-40B4-BE49-F238E27FC236}">
              <a16:creationId xmlns="" xmlns:a16="http://schemas.microsoft.com/office/drawing/2014/main" id="{00000000-0008-0000-0000-00009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7" name="Text Box 3095">
          <a:extLst>
            <a:ext uri="{FF2B5EF4-FFF2-40B4-BE49-F238E27FC236}">
              <a16:creationId xmlns="" xmlns:a16="http://schemas.microsoft.com/office/drawing/2014/main" id="{00000000-0008-0000-0000-00009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8" name="Text Box 3096">
          <a:extLst>
            <a:ext uri="{FF2B5EF4-FFF2-40B4-BE49-F238E27FC236}">
              <a16:creationId xmlns="" xmlns:a16="http://schemas.microsoft.com/office/drawing/2014/main" id="{00000000-0008-0000-0000-00009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9" name="Text Box 3097">
          <a:extLst>
            <a:ext uri="{FF2B5EF4-FFF2-40B4-BE49-F238E27FC236}">
              <a16:creationId xmlns="" xmlns:a16="http://schemas.microsoft.com/office/drawing/2014/main" id="{00000000-0008-0000-0000-00009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0" name="Text Box 3098">
          <a:extLst>
            <a:ext uri="{FF2B5EF4-FFF2-40B4-BE49-F238E27FC236}">
              <a16:creationId xmlns="" xmlns:a16="http://schemas.microsoft.com/office/drawing/2014/main" id="{00000000-0008-0000-0000-00009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1" name="Text Box 3099">
          <a:extLst>
            <a:ext uri="{FF2B5EF4-FFF2-40B4-BE49-F238E27FC236}">
              <a16:creationId xmlns="" xmlns:a16="http://schemas.microsoft.com/office/drawing/2014/main" id="{00000000-0008-0000-0000-00009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2" name="Text Box 3100">
          <a:extLst>
            <a:ext uri="{FF2B5EF4-FFF2-40B4-BE49-F238E27FC236}">
              <a16:creationId xmlns="" xmlns:a16="http://schemas.microsoft.com/office/drawing/2014/main" id="{00000000-0008-0000-0000-00009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3" name="Text Box 3101">
          <a:extLst>
            <a:ext uri="{FF2B5EF4-FFF2-40B4-BE49-F238E27FC236}">
              <a16:creationId xmlns="" xmlns:a16="http://schemas.microsoft.com/office/drawing/2014/main" id="{00000000-0008-0000-0000-00009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584" name="Text Box 3102">
          <a:extLst>
            <a:ext uri="{FF2B5EF4-FFF2-40B4-BE49-F238E27FC236}">
              <a16:creationId xmlns="" xmlns:a16="http://schemas.microsoft.com/office/drawing/2014/main" id="{00000000-0008-0000-0000-0000A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5" name="Text Box 59">
          <a:extLst>
            <a:ext uri="{FF2B5EF4-FFF2-40B4-BE49-F238E27FC236}">
              <a16:creationId xmlns="" xmlns:a16="http://schemas.microsoft.com/office/drawing/2014/main" id="{00000000-0008-0000-0000-0000A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6" name="Text Box 60">
          <a:extLst>
            <a:ext uri="{FF2B5EF4-FFF2-40B4-BE49-F238E27FC236}">
              <a16:creationId xmlns="" xmlns:a16="http://schemas.microsoft.com/office/drawing/2014/main" id="{00000000-0008-0000-0000-0000A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7" name="Text Box 61">
          <a:extLst>
            <a:ext uri="{FF2B5EF4-FFF2-40B4-BE49-F238E27FC236}">
              <a16:creationId xmlns="" xmlns:a16="http://schemas.microsoft.com/office/drawing/2014/main" id="{00000000-0008-0000-0000-0000A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8" name="Text Box 62">
          <a:extLst>
            <a:ext uri="{FF2B5EF4-FFF2-40B4-BE49-F238E27FC236}">
              <a16:creationId xmlns="" xmlns:a16="http://schemas.microsoft.com/office/drawing/2014/main" id="{00000000-0008-0000-0000-0000A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9" name="Text Box 63">
          <a:extLst>
            <a:ext uri="{FF2B5EF4-FFF2-40B4-BE49-F238E27FC236}">
              <a16:creationId xmlns="" xmlns:a16="http://schemas.microsoft.com/office/drawing/2014/main" id="{00000000-0008-0000-0000-0000A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0" name="Text Box 64">
          <a:extLst>
            <a:ext uri="{FF2B5EF4-FFF2-40B4-BE49-F238E27FC236}">
              <a16:creationId xmlns="" xmlns:a16="http://schemas.microsoft.com/office/drawing/2014/main" id="{00000000-0008-0000-0000-0000A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1" name="Text Box 65">
          <a:extLst>
            <a:ext uri="{FF2B5EF4-FFF2-40B4-BE49-F238E27FC236}">
              <a16:creationId xmlns="" xmlns:a16="http://schemas.microsoft.com/office/drawing/2014/main" id="{00000000-0008-0000-0000-0000A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2" name="Text Box 66">
          <a:extLst>
            <a:ext uri="{FF2B5EF4-FFF2-40B4-BE49-F238E27FC236}">
              <a16:creationId xmlns="" xmlns:a16="http://schemas.microsoft.com/office/drawing/2014/main" id="{00000000-0008-0000-0000-0000A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3" name="Text Box 67">
          <a:extLst>
            <a:ext uri="{FF2B5EF4-FFF2-40B4-BE49-F238E27FC236}">
              <a16:creationId xmlns="" xmlns:a16="http://schemas.microsoft.com/office/drawing/2014/main" id="{00000000-0008-0000-0000-0000A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4" name="Text Box 68">
          <a:extLst>
            <a:ext uri="{FF2B5EF4-FFF2-40B4-BE49-F238E27FC236}">
              <a16:creationId xmlns="" xmlns:a16="http://schemas.microsoft.com/office/drawing/2014/main" id="{00000000-0008-0000-0000-0000A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5" name="Text Box 69">
          <a:extLst>
            <a:ext uri="{FF2B5EF4-FFF2-40B4-BE49-F238E27FC236}">
              <a16:creationId xmlns="" xmlns:a16="http://schemas.microsoft.com/office/drawing/2014/main" id="{00000000-0008-0000-0000-0000A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6" name="Text Box 70">
          <a:extLst>
            <a:ext uri="{FF2B5EF4-FFF2-40B4-BE49-F238E27FC236}">
              <a16:creationId xmlns="" xmlns:a16="http://schemas.microsoft.com/office/drawing/2014/main" id="{00000000-0008-0000-0000-0000A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7" name="Text Box 71">
          <a:extLst>
            <a:ext uri="{FF2B5EF4-FFF2-40B4-BE49-F238E27FC236}">
              <a16:creationId xmlns="" xmlns:a16="http://schemas.microsoft.com/office/drawing/2014/main" id="{00000000-0008-0000-0000-0000A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8" name="Text Box 72">
          <a:extLst>
            <a:ext uri="{FF2B5EF4-FFF2-40B4-BE49-F238E27FC236}">
              <a16:creationId xmlns="" xmlns:a16="http://schemas.microsoft.com/office/drawing/2014/main" id="{00000000-0008-0000-0000-0000A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9" name="Text Box 73">
          <a:extLst>
            <a:ext uri="{FF2B5EF4-FFF2-40B4-BE49-F238E27FC236}">
              <a16:creationId xmlns="" xmlns:a16="http://schemas.microsoft.com/office/drawing/2014/main" id="{00000000-0008-0000-0000-0000A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0" name="Text Box 74">
          <a:extLst>
            <a:ext uri="{FF2B5EF4-FFF2-40B4-BE49-F238E27FC236}">
              <a16:creationId xmlns="" xmlns:a16="http://schemas.microsoft.com/office/drawing/2014/main" id="{00000000-0008-0000-0000-0000B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1" name="Text Box 75">
          <a:extLst>
            <a:ext uri="{FF2B5EF4-FFF2-40B4-BE49-F238E27FC236}">
              <a16:creationId xmlns="" xmlns:a16="http://schemas.microsoft.com/office/drawing/2014/main" id="{00000000-0008-0000-0000-0000B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2" name="Text Box 76">
          <a:extLst>
            <a:ext uri="{FF2B5EF4-FFF2-40B4-BE49-F238E27FC236}">
              <a16:creationId xmlns="" xmlns:a16="http://schemas.microsoft.com/office/drawing/2014/main" id="{00000000-0008-0000-0000-0000B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3" name="Text Box 77">
          <a:extLst>
            <a:ext uri="{FF2B5EF4-FFF2-40B4-BE49-F238E27FC236}">
              <a16:creationId xmlns="" xmlns:a16="http://schemas.microsoft.com/office/drawing/2014/main" id="{00000000-0008-0000-0000-0000B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4" name="Text Box 78">
          <a:extLst>
            <a:ext uri="{FF2B5EF4-FFF2-40B4-BE49-F238E27FC236}">
              <a16:creationId xmlns="" xmlns:a16="http://schemas.microsoft.com/office/drawing/2014/main" id="{00000000-0008-0000-0000-0000B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5" name="Text Box 79">
          <a:extLst>
            <a:ext uri="{FF2B5EF4-FFF2-40B4-BE49-F238E27FC236}">
              <a16:creationId xmlns="" xmlns:a16="http://schemas.microsoft.com/office/drawing/2014/main" id="{00000000-0008-0000-0000-0000B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6" name="Text Box 80">
          <a:extLst>
            <a:ext uri="{FF2B5EF4-FFF2-40B4-BE49-F238E27FC236}">
              <a16:creationId xmlns="" xmlns:a16="http://schemas.microsoft.com/office/drawing/2014/main" id="{00000000-0008-0000-0000-0000B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7" name="Text Box 81">
          <a:extLst>
            <a:ext uri="{FF2B5EF4-FFF2-40B4-BE49-F238E27FC236}">
              <a16:creationId xmlns="" xmlns:a16="http://schemas.microsoft.com/office/drawing/2014/main" id="{00000000-0008-0000-0000-0000B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608" name="Text Box 82">
          <a:extLst>
            <a:ext uri="{FF2B5EF4-FFF2-40B4-BE49-F238E27FC236}">
              <a16:creationId xmlns="" xmlns:a16="http://schemas.microsoft.com/office/drawing/2014/main" id="{00000000-0008-0000-0000-0000B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09" name="Text Box 3079">
          <a:extLst>
            <a:ext uri="{FF2B5EF4-FFF2-40B4-BE49-F238E27FC236}">
              <a16:creationId xmlns="" xmlns:a16="http://schemas.microsoft.com/office/drawing/2014/main" id="{00000000-0008-0000-0000-0000B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0" name="Text Box 3080">
          <a:extLst>
            <a:ext uri="{FF2B5EF4-FFF2-40B4-BE49-F238E27FC236}">
              <a16:creationId xmlns="" xmlns:a16="http://schemas.microsoft.com/office/drawing/2014/main" id="{00000000-0008-0000-0000-0000B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1" name="Text Box 3081">
          <a:extLst>
            <a:ext uri="{FF2B5EF4-FFF2-40B4-BE49-F238E27FC236}">
              <a16:creationId xmlns="" xmlns:a16="http://schemas.microsoft.com/office/drawing/2014/main" id="{00000000-0008-0000-0000-0000B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2" name="Text Box 3082">
          <a:extLst>
            <a:ext uri="{FF2B5EF4-FFF2-40B4-BE49-F238E27FC236}">
              <a16:creationId xmlns="" xmlns:a16="http://schemas.microsoft.com/office/drawing/2014/main" id="{00000000-0008-0000-0000-0000B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3" name="Text Box 3083">
          <a:extLst>
            <a:ext uri="{FF2B5EF4-FFF2-40B4-BE49-F238E27FC236}">
              <a16:creationId xmlns="" xmlns:a16="http://schemas.microsoft.com/office/drawing/2014/main" id="{00000000-0008-0000-0000-0000B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4" name="Text Box 3084">
          <a:extLst>
            <a:ext uri="{FF2B5EF4-FFF2-40B4-BE49-F238E27FC236}">
              <a16:creationId xmlns="" xmlns:a16="http://schemas.microsoft.com/office/drawing/2014/main" id="{00000000-0008-0000-0000-0000B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5" name="Text Box 3085">
          <a:extLst>
            <a:ext uri="{FF2B5EF4-FFF2-40B4-BE49-F238E27FC236}">
              <a16:creationId xmlns="" xmlns:a16="http://schemas.microsoft.com/office/drawing/2014/main" id="{00000000-0008-0000-0000-0000B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6" name="Text Box 3086">
          <a:extLst>
            <a:ext uri="{FF2B5EF4-FFF2-40B4-BE49-F238E27FC236}">
              <a16:creationId xmlns="" xmlns:a16="http://schemas.microsoft.com/office/drawing/2014/main" id="{00000000-0008-0000-0000-0000C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7" name="Text Box 3087">
          <a:extLst>
            <a:ext uri="{FF2B5EF4-FFF2-40B4-BE49-F238E27FC236}">
              <a16:creationId xmlns="" xmlns:a16="http://schemas.microsoft.com/office/drawing/2014/main" id="{00000000-0008-0000-0000-0000C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8" name="Text Box 3088">
          <a:extLst>
            <a:ext uri="{FF2B5EF4-FFF2-40B4-BE49-F238E27FC236}">
              <a16:creationId xmlns="" xmlns:a16="http://schemas.microsoft.com/office/drawing/2014/main" id="{00000000-0008-0000-0000-0000C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9" name="Text Box 3089">
          <a:extLst>
            <a:ext uri="{FF2B5EF4-FFF2-40B4-BE49-F238E27FC236}">
              <a16:creationId xmlns="" xmlns:a16="http://schemas.microsoft.com/office/drawing/2014/main" id="{00000000-0008-0000-0000-0000C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0" name="Text Box 3090">
          <a:extLst>
            <a:ext uri="{FF2B5EF4-FFF2-40B4-BE49-F238E27FC236}">
              <a16:creationId xmlns="" xmlns:a16="http://schemas.microsoft.com/office/drawing/2014/main" id="{00000000-0008-0000-0000-0000C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1" name="Text Box 3091">
          <a:extLst>
            <a:ext uri="{FF2B5EF4-FFF2-40B4-BE49-F238E27FC236}">
              <a16:creationId xmlns="" xmlns:a16="http://schemas.microsoft.com/office/drawing/2014/main" id="{00000000-0008-0000-0000-0000C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2" name="Text Box 3092">
          <a:extLst>
            <a:ext uri="{FF2B5EF4-FFF2-40B4-BE49-F238E27FC236}">
              <a16:creationId xmlns="" xmlns:a16="http://schemas.microsoft.com/office/drawing/2014/main" id="{00000000-0008-0000-0000-0000C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3" name="Text Box 3093">
          <a:extLst>
            <a:ext uri="{FF2B5EF4-FFF2-40B4-BE49-F238E27FC236}">
              <a16:creationId xmlns="" xmlns:a16="http://schemas.microsoft.com/office/drawing/2014/main" id="{00000000-0008-0000-0000-0000C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4" name="Text Box 3094">
          <a:extLst>
            <a:ext uri="{FF2B5EF4-FFF2-40B4-BE49-F238E27FC236}">
              <a16:creationId xmlns="" xmlns:a16="http://schemas.microsoft.com/office/drawing/2014/main" id="{00000000-0008-0000-0000-0000C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5" name="Text Box 3095">
          <a:extLst>
            <a:ext uri="{FF2B5EF4-FFF2-40B4-BE49-F238E27FC236}">
              <a16:creationId xmlns="" xmlns:a16="http://schemas.microsoft.com/office/drawing/2014/main" id="{00000000-0008-0000-0000-0000C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6" name="Text Box 3096">
          <a:extLst>
            <a:ext uri="{FF2B5EF4-FFF2-40B4-BE49-F238E27FC236}">
              <a16:creationId xmlns="" xmlns:a16="http://schemas.microsoft.com/office/drawing/2014/main" id="{00000000-0008-0000-0000-0000C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7" name="Text Box 3097">
          <a:extLst>
            <a:ext uri="{FF2B5EF4-FFF2-40B4-BE49-F238E27FC236}">
              <a16:creationId xmlns="" xmlns:a16="http://schemas.microsoft.com/office/drawing/2014/main" id="{00000000-0008-0000-0000-0000C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8" name="Text Box 3098">
          <a:extLst>
            <a:ext uri="{FF2B5EF4-FFF2-40B4-BE49-F238E27FC236}">
              <a16:creationId xmlns="" xmlns:a16="http://schemas.microsoft.com/office/drawing/2014/main" id="{00000000-0008-0000-0000-0000C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9" name="Text Box 3099">
          <a:extLst>
            <a:ext uri="{FF2B5EF4-FFF2-40B4-BE49-F238E27FC236}">
              <a16:creationId xmlns="" xmlns:a16="http://schemas.microsoft.com/office/drawing/2014/main" id="{00000000-0008-0000-0000-0000C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30" name="Text Box 3100">
          <a:extLst>
            <a:ext uri="{FF2B5EF4-FFF2-40B4-BE49-F238E27FC236}">
              <a16:creationId xmlns="" xmlns:a16="http://schemas.microsoft.com/office/drawing/2014/main" id="{00000000-0008-0000-0000-0000C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31" name="Text Box 3101">
          <a:extLst>
            <a:ext uri="{FF2B5EF4-FFF2-40B4-BE49-F238E27FC236}">
              <a16:creationId xmlns="" xmlns:a16="http://schemas.microsoft.com/office/drawing/2014/main" id="{00000000-0008-0000-0000-0000C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632" name="Text Box 3102">
          <a:extLst>
            <a:ext uri="{FF2B5EF4-FFF2-40B4-BE49-F238E27FC236}">
              <a16:creationId xmlns="" xmlns:a16="http://schemas.microsoft.com/office/drawing/2014/main" id="{00000000-0008-0000-0000-0000D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3" name="Text Box 59">
          <a:extLst>
            <a:ext uri="{FF2B5EF4-FFF2-40B4-BE49-F238E27FC236}">
              <a16:creationId xmlns="" xmlns:a16="http://schemas.microsoft.com/office/drawing/2014/main" id="{00000000-0008-0000-0000-0000D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4" name="Text Box 60">
          <a:extLst>
            <a:ext uri="{FF2B5EF4-FFF2-40B4-BE49-F238E27FC236}">
              <a16:creationId xmlns="" xmlns:a16="http://schemas.microsoft.com/office/drawing/2014/main" id="{00000000-0008-0000-0000-0000D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5" name="Text Box 61">
          <a:extLst>
            <a:ext uri="{FF2B5EF4-FFF2-40B4-BE49-F238E27FC236}">
              <a16:creationId xmlns="" xmlns:a16="http://schemas.microsoft.com/office/drawing/2014/main" id="{00000000-0008-0000-0000-0000D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6" name="Text Box 62">
          <a:extLst>
            <a:ext uri="{FF2B5EF4-FFF2-40B4-BE49-F238E27FC236}">
              <a16:creationId xmlns="" xmlns:a16="http://schemas.microsoft.com/office/drawing/2014/main" id="{00000000-0008-0000-0000-0000D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7" name="Text Box 63">
          <a:extLst>
            <a:ext uri="{FF2B5EF4-FFF2-40B4-BE49-F238E27FC236}">
              <a16:creationId xmlns="" xmlns:a16="http://schemas.microsoft.com/office/drawing/2014/main" id="{00000000-0008-0000-0000-0000D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8" name="Text Box 64">
          <a:extLst>
            <a:ext uri="{FF2B5EF4-FFF2-40B4-BE49-F238E27FC236}">
              <a16:creationId xmlns="" xmlns:a16="http://schemas.microsoft.com/office/drawing/2014/main" id="{00000000-0008-0000-0000-0000D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9" name="Text Box 65">
          <a:extLst>
            <a:ext uri="{FF2B5EF4-FFF2-40B4-BE49-F238E27FC236}">
              <a16:creationId xmlns="" xmlns:a16="http://schemas.microsoft.com/office/drawing/2014/main" id="{00000000-0008-0000-0000-0000D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0" name="Text Box 66">
          <a:extLst>
            <a:ext uri="{FF2B5EF4-FFF2-40B4-BE49-F238E27FC236}">
              <a16:creationId xmlns="" xmlns:a16="http://schemas.microsoft.com/office/drawing/2014/main" id="{00000000-0008-0000-0000-0000D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1" name="Text Box 67">
          <a:extLst>
            <a:ext uri="{FF2B5EF4-FFF2-40B4-BE49-F238E27FC236}">
              <a16:creationId xmlns="" xmlns:a16="http://schemas.microsoft.com/office/drawing/2014/main" id="{00000000-0008-0000-0000-0000D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2" name="Text Box 68">
          <a:extLst>
            <a:ext uri="{FF2B5EF4-FFF2-40B4-BE49-F238E27FC236}">
              <a16:creationId xmlns="" xmlns:a16="http://schemas.microsoft.com/office/drawing/2014/main" id="{00000000-0008-0000-0000-0000D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3" name="Text Box 69">
          <a:extLst>
            <a:ext uri="{FF2B5EF4-FFF2-40B4-BE49-F238E27FC236}">
              <a16:creationId xmlns="" xmlns:a16="http://schemas.microsoft.com/office/drawing/2014/main" id="{00000000-0008-0000-0000-0000D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4" name="Text Box 70">
          <a:extLst>
            <a:ext uri="{FF2B5EF4-FFF2-40B4-BE49-F238E27FC236}">
              <a16:creationId xmlns="" xmlns:a16="http://schemas.microsoft.com/office/drawing/2014/main" id="{00000000-0008-0000-0000-0000D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5" name="Text Box 71">
          <a:extLst>
            <a:ext uri="{FF2B5EF4-FFF2-40B4-BE49-F238E27FC236}">
              <a16:creationId xmlns="" xmlns:a16="http://schemas.microsoft.com/office/drawing/2014/main" id="{00000000-0008-0000-0000-0000D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6" name="Text Box 72">
          <a:extLst>
            <a:ext uri="{FF2B5EF4-FFF2-40B4-BE49-F238E27FC236}">
              <a16:creationId xmlns="" xmlns:a16="http://schemas.microsoft.com/office/drawing/2014/main" id="{00000000-0008-0000-0000-0000D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7" name="Text Box 73">
          <a:extLst>
            <a:ext uri="{FF2B5EF4-FFF2-40B4-BE49-F238E27FC236}">
              <a16:creationId xmlns="" xmlns:a16="http://schemas.microsoft.com/office/drawing/2014/main" id="{00000000-0008-0000-0000-0000D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8" name="Text Box 74">
          <a:extLst>
            <a:ext uri="{FF2B5EF4-FFF2-40B4-BE49-F238E27FC236}">
              <a16:creationId xmlns="" xmlns:a16="http://schemas.microsoft.com/office/drawing/2014/main" id="{00000000-0008-0000-0000-0000E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9" name="Text Box 75">
          <a:extLst>
            <a:ext uri="{FF2B5EF4-FFF2-40B4-BE49-F238E27FC236}">
              <a16:creationId xmlns="" xmlns:a16="http://schemas.microsoft.com/office/drawing/2014/main" id="{00000000-0008-0000-0000-0000E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0" name="Text Box 76">
          <a:extLst>
            <a:ext uri="{FF2B5EF4-FFF2-40B4-BE49-F238E27FC236}">
              <a16:creationId xmlns="" xmlns:a16="http://schemas.microsoft.com/office/drawing/2014/main" id="{00000000-0008-0000-0000-0000E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1" name="Text Box 77">
          <a:extLst>
            <a:ext uri="{FF2B5EF4-FFF2-40B4-BE49-F238E27FC236}">
              <a16:creationId xmlns="" xmlns:a16="http://schemas.microsoft.com/office/drawing/2014/main" id="{00000000-0008-0000-0000-0000E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2" name="Text Box 78">
          <a:extLst>
            <a:ext uri="{FF2B5EF4-FFF2-40B4-BE49-F238E27FC236}">
              <a16:creationId xmlns="" xmlns:a16="http://schemas.microsoft.com/office/drawing/2014/main" id="{00000000-0008-0000-0000-0000E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3" name="Text Box 79">
          <a:extLst>
            <a:ext uri="{FF2B5EF4-FFF2-40B4-BE49-F238E27FC236}">
              <a16:creationId xmlns="" xmlns:a16="http://schemas.microsoft.com/office/drawing/2014/main" id="{00000000-0008-0000-0000-0000E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4" name="Text Box 80">
          <a:extLst>
            <a:ext uri="{FF2B5EF4-FFF2-40B4-BE49-F238E27FC236}">
              <a16:creationId xmlns="" xmlns:a16="http://schemas.microsoft.com/office/drawing/2014/main" id="{00000000-0008-0000-0000-0000E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5" name="Text Box 81">
          <a:extLst>
            <a:ext uri="{FF2B5EF4-FFF2-40B4-BE49-F238E27FC236}">
              <a16:creationId xmlns="" xmlns:a16="http://schemas.microsoft.com/office/drawing/2014/main" id="{00000000-0008-0000-0000-0000E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6" name="Text Box 3079">
          <a:extLst>
            <a:ext uri="{FF2B5EF4-FFF2-40B4-BE49-F238E27FC236}">
              <a16:creationId xmlns="" xmlns:a16="http://schemas.microsoft.com/office/drawing/2014/main" id="{00000000-0008-0000-0000-0000E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7" name="Text Box 3080">
          <a:extLst>
            <a:ext uri="{FF2B5EF4-FFF2-40B4-BE49-F238E27FC236}">
              <a16:creationId xmlns="" xmlns:a16="http://schemas.microsoft.com/office/drawing/2014/main" id="{00000000-0008-0000-0000-0000E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8" name="Text Box 3081">
          <a:extLst>
            <a:ext uri="{FF2B5EF4-FFF2-40B4-BE49-F238E27FC236}">
              <a16:creationId xmlns="" xmlns:a16="http://schemas.microsoft.com/office/drawing/2014/main" id="{00000000-0008-0000-0000-0000E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9" name="Text Box 3082">
          <a:extLst>
            <a:ext uri="{FF2B5EF4-FFF2-40B4-BE49-F238E27FC236}">
              <a16:creationId xmlns="" xmlns:a16="http://schemas.microsoft.com/office/drawing/2014/main" id="{00000000-0008-0000-0000-0000E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0" name="Text Box 3083">
          <a:extLst>
            <a:ext uri="{FF2B5EF4-FFF2-40B4-BE49-F238E27FC236}">
              <a16:creationId xmlns="" xmlns:a16="http://schemas.microsoft.com/office/drawing/2014/main" id="{00000000-0008-0000-0000-0000E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1" name="Text Box 3084">
          <a:extLst>
            <a:ext uri="{FF2B5EF4-FFF2-40B4-BE49-F238E27FC236}">
              <a16:creationId xmlns="" xmlns:a16="http://schemas.microsoft.com/office/drawing/2014/main" id="{00000000-0008-0000-0000-0000E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2" name="Text Box 3085">
          <a:extLst>
            <a:ext uri="{FF2B5EF4-FFF2-40B4-BE49-F238E27FC236}">
              <a16:creationId xmlns="" xmlns:a16="http://schemas.microsoft.com/office/drawing/2014/main" id="{00000000-0008-0000-0000-0000E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3" name="Text Box 3086">
          <a:extLst>
            <a:ext uri="{FF2B5EF4-FFF2-40B4-BE49-F238E27FC236}">
              <a16:creationId xmlns="" xmlns:a16="http://schemas.microsoft.com/office/drawing/2014/main" id="{00000000-0008-0000-0000-0000E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4" name="Text Box 3087">
          <a:extLst>
            <a:ext uri="{FF2B5EF4-FFF2-40B4-BE49-F238E27FC236}">
              <a16:creationId xmlns="" xmlns:a16="http://schemas.microsoft.com/office/drawing/2014/main" id="{00000000-0008-0000-0000-0000F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5" name="Text Box 3088">
          <a:extLst>
            <a:ext uri="{FF2B5EF4-FFF2-40B4-BE49-F238E27FC236}">
              <a16:creationId xmlns="" xmlns:a16="http://schemas.microsoft.com/office/drawing/2014/main" id="{00000000-0008-0000-0000-0000F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6" name="Text Box 3089">
          <a:extLst>
            <a:ext uri="{FF2B5EF4-FFF2-40B4-BE49-F238E27FC236}">
              <a16:creationId xmlns="" xmlns:a16="http://schemas.microsoft.com/office/drawing/2014/main" id="{00000000-0008-0000-0000-0000F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7" name="Text Box 3090">
          <a:extLst>
            <a:ext uri="{FF2B5EF4-FFF2-40B4-BE49-F238E27FC236}">
              <a16:creationId xmlns="" xmlns:a16="http://schemas.microsoft.com/office/drawing/2014/main" id="{00000000-0008-0000-0000-0000F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8" name="Text Box 3091">
          <a:extLst>
            <a:ext uri="{FF2B5EF4-FFF2-40B4-BE49-F238E27FC236}">
              <a16:creationId xmlns="" xmlns:a16="http://schemas.microsoft.com/office/drawing/2014/main" id="{00000000-0008-0000-0000-0000F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9" name="Text Box 3092">
          <a:extLst>
            <a:ext uri="{FF2B5EF4-FFF2-40B4-BE49-F238E27FC236}">
              <a16:creationId xmlns="" xmlns:a16="http://schemas.microsoft.com/office/drawing/2014/main" id="{00000000-0008-0000-0000-0000F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0" name="Text Box 3093">
          <a:extLst>
            <a:ext uri="{FF2B5EF4-FFF2-40B4-BE49-F238E27FC236}">
              <a16:creationId xmlns="" xmlns:a16="http://schemas.microsoft.com/office/drawing/2014/main" id="{00000000-0008-0000-0000-0000F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1" name="Text Box 3094">
          <a:extLst>
            <a:ext uri="{FF2B5EF4-FFF2-40B4-BE49-F238E27FC236}">
              <a16:creationId xmlns="" xmlns:a16="http://schemas.microsoft.com/office/drawing/2014/main" id="{00000000-0008-0000-0000-0000F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2" name="Text Box 3095">
          <a:extLst>
            <a:ext uri="{FF2B5EF4-FFF2-40B4-BE49-F238E27FC236}">
              <a16:creationId xmlns="" xmlns:a16="http://schemas.microsoft.com/office/drawing/2014/main" id="{00000000-0008-0000-0000-0000F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3" name="Text Box 3096">
          <a:extLst>
            <a:ext uri="{FF2B5EF4-FFF2-40B4-BE49-F238E27FC236}">
              <a16:creationId xmlns="" xmlns:a16="http://schemas.microsoft.com/office/drawing/2014/main" id="{00000000-0008-0000-0000-0000F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4" name="Text Box 3097">
          <a:extLst>
            <a:ext uri="{FF2B5EF4-FFF2-40B4-BE49-F238E27FC236}">
              <a16:creationId xmlns="" xmlns:a16="http://schemas.microsoft.com/office/drawing/2014/main" id="{00000000-0008-0000-0000-0000F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5" name="Text Box 3098">
          <a:extLst>
            <a:ext uri="{FF2B5EF4-FFF2-40B4-BE49-F238E27FC236}">
              <a16:creationId xmlns="" xmlns:a16="http://schemas.microsoft.com/office/drawing/2014/main" id="{00000000-0008-0000-0000-0000F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6" name="Text Box 3099">
          <a:extLst>
            <a:ext uri="{FF2B5EF4-FFF2-40B4-BE49-F238E27FC236}">
              <a16:creationId xmlns="" xmlns:a16="http://schemas.microsoft.com/office/drawing/2014/main" id="{00000000-0008-0000-0000-0000F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7" name="Text Box 3100">
          <a:extLst>
            <a:ext uri="{FF2B5EF4-FFF2-40B4-BE49-F238E27FC236}">
              <a16:creationId xmlns="" xmlns:a16="http://schemas.microsoft.com/office/drawing/2014/main" id="{00000000-0008-0000-0000-0000F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8" name="Text Box 3101">
          <a:extLst>
            <a:ext uri="{FF2B5EF4-FFF2-40B4-BE49-F238E27FC236}">
              <a16:creationId xmlns="" xmlns:a16="http://schemas.microsoft.com/office/drawing/2014/main" id="{00000000-0008-0000-0000-0000F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679" name="Text Box 3102">
          <a:extLst>
            <a:ext uri="{FF2B5EF4-FFF2-40B4-BE49-F238E27FC236}">
              <a16:creationId xmlns="" xmlns:a16="http://schemas.microsoft.com/office/drawing/2014/main" id="{00000000-0008-0000-0000-0000F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0" name="Text Box 59">
          <a:extLst>
            <a:ext uri="{FF2B5EF4-FFF2-40B4-BE49-F238E27FC236}">
              <a16:creationId xmlns="" xmlns:a16="http://schemas.microsoft.com/office/drawing/2014/main" id="{00000000-0008-0000-0000-00000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1" name="Text Box 60">
          <a:extLst>
            <a:ext uri="{FF2B5EF4-FFF2-40B4-BE49-F238E27FC236}">
              <a16:creationId xmlns="" xmlns:a16="http://schemas.microsoft.com/office/drawing/2014/main" id="{00000000-0008-0000-0000-00000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2" name="Text Box 61">
          <a:extLst>
            <a:ext uri="{FF2B5EF4-FFF2-40B4-BE49-F238E27FC236}">
              <a16:creationId xmlns="" xmlns:a16="http://schemas.microsoft.com/office/drawing/2014/main" id="{00000000-0008-0000-0000-00000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3" name="Text Box 62">
          <a:extLst>
            <a:ext uri="{FF2B5EF4-FFF2-40B4-BE49-F238E27FC236}">
              <a16:creationId xmlns="" xmlns:a16="http://schemas.microsoft.com/office/drawing/2014/main" id="{00000000-0008-0000-0000-00000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4" name="Text Box 63">
          <a:extLst>
            <a:ext uri="{FF2B5EF4-FFF2-40B4-BE49-F238E27FC236}">
              <a16:creationId xmlns="" xmlns:a16="http://schemas.microsoft.com/office/drawing/2014/main" id="{00000000-0008-0000-0000-00000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5" name="Text Box 64">
          <a:extLst>
            <a:ext uri="{FF2B5EF4-FFF2-40B4-BE49-F238E27FC236}">
              <a16:creationId xmlns="" xmlns:a16="http://schemas.microsoft.com/office/drawing/2014/main" id="{00000000-0008-0000-0000-00000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6" name="Text Box 65">
          <a:extLst>
            <a:ext uri="{FF2B5EF4-FFF2-40B4-BE49-F238E27FC236}">
              <a16:creationId xmlns="" xmlns:a16="http://schemas.microsoft.com/office/drawing/2014/main" id="{00000000-0008-0000-0000-00000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7" name="Text Box 66">
          <a:extLst>
            <a:ext uri="{FF2B5EF4-FFF2-40B4-BE49-F238E27FC236}">
              <a16:creationId xmlns="" xmlns:a16="http://schemas.microsoft.com/office/drawing/2014/main" id="{00000000-0008-0000-0000-00000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8" name="Text Box 67">
          <a:extLst>
            <a:ext uri="{FF2B5EF4-FFF2-40B4-BE49-F238E27FC236}">
              <a16:creationId xmlns="" xmlns:a16="http://schemas.microsoft.com/office/drawing/2014/main" id="{00000000-0008-0000-0000-00000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9" name="Text Box 68">
          <a:extLst>
            <a:ext uri="{FF2B5EF4-FFF2-40B4-BE49-F238E27FC236}">
              <a16:creationId xmlns="" xmlns:a16="http://schemas.microsoft.com/office/drawing/2014/main" id="{00000000-0008-0000-0000-00000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0" name="Text Box 69">
          <a:extLst>
            <a:ext uri="{FF2B5EF4-FFF2-40B4-BE49-F238E27FC236}">
              <a16:creationId xmlns="" xmlns:a16="http://schemas.microsoft.com/office/drawing/2014/main" id="{00000000-0008-0000-0000-00000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1" name="Text Box 70">
          <a:extLst>
            <a:ext uri="{FF2B5EF4-FFF2-40B4-BE49-F238E27FC236}">
              <a16:creationId xmlns="" xmlns:a16="http://schemas.microsoft.com/office/drawing/2014/main" id="{00000000-0008-0000-0000-00000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2" name="Text Box 71">
          <a:extLst>
            <a:ext uri="{FF2B5EF4-FFF2-40B4-BE49-F238E27FC236}">
              <a16:creationId xmlns="" xmlns:a16="http://schemas.microsoft.com/office/drawing/2014/main" id="{00000000-0008-0000-0000-00000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3" name="Text Box 72">
          <a:extLst>
            <a:ext uri="{FF2B5EF4-FFF2-40B4-BE49-F238E27FC236}">
              <a16:creationId xmlns="" xmlns:a16="http://schemas.microsoft.com/office/drawing/2014/main" id="{00000000-0008-0000-0000-00000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4" name="Text Box 73">
          <a:extLst>
            <a:ext uri="{FF2B5EF4-FFF2-40B4-BE49-F238E27FC236}">
              <a16:creationId xmlns="" xmlns:a16="http://schemas.microsoft.com/office/drawing/2014/main" id="{00000000-0008-0000-0000-00000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5" name="Text Box 74">
          <a:extLst>
            <a:ext uri="{FF2B5EF4-FFF2-40B4-BE49-F238E27FC236}">
              <a16:creationId xmlns="" xmlns:a16="http://schemas.microsoft.com/office/drawing/2014/main" id="{00000000-0008-0000-0000-00000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6" name="Text Box 75">
          <a:extLst>
            <a:ext uri="{FF2B5EF4-FFF2-40B4-BE49-F238E27FC236}">
              <a16:creationId xmlns="" xmlns:a16="http://schemas.microsoft.com/office/drawing/2014/main" id="{00000000-0008-0000-0000-00001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7" name="Text Box 76">
          <a:extLst>
            <a:ext uri="{FF2B5EF4-FFF2-40B4-BE49-F238E27FC236}">
              <a16:creationId xmlns="" xmlns:a16="http://schemas.microsoft.com/office/drawing/2014/main" id="{00000000-0008-0000-0000-00001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8" name="Text Box 77">
          <a:extLst>
            <a:ext uri="{FF2B5EF4-FFF2-40B4-BE49-F238E27FC236}">
              <a16:creationId xmlns="" xmlns:a16="http://schemas.microsoft.com/office/drawing/2014/main" id="{00000000-0008-0000-0000-00001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9" name="Text Box 78">
          <a:extLst>
            <a:ext uri="{FF2B5EF4-FFF2-40B4-BE49-F238E27FC236}">
              <a16:creationId xmlns="" xmlns:a16="http://schemas.microsoft.com/office/drawing/2014/main" id="{00000000-0008-0000-0000-00001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0" name="Text Box 79">
          <a:extLst>
            <a:ext uri="{FF2B5EF4-FFF2-40B4-BE49-F238E27FC236}">
              <a16:creationId xmlns="" xmlns:a16="http://schemas.microsoft.com/office/drawing/2014/main" id="{00000000-0008-0000-0000-00001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1" name="Text Box 80">
          <a:extLst>
            <a:ext uri="{FF2B5EF4-FFF2-40B4-BE49-F238E27FC236}">
              <a16:creationId xmlns="" xmlns:a16="http://schemas.microsoft.com/office/drawing/2014/main" id="{00000000-0008-0000-0000-00001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2" name="Text Box 81">
          <a:extLst>
            <a:ext uri="{FF2B5EF4-FFF2-40B4-BE49-F238E27FC236}">
              <a16:creationId xmlns="" xmlns:a16="http://schemas.microsoft.com/office/drawing/2014/main" id="{00000000-0008-0000-0000-00001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703" name="Text Box 82">
          <a:extLst>
            <a:ext uri="{FF2B5EF4-FFF2-40B4-BE49-F238E27FC236}">
              <a16:creationId xmlns="" xmlns:a16="http://schemas.microsoft.com/office/drawing/2014/main" id="{00000000-0008-0000-0000-00001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4" name="Text Box 3079">
          <a:extLst>
            <a:ext uri="{FF2B5EF4-FFF2-40B4-BE49-F238E27FC236}">
              <a16:creationId xmlns="" xmlns:a16="http://schemas.microsoft.com/office/drawing/2014/main" id="{00000000-0008-0000-0000-00001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5" name="Text Box 3080">
          <a:extLst>
            <a:ext uri="{FF2B5EF4-FFF2-40B4-BE49-F238E27FC236}">
              <a16:creationId xmlns="" xmlns:a16="http://schemas.microsoft.com/office/drawing/2014/main" id="{00000000-0008-0000-0000-00001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6" name="Text Box 3081">
          <a:extLst>
            <a:ext uri="{FF2B5EF4-FFF2-40B4-BE49-F238E27FC236}">
              <a16:creationId xmlns="" xmlns:a16="http://schemas.microsoft.com/office/drawing/2014/main" id="{00000000-0008-0000-0000-00001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7" name="Text Box 3082">
          <a:extLst>
            <a:ext uri="{FF2B5EF4-FFF2-40B4-BE49-F238E27FC236}">
              <a16:creationId xmlns="" xmlns:a16="http://schemas.microsoft.com/office/drawing/2014/main" id="{00000000-0008-0000-0000-00001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8" name="Text Box 3083">
          <a:extLst>
            <a:ext uri="{FF2B5EF4-FFF2-40B4-BE49-F238E27FC236}">
              <a16:creationId xmlns="" xmlns:a16="http://schemas.microsoft.com/office/drawing/2014/main" id="{00000000-0008-0000-0000-00001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9" name="Text Box 3084">
          <a:extLst>
            <a:ext uri="{FF2B5EF4-FFF2-40B4-BE49-F238E27FC236}">
              <a16:creationId xmlns="" xmlns:a16="http://schemas.microsoft.com/office/drawing/2014/main" id="{00000000-0008-0000-0000-00001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0" name="Text Box 3085">
          <a:extLst>
            <a:ext uri="{FF2B5EF4-FFF2-40B4-BE49-F238E27FC236}">
              <a16:creationId xmlns="" xmlns:a16="http://schemas.microsoft.com/office/drawing/2014/main" id="{00000000-0008-0000-0000-00001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1" name="Text Box 3086">
          <a:extLst>
            <a:ext uri="{FF2B5EF4-FFF2-40B4-BE49-F238E27FC236}">
              <a16:creationId xmlns="" xmlns:a16="http://schemas.microsoft.com/office/drawing/2014/main" id="{00000000-0008-0000-0000-00001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2" name="Text Box 3087">
          <a:extLst>
            <a:ext uri="{FF2B5EF4-FFF2-40B4-BE49-F238E27FC236}">
              <a16:creationId xmlns="" xmlns:a16="http://schemas.microsoft.com/office/drawing/2014/main" id="{00000000-0008-0000-0000-00002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3" name="Text Box 3088">
          <a:extLst>
            <a:ext uri="{FF2B5EF4-FFF2-40B4-BE49-F238E27FC236}">
              <a16:creationId xmlns="" xmlns:a16="http://schemas.microsoft.com/office/drawing/2014/main" id="{00000000-0008-0000-0000-00002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4" name="Text Box 3089">
          <a:extLst>
            <a:ext uri="{FF2B5EF4-FFF2-40B4-BE49-F238E27FC236}">
              <a16:creationId xmlns="" xmlns:a16="http://schemas.microsoft.com/office/drawing/2014/main" id="{00000000-0008-0000-0000-00002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5" name="Text Box 3090">
          <a:extLst>
            <a:ext uri="{FF2B5EF4-FFF2-40B4-BE49-F238E27FC236}">
              <a16:creationId xmlns="" xmlns:a16="http://schemas.microsoft.com/office/drawing/2014/main" id="{00000000-0008-0000-0000-00002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6" name="Text Box 3091">
          <a:extLst>
            <a:ext uri="{FF2B5EF4-FFF2-40B4-BE49-F238E27FC236}">
              <a16:creationId xmlns="" xmlns:a16="http://schemas.microsoft.com/office/drawing/2014/main" id="{00000000-0008-0000-0000-00002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7" name="Text Box 3092">
          <a:extLst>
            <a:ext uri="{FF2B5EF4-FFF2-40B4-BE49-F238E27FC236}">
              <a16:creationId xmlns="" xmlns:a16="http://schemas.microsoft.com/office/drawing/2014/main" id="{00000000-0008-0000-0000-00002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8" name="Text Box 3093">
          <a:extLst>
            <a:ext uri="{FF2B5EF4-FFF2-40B4-BE49-F238E27FC236}">
              <a16:creationId xmlns="" xmlns:a16="http://schemas.microsoft.com/office/drawing/2014/main" id="{00000000-0008-0000-0000-00002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9" name="Text Box 3094">
          <a:extLst>
            <a:ext uri="{FF2B5EF4-FFF2-40B4-BE49-F238E27FC236}">
              <a16:creationId xmlns="" xmlns:a16="http://schemas.microsoft.com/office/drawing/2014/main" id="{00000000-0008-0000-0000-00002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0" name="Text Box 3095">
          <a:extLst>
            <a:ext uri="{FF2B5EF4-FFF2-40B4-BE49-F238E27FC236}">
              <a16:creationId xmlns="" xmlns:a16="http://schemas.microsoft.com/office/drawing/2014/main" id="{00000000-0008-0000-0000-00002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1" name="Text Box 3096">
          <a:extLst>
            <a:ext uri="{FF2B5EF4-FFF2-40B4-BE49-F238E27FC236}">
              <a16:creationId xmlns="" xmlns:a16="http://schemas.microsoft.com/office/drawing/2014/main" id="{00000000-0008-0000-0000-00002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2" name="Text Box 3097">
          <a:extLst>
            <a:ext uri="{FF2B5EF4-FFF2-40B4-BE49-F238E27FC236}">
              <a16:creationId xmlns="" xmlns:a16="http://schemas.microsoft.com/office/drawing/2014/main" id="{00000000-0008-0000-0000-00002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3" name="Text Box 3098">
          <a:extLst>
            <a:ext uri="{FF2B5EF4-FFF2-40B4-BE49-F238E27FC236}">
              <a16:creationId xmlns="" xmlns:a16="http://schemas.microsoft.com/office/drawing/2014/main" id="{00000000-0008-0000-0000-00002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4" name="Text Box 3099">
          <a:extLst>
            <a:ext uri="{FF2B5EF4-FFF2-40B4-BE49-F238E27FC236}">
              <a16:creationId xmlns="" xmlns:a16="http://schemas.microsoft.com/office/drawing/2014/main" id="{00000000-0008-0000-0000-00002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5" name="Text Box 3100">
          <a:extLst>
            <a:ext uri="{FF2B5EF4-FFF2-40B4-BE49-F238E27FC236}">
              <a16:creationId xmlns="" xmlns:a16="http://schemas.microsoft.com/office/drawing/2014/main" id="{00000000-0008-0000-0000-00002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6" name="Text Box 3101">
          <a:extLst>
            <a:ext uri="{FF2B5EF4-FFF2-40B4-BE49-F238E27FC236}">
              <a16:creationId xmlns="" xmlns:a16="http://schemas.microsoft.com/office/drawing/2014/main" id="{00000000-0008-0000-0000-00002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727" name="Text Box 3102">
          <a:extLst>
            <a:ext uri="{FF2B5EF4-FFF2-40B4-BE49-F238E27FC236}">
              <a16:creationId xmlns="" xmlns:a16="http://schemas.microsoft.com/office/drawing/2014/main" id="{00000000-0008-0000-0000-00002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28" name="Text Box 59">
          <a:extLst>
            <a:ext uri="{FF2B5EF4-FFF2-40B4-BE49-F238E27FC236}">
              <a16:creationId xmlns="" xmlns:a16="http://schemas.microsoft.com/office/drawing/2014/main" id="{00000000-0008-0000-0000-00003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29" name="Text Box 60">
          <a:extLst>
            <a:ext uri="{FF2B5EF4-FFF2-40B4-BE49-F238E27FC236}">
              <a16:creationId xmlns="" xmlns:a16="http://schemas.microsoft.com/office/drawing/2014/main" id="{00000000-0008-0000-0000-00003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0" name="Text Box 61">
          <a:extLst>
            <a:ext uri="{FF2B5EF4-FFF2-40B4-BE49-F238E27FC236}">
              <a16:creationId xmlns="" xmlns:a16="http://schemas.microsoft.com/office/drawing/2014/main" id="{00000000-0008-0000-0000-00003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1" name="Text Box 62">
          <a:extLst>
            <a:ext uri="{FF2B5EF4-FFF2-40B4-BE49-F238E27FC236}">
              <a16:creationId xmlns="" xmlns:a16="http://schemas.microsoft.com/office/drawing/2014/main" id="{00000000-0008-0000-0000-00003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2" name="Text Box 63">
          <a:extLst>
            <a:ext uri="{FF2B5EF4-FFF2-40B4-BE49-F238E27FC236}">
              <a16:creationId xmlns="" xmlns:a16="http://schemas.microsoft.com/office/drawing/2014/main" id="{00000000-0008-0000-0000-00003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3" name="Text Box 64">
          <a:extLst>
            <a:ext uri="{FF2B5EF4-FFF2-40B4-BE49-F238E27FC236}">
              <a16:creationId xmlns="" xmlns:a16="http://schemas.microsoft.com/office/drawing/2014/main" id="{00000000-0008-0000-0000-00003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4" name="Text Box 65">
          <a:extLst>
            <a:ext uri="{FF2B5EF4-FFF2-40B4-BE49-F238E27FC236}">
              <a16:creationId xmlns="" xmlns:a16="http://schemas.microsoft.com/office/drawing/2014/main" id="{00000000-0008-0000-0000-00003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5" name="Text Box 66">
          <a:extLst>
            <a:ext uri="{FF2B5EF4-FFF2-40B4-BE49-F238E27FC236}">
              <a16:creationId xmlns="" xmlns:a16="http://schemas.microsoft.com/office/drawing/2014/main" id="{00000000-0008-0000-0000-00003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6" name="Text Box 67">
          <a:extLst>
            <a:ext uri="{FF2B5EF4-FFF2-40B4-BE49-F238E27FC236}">
              <a16:creationId xmlns="" xmlns:a16="http://schemas.microsoft.com/office/drawing/2014/main" id="{00000000-0008-0000-0000-00003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7" name="Text Box 68">
          <a:extLst>
            <a:ext uri="{FF2B5EF4-FFF2-40B4-BE49-F238E27FC236}">
              <a16:creationId xmlns="" xmlns:a16="http://schemas.microsoft.com/office/drawing/2014/main" id="{00000000-0008-0000-0000-00003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8" name="Text Box 69">
          <a:extLst>
            <a:ext uri="{FF2B5EF4-FFF2-40B4-BE49-F238E27FC236}">
              <a16:creationId xmlns="" xmlns:a16="http://schemas.microsoft.com/office/drawing/2014/main" id="{00000000-0008-0000-0000-00003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9" name="Text Box 70">
          <a:extLst>
            <a:ext uri="{FF2B5EF4-FFF2-40B4-BE49-F238E27FC236}">
              <a16:creationId xmlns="" xmlns:a16="http://schemas.microsoft.com/office/drawing/2014/main" id="{00000000-0008-0000-0000-00003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0" name="Text Box 71">
          <a:extLst>
            <a:ext uri="{FF2B5EF4-FFF2-40B4-BE49-F238E27FC236}">
              <a16:creationId xmlns="" xmlns:a16="http://schemas.microsoft.com/office/drawing/2014/main" id="{00000000-0008-0000-0000-00003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1" name="Text Box 72">
          <a:extLst>
            <a:ext uri="{FF2B5EF4-FFF2-40B4-BE49-F238E27FC236}">
              <a16:creationId xmlns="" xmlns:a16="http://schemas.microsoft.com/office/drawing/2014/main" id="{00000000-0008-0000-0000-00003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2" name="Text Box 73">
          <a:extLst>
            <a:ext uri="{FF2B5EF4-FFF2-40B4-BE49-F238E27FC236}">
              <a16:creationId xmlns="" xmlns:a16="http://schemas.microsoft.com/office/drawing/2014/main" id="{00000000-0008-0000-0000-00003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3" name="Text Box 74">
          <a:extLst>
            <a:ext uri="{FF2B5EF4-FFF2-40B4-BE49-F238E27FC236}">
              <a16:creationId xmlns="" xmlns:a16="http://schemas.microsoft.com/office/drawing/2014/main" id="{00000000-0008-0000-0000-00003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4" name="Text Box 75">
          <a:extLst>
            <a:ext uri="{FF2B5EF4-FFF2-40B4-BE49-F238E27FC236}">
              <a16:creationId xmlns="" xmlns:a16="http://schemas.microsoft.com/office/drawing/2014/main" id="{00000000-0008-0000-0000-00004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5" name="Text Box 76">
          <a:extLst>
            <a:ext uri="{FF2B5EF4-FFF2-40B4-BE49-F238E27FC236}">
              <a16:creationId xmlns="" xmlns:a16="http://schemas.microsoft.com/office/drawing/2014/main" id="{00000000-0008-0000-0000-00004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6" name="Text Box 77">
          <a:extLst>
            <a:ext uri="{FF2B5EF4-FFF2-40B4-BE49-F238E27FC236}">
              <a16:creationId xmlns="" xmlns:a16="http://schemas.microsoft.com/office/drawing/2014/main" id="{00000000-0008-0000-0000-00004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7" name="Text Box 78">
          <a:extLst>
            <a:ext uri="{FF2B5EF4-FFF2-40B4-BE49-F238E27FC236}">
              <a16:creationId xmlns="" xmlns:a16="http://schemas.microsoft.com/office/drawing/2014/main" id="{00000000-0008-0000-0000-00004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8" name="Text Box 79">
          <a:extLst>
            <a:ext uri="{FF2B5EF4-FFF2-40B4-BE49-F238E27FC236}">
              <a16:creationId xmlns="" xmlns:a16="http://schemas.microsoft.com/office/drawing/2014/main" id="{00000000-0008-0000-0000-00004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9" name="Text Box 80">
          <a:extLst>
            <a:ext uri="{FF2B5EF4-FFF2-40B4-BE49-F238E27FC236}">
              <a16:creationId xmlns="" xmlns:a16="http://schemas.microsoft.com/office/drawing/2014/main" id="{00000000-0008-0000-0000-00004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50" name="Text Box 81">
          <a:extLst>
            <a:ext uri="{FF2B5EF4-FFF2-40B4-BE49-F238E27FC236}">
              <a16:creationId xmlns="" xmlns:a16="http://schemas.microsoft.com/office/drawing/2014/main" id="{00000000-0008-0000-0000-00004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1" name="Text Box 3079">
          <a:extLst>
            <a:ext uri="{FF2B5EF4-FFF2-40B4-BE49-F238E27FC236}">
              <a16:creationId xmlns="" xmlns:a16="http://schemas.microsoft.com/office/drawing/2014/main" id="{00000000-0008-0000-0000-00004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2" name="Text Box 3080">
          <a:extLst>
            <a:ext uri="{FF2B5EF4-FFF2-40B4-BE49-F238E27FC236}">
              <a16:creationId xmlns="" xmlns:a16="http://schemas.microsoft.com/office/drawing/2014/main" id="{00000000-0008-0000-0000-00004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3" name="Text Box 3081">
          <a:extLst>
            <a:ext uri="{FF2B5EF4-FFF2-40B4-BE49-F238E27FC236}">
              <a16:creationId xmlns="" xmlns:a16="http://schemas.microsoft.com/office/drawing/2014/main" id="{00000000-0008-0000-0000-00004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4" name="Text Box 3082">
          <a:extLst>
            <a:ext uri="{FF2B5EF4-FFF2-40B4-BE49-F238E27FC236}">
              <a16:creationId xmlns="" xmlns:a16="http://schemas.microsoft.com/office/drawing/2014/main" id="{00000000-0008-0000-0000-00004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5" name="Text Box 3083">
          <a:extLst>
            <a:ext uri="{FF2B5EF4-FFF2-40B4-BE49-F238E27FC236}">
              <a16:creationId xmlns="" xmlns:a16="http://schemas.microsoft.com/office/drawing/2014/main" id="{00000000-0008-0000-0000-00004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6" name="Text Box 3084">
          <a:extLst>
            <a:ext uri="{FF2B5EF4-FFF2-40B4-BE49-F238E27FC236}">
              <a16:creationId xmlns="" xmlns:a16="http://schemas.microsoft.com/office/drawing/2014/main" id="{00000000-0008-0000-0000-00004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7" name="Text Box 3085">
          <a:extLst>
            <a:ext uri="{FF2B5EF4-FFF2-40B4-BE49-F238E27FC236}">
              <a16:creationId xmlns="" xmlns:a16="http://schemas.microsoft.com/office/drawing/2014/main" id="{00000000-0008-0000-0000-00004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8" name="Text Box 3086">
          <a:extLst>
            <a:ext uri="{FF2B5EF4-FFF2-40B4-BE49-F238E27FC236}">
              <a16:creationId xmlns="" xmlns:a16="http://schemas.microsoft.com/office/drawing/2014/main" id="{00000000-0008-0000-0000-00004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9" name="Text Box 3087">
          <a:extLst>
            <a:ext uri="{FF2B5EF4-FFF2-40B4-BE49-F238E27FC236}">
              <a16:creationId xmlns="" xmlns:a16="http://schemas.microsoft.com/office/drawing/2014/main" id="{00000000-0008-0000-0000-00004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0" name="Text Box 3088">
          <a:extLst>
            <a:ext uri="{FF2B5EF4-FFF2-40B4-BE49-F238E27FC236}">
              <a16:creationId xmlns="" xmlns:a16="http://schemas.microsoft.com/office/drawing/2014/main" id="{00000000-0008-0000-0000-00005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1" name="Text Box 3089">
          <a:extLst>
            <a:ext uri="{FF2B5EF4-FFF2-40B4-BE49-F238E27FC236}">
              <a16:creationId xmlns="" xmlns:a16="http://schemas.microsoft.com/office/drawing/2014/main" id="{00000000-0008-0000-0000-00005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2" name="Text Box 3090">
          <a:extLst>
            <a:ext uri="{FF2B5EF4-FFF2-40B4-BE49-F238E27FC236}">
              <a16:creationId xmlns="" xmlns:a16="http://schemas.microsoft.com/office/drawing/2014/main" id="{00000000-0008-0000-0000-00005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3" name="Text Box 3091">
          <a:extLst>
            <a:ext uri="{FF2B5EF4-FFF2-40B4-BE49-F238E27FC236}">
              <a16:creationId xmlns="" xmlns:a16="http://schemas.microsoft.com/office/drawing/2014/main" id="{00000000-0008-0000-0000-00005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4" name="Text Box 3092">
          <a:extLst>
            <a:ext uri="{FF2B5EF4-FFF2-40B4-BE49-F238E27FC236}">
              <a16:creationId xmlns="" xmlns:a16="http://schemas.microsoft.com/office/drawing/2014/main" id="{00000000-0008-0000-0000-00005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5" name="Text Box 3093">
          <a:extLst>
            <a:ext uri="{FF2B5EF4-FFF2-40B4-BE49-F238E27FC236}">
              <a16:creationId xmlns="" xmlns:a16="http://schemas.microsoft.com/office/drawing/2014/main" id="{00000000-0008-0000-0000-00005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6" name="Text Box 3094">
          <a:extLst>
            <a:ext uri="{FF2B5EF4-FFF2-40B4-BE49-F238E27FC236}">
              <a16:creationId xmlns="" xmlns:a16="http://schemas.microsoft.com/office/drawing/2014/main" id="{00000000-0008-0000-0000-00005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7" name="Text Box 3095">
          <a:extLst>
            <a:ext uri="{FF2B5EF4-FFF2-40B4-BE49-F238E27FC236}">
              <a16:creationId xmlns="" xmlns:a16="http://schemas.microsoft.com/office/drawing/2014/main" id="{00000000-0008-0000-0000-00005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8" name="Text Box 3096">
          <a:extLst>
            <a:ext uri="{FF2B5EF4-FFF2-40B4-BE49-F238E27FC236}">
              <a16:creationId xmlns="" xmlns:a16="http://schemas.microsoft.com/office/drawing/2014/main" id="{00000000-0008-0000-0000-00005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9" name="Text Box 3097">
          <a:extLst>
            <a:ext uri="{FF2B5EF4-FFF2-40B4-BE49-F238E27FC236}">
              <a16:creationId xmlns="" xmlns:a16="http://schemas.microsoft.com/office/drawing/2014/main" id="{00000000-0008-0000-0000-00005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0" name="Text Box 3098">
          <a:extLst>
            <a:ext uri="{FF2B5EF4-FFF2-40B4-BE49-F238E27FC236}">
              <a16:creationId xmlns="" xmlns:a16="http://schemas.microsoft.com/office/drawing/2014/main" id="{00000000-0008-0000-0000-00005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1" name="Text Box 3099">
          <a:extLst>
            <a:ext uri="{FF2B5EF4-FFF2-40B4-BE49-F238E27FC236}">
              <a16:creationId xmlns="" xmlns:a16="http://schemas.microsoft.com/office/drawing/2014/main" id="{00000000-0008-0000-0000-00005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2" name="Text Box 3100">
          <a:extLst>
            <a:ext uri="{FF2B5EF4-FFF2-40B4-BE49-F238E27FC236}">
              <a16:creationId xmlns="" xmlns:a16="http://schemas.microsoft.com/office/drawing/2014/main" id="{00000000-0008-0000-0000-00005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3" name="Text Box 3101">
          <a:extLst>
            <a:ext uri="{FF2B5EF4-FFF2-40B4-BE49-F238E27FC236}">
              <a16:creationId xmlns="" xmlns:a16="http://schemas.microsoft.com/office/drawing/2014/main" id="{00000000-0008-0000-0000-00005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774" name="Text Box 3102">
          <a:extLst>
            <a:ext uri="{FF2B5EF4-FFF2-40B4-BE49-F238E27FC236}">
              <a16:creationId xmlns="" xmlns:a16="http://schemas.microsoft.com/office/drawing/2014/main" id="{00000000-0008-0000-0000-00005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5" name="Text Box 59">
          <a:extLst>
            <a:ext uri="{FF2B5EF4-FFF2-40B4-BE49-F238E27FC236}">
              <a16:creationId xmlns="" xmlns:a16="http://schemas.microsoft.com/office/drawing/2014/main" id="{00000000-0008-0000-0000-00005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6" name="Text Box 60">
          <a:extLst>
            <a:ext uri="{FF2B5EF4-FFF2-40B4-BE49-F238E27FC236}">
              <a16:creationId xmlns="" xmlns:a16="http://schemas.microsoft.com/office/drawing/2014/main" id="{00000000-0008-0000-0000-00006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7" name="Text Box 61">
          <a:extLst>
            <a:ext uri="{FF2B5EF4-FFF2-40B4-BE49-F238E27FC236}">
              <a16:creationId xmlns="" xmlns:a16="http://schemas.microsoft.com/office/drawing/2014/main" id="{00000000-0008-0000-0000-00006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8" name="Text Box 62">
          <a:extLst>
            <a:ext uri="{FF2B5EF4-FFF2-40B4-BE49-F238E27FC236}">
              <a16:creationId xmlns="" xmlns:a16="http://schemas.microsoft.com/office/drawing/2014/main" id="{00000000-0008-0000-0000-00006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9" name="Text Box 63">
          <a:extLst>
            <a:ext uri="{FF2B5EF4-FFF2-40B4-BE49-F238E27FC236}">
              <a16:creationId xmlns="" xmlns:a16="http://schemas.microsoft.com/office/drawing/2014/main" id="{00000000-0008-0000-0000-00006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0" name="Text Box 64">
          <a:extLst>
            <a:ext uri="{FF2B5EF4-FFF2-40B4-BE49-F238E27FC236}">
              <a16:creationId xmlns="" xmlns:a16="http://schemas.microsoft.com/office/drawing/2014/main" id="{00000000-0008-0000-0000-00006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1" name="Text Box 65">
          <a:extLst>
            <a:ext uri="{FF2B5EF4-FFF2-40B4-BE49-F238E27FC236}">
              <a16:creationId xmlns="" xmlns:a16="http://schemas.microsoft.com/office/drawing/2014/main" id="{00000000-0008-0000-0000-00006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2" name="Text Box 66">
          <a:extLst>
            <a:ext uri="{FF2B5EF4-FFF2-40B4-BE49-F238E27FC236}">
              <a16:creationId xmlns="" xmlns:a16="http://schemas.microsoft.com/office/drawing/2014/main" id="{00000000-0008-0000-0000-00006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3" name="Text Box 67">
          <a:extLst>
            <a:ext uri="{FF2B5EF4-FFF2-40B4-BE49-F238E27FC236}">
              <a16:creationId xmlns="" xmlns:a16="http://schemas.microsoft.com/office/drawing/2014/main" id="{00000000-0008-0000-0000-00006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4" name="Text Box 68">
          <a:extLst>
            <a:ext uri="{FF2B5EF4-FFF2-40B4-BE49-F238E27FC236}">
              <a16:creationId xmlns="" xmlns:a16="http://schemas.microsoft.com/office/drawing/2014/main" id="{00000000-0008-0000-0000-00006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5" name="Text Box 69">
          <a:extLst>
            <a:ext uri="{FF2B5EF4-FFF2-40B4-BE49-F238E27FC236}">
              <a16:creationId xmlns="" xmlns:a16="http://schemas.microsoft.com/office/drawing/2014/main" id="{00000000-0008-0000-0000-00006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6" name="Text Box 70">
          <a:extLst>
            <a:ext uri="{FF2B5EF4-FFF2-40B4-BE49-F238E27FC236}">
              <a16:creationId xmlns="" xmlns:a16="http://schemas.microsoft.com/office/drawing/2014/main" id="{00000000-0008-0000-0000-00006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7" name="Text Box 71">
          <a:extLst>
            <a:ext uri="{FF2B5EF4-FFF2-40B4-BE49-F238E27FC236}">
              <a16:creationId xmlns="" xmlns:a16="http://schemas.microsoft.com/office/drawing/2014/main" id="{00000000-0008-0000-0000-00006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8" name="Text Box 72">
          <a:extLst>
            <a:ext uri="{FF2B5EF4-FFF2-40B4-BE49-F238E27FC236}">
              <a16:creationId xmlns="" xmlns:a16="http://schemas.microsoft.com/office/drawing/2014/main" id="{00000000-0008-0000-0000-00006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9" name="Text Box 73">
          <a:extLst>
            <a:ext uri="{FF2B5EF4-FFF2-40B4-BE49-F238E27FC236}">
              <a16:creationId xmlns="" xmlns:a16="http://schemas.microsoft.com/office/drawing/2014/main" id="{00000000-0008-0000-0000-00006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0" name="Text Box 74">
          <a:extLst>
            <a:ext uri="{FF2B5EF4-FFF2-40B4-BE49-F238E27FC236}">
              <a16:creationId xmlns="" xmlns:a16="http://schemas.microsoft.com/office/drawing/2014/main" id="{00000000-0008-0000-0000-00006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1" name="Text Box 75">
          <a:extLst>
            <a:ext uri="{FF2B5EF4-FFF2-40B4-BE49-F238E27FC236}">
              <a16:creationId xmlns="" xmlns:a16="http://schemas.microsoft.com/office/drawing/2014/main" id="{00000000-0008-0000-0000-00006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2" name="Text Box 76">
          <a:extLst>
            <a:ext uri="{FF2B5EF4-FFF2-40B4-BE49-F238E27FC236}">
              <a16:creationId xmlns="" xmlns:a16="http://schemas.microsoft.com/office/drawing/2014/main" id="{00000000-0008-0000-0000-00007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3" name="Text Box 77">
          <a:extLst>
            <a:ext uri="{FF2B5EF4-FFF2-40B4-BE49-F238E27FC236}">
              <a16:creationId xmlns="" xmlns:a16="http://schemas.microsoft.com/office/drawing/2014/main" id="{00000000-0008-0000-0000-00007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4" name="Text Box 78">
          <a:extLst>
            <a:ext uri="{FF2B5EF4-FFF2-40B4-BE49-F238E27FC236}">
              <a16:creationId xmlns="" xmlns:a16="http://schemas.microsoft.com/office/drawing/2014/main" id="{00000000-0008-0000-0000-00007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5" name="Text Box 79">
          <a:extLst>
            <a:ext uri="{FF2B5EF4-FFF2-40B4-BE49-F238E27FC236}">
              <a16:creationId xmlns="" xmlns:a16="http://schemas.microsoft.com/office/drawing/2014/main" id="{00000000-0008-0000-0000-00007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6" name="Text Box 80">
          <a:extLst>
            <a:ext uri="{FF2B5EF4-FFF2-40B4-BE49-F238E27FC236}">
              <a16:creationId xmlns="" xmlns:a16="http://schemas.microsoft.com/office/drawing/2014/main" id="{00000000-0008-0000-0000-00007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7" name="Text Box 81">
          <a:extLst>
            <a:ext uri="{FF2B5EF4-FFF2-40B4-BE49-F238E27FC236}">
              <a16:creationId xmlns="" xmlns:a16="http://schemas.microsoft.com/office/drawing/2014/main" id="{00000000-0008-0000-0000-00007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798" name="Text Box 82">
          <a:extLst>
            <a:ext uri="{FF2B5EF4-FFF2-40B4-BE49-F238E27FC236}">
              <a16:creationId xmlns="" xmlns:a16="http://schemas.microsoft.com/office/drawing/2014/main" id="{00000000-0008-0000-0000-00007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99" name="Text Box 3079">
          <a:extLst>
            <a:ext uri="{FF2B5EF4-FFF2-40B4-BE49-F238E27FC236}">
              <a16:creationId xmlns="" xmlns:a16="http://schemas.microsoft.com/office/drawing/2014/main" id="{00000000-0008-0000-0000-00007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0" name="Text Box 3080">
          <a:extLst>
            <a:ext uri="{FF2B5EF4-FFF2-40B4-BE49-F238E27FC236}">
              <a16:creationId xmlns="" xmlns:a16="http://schemas.microsoft.com/office/drawing/2014/main" id="{00000000-0008-0000-0000-00007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1" name="Text Box 3081">
          <a:extLst>
            <a:ext uri="{FF2B5EF4-FFF2-40B4-BE49-F238E27FC236}">
              <a16:creationId xmlns="" xmlns:a16="http://schemas.microsoft.com/office/drawing/2014/main" id="{00000000-0008-0000-0000-00007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2" name="Text Box 3082">
          <a:extLst>
            <a:ext uri="{FF2B5EF4-FFF2-40B4-BE49-F238E27FC236}">
              <a16:creationId xmlns="" xmlns:a16="http://schemas.microsoft.com/office/drawing/2014/main" id="{00000000-0008-0000-0000-00007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3" name="Text Box 3083">
          <a:extLst>
            <a:ext uri="{FF2B5EF4-FFF2-40B4-BE49-F238E27FC236}">
              <a16:creationId xmlns="" xmlns:a16="http://schemas.microsoft.com/office/drawing/2014/main" id="{00000000-0008-0000-0000-00007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4" name="Text Box 3084">
          <a:extLst>
            <a:ext uri="{FF2B5EF4-FFF2-40B4-BE49-F238E27FC236}">
              <a16:creationId xmlns="" xmlns:a16="http://schemas.microsoft.com/office/drawing/2014/main" id="{00000000-0008-0000-0000-00007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5" name="Text Box 3085">
          <a:extLst>
            <a:ext uri="{FF2B5EF4-FFF2-40B4-BE49-F238E27FC236}">
              <a16:creationId xmlns="" xmlns:a16="http://schemas.microsoft.com/office/drawing/2014/main" id="{00000000-0008-0000-0000-00007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6" name="Text Box 3086">
          <a:extLst>
            <a:ext uri="{FF2B5EF4-FFF2-40B4-BE49-F238E27FC236}">
              <a16:creationId xmlns="" xmlns:a16="http://schemas.microsoft.com/office/drawing/2014/main" id="{00000000-0008-0000-0000-00007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7" name="Text Box 3087">
          <a:extLst>
            <a:ext uri="{FF2B5EF4-FFF2-40B4-BE49-F238E27FC236}">
              <a16:creationId xmlns="" xmlns:a16="http://schemas.microsoft.com/office/drawing/2014/main" id="{00000000-0008-0000-0000-00007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8" name="Text Box 3088">
          <a:extLst>
            <a:ext uri="{FF2B5EF4-FFF2-40B4-BE49-F238E27FC236}">
              <a16:creationId xmlns="" xmlns:a16="http://schemas.microsoft.com/office/drawing/2014/main" id="{00000000-0008-0000-0000-00008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9" name="Text Box 3089">
          <a:extLst>
            <a:ext uri="{FF2B5EF4-FFF2-40B4-BE49-F238E27FC236}">
              <a16:creationId xmlns="" xmlns:a16="http://schemas.microsoft.com/office/drawing/2014/main" id="{00000000-0008-0000-0000-00008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0" name="Text Box 3090">
          <a:extLst>
            <a:ext uri="{FF2B5EF4-FFF2-40B4-BE49-F238E27FC236}">
              <a16:creationId xmlns="" xmlns:a16="http://schemas.microsoft.com/office/drawing/2014/main" id="{00000000-0008-0000-0000-00008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1" name="Text Box 3091">
          <a:extLst>
            <a:ext uri="{FF2B5EF4-FFF2-40B4-BE49-F238E27FC236}">
              <a16:creationId xmlns="" xmlns:a16="http://schemas.microsoft.com/office/drawing/2014/main" id="{00000000-0008-0000-0000-00008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2" name="Text Box 3092">
          <a:extLst>
            <a:ext uri="{FF2B5EF4-FFF2-40B4-BE49-F238E27FC236}">
              <a16:creationId xmlns="" xmlns:a16="http://schemas.microsoft.com/office/drawing/2014/main" id="{00000000-0008-0000-0000-00008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3" name="Text Box 3093">
          <a:extLst>
            <a:ext uri="{FF2B5EF4-FFF2-40B4-BE49-F238E27FC236}">
              <a16:creationId xmlns="" xmlns:a16="http://schemas.microsoft.com/office/drawing/2014/main" id="{00000000-0008-0000-0000-00008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4" name="Text Box 3094">
          <a:extLst>
            <a:ext uri="{FF2B5EF4-FFF2-40B4-BE49-F238E27FC236}">
              <a16:creationId xmlns="" xmlns:a16="http://schemas.microsoft.com/office/drawing/2014/main" id="{00000000-0008-0000-0000-00008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5" name="Text Box 3095">
          <a:extLst>
            <a:ext uri="{FF2B5EF4-FFF2-40B4-BE49-F238E27FC236}">
              <a16:creationId xmlns="" xmlns:a16="http://schemas.microsoft.com/office/drawing/2014/main" id="{00000000-0008-0000-0000-00008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6" name="Text Box 3096">
          <a:extLst>
            <a:ext uri="{FF2B5EF4-FFF2-40B4-BE49-F238E27FC236}">
              <a16:creationId xmlns="" xmlns:a16="http://schemas.microsoft.com/office/drawing/2014/main" id="{00000000-0008-0000-0000-00008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7" name="Text Box 3097">
          <a:extLst>
            <a:ext uri="{FF2B5EF4-FFF2-40B4-BE49-F238E27FC236}">
              <a16:creationId xmlns="" xmlns:a16="http://schemas.microsoft.com/office/drawing/2014/main" id="{00000000-0008-0000-0000-00008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8" name="Text Box 3098">
          <a:extLst>
            <a:ext uri="{FF2B5EF4-FFF2-40B4-BE49-F238E27FC236}">
              <a16:creationId xmlns="" xmlns:a16="http://schemas.microsoft.com/office/drawing/2014/main" id="{00000000-0008-0000-0000-00008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9" name="Text Box 3099">
          <a:extLst>
            <a:ext uri="{FF2B5EF4-FFF2-40B4-BE49-F238E27FC236}">
              <a16:creationId xmlns="" xmlns:a16="http://schemas.microsoft.com/office/drawing/2014/main" id="{00000000-0008-0000-0000-00008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20" name="Text Box 3100">
          <a:extLst>
            <a:ext uri="{FF2B5EF4-FFF2-40B4-BE49-F238E27FC236}">
              <a16:creationId xmlns="" xmlns:a16="http://schemas.microsoft.com/office/drawing/2014/main" id="{00000000-0008-0000-0000-00008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21" name="Text Box 3101">
          <a:extLst>
            <a:ext uri="{FF2B5EF4-FFF2-40B4-BE49-F238E27FC236}">
              <a16:creationId xmlns="" xmlns:a16="http://schemas.microsoft.com/office/drawing/2014/main" id="{00000000-0008-0000-0000-00008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822" name="Text Box 3102">
          <a:extLst>
            <a:ext uri="{FF2B5EF4-FFF2-40B4-BE49-F238E27FC236}">
              <a16:creationId xmlns="" xmlns:a16="http://schemas.microsoft.com/office/drawing/2014/main" id="{00000000-0008-0000-0000-00008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3" name="Text Box 59">
          <a:extLst>
            <a:ext uri="{FF2B5EF4-FFF2-40B4-BE49-F238E27FC236}">
              <a16:creationId xmlns="" xmlns:a16="http://schemas.microsoft.com/office/drawing/2014/main" id="{00000000-0008-0000-0000-00008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4" name="Text Box 60">
          <a:extLst>
            <a:ext uri="{FF2B5EF4-FFF2-40B4-BE49-F238E27FC236}">
              <a16:creationId xmlns="" xmlns:a16="http://schemas.microsoft.com/office/drawing/2014/main" id="{00000000-0008-0000-0000-00009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5" name="Text Box 61">
          <a:extLst>
            <a:ext uri="{FF2B5EF4-FFF2-40B4-BE49-F238E27FC236}">
              <a16:creationId xmlns="" xmlns:a16="http://schemas.microsoft.com/office/drawing/2014/main" id="{00000000-0008-0000-0000-00009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6" name="Text Box 62">
          <a:extLst>
            <a:ext uri="{FF2B5EF4-FFF2-40B4-BE49-F238E27FC236}">
              <a16:creationId xmlns="" xmlns:a16="http://schemas.microsoft.com/office/drawing/2014/main" id="{00000000-0008-0000-0000-00009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7" name="Text Box 63">
          <a:extLst>
            <a:ext uri="{FF2B5EF4-FFF2-40B4-BE49-F238E27FC236}">
              <a16:creationId xmlns="" xmlns:a16="http://schemas.microsoft.com/office/drawing/2014/main" id="{00000000-0008-0000-0000-00009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8" name="Text Box 64">
          <a:extLst>
            <a:ext uri="{FF2B5EF4-FFF2-40B4-BE49-F238E27FC236}">
              <a16:creationId xmlns="" xmlns:a16="http://schemas.microsoft.com/office/drawing/2014/main" id="{00000000-0008-0000-0000-00009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9" name="Text Box 65">
          <a:extLst>
            <a:ext uri="{FF2B5EF4-FFF2-40B4-BE49-F238E27FC236}">
              <a16:creationId xmlns="" xmlns:a16="http://schemas.microsoft.com/office/drawing/2014/main" id="{00000000-0008-0000-0000-00009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0" name="Text Box 66">
          <a:extLst>
            <a:ext uri="{FF2B5EF4-FFF2-40B4-BE49-F238E27FC236}">
              <a16:creationId xmlns="" xmlns:a16="http://schemas.microsoft.com/office/drawing/2014/main" id="{00000000-0008-0000-0000-00009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1" name="Text Box 67">
          <a:extLst>
            <a:ext uri="{FF2B5EF4-FFF2-40B4-BE49-F238E27FC236}">
              <a16:creationId xmlns="" xmlns:a16="http://schemas.microsoft.com/office/drawing/2014/main" id="{00000000-0008-0000-0000-00009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2" name="Text Box 68">
          <a:extLst>
            <a:ext uri="{FF2B5EF4-FFF2-40B4-BE49-F238E27FC236}">
              <a16:creationId xmlns="" xmlns:a16="http://schemas.microsoft.com/office/drawing/2014/main" id="{00000000-0008-0000-0000-00009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3" name="Text Box 69">
          <a:extLst>
            <a:ext uri="{FF2B5EF4-FFF2-40B4-BE49-F238E27FC236}">
              <a16:creationId xmlns="" xmlns:a16="http://schemas.microsoft.com/office/drawing/2014/main" id="{00000000-0008-0000-0000-00009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4" name="Text Box 70">
          <a:extLst>
            <a:ext uri="{FF2B5EF4-FFF2-40B4-BE49-F238E27FC236}">
              <a16:creationId xmlns="" xmlns:a16="http://schemas.microsoft.com/office/drawing/2014/main" id="{00000000-0008-0000-0000-00009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5" name="Text Box 71">
          <a:extLst>
            <a:ext uri="{FF2B5EF4-FFF2-40B4-BE49-F238E27FC236}">
              <a16:creationId xmlns="" xmlns:a16="http://schemas.microsoft.com/office/drawing/2014/main" id="{00000000-0008-0000-0000-00009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6" name="Text Box 72">
          <a:extLst>
            <a:ext uri="{FF2B5EF4-FFF2-40B4-BE49-F238E27FC236}">
              <a16:creationId xmlns="" xmlns:a16="http://schemas.microsoft.com/office/drawing/2014/main" id="{00000000-0008-0000-0000-00009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7" name="Text Box 73">
          <a:extLst>
            <a:ext uri="{FF2B5EF4-FFF2-40B4-BE49-F238E27FC236}">
              <a16:creationId xmlns="" xmlns:a16="http://schemas.microsoft.com/office/drawing/2014/main" id="{00000000-0008-0000-0000-00009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8" name="Text Box 74">
          <a:extLst>
            <a:ext uri="{FF2B5EF4-FFF2-40B4-BE49-F238E27FC236}">
              <a16:creationId xmlns="" xmlns:a16="http://schemas.microsoft.com/office/drawing/2014/main" id="{00000000-0008-0000-0000-00009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9" name="Text Box 75">
          <a:extLst>
            <a:ext uri="{FF2B5EF4-FFF2-40B4-BE49-F238E27FC236}">
              <a16:creationId xmlns="" xmlns:a16="http://schemas.microsoft.com/office/drawing/2014/main" id="{00000000-0008-0000-0000-00009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0" name="Text Box 76">
          <a:extLst>
            <a:ext uri="{FF2B5EF4-FFF2-40B4-BE49-F238E27FC236}">
              <a16:creationId xmlns="" xmlns:a16="http://schemas.microsoft.com/office/drawing/2014/main" id="{00000000-0008-0000-0000-0000A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1" name="Text Box 77">
          <a:extLst>
            <a:ext uri="{FF2B5EF4-FFF2-40B4-BE49-F238E27FC236}">
              <a16:creationId xmlns="" xmlns:a16="http://schemas.microsoft.com/office/drawing/2014/main" id="{00000000-0008-0000-0000-0000A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2" name="Text Box 78">
          <a:extLst>
            <a:ext uri="{FF2B5EF4-FFF2-40B4-BE49-F238E27FC236}">
              <a16:creationId xmlns="" xmlns:a16="http://schemas.microsoft.com/office/drawing/2014/main" id="{00000000-0008-0000-0000-0000A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3" name="Text Box 79">
          <a:extLst>
            <a:ext uri="{FF2B5EF4-FFF2-40B4-BE49-F238E27FC236}">
              <a16:creationId xmlns="" xmlns:a16="http://schemas.microsoft.com/office/drawing/2014/main" id="{00000000-0008-0000-0000-0000A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4" name="Text Box 80">
          <a:extLst>
            <a:ext uri="{FF2B5EF4-FFF2-40B4-BE49-F238E27FC236}">
              <a16:creationId xmlns="" xmlns:a16="http://schemas.microsoft.com/office/drawing/2014/main" id="{00000000-0008-0000-0000-0000A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5" name="Text Box 81">
          <a:extLst>
            <a:ext uri="{FF2B5EF4-FFF2-40B4-BE49-F238E27FC236}">
              <a16:creationId xmlns="" xmlns:a16="http://schemas.microsoft.com/office/drawing/2014/main" id="{00000000-0008-0000-0000-0000A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6" name="Text Box 3079">
          <a:extLst>
            <a:ext uri="{FF2B5EF4-FFF2-40B4-BE49-F238E27FC236}">
              <a16:creationId xmlns="" xmlns:a16="http://schemas.microsoft.com/office/drawing/2014/main" id="{00000000-0008-0000-0000-0000A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7" name="Text Box 3080">
          <a:extLst>
            <a:ext uri="{FF2B5EF4-FFF2-40B4-BE49-F238E27FC236}">
              <a16:creationId xmlns="" xmlns:a16="http://schemas.microsoft.com/office/drawing/2014/main" id="{00000000-0008-0000-0000-0000A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8" name="Text Box 3081">
          <a:extLst>
            <a:ext uri="{FF2B5EF4-FFF2-40B4-BE49-F238E27FC236}">
              <a16:creationId xmlns="" xmlns:a16="http://schemas.microsoft.com/office/drawing/2014/main" id="{00000000-0008-0000-0000-0000A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9" name="Text Box 3082">
          <a:extLst>
            <a:ext uri="{FF2B5EF4-FFF2-40B4-BE49-F238E27FC236}">
              <a16:creationId xmlns="" xmlns:a16="http://schemas.microsoft.com/office/drawing/2014/main" id="{00000000-0008-0000-0000-0000A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0" name="Text Box 3083">
          <a:extLst>
            <a:ext uri="{FF2B5EF4-FFF2-40B4-BE49-F238E27FC236}">
              <a16:creationId xmlns="" xmlns:a16="http://schemas.microsoft.com/office/drawing/2014/main" id="{00000000-0008-0000-0000-0000A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1" name="Text Box 3084">
          <a:extLst>
            <a:ext uri="{FF2B5EF4-FFF2-40B4-BE49-F238E27FC236}">
              <a16:creationId xmlns="" xmlns:a16="http://schemas.microsoft.com/office/drawing/2014/main" id="{00000000-0008-0000-0000-0000A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2" name="Text Box 3085">
          <a:extLst>
            <a:ext uri="{FF2B5EF4-FFF2-40B4-BE49-F238E27FC236}">
              <a16:creationId xmlns="" xmlns:a16="http://schemas.microsoft.com/office/drawing/2014/main" id="{00000000-0008-0000-0000-0000A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3" name="Text Box 3086">
          <a:extLst>
            <a:ext uri="{FF2B5EF4-FFF2-40B4-BE49-F238E27FC236}">
              <a16:creationId xmlns="" xmlns:a16="http://schemas.microsoft.com/office/drawing/2014/main" id="{00000000-0008-0000-0000-0000A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4" name="Text Box 3087">
          <a:extLst>
            <a:ext uri="{FF2B5EF4-FFF2-40B4-BE49-F238E27FC236}">
              <a16:creationId xmlns="" xmlns:a16="http://schemas.microsoft.com/office/drawing/2014/main" id="{00000000-0008-0000-0000-0000A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5" name="Text Box 3088">
          <a:extLst>
            <a:ext uri="{FF2B5EF4-FFF2-40B4-BE49-F238E27FC236}">
              <a16:creationId xmlns="" xmlns:a16="http://schemas.microsoft.com/office/drawing/2014/main" id="{00000000-0008-0000-0000-0000A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6" name="Text Box 3089">
          <a:extLst>
            <a:ext uri="{FF2B5EF4-FFF2-40B4-BE49-F238E27FC236}">
              <a16:creationId xmlns="" xmlns:a16="http://schemas.microsoft.com/office/drawing/2014/main" id="{00000000-0008-0000-0000-0000B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7" name="Text Box 3090">
          <a:extLst>
            <a:ext uri="{FF2B5EF4-FFF2-40B4-BE49-F238E27FC236}">
              <a16:creationId xmlns="" xmlns:a16="http://schemas.microsoft.com/office/drawing/2014/main" id="{00000000-0008-0000-0000-0000B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8" name="Text Box 3091">
          <a:extLst>
            <a:ext uri="{FF2B5EF4-FFF2-40B4-BE49-F238E27FC236}">
              <a16:creationId xmlns="" xmlns:a16="http://schemas.microsoft.com/office/drawing/2014/main" id="{00000000-0008-0000-0000-0000B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9" name="Text Box 3092">
          <a:extLst>
            <a:ext uri="{FF2B5EF4-FFF2-40B4-BE49-F238E27FC236}">
              <a16:creationId xmlns="" xmlns:a16="http://schemas.microsoft.com/office/drawing/2014/main" id="{00000000-0008-0000-0000-0000B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0" name="Text Box 3093">
          <a:extLst>
            <a:ext uri="{FF2B5EF4-FFF2-40B4-BE49-F238E27FC236}">
              <a16:creationId xmlns="" xmlns:a16="http://schemas.microsoft.com/office/drawing/2014/main" id="{00000000-0008-0000-0000-0000B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1" name="Text Box 3094">
          <a:extLst>
            <a:ext uri="{FF2B5EF4-FFF2-40B4-BE49-F238E27FC236}">
              <a16:creationId xmlns="" xmlns:a16="http://schemas.microsoft.com/office/drawing/2014/main" id="{00000000-0008-0000-0000-0000B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2" name="Text Box 3095">
          <a:extLst>
            <a:ext uri="{FF2B5EF4-FFF2-40B4-BE49-F238E27FC236}">
              <a16:creationId xmlns="" xmlns:a16="http://schemas.microsoft.com/office/drawing/2014/main" id="{00000000-0008-0000-0000-0000B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3" name="Text Box 3096">
          <a:extLst>
            <a:ext uri="{FF2B5EF4-FFF2-40B4-BE49-F238E27FC236}">
              <a16:creationId xmlns="" xmlns:a16="http://schemas.microsoft.com/office/drawing/2014/main" id="{00000000-0008-0000-0000-0000B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4" name="Text Box 3097">
          <a:extLst>
            <a:ext uri="{FF2B5EF4-FFF2-40B4-BE49-F238E27FC236}">
              <a16:creationId xmlns="" xmlns:a16="http://schemas.microsoft.com/office/drawing/2014/main" id="{00000000-0008-0000-0000-0000B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5" name="Text Box 3098">
          <a:extLst>
            <a:ext uri="{FF2B5EF4-FFF2-40B4-BE49-F238E27FC236}">
              <a16:creationId xmlns="" xmlns:a16="http://schemas.microsoft.com/office/drawing/2014/main" id="{00000000-0008-0000-0000-0000B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6" name="Text Box 3099">
          <a:extLst>
            <a:ext uri="{FF2B5EF4-FFF2-40B4-BE49-F238E27FC236}">
              <a16:creationId xmlns="" xmlns:a16="http://schemas.microsoft.com/office/drawing/2014/main" id="{00000000-0008-0000-0000-0000B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7" name="Text Box 3100">
          <a:extLst>
            <a:ext uri="{FF2B5EF4-FFF2-40B4-BE49-F238E27FC236}">
              <a16:creationId xmlns="" xmlns:a16="http://schemas.microsoft.com/office/drawing/2014/main" id="{00000000-0008-0000-0000-0000B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8" name="Text Box 3101">
          <a:extLst>
            <a:ext uri="{FF2B5EF4-FFF2-40B4-BE49-F238E27FC236}">
              <a16:creationId xmlns="" xmlns:a16="http://schemas.microsoft.com/office/drawing/2014/main" id="{00000000-0008-0000-0000-0000B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869" name="Text Box 3102">
          <a:extLst>
            <a:ext uri="{FF2B5EF4-FFF2-40B4-BE49-F238E27FC236}">
              <a16:creationId xmlns="" xmlns:a16="http://schemas.microsoft.com/office/drawing/2014/main" id="{00000000-0008-0000-0000-0000B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0" name="Text Box 59">
          <a:extLst>
            <a:ext uri="{FF2B5EF4-FFF2-40B4-BE49-F238E27FC236}">
              <a16:creationId xmlns="" xmlns:a16="http://schemas.microsoft.com/office/drawing/2014/main" id="{00000000-0008-0000-0000-0000B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1" name="Text Box 60">
          <a:extLst>
            <a:ext uri="{FF2B5EF4-FFF2-40B4-BE49-F238E27FC236}">
              <a16:creationId xmlns="" xmlns:a16="http://schemas.microsoft.com/office/drawing/2014/main" id="{00000000-0008-0000-0000-0000B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2" name="Text Box 61">
          <a:extLst>
            <a:ext uri="{FF2B5EF4-FFF2-40B4-BE49-F238E27FC236}">
              <a16:creationId xmlns="" xmlns:a16="http://schemas.microsoft.com/office/drawing/2014/main" id="{00000000-0008-0000-0000-0000C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3" name="Text Box 62">
          <a:extLst>
            <a:ext uri="{FF2B5EF4-FFF2-40B4-BE49-F238E27FC236}">
              <a16:creationId xmlns="" xmlns:a16="http://schemas.microsoft.com/office/drawing/2014/main" id="{00000000-0008-0000-0000-0000C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4" name="Text Box 63">
          <a:extLst>
            <a:ext uri="{FF2B5EF4-FFF2-40B4-BE49-F238E27FC236}">
              <a16:creationId xmlns="" xmlns:a16="http://schemas.microsoft.com/office/drawing/2014/main" id="{00000000-0008-0000-0000-0000C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5" name="Text Box 64">
          <a:extLst>
            <a:ext uri="{FF2B5EF4-FFF2-40B4-BE49-F238E27FC236}">
              <a16:creationId xmlns="" xmlns:a16="http://schemas.microsoft.com/office/drawing/2014/main" id="{00000000-0008-0000-0000-0000C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6" name="Text Box 65">
          <a:extLst>
            <a:ext uri="{FF2B5EF4-FFF2-40B4-BE49-F238E27FC236}">
              <a16:creationId xmlns="" xmlns:a16="http://schemas.microsoft.com/office/drawing/2014/main" id="{00000000-0008-0000-0000-0000C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7" name="Text Box 66">
          <a:extLst>
            <a:ext uri="{FF2B5EF4-FFF2-40B4-BE49-F238E27FC236}">
              <a16:creationId xmlns="" xmlns:a16="http://schemas.microsoft.com/office/drawing/2014/main" id="{00000000-0008-0000-0000-0000C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8" name="Text Box 67">
          <a:extLst>
            <a:ext uri="{FF2B5EF4-FFF2-40B4-BE49-F238E27FC236}">
              <a16:creationId xmlns="" xmlns:a16="http://schemas.microsoft.com/office/drawing/2014/main" id="{00000000-0008-0000-0000-0000C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9" name="Text Box 68">
          <a:extLst>
            <a:ext uri="{FF2B5EF4-FFF2-40B4-BE49-F238E27FC236}">
              <a16:creationId xmlns="" xmlns:a16="http://schemas.microsoft.com/office/drawing/2014/main" id="{00000000-0008-0000-0000-0000C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0" name="Text Box 69">
          <a:extLst>
            <a:ext uri="{FF2B5EF4-FFF2-40B4-BE49-F238E27FC236}">
              <a16:creationId xmlns="" xmlns:a16="http://schemas.microsoft.com/office/drawing/2014/main" id="{00000000-0008-0000-0000-0000C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1" name="Text Box 70">
          <a:extLst>
            <a:ext uri="{FF2B5EF4-FFF2-40B4-BE49-F238E27FC236}">
              <a16:creationId xmlns="" xmlns:a16="http://schemas.microsoft.com/office/drawing/2014/main" id="{00000000-0008-0000-0000-0000C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2" name="Text Box 71">
          <a:extLst>
            <a:ext uri="{FF2B5EF4-FFF2-40B4-BE49-F238E27FC236}">
              <a16:creationId xmlns="" xmlns:a16="http://schemas.microsoft.com/office/drawing/2014/main" id="{00000000-0008-0000-0000-0000C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3" name="Text Box 72">
          <a:extLst>
            <a:ext uri="{FF2B5EF4-FFF2-40B4-BE49-F238E27FC236}">
              <a16:creationId xmlns="" xmlns:a16="http://schemas.microsoft.com/office/drawing/2014/main" id="{00000000-0008-0000-0000-0000C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4" name="Text Box 73">
          <a:extLst>
            <a:ext uri="{FF2B5EF4-FFF2-40B4-BE49-F238E27FC236}">
              <a16:creationId xmlns="" xmlns:a16="http://schemas.microsoft.com/office/drawing/2014/main" id="{00000000-0008-0000-0000-0000C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5" name="Text Box 74">
          <a:extLst>
            <a:ext uri="{FF2B5EF4-FFF2-40B4-BE49-F238E27FC236}">
              <a16:creationId xmlns="" xmlns:a16="http://schemas.microsoft.com/office/drawing/2014/main" id="{00000000-0008-0000-0000-0000C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6" name="Text Box 75">
          <a:extLst>
            <a:ext uri="{FF2B5EF4-FFF2-40B4-BE49-F238E27FC236}">
              <a16:creationId xmlns="" xmlns:a16="http://schemas.microsoft.com/office/drawing/2014/main" id="{00000000-0008-0000-0000-0000C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7" name="Text Box 76">
          <a:extLst>
            <a:ext uri="{FF2B5EF4-FFF2-40B4-BE49-F238E27FC236}">
              <a16:creationId xmlns="" xmlns:a16="http://schemas.microsoft.com/office/drawing/2014/main" id="{00000000-0008-0000-0000-0000C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8" name="Text Box 77">
          <a:extLst>
            <a:ext uri="{FF2B5EF4-FFF2-40B4-BE49-F238E27FC236}">
              <a16:creationId xmlns="" xmlns:a16="http://schemas.microsoft.com/office/drawing/2014/main" id="{00000000-0008-0000-0000-0000D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9" name="Text Box 78">
          <a:extLst>
            <a:ext uri="{FF2B5EF4-FFF2-40B4-BE49-F238E27FC236}">
              <a16:creationId xmlns="" xmlns:a16="http://schemas.microsoft.com/office/drawing/2014/main" id="{00000000-0008-0000-0000-0000D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0" name="Text Box 79">
          <a:extLst>
            <a:ext uri="{FF2B5EF4-FFF2-40B4-BE49-F238E27FC236}">
              <a16:creationId xmlns="" xmlns:a16="http://schemas.microsoft.com/office/drawing/2014/main" id="{00000000-0008-0000-0000-0000D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1" name="Text Box 80">
          <a:extLst>
            <a:ext uri="{FF2B5EF4-FFF2-40B4-BE49-F238E27FC236}">
              <a16:creationId xmlns="" xmlns:a16="http://schemas.microsoft.com/office/drawing/2014/main" id="{00000000-0008-0000-0000-0000D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2" name="Text Box 81">
          <a:extLst>
            <a:ext uri="{FF2B5EF4-FFF2-40B4-BE49-F238E27FC236}">
              <a16:creationId xmlns="" xmlns:a16="http://schemas.microsoft.com/office/drawing/2014/main" id="{00000000-0008-0000-0000-0000D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893" name="Text Box 82">
          <a:extLst>
            <a:ext uri="{FF2B5EF4-FFF2-40B4-BE49-F238E27FC236}">
              <a16:creationId xmlns="" xmlns:a16="http://schemas.microsoft.com/office/drawing/2014/main" id="{00000000-0008-0000-0000-0000D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4" name="Text Box 3079">
          <a:extLst>
            <a:ext uri="{FF2B5EF4-FFF2-40B4-BE49-F238E27FC236}">
              <a16:creationId xmlns="" xmlns:a16="http://schemas.microsoft.com/office/drawing/2014/main" id="{00000000-0008-0000-0000-0000D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5" name="Text Box 3080">
          <a:extLst>
            <a:ext uri="{FF2B5EF4-FFF2-40B4-BE49-F238E27FC236}">
              <a16:creationId xmlns="" xmlns:a16="http://schemas.microsoft.com/office/drawing/2014/main" id="{00000000-0008-0000-0000-0000D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6" name="Text Box 3081">
          <a:extLst>
            <a:ext uri="{FF2B5EF4-FFF2-40B4-BE49-F238E27FC236}">
              <a16:creationId xmlns="" xmlns:a16="http://schemas.microsoft.com/office/drawing/2014/main" id="{00000000-0008-0000-0000-0000D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7" name="Text Box 3082">
          <a:extLst>
            <a:ext uri="{FF2B5EF4-FFF2-40B4-BE49-F238E27FC236}">
              <a16:creationId xmlns="" xmlns:a16="http://schemas.microsoft.com/office/drawing/2014/main" id="{00000000-0008-0000-0000-0000D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8" name="Text Box 3083">
          <a:extLst>
            <a:ext uri="{FF2B5EF4-FFF2-40B4-BE49-F238E27FC236}">
              <a16:creationId xmlns="" xmlns:a16="http://schemas.microsoft.com/office/drawing/2014/main" id="{00000000-0008-0000-0000-0000D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9" name="Text Box 3084">
          <a:extLst>
            <a:ext uri="{FF2B5EF4-FFF2-40B4-BE49-F238E27FC236}">
              <a16:creationId xmlns="" xmlns:a16="http://schemas.microsoft.com/office/drawing/2014/main" id="{00000000-0008-0000-0000-0000D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0" name="Text Box 3085">
          <a:extLst>
            <a:ext uri="{FF2B5EF4-FFF2-40B4-BE49-F238E27FC236}">
              <a16:creationId xmlns="" xmlns:a16="http://schemas.microsoft.com/office/drawing/2014/main" id="{00000000-0008-0000-0000-0000D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1" name="Text Box 3086">
          <a:extLst>
            <a:ext uri="{FF2B5EF4-FFF2-40B4-BE49-F238E27FC236}">
              <a16:creationId xmlns="" xmlns:a16="http://schemas.microsoft.com/office/drawing/2014/main" id="{00000000-0008-0000-0000-0000D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2" name="Text Box 3087">
          <a:extLst>
            <a:ext uri="{FF2B5EF4-FFF2-40B4-BE49-F238E27FC236}">
              <a16:creationId xmlns="" xmlns:a16="http://schemas.microsoft.com/office/drawing/2014/main" id="{00000000-0008-0000-0000-0000D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3" name="Text Box 3088">
          <a:extLst>
            <a:ext uri="{FF2B5EF4-FFF2-40B4-BE49-F238E27FC236}">
              <a16:creationId xmlns="" xmlns:a16="http://schemas.microsoft.com/office/drawing/2014/main" id="{00000000-0008-0000-0000-0000D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4" name="Text Box 3089">
          <a:extLst>
            <a:ext uri="{FF2B5EF4-FFF2-40B4-BE49-F238E27FC236}">
              <a16:creationId xmlns="" xmlns:a16="http://schemas.microsoft.com/office/drawing/2014/main" id="{00000000-0008-0000-0000-0000E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5" name="Text Box 3090">
          <a:extLst>
            <a:ext uri="{FF2B5EF4-FFF2-40B4-BE49-F238E27FC236}">
              <a16:creationId xmlns="" xmlns:a16="http://schemas.microsoft.com/office/drawing/2014/main" id="{00000000-0008-0000-0000-0000E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6" name="Text Box 3091">
          <a:extLst>
            <a:ext uri="{FF2B5EF4-FFF2-40B4-BE49-F238E27FC236}">
              <a16:creationId xmlns="" xmlns:a16="http://schemas.microsoft.com/office/drawing/2014/main" id="{00000000-0008-0000-0000-0000E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7" name="Text Box 3092">
          <a:extLst>
            <a:ext uri="{FF2B5EF4-FFF2-40B4-BE49-F238E27FC236}">
              <a16:creationId xmlns="" xmlns:a16="http://schemas.microsoft.com/office/drawing/2014/main" id="{00000000-0008-0000-0000-0000E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8" name="Text Box 3093">
          <a:extLst>
            <a:ext uri="{FF2B5EF4-FFF2-40B4-BE49-F238E27FC236}">
              <a16:creationId xmlns="" xmlns:a16="http://schemas.microsoft.com/office/drawing/2014/main" id="{00000000-0008-0000-0000-0000E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9" name="Text Box 3094">
          <a:extLst>
            <a:ext uri="{FF2B5EF4-FFF2-40B4-BE49-F238E27FC236}">
              <a16:creationId xmlns="" xmlns:a16="http://schemas.microsoft.com/office/drawing/2014/main" id="{00000000-0008-0000-0000-0000E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0" name="Text Box 3095">
          <a:extLst>
            <a:ext uri="{FF2B5EF4-FFF2-40B4-BE49-F238E27FC236}">
              <a16:creationId xmlns="" xmlns:a16="http://schemas.microsoft.com/office/drawing/2014/main" id="{00000000-0008-0000-0000-0000E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1" name="Text Box 3096">
          <a:extLst>
            <a:ext uri="{FF2B5EF4-FFF2-40B4-BE49-F238E27FC236}">
              <a16:creationId xmlns="" xmlns:a16="http://schemas.microsoft.com/office/drawing/2014/main" id="{00000000-0008-0000-0000-0000E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2" name="Text Box 3097">
          <a:extLst>
            <a:ext uri="{FF2B5EF4-FFF2-40B4-BE49-F238E27FC236}">
              <a16:creationId xmlns="" xmlns:a16="http://schemas.microsoft.com/office/drawing/2014/main" id="{00000000-0008-0000-0000-0000E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3" name="Text Box 3098">
          <a:extLst>
            <a:ext uri="{FF2B5EF4-FFF2-40B4-BE49-F238E27FC236}">
              <a16:creationId xmlns="" xmlns:a16="http://schemas.microsoft.com/office/drawing/2014/main" id="{00000000-0008-0000-0000-0000E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4" name="Text Box 3099">
          <a:extLst>
            <a:ext uri="{FF2B5EF4-FFF2-40B4-BE49-F238E27FC236}">
              <a16:creationId xmlns="" xmlns:a16="http://schemas.microsoft.com/office/drawing/2014/main" id="{00000000-0008-0000-0000-0000E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5" name="Text Box 3100">
          <a:extLst>
            <a:ext uri="{FF2B5EF4-FFF2-40B4-BE49-F238E27FC236}">
              <a16:creationId xmlns="" xmlns:a16="http://schemas.microsoft.com/office/drawing/2014/main" id="{00000000-0008-0000-0000-0000E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6" name="Text Box 3101">
          <a:extLst>
            <a:ext uri="{FF2B5EF4-FFF2-40B4-BE49-F238E27FC236}">
              <a16:creationId xmlns="" xmlns:a16="http://schemas.microsoft.com/office/drawing/2014/main" id="{00000000-0008-0000-0000-0000E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917" name="Text Box 3102">
          <a:extLst>
            <a:ext uri="{FF2B5EF4-FFF2-40B4-BE49-F238E27FC236}">
              <a16:creationId xmlns="" xmlns:a16="http://schemas.microsoft.com/office/drawing/2014/main" id="{00000000-0008-0000-0000-0000E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18" name="Text Box 59">
          <a:extLst>
            <a:ext uri="{FF2B5EF4-FFF2-40B4-BE49-F238E27FC236}">
              <a16:creationId xmlns="" xmlns:a16="http://schemas.microsoft.com/office/drawing/2014/main" id="{00000000-0008-0000-0000-0000E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19" name="Text Box 60">
          <a:extLst>
            <a:ext uri="{FF2B5EF4-FFF2-40B4-BE49-F238E27FC236}">
              <a16:creationId xmlns="" xmlns:a16="http://schemas.microsoft.com/office/drawing/2014/main" id="{00000000-0008-0000-0000-0000E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0" name="Text Box 61">
          <a:extLst>
            <a:ext uri="{FF2B5EF4-FFF2-40B4-BE49-F238E27FC236}">
              <a16:creationId xmlns="" xmlns:a16="http://schemas.microsoft.com/office/drawing/2014/main" id="{00000000-0008-0000-0000-0000F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1" name="Text Box 62">
          <a:extLst>
            <a:ext uri="{FF2B5EF4-FFF2-40B4-BE49-F238E27FC236}">
              <a16:creationId xmlns="" xmlns:a16="http://schemas.microsoft.com/office/drawing/2014/main" id="{00000000-0008-0000-0000-0000F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2" name="Text Box 63">
          <a:extLst>
            <a:ext uri="{FF2B5EF4-FFF2-40B4-BE49-F238E27FC236}">
              <a16:creationId xmlns="" xmlns:a16="http://schemas.microsoft.com/office/drawing/2014/main" id="{00000000-0008-0000-0000-0000F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3" name="Text Box 64">
          <a:extLst>
            <a:ext uri="{FF2B5EF4-FFF2-40B4-BE49-F238E27FC236}">
              <a16:creationId xmlns="" xmlns:a16="http://schemas.microsoft.com/office/drawing/2014/main" id="{00000000-0008-0000-0000-0000F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4" name="Text Box 65">
          <a:extLst>
            <a:ext uri="{FF2B5EF4-FFF2-40B4-BE49-F238E27FC236}">
              <a16:creationId xmlns="" xmlns:a16="http://schemas.microsoft.com/office/drawing/2014/main" id="{00000000-0008-0000-0000-0000F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5" name="Text Box 66">
          <a:extLst>
            <a:ext uri="{FF2B5EF4-FFF2-40B4-BE49-F238E27FC236}">
              <a16:creationId xmlns="" xmlns:a16="http://schemas.microsoft.com/office/drawing/2014/main" id="{00000000-0008-0000-0000-0000F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6" name="Text Box 67">
          <a:extLst>
            <a:ext uri="{FF2B5EF4-FFF2-40B4-BE49-F238E27FC236}">
              <a16:creationId xmlns="" xmlns:a16="http://schemas.microsoft.com/office/drawing/2014/main" id="{00000000-0008-0000-0000-0000F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7" name="Text Box 68">
          <a:extLst>
            <a:ext uri="{FF2B5EF4-FFF2-40B4-BE49-F238E27FC236}">
              <a16:creationId xmlns="" xmlns:a16="http://schemas.microsoft.com/office/drawing/2014/main" id="{00000000-0008-0000-0000-0000F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8" name="Text Box 69">
          <a:extLst>
            <a:ext uri="{FF2B5EF4-FFF2-40B4-BE49-F238E27FC236}">
              <a16:creationId xmlns="" xmlns:a16="http://schemas.microsoft.com/office/drawing/2014/main" id="{00000000-0008-0000-0000-0000F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9" name="Text Box 70">
          <a:extLst>
            <a:ext uri="{FF2B5EF4-FFF2-40B4-BE49-F238E27FC236}">
              <a16:creationId xmlns="" xmlns:a16="http://schemas.microsoft.com/office/drawing/2014/main" id="{00000000-0008-0000-0000-0000F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0" name="Text Box 71">
          <a:extLst>
            <a:ext uri="{FF2B5EF4-FFF2-40B4-BE49-F238E27FC236}">
              <a16:creationId xmlns="" xmlns:a16="http://schemas.microsoft.com/office/drawing/2014/main" id="{00000000-0008-0000-0000-0000F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1" name="Text Box 72">
          <a:extLst>
            <a:ext uri="{FF2B5EF4-FFF2-40B4-BE49-F238E27FC236}">
              <a16:creationId xmlns="" xmlns:a16="http://schemas.microsoft.com/office/drawing/2014/main" id="{00000000-0008-0000-0000-0000F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2" name="Text Box 73">
          <a:extLst>
            <a:ext uri="{FF2B5EF4-FFF2-40B4-BE49-F238E27FC236}">
              <a16:creationId xmlns="" xmlns:a16="http://schemas.microsoft.com/office/drawing/2014/main" id="{00000000-0008-0000-0000-0000F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3" name="Text Box 74">
          <a:extLst>
            <a:ext uri="{FF2B5EF4-FFF2-40B4-BE49-F238E27FC236}">
              <a16:creationId xmlns="" xmlns:a16="http://schemas.microsoft.com/office/drawing/2014/main" id="{00000000-0008-0000-0000-0000F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4" name="Text Box 75">
          <a:extLst>
            <a:ext uri="{FF2B5EF4-FFF2-40B4-BE49-F238E27FC236}">
              <a16:creationId xmlns="" xmlns:a16="http://schemas.microsoft.com/office/drawing/2014/main" id="{00000000-0008-0000-0000-0000F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5" name="Text Box 76">
          <a:extLst>
            <a:ext uri="{FF2B5EF4-FFF2-40B4-BE49-F238E27FC236}">
              <a16:creationId xmlns="" xmlns:a16="http://schemas.microsoft.com/office/drawing/2014/main" id="{00000000-0008-0000-0000-0000F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6" name="Text Box 77">
          <a:extLst>
            <a:ext uri="{FF2B5EF4-FFF2-40B4-BE49-F238E27FC236}">
              <a16:creationId xmlns="" xmlns:a16="http://schemas.microsoft.com/office/drawing/2014/main" id="{00000000-0008-0000-0000-00000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7" name="Text Box 78">
          <a:extLst>
            <a:ext uri="{FF2B5EF4-FFF2-40B4-BE49-F238E27FC236}">
              <a16:creationId xmlns="" xmlns:a16="http://schemas.microsoft.com/office/drawing/2014/main" id="{00000000-0008-0000-0000-00000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8" name="Text Box 79">
          <a:extLst>
            <a:ext uri="{FF2B5EF4-FFF2-40B4-BE49-F238E27FC236}">
              <a16:creationId xmlns="" xmlns:a16="http://schemas.microsoft.com/office/drawing/2014/main" id="{00000000-0008-0000-0000-00000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9" name="Text Box 80">
          <a:extLst>
            <a:ext uri="{FF2B5EF4-FFF2-40B4-BE49-F238E27FC236}">
              <a16:creationId xmlns="" xmlns:a16="http://schemas.microsoft.com/office/drawing/2014/main" id="{00000000-0008-0000-0000-00000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40" name="Text Box 81">
          <a:extLst>
            <a:ext uri="{FF2B5EF4-FFF2-40B4-BE49-F238E27FC236}">
              <a16:creationId xmlns="" xmlns:a16="http://schemas.microsoft.com/office/drawing/2014/main" id="{00000000-0008-0000-0000-00000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1" name="Text Box 3079">
          <a:extLst>
            <a:ext uri="{FF2B5EF4-FFF2-40B4-BE49-F238E27FC236}">
              <a16:creationId xmlns="" xmlns:a16="http://schemas.microsoft.com/office/drawing/2014/main" id="{00000000-0008-0000-0000-00000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2" name="Text Box 3080">
          <a:extLst>
            <a:ext uri="{FF2B5EF4-FFF2-40B4-BE49-F238E27FC236}">
              <a16:creationId xmlns="" xmlns:a16="http://schemas.microsoft.com/office/drawing/2014/main" id="{00000000-0008-0000-0000-00000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3" name="Text Box 3081">
          <a:extLst>
            <a:ext uri="{FF2B5EF4-FFF2-40B4-BE49-F238E27FC236}">
              <a16:creationId xmlns="" xmlns:a16="http://schemas.microsoft.com/office/drawing/2014/main" id="{00000000-0008-0000-0000-00000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4" name="Text Box 3082">
          <a:extLst>
            <a:ext uri="{FF2B5EF4-FFF2-40B4-BE49-F238E27FC236}">
              <a16:creationId xmlns="" xmlns:a16="http://schemas.microsoft.com/office/drawing/2014/main" id="{00000000-0008-0000-0000-00000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5" name="Text Box 3083">
          <a:extLst>
            <a:ext uri="{FF2B5EF4-FFF2-40B4-BE49-F238E27FC236}">
              <a16:creationId xmlns="" xmlns:a16="http://schemas.microsoft.com/office/drawing/2014/main" id="{00000000-0008-0000-0000-00000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6" name="Text Box 3084">
          <a:extLst>
            <a:ext uri="{FF2B5EF4-FFF2-40B4-BE49-F238E27FC236}">
              <a16:creationId xmlns="" xmlns:a16="http://schemas.microsoft.com/office/drawing/2014/main" id="{00000000-0008-0000-0000-00000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7" name="Text Box 3085">
          <a:extLst>
            <a:ext uri="{FF2B5EF4-FFF2-40B4-BE49-F238E27FC236}">
              <a16:creationId xmlns="" xmlns:a16="http://schemas.microsoft.com/office/drawing/2014/main" id="{00000000-0008-0000-0000-00000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8" name="Text Box 3086">
          <a:extLst>
            <a:ext uri="{FF2B5EF4-FFF2-40B4-BE49-F238E27FC236}">
              <a16:creationId xmlns="" xmlns:a16="http://schemas.microsoft.com/office/drawing/2014/main" id="{00000000-0008-0000-0000-00000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9" name="Text Box 3087">
          <a:extLst>
            <a:ext uri="{FF2B5EF4-FFF2-40B4-BE49-F238E27FC236}">
              <a16:creationId xmlns="" xmlns:a16="http://schemas.microsoft.com/office/drawing/2014/main" id="{00000000-0008-0000-0000-00000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0" name="Text Box 3088">
          <a:extLst>
            <a:ext uri="{FF2B5EF4-FFF2-40B4-BE49-F238E27FC236}">
              <a16:creationId xmlns="" xmlns:a16="http://schemas.microsoft.com/office/drawing/2014/main" id="{00000000-0008-0000-0000-00000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1" name="Text Box 3089">
          <a:extLst>
            <a:ext uri="{FF2B5EF4-FFF2-40B4-BE49-F238E27FC236}">
              <a16:creationId xmlns="" xmlns:a16="http://schemas.microsoft.com/office/drawing/2014/main" id="{00000000-0008-0000-0000-00000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2" name="Text Box 3090">
          <a:extLst>
            <a:ext uri="{FF2B5EF4-FFF2-40B4-BE49-F238E27FC236}">
              <a16:creationId xmlns="" xmlns:a16="http://schemas.microsoft.com/office/drawing/2014/main" id="{00000000-0008-0000-0000-00001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3" name="Text Box 3091">
          <a:extLst>
            <a:ext uri="{FF2B5EF4-FFF2-40B4-BE49-F238E27FC236}">
              <a16:creationId xmlns="" xmlns:a16="http://schemas.microsoft.com/office/drawing/2014/main" id="{00000000-0008-0000-0000-00001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4" name="Text Box 3092">
          <a:extLst>
            <a:ext uri="{FF2B5EF4-FFF2-40B4-BE49-F238E27FC236}">
              <a16:creationId xmlns="" xmlns:a16="http://schemas.microsoft.com/office/drawing/2014/main" id="{00000000-0008-0000-0000-00001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5" name="Text Box 3093">
          <a:extLst>
            <a:ext uri="{FF2B5EF4-FFF2-40B4-BE49-F238E27FC236}">
              <a16:creationId xmlns="" xmlns:a16="http://schemas.microsoft.com/office/drawing/2014/main" id="{00000000-0008-0000-0000-00001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6" name="Text Box 3094">
          <a:extLst>
            <a:ext uri="{FF2B5EF4-FFF2-40B4-BE49-F238E27FC236}">
              <a16:creationId xmlns="" xmlns:a16="http://schemas.microsoft.com/office/drawing/2014/main" id="{00000000-0008-0000-0000-00001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7" name="Text Box 3095">
          <a:extLst>
            <a:ext uri="{FF2B5EF4-FFF2-40B4-BE49-F238E27FC236}">
              <a16:creationId xmlns="" xmlns:a16="http://schemas.microsoft.com/office/drawing/2014/main" id="{00000000-0008-0000-0000-00001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8" name="Text Box 3096">
          <a:extLst>
            <a:ext uri="{FF2B5EF4-FFF2-40B4-BE49-F238E27FC236}">
              <a16:creationId xmlns="" xmlns:a16="http://schemas.microsoft.com/office/drawing/2014/main" id="{00000000-0008-0000-0000-00001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9" name="Text Box 3097">
          <a:extLst>
            <a:ext uri="{FF2B5EF4-FFF2-40B4-BE49-F238E27FC236}">
              <a16:creationId xmlns="" xmlns:a16="http://schemas.microsoft.com/office/drawing/2014/main" id="{00000000-0008-0000-0000-00001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0" name="Text Box 3098">
          <a:extLst>
            <a:ext uri="{FF2B5EF4-FFF2-40B4-BE49-F238E27FC236}">
              <a16:creationId xmlns="" xmlns:a16="http://schemas.microsoft.com/office/drawing/2014/main" id="{00000000-0008-0000-0000-00001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1" name="Text Box 3099">
          <a:extLst>
            <a:ext uri="{FF2B5EF4-FFF2-40B4-BE49-F238E27FC236}">
              <a16:creationId xmlns="" xmlns:a16="http://schemas.microsoft.com/office/drawing/2014/main" id="{00000000-0008-0000-0000-00001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2" name="Text Box 3100">
          <a:extLst>
            <a:ext uri="{FF2B5EF4-FFF2-40B4-BE49-F238E27FC236}">
              <a16:creationId xmlns="" xmlns:a16="http://schemas.microsoft.com/office/drawing/2014/main" id="{00000000-0008-0000-0000-00001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3" name="Text Box 3101">
          <a:extLst>
            <a:ext uri="{FF2B5EF4-FFF2-40B4-BE49-F238E27FC236}">
              <a16:creationId xmlns="" xmlns:a16="http://schemas.microsoft.com/office/drawing/2014/main" id="{00000000-0008-0000-0000-00001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964" name="Text Box 3102">
          <a:extLst>
            <a:ext uri="{FF2B5EF4-FFF2-40B4-BE49-F238E27FC236}">
              <a16:creationId xmlns="" xmlns:a16="http://schemas.microsoft.com/office/drawing/2014/main" id="{00000000-0008-0000-0000-00001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5" name="Text Box 59">
          <a:extLst>
            <a:ext uri="{FF2B5EF4-FFF2-40B4-BE49-F238E27FC236}">
              <a16:creationId xmlns="" xmlns:a16="http://schemas.microsoft.com/office/drawing/2014/main" id="{00000000-0008-0000-0000-00001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6" name="Text Box 60">
          <a:extLst>
            <a:ext uri="{FF2B5EF4-FFF2-40B4-BE49-F238E27FC236}">
              <a16:creationId xmlns="" xmlns:a16="http://schemas.microsoft.com/office/drawing/2014/main" id="{00000000-0008-0000-0000-00001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7" name="Text Box 61">
          <a:extLst>
            <a:ext uri="{FF2B5EF4-FFF2-40B4-BE49-F238E27FC236}">
              <a16:creationId xmlns="" xmlns:a16="http://schemas.microsoft.com/office/drawing/2014/main" id="{00000000-0008-0000-0000-00001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8" name="Text Box 62">
          <a:extLst>
            <a:ext uri="{FF2B5EF4-FFF2-40B4-BE49-F238E27FC236}">
              <a16:creationId xmlns="" xmlns:a16="http://schemas.microsoft.com/office/drawing/2014/main" id="{00000000-0008-0000-0000-00002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9" name="Text Box 63">
          <a:extLst>
            <a:ext uri="{FF2B5EF4-FFF2-40B4-BE49-F238E27FC236}">
              <a16:creationId xmlns="" xmlns:a16="http://schemas.microsoft.com/office/drawing/2014/main" id="{00000000-0008-0000-0000-00002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0" name="Text Box 64">
          <a:extLst>
            <a:ext uri="{FF2B5EF4-FFF2-40B4-BE49-F238E27FC236}">
              <a16:creationId xmlns="" xmlns:a16="http://schemas.microsoft.com/office/drawing/2014/main" id="{00000000-0008-0000-0000-00002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1" name="Text Box 65">
          <a:extLst>
            <a:ext uri="{FF2B5EF4-FFF2-40B4-BE49-F238E27FC236}">
              <a16:creationId xmlns="" xmlns:a16="http://schemas.microsoft.com/office/drawing/2014/main" id="{00000000-0008-0000-0000-00002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2" name="Text Box 66">
          <a:extLst>
            <a:ext uri="{FF2B5EF4-FFF2-40B4-BE49-F238E27FC236}">
              <a16:creationId xmlns="" xmlns:a16="http://schemas.microsoft.com/office/drawing/2014/main" id="{00000000-0008-0000-0000-00002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3" name="Text Box 67">
          <a:extLst>
            <a:ext uri="{FF2B5EF4-FFF2-40B4-BE49-F238E27FC236}">
              <a16:creationId xmlns="" xmlns:a16="http://schemas.microsoft.com/office/drawing/2014/main" id="{00000000-0008-0000-0000-00002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4" name="Text Box 68">
          <a:extLst>
            <a:ext uri="{FF2B5EF4-FFF2-40B4-BE49-F238E27FC236}">
              <a16:creationId xmlns="" xmlns:a16="http://schemas.microsoft.com/office/drawing/2014/main" id="{00000000-0008-0000-0000-00002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5" name="Text Box 69">
          <a:extLst>
            <a:ext uri="{FF2B5EF4-FFF2-40B4-BE49-F238E27FC236}">
              <a16:creationId xmlns="" xmlns:a16="http://schemas.microsoft.com/office/drawing/2014/main" id="{00000000-0008-0000-0000-00002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6" name="Text Box 70">
          <a:extLst>
            <a:ext uri="{FF2B5EF4-FFF2-40B4-BE49-F238E27FC236}">
              <a16:creationId xmlns="" xmlns:a16="http://schemas.microsoft.com/office/drawing/2014/main" id="{00000000-0008-0000-0000-00002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7" name="Text Box 71">
          <a:extLst>
            <a:ext uri="{FF2B5EF4-FFF2-40B4-BE49-F238E27FC236}">
              <a16:creationId xmlns="" xmlns:a16="http://schemas.microsoft.com/office/drawing/2014/main" id="{00000000-0008-0000-0000-00002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8" name="Text Box 72">
          <a:extLst>
            <a:ext uri="{FF2B5EF4-FFF2-40B4-BE49-F238E27FC236}">
              <a16:creationId xmlns="" xmlns:a16="http://schemas.microsoft.com/office/drawing/2014/main" id="{00000000-0008-0000-0000-00002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9" name="Text Box 73">
          <a:extLst>
            <a:ext uri="{FF2B5EF4-FFF2-40B4-BE49-F238E27FC236}">
              <a16:creationId xmlns="" xmlns:a16="http://schemas.microsoft.com/office/drawing/2014/main" id="{00000000-0008-0000-0000-00002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0" name="Text Box 74">
          <a:extLst>
            <a:ext uri="{FF2B5EF4-FFF2-40B4-BE49-F238E27FC236}">
              <a16:creationId xmlns="" xmlns:a16="http://schemas.microsoft.com/office/drawing/2014/main" id="{00000000-0008-0000-0000-00002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1" name="Text Box 75">
          <a:extLst>
            <a:ext uri="{FF2B5EF4-FFF2-40B4-BE49-F238E27FC236}">
              <a16:creationId xmlns="" xmlns:a16="http://schemas.microsoft.com/office/drawing/2014/main" id="{00000000-0008-0000-0000-00002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2" name="Text Box 76">
          <a:extLst>
            <a:ext uri="{FF2B5EF4-FFF2-40B4-BE49-F238E27FC236}">
              <a16:creationId xmlns="" xmlns:a16="http://schemas.microsoft.com/office/drawing/2014/main" id="{00000000-0008-0000-0000-00002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3" name="Text Box 77">
          <a:extLst>
            <a:ext uri="{FF2B5EF4-FFF2-40B4-BE49-F238E27FC236}">
              <a16:creationId xmlns="" xmlns:a16="http://schemas.microsoft.com/office/drawing/2014/main" id="{00000000-0008-0000-0000-00002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4" name="Text Box 78">
          <a:extLst>
            <a:ext uri="{FF2B5EF4-FFF2-40B4-BE49-F238E27FC236}">
              <a16:creationId xmlns="" xmlns:a16="http://schemas.microsoft.com/office/drawing/2014/main" id="{00000000-0008-0000-0000-00003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5" name="Text Box 79">
          <a:extLst>
            <a:ext uri="{FF2B5EF4-FFF2-40B4-BE49-F238E27FC236}">
              <a16:creationId xmlns="" xmlns:a16="http://schemas.microsoft.com/office/drawing/2014/main" id="{00000000-0008-0000-0000-00003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6" name="Text Box 80">
          <a:extLst>
            <a:ext uri="{FF2B5EF4-FFF2-40B4-BE49-F238E27FC236}">
              <a16:creationId xmlns="" xmlns:a16="http://schemas.microsoft.com/office/drawing/2014/main" id="{00000000-0008-0000-0000-00003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7" name="Text Box 81">
          <a:extLst>
            <a:ext uri="{FF2B5EF4-FFF2-40B4-BE49-F238E27FC236}">
              <a16:creationId xmlns="" xmlns:a16="http://schemas.microsoft.com/office/drawing/2014/main" id="{00000000-0008-0000-0000-00003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988" name="Text Box 82">
          <a:extLst>
            <a:ext uri="{FF2B5EF4-FFF2-40B4-BE49-F238E27FC236}">
              <a16:creationId xmlns="" xmlns:a16="http://schemas.microsoft.com/office/drawing/2014/main" id="{00000000-0008-0000-0000-00003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89" name="Text Box 3079">
          <a:extLst>
            <a:ext uri="{FF2B5EF4-FFF2-40B4-BE49-F238E27FC236}">
              <a16:creationId xmlns="" xmlns:a16="http://schemas.microsoft.com/office/drawing/2014/main" id="{00000000-0008-0000-0000-00003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0" name="Text Box 3080">
          <a:extLst>
            <a:ext uri="{FF2B5EF4-FFF2-40B4-BE49-F238E27FC236}">
              <a16:creationId xmlns="" xmlns:a16="http://schemas.microsoft.com/office/drawing/2014/main" id="{00000000-0008-0000-0000-00003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1" name="Text Box 3081">
          <a:extLst>
            <a:ext uri="{FF2B5EF4-FFF2-40B4-BE49-F238E27FC236}">
              <a16:creationId xmlns="" xmlns:a16="http://schemas.microsoft.com/office/drawing/2014/main" id="{00000000-0008-0000-0000-00003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2" name="Text Box 3082">
          <a:extLst>
            <a:ext uri="{FF2B5EF4-FFF2-40B4-BE49-F238E27FC236}">
              <a16:creationId xmlns="" xmlns:a16="http://schemas.microsoft.com/office/drawing/2014/main" id="{00000000-0008-0000-0000-00003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3" name="Text Box 3083">
          <a:extLst>
            <a:ext uri="{FF2B5EF4-FFF2-40B4-BE49-F238E27FC236}">
              <a16:creationId xmlns="" xmlns:a16="http://schemas.microsoft.com/office/drawing/2014/main" id="{00000000-0008-0000-0000-00003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4" name="Text Box 3084">
          <a:extLst>
            <a:ext uri="{FF2B5EF4-FFF2-40B4-BE49-F238E27FC236}">
              <a16:creationId xmlns="" xmlns:a16="http://schemas.microsoft.com/office/drawing/2014/main" id="{00000000-0008-0000-0000-00003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5" name="Text Box 3085">
          <a:extLst>
            <a:ext uri="{FF2B5EF4-FFF2-40B4-BE49-F238E27FC236}">
              <a16:creationId xmlns="" xmlns:a16="http://schemas.microsoft.com/office/drawing/2014/main" id="{00000000-0008-0000-0000-00003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6" name="Text Box 3086">
          <a:extLst>
            <a:ext uri="{FF2B5EF4-FFF2-40B4-BE49-F238E27FC236}">
              <a16:creationId xmlns="" xmlns:a16="http://schemas.microsoft.com/office/drawing/2014/main" id="{00000000-0008-0000-0000-00003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7" name="Text Box 3087">
          <a:extLst>
            <a:ext uri="{FF2B5EF4-FFF2-40B4-BE49-F238E27FC236}">
              <a16:creationId xmlns="" xmlns:a16="http://schemas.microsoft.com/office/drawing/2014/main" id="{00000000-0008-0000-0000-00003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8" name="Text Box 3088">
          <a:extLst>
            <a:ext uri="{FF2B5EF4-FFF2-40B4-BE49-F238E27FC236}">
              <a16:creationId xmlns="" xmlns:a16="http://schemas.microsoft.com/office/drawing/2014/main" id="{00000000-0008-0000-0000-00003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9" name="Text Box 3089">
          <a:extLst>
            <a:ext uri="{FF2B5EF4-FFF2-40B4-BE49-F238E27FC236}">
              <a16:creationId xmlns="" xmlns:a16="http://schemas.microsoft.com/office/drawing/2014/main" id="{00000000-0008-0000-0000-00003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0" name="Text Box 3090">
          <a:extLst>
            <a:ext uri="{FF2B5EF4-FFF2-40B4-BE49-F238E27FC236}">
              <a16:creationId xmlns="" xmlns:a16="http://schemas.microsoft.com/office/drawing/2014/main" id="{00000000-0008-0000-0000-00004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1" name="Text Box 3091">
          <a:extLst>
            <a:ext uri="{FF2B5EF4-FFF2-40B4-BE49-F238E27FC236}">
              <a16:creationId xmlns="" xmlns:a16="http://schemas.microsoft.com/office/drawing/2014/main" id="{00000000-0008-0000-0000-00004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2" name="Text Box 3092">
          <a:extLst>
            <a:ext uri="{FF2B5EF4-FFF2-40B4-BE49-F238E27FC236}">
              <a16:creationId xmlns="" xmlns:a16="http://schemas.microsoft.com/office/drawing/2014/main" id="{00000000-0008-0000-0000-00004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3" name="Text Box 3093">
          <a:extLst>
            <a:ext uri="{FF2B5EF4-FFF2-40B4-BE49-F238E27FC236}">
              <a16:creationId xmlns="" xmlns:a16="http://schemas.microsoft.com/office/drawing/2014/main" id="{00000000-0008-0000-0000-00004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4" name="Text Box 3094">
          <a:extLst>
            <a:ext uri="{FF2B5EF4-FFF2-40B4-BE49-F238E27FC236}">
              <a16:creationId xmlns="" xmlns:a16="http://schemas.microsoft.com/office/drawing/2014/main" id="{00000000-0008-0000-0000-00004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5" name="Text Box 3095">
          <a:extLst>
            <a:ext uri="{FF2B5EF4-FFF2-40B4-BE49-F238E27FC236}">
              <a16:creationId xmlns="" xmlns:a16="http://schemas.microsoft.com/office/drawing/2014/main" id="{00000000-0008-0000-0000-00004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6" name="Text Box 3096">
          <a:extLst>
            <a:ext uri="{FF2B5EF4-FFF2-40B4-BE49-F238E27FC236}">
              <a16:creationId xmlns="" xmlns:a16="http://schemas.microsoft.com/office/drawing/2014/main" id="{00000000-0008-0000-0000-00004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7" name="Text Box 3097">
          <a:extLst>
            <a:ext uri="{FF2B5EF4-FFF2-40B4-BE49-F238E27FC236}">
              <a16:creationId xmlns="" xmlns:a16="http://schemas.microsoft.com/office/drawing/2014/main" id="{00000000-0008-0000-0000-00004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8" name="Text Box 3098">
          <a:extLst>
            <a:ext uri="{FF2B5EF4-FFF2-40B4-BE49-F238E27FC236}">
              <a16:creationId xmlns="" xmlns:a16="http://schemas.microsoft.com/office/drawing/2014/main" id="{00000000-0008-0000-0000-00004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9" name="Text Box 3099">
          <a:extLst>
            <a:ext uri="{FF2B5EF4-FFF2-40B4-BE49-F238E27FC236}">
              <a16:creationId xmlns="" xmlns:a16="http://schemas.microsoft.com/office/drawing/2014/main" id="{00000000-0008-0000-0000-00004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10" name="Text Box 3100">
          <a:extLst>
            <a:ext uri="{FF2B5EF4-FFF2-40B4-BE49-F238E27FC236}">
              <a16:creationId xmlns="" xmlns:a16="http://schemas.microsoft.com/office/drawing/2014/main" id="{00000000-0008-0000-0000-00004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11" name="Text Box 3101">
          <a:extLst>
            <a:ext uri="{FF2B5EF4-FFF2-40B4-BE49-F238E27FC236}">
              <a16:creationId xmlns="" xmlns:a16="http://schemas.microsoft.com/office/drawing/2014/main" id="{00000000-0008-0000-0000-00004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012" name="Text Box 3102">
          <a:extLst>
            <a:ext uri="{FF2B5EF4-FFF2-40B4-BE49-F238E27FC236}">
              <a16:creationId xmlns="" xmlns:a16="http://schemas.microsoft.com/office/drawing/2014/main" id="{00000000-0008-0000-0000-00004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3" name="Text Box 59">
          <a:extLst>
            <a:ext uri="{FF2B5EF4-FFF2-40B4-BE49-F238E27FC236}">
              <a16:creationId xmlns="" xmlns:a16="http://schemas.microsoft.com/office/drawing/2014/main" id="{00000000-0008-0000-0000-00004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4" name="Text Box 60">
          <a:extLst>
            <a:ext uri="{FF2B5EF4-FFF2-40B4-BE49-F238E27FC236}">
              <a16:creationId xmlns="" xmlns:a16="http://schemas.microsoft.com/office/drawing/2014/main" id="{00000000-0008-0000-0000-00004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5" name="Text Box 61">
          <a:extLst>
            <a:ext uri="{FF2B5EF4-FFF2-40B4-BE49-F238E27FC236}">
              <a16:creationId xmlns="" xmlns:a16="http://schemas.microsoft.com/office/drawing/2014/main" id="{00000000-0008-0000-0000-00004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6" name="Text Box 62">
          <a:extLst>
            <a:ext uri="{FF2B5EF4-FFF2-40B4-BE49-F238E27FC236}">
              <a16:creationId xmlns="" xmlns:a16="http://schemas.microsoft.com/office/drawing/2014/main" id="{00000000-0008-0000-0000-00005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7" name="Text Box 63">
          <a:extLst>
            <a:ext uri="{FF2B5EF4-FFF2-40B4-BE49-F238E27FC236}">
              <a16:creationId xmlns="" xmlns:a16="http://schemas.microsoft.com/office/drawing/2014/main" id="{00000000-0008-0000-0000-00005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8" name="Text Box 64">
          <a:extLst>
            <a:ext uri="{FF2B5EF4-FFF2-40B4-BE49-F238E27FC236}">
              <a16:creationId xmlns="" xmlns:a16="http://schemas.microsoft.com/office/drawing/2014/main" id="{00000000-0008-0000-0000-00005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9" name="Text Box 65">
          <a:extLst>
            <a:ext uri="{FF2B5EF4-FFF2-40B4-BE49-F238E27FC236}">
              <a16:creationId xmlns="" xmlns:a16="http://schemas.microsoft.com/office/drawing/2014/main" id="{00000000-0008-0000-0000-00005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0" name="Text Box 66">
          <a:extLst>
            <a:ext uri="{FF2B5EF4-FFF2-40B4-BE49-F238E27FC236}">
              <a16:creationId xmlns="" xmlns:a16="http://schemas.microsoft.com/office/drawing/2014/main" id="{00000000-0008-0000-0000-00005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1" name="Text Box 67">
          <a:extLst>
            <a:ext uri="{FF2B5EF4-FFF2-40B4-BE49-F238E27FC236}">
              <a16:creationId xmlns="" xmlns:a16="http://schemas.microsoft.com/office/drawing/2014/main" id="{00000000-0008-0000-0000-00005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2" name="Text Box 68">
          <a:extLst>
            <a:ext uri="{FF2B5EF4-FFF2-40B4-BE49-F238E27FC236}">
              <a16:creationId xmlns="" xmlns:a16="http://schemas.microsoft.com/office/drawing/2014/main" id="{00000000-0008-0000-0000-00005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3" name="Text Box 69">
          <a:extLst>
            <a:ext uri="{FF2B5EF4-FFF2-40B4-BE49-F238E27FC236}">
              <a16:creationId xmlns="" xmlns:a16="http://schemas.microsoft.com/office/drawing/2014/main" id="{00000000-0008-0000-0000-00005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4" name="Text Box 70">
          <a:extLst>
            <a:ext uri="{FF2B5EF4-FFF2-40B4-BE49-F238E27FC236}">
              <a16:creationId xmlns="" xmlns:a16="http://schemas.microsoft.com/office/drawing/2014/main" id="{00000000-0008-0000-0000-00005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5" name="Text Box 71">
          <a:extLst>
            <a:ext uri="{FF2B5EF4-FFF2-40B4-BE49-F238E27FC236}">
              <a16:creationId xmlns="" xmlns:a16="http://schemas.microsoft.com/office/drawing/2014/main" id="{00000000-0008-0000-0000-00005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6" name="Text Box 72">
          <a:extLst>
            <a:ext uri="{FF2B5EF4-FFF2-40B4-BE49-F238E27FC236}">
              <a16:creationId xmlns="" xmlns:a16="http://schemas.microsoft.com/office/drawing/2014/main" id="{00000000-0008-0000-0000-00005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7" name="Text Box 73">
          <a:extLst>
            <a:ext uri="{FF2B5EF4-FFF2-40B4-BE49-F238E27FC236}">
              <a16:creationId xmlns="" xmlns:a16="http://schemas.microsoft.com/office/drawing/2014/main" id="{00000000-0008-0000-0000-00005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8" name="Text Box 74">
          <a:extLst>
            <a:ext uri="{FF2B5EF4-FFF2-40B4-BE49-F238E27FC236}">
              <a16:creationId xmlns="" xmlns:a16="http://schemas.microsoft.com/office/drawing/2014/main" id="{00000000-0008-0000-0000-00005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9" name="Text Box 75">
          <a:extLst>
            <a:ext uri="{FF2B5EF4-FFF2-40B4-BE49-F238E27FC236}">
              <a16:creationId xmlns="" xmlns:a16="http://schemas.microsoft.com/office/drawing/2014/main" id="{00000000-0008-0000-0000-00005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0" name="Text Box 76">
          <a:extLst>
            <a:ext uri="{FF2B5EF4-FFF2-40B4-BE49-F238E27FC236}">
              <a16:creationId xmlns="" xmlns:a16="http://schemas.microsoft.com/office/drawing/2014/main" id="{00000000-0008-0000-0000-00005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1" name="Text Box 77">
          <a:extLst>
            <a:ext uri="{FF2B5EF4-FFF2-40B4-BE49-F238E27FC236}">
              <a16:creationId xmlns="" xmlns:a16="http://schemas.microsoft.com/office/drawing/2014/main" id="{00000000-0008-0000-0000-00005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2" name="Text Box 78">
          <a:extLst>
            <a:ext uri="{FF2B5EF4-FFF2-40B4-BE49-F238E27FC236}">
              <a16:creationId xmlns="" xmlns:a16="http://schemas.microsoft.com/office/drawing/2014/main" id="{00000000-0008-0000-0000-00006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3" name="Text Box 79">
          <a:extLst>
            <a:ext uri="{FF2B5EF4-FFF2-40B4-BE49-F238E27FC236}">
              <a16:creationId xmlns="" xmlns:a16="http://schemas.microsoft.com/office/drawing/2014/main" id="{00000000-0008-0000-0000-00006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4" name="Text Box 80">
          <a:extLst>
            <a:ext uri="{FF2B5EF4-FFF2-40B4-BE49-F238E27FC236}">
              <a16:creationId xmlns="" xmlns:a16="http://schemas.microsoft.com/office/drawing/2014/main" id="{00000000-0008-0000-0000-00006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5" name="Text Box 81">
          <a:extLst>
            <a:ext uri="{FF2B5EF4-FFF2-40B4-BE49-F238E27FC236}">
              <a16:creationId xmlns="" xmlns:a16="http://schemas.microsoft.com/office/drawing/2014/main" id="{00000000-0008-0000-0000-00006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6" name="Text Box 3079">
          <a:extLst>
            <a:ext uri="{FF2B5EF4-FFF2-40B4-BE49-F238E27FC236}">
              <a16:creationId xmlns="" xmlns:a16="http://schemas.microsoft.com/office/drawing/2014/main" id="{00000000-0008-0000-0000-00006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7" name="Text Box 3080">
          <a:extLst>
            <a:ext uri="{FF2B5EF4-FFF2-40B4-BE49-F238E27FC236}">
              <a16:creationId xmlns="" xmlns:a16="http://schemas.microsoft.com/office/drawing/2014/main" id="{00000000-0008-0000-0000-00006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8" name="Text Box 3081">
          <a:extLst>
            <a:ext uri="{FF2B5EF4-FFF2-40B4-BE49-F238E27FC236}">
              <a16:creationId xmlns="" xmlns:a16="http://schemas.microsoft.com/office/drawing/2014/main" id="{00000000-0008-0000-0000-00006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9" name="Text Box 3082">
          <a:extLst>
            <a:ext uri="{FF2B5EF4-FFF2-40B4-BE49-F238E27FC236}">
              <a16:creationId xmlns="" xmlns:a16="http://schemas.microsoft.com/office/drawing/2014/main" id="{00000000-0008-0000-0000-00006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0" name="Text Box 3083">
          <a:extLst>
            <a:ext uri="{FF2B5EF4-FFF2-40B4-BE49-F238E27FC236}">
              <a16:creationId xmlns="" xmlns:a16="http://schemas.microsoft.com/office/drawing/2014/main" id="{00000000-0008-0000-0000-00006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1" name="Text Box 3084">
          <a:extLst>
            <a:ext uri="{FF2B5EF4-FFF2-40B4-BE49-F238E27FC236}">
              <a16:creationId xmlns="" xmlns:a16="http://schemas.microsoft.com/office/drawing/2014/main" id="{00000000-0008-0000-0000-00006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2" name="Text Box 3085">
          <a:extLst>
            <a:ext uri="{FF2B5EF4-FFF2-40B4-BE49-F238E27FC236}">
              <a16:creationId xmlns="" xmlns:a16="http://schemas.microsoft.com/office/drawing/2014/main" id="{00000000-0008-0000-0000-00006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3" name="Text Box 3086">
          <a:extLst>
            <a:ext uri="{FF2B5EF4-FFF2-40B4-BE49-F238E27FC236}">
              <a16:creationId xmlns="" xmlns:a16="http://schemas.microsoft.com/office/drawing/2014/main" id="{00000000-0008-0000-0000-00006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4" name="Text Box 3087">
          <a:extLst>
            <a:ext uri="{FF2B5EF4-FFF2-40B4-BE49-F238E27FC236}">
              <a16:creationId xmlns="" xmlns:a16="http://schemas.microsoft.com/office/drawing/2014/main" id="{00000000-0008-0000-0000-00006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5" name="Text Box 3088">
          <a:extLst>
            <a:ext uri="{FF2B5EF4-FFF2-40B4-BE49-F238E27FC236}">
              <a16:creationId xmlns="" xmlns:a16="http://schemas.microsoft.com/office/drawing/2014/main" id="{00000000-0008-0000-0000-00006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6" name="Text Box 3089">
          <a:extLst>
            <a:ext uri="{FF2B5EF4-FFF2-40B4-BE49-F238E27FC236}">
              <a16:creationId xmlns="" xmlns:a16="http://schemas.microsoft.com/office/drawing/2014/main" id="{00000000-0008-0000-0000-00006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7" name="Text Box 3090">
          <a:extLst>
            <a:ext uri="{FF2B5EF4-FFF2-40B4-BE49-F238E27FC236}">
              <a16:creationId xmlns="" xmlns:a16="http://schemas.microsoft.com/office/drawing/2014/main" id="{00000000-0008-0000-0000-00006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8" name="Text Box 3091">
          <a:extLst>
            <a:ext uri="{FF2B5EF4-FFF2-40B4-BE49-F238E27FC236}">
              <a16:creationId xmlns="" xmlns:a16="http://schemas.microsoft.com/office/drawing/2014/main" id="{00000000-0008-0000-0000-00007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9" name="Text Box 3092">
          <a:extLst>
            <a:ext uri="{FF2B5EF4-FFF2-40B4-BE49-F238E27FC236}">
              <a16:creationId xmlns="" xmlns:a16="http://schemas.microsoft.com/office/drawing/2014/main" id="{00000000-0008-0000-0000-00007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0" name="Text Box 3093">
          <a:extLst>
            <a:ext uri="{FF2B5EF4-FFF2-40B4-BE49-F238E27FC236}">
              <a16:creationId xmlns="" xmlns:a16="http://schemas.microsoft.com/office/drawing/2014/main" id="{00000000-0008-0000-0000-00007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1" name="Text Box 3094">
          <a:extLst>
            <a:ext uri="{FF2B5EF4-FFF2-40B4-BE49-F238E27FC236}">
              <a16:creationId xmlns="" xmlns:a16="http://schemas.microsoft.com/office/drawing/2014/main" id="{00000000-0008-0000-0000-00007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2" name="Text Box 3095">
          <a:extLst>
            <a:ext uri="{FF2B5EF4-FFF2-40B4-BE49-F238E27FC236}">
              <a16:creationId xmlns="" xmlns:a16="http://schemas.microsoft.com/office/drawing/2014/main" id="{00000000-0008-0000-0000-00007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3" name="Text Box 3096">
          <a:extLst>
            <a:ext uri="{FF2B5EF4-FFF2-40B4-BE49-F238E27FC236}">
              <a16:creationId xmlns="" xmlns:a16="http://schemas.microsoft.com/office/drawing/2014/main" id="{00000000-0008-0000-0000-00007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4" name="Text Box 3097">
          <a:extLst>
            <a:ext uri="{FF2B5EF4-FFF2-40B4-BE49-F238E27FC236}">
              <a16:creationId xmlns="" xmlns:a16="http://schemas.microsoft.com/office/drawing/2014/main" id="{00000000-0008-0000-0000-00007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5" name="Text Box 3098">
          <a:extLst>
            <a:ext uri="{FF2B5EF4-FFF2-40B4-BE49-F238E27FC236}">
              <a16:creationId xmlns="" xmlns:a16="http://schemas.microsoft.com/office/drawing/2014/main" id="{00000000-0008-0000-0000-00007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6" name="Text Box 3099">
          <a:extLst>
            <a:ext uri="{FF2B5EF4-FFF2-40B4-BE49-F238E27FC236}">
              <a16:creationId xmlns="" xmlns:a16="http://schemas.microsoft.com/office/drawing/2014/main" id="{00000000-0008-0000-0000-00007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7" name="Text Box 3100">
          <a:extLst>
            <a:ext uri="{FF2B5EF4-FFF2-40B4-BE49-F238E27FC236}">
              <a16:creationId xmlns="" xmlns:a16="http://schemas.microsoft.com/office/drawing/2014/main" id="{00000000-0008-0000-0000-00007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8" name="Text Box 3101">
          <a:extLst>
            <a:ext uri="{FF2B5EF4-FFF2-40B4-BE49-F238E27FC236}">
              <a16:creationId xmlns="" xmlns:a16="http://schemas.microsoft.com/office/drawing/2014/main" id="{00000000-0008-0000-0000-00007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059" name="Text Box 3102">
          <a:extLst>
            <a:ext uri="{FF2B5EF4-FFF2-40B4-BE49-F238E27FC236}">
              <a16:creationId xmlns="" xmlns:a16="http://schemas.microsoft.com/office/drawing/2014/main" id="{00000000-0008-0000-0000-00007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0" name="Text Box 59">
          <a:extLst>
            <a:ext uri="{FF2B5EF4-FFF2-40B4-BE49-F238E27FC236}">
              <a16:creationId xmlns="" xmlns:a16="http://schemas.microsoft.com/office/drawing/2014/main" id="{00000000-0008-0000-0000-00007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1" name="Text Box 60">
          <a:extLst>
            <a:ext uri="{FF2B5EF4-FFF2-40B4-BE49-F238E27FC236}">
              <a16:creationId xmlns="" xmlns:a16="http://schemas.microsoft.com/office/drawing/2014/main" id="{00000000-0008-0000-0000-00007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2" name="Text Box 61">
          <a:extLst>
            <a:ext uri="{FF2B5EF4-FFF2-40B4-BE49-F238E27FC236}">
              <a16:creationId xmlns="" xmlns:a16="http://schemas.microsoft.com/office/drawing/2014/main" id="{00000000-0008-0000-0000-00007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3" name="Text Box 62">
          <a:extLst>
            <a:ext uri="{FF2B5EF4-FFF2-40B4-BE49-F238E27FC236}">
              <a16:creationId xmlns="" xmlns:a16="http://schemas.microsoft.com/office/drawing/2014/main" id="{00000000-0008-0000-0000-00007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4" name="Text Box 63">
          <a:extLst>
            <a:ext uri="{FF2B5EF4-FFF2-40B4-BE49-F238E27FC236}">
              <a16:creationId xmlns="" xmlns:a16="http://schemas.microsoft.com/office/drawing/2014/main" id="{00000000-0008-0000-0000-00008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5" name="Text Box 64">
          <a:extLst>
            <a:ext uri="{FF2B5EF4-FFF2-40B4-BE49-F238E27FC236}">
              <a16:creationId xmlns="" xmlns:a16="http://schemas.microsoft.com/office/drawing/2014/main" id="{00000000-0008-0000-0000-00008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6" name="Text Box 65">
          <a:extLst>
            <a:ext uri="{FF2B5EF4-FFF2-40B4-BE49-F238E27FC236}">
              <a16:creationId xmlns="" xmlns:a16="http://schemas.microsoft.com/office/drawing/2014/main" id="{00000000-0008-0000-0000-00008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7" name="Text Box 66">
          <a:extLst>
            <a:ext uri="{FF2B5EF4-FFF2-40B4-BE49-F238E27FC236}">
              <a16:creationId xmlns="" xmlns:a16="http://schemas.microsoft.com/office/drawing/2014/main" id="{00000000-0008-0000-0000-00008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8" name="Text Box 67">
          <a:extLst>
            <a:ext uri="{FF2B5EF4-FFF2-40B4-BE49-F238E27FC236}">
              <a16:creationId xmlns="" xmlns:a16="http://schemas.microsoft.com/office/drawing/2014/main" id="{00000000-0008-0000-0000-00008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9" name="Text Box 68">
          <a:extLst>
            <a:ext uri="{FF2B5EF4-FFF2-40B4-BE49-F238E27FC236}">
              <a16:creationId xmlns="" xmlns:a16="http://schemas.microsoft.com/office/drawing/2014/main" id="{00000000-0008-0000-0000-00008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0" name="Text Box 69">
          <a:extLst>
            <a:ext uri="{FF2B5EF4-FFF2-40B4-BE49-F238E27FC236}">
              <a16:creationId xmlns="" xmlns:a16="http://schemas.microsoft.com/office/drawing/2014/main" id="{00000000-0008-0000-0000-00008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1" name="Text Box 70">
          <a:extLst>
            <a:ext uri="{FF2B5EF4-FFF2-40B4-BE49-F238E27FC236}">
              <a16:creationId xmlns="" xmlns:a16="http://schemas.microsoft.com/office/drawing/2014/main" id="{00000000-0008-0000-0000-00008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2" name="Text Box 71">
          <a:extLst>
            <a:ext uri="{FF2B5EF4-FFF2-40B4-BE49-F238E27FC236}">
              <a16:creationId xmlns="" xmlns:a16="http://schemas.microsoft.com/office/drawing/2014/main" id="{00000000-0008-0000-0000-00008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3" name="Text Box 72">
          <a:extLst>
            <a:ext uri="{FF2B5EF4-FFF2-40B4-BE49-F238E27FC236}">
              <a16:creationId xmlns="" xmlns:a16="http://schemas.microsoft.com/office/drawing/2014/main" id="{00000000-0008-0000-0000-00008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4" name="Text Box 73">
          <a:extLst>
            <a:ext uri="{FF2B5EF4-FFF2-40B4-BE49-F238E27FC236}">
              <a16:creationId xmlns="" xmlns:a16="http://schemas.microsoft.com/office/drawing/2014/main" id="{00000000-0008-0000-0000-00008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5" name="Text Box 74">
          <a:extLst>
            <a:ext uri="{FF2B5EF4-FFF2-40B4-BE49-F238E27FC236}">
              <a16:creationId xmlns="" xmlns:a16="http://schemas.microsoft.com/office/drawing/2014/main" id="{00000000-0008-0000-0000-00008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6" name="Text Box 75">
          <a:extLst>
            <a:ext uri="{FF2B5EF4-FFF2-40B4-BE49-F238E27FC236}">
              <a16:creationId xmlns="" xmlns:a16="http://schemas.microsoft.com/office/drawing/2014/main" id="{00000000-0008-0000-0000-00008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7" name="Text Box 76">
          <a:extLst>
            <a:ext uri="{FF2B5EF4-FFF2-40B4-BE49-F238E27FC236}">
              <a16:creationId xmlns="" xmlns:a16="http://schemas.microsoft.com/office/drawing/2014/main" id="{00000000-0008-0000-0000-00008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8" name="Text Box 77">
          <a:extLst>
            <a:ext uri="{FF2B5EF4-FFF2-40B4-BE49-F238E27FC236}">
              <a16:creationId xmlns="" xmlns:a16="http://schemas.microsoft.com/office/drawing/2014/main" id="{00000000-0008-0000-0000-00008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9" name="Text Box 78">
          <a:extLst>
            <a:ext uri="{FF2B5EF4-FFF2-40B4-BE49-F238E27FC236}">
              <a16:creationId xmlns="" xmlns:a16="http://schemas.microsoft.com/office/drawing/2014/main" id="{00000000-0008-0000-0000-00008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0" name="Text Box 79">
          <a:extLst>
            <a:ext uri="{FF2B5EF4-FFF2-40B4-BE49-F238E27FC236}">
              <a16:creationId xmlns="" xmlns:a16="http://schemas.microsoft.com/office/drawing/2014/main" id="{00000000-0008-0000-0000-00009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1" name="Text Box 80">
          <a:extLst>
            <a:ext uri="{FF2B5EF4-FFF2-40B4-BE49-F238E27FC236}">
              <a16:creationId xmlns="" xmlns:a16="http://schemas.microsoft.com/office/drawing/2014/main" id="{00000000-0008-0000-0000-00009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2" name="Text Box 81">
          <a:extLst>
            <a:ext uri="{FF2B5EF4-FFF2-40B4-BE49-F238E27FC236}">
              <a16:creationId xmlns="" xmlns:a16="http://schemas.microsoft.com/office/drawing/2014/main" id="{00000000-0008-0000-0000-00009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083" name="Text Box 82">
          <a:extLst>
            <a:ext uri="{FF2B5EF4-FFF2-40B4-BE49-F238E27FC236}">
              <a16:creationId xmlns="" xmlns:a16="http://schemas.microsoft.com/office/drawing/2014/main" id="{00000000-0008-0000-0000-00009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4" name="Text Box 3079">
          <a:extLst>
            <a:ext uri="{FF2B5EF4-FFF2-40B4-BE49-F238E27FC236}">
              <a16:creationId xmlns="" xmlns:a16="http://schemas.microsoft.com/office/drawing/2014/main" id="{00000000-0008-0000-0000-00009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5" name="Text Box 3080">
          <a:extLst>
            <a:ext uri="{FF2B5EF4-FFF2-40B4-BE49-F238E27FC236}">
              <a16:creationId xmlns="" xmlns:a16="http://schemas.microsoft.com/office/drawing/2014/main" id="{00000000-0008-0000-0000-00009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6" name="Text Box 3081">
          <a:extLst>
            <a:ext uri="{FF2B5EF4-FFF2-40B4-BE49-F238E27FC236}">
              <a16:creationId xmlns="" xmlns:a16="http://schemas.microsoft.com/office/drawing/2014/main" id="{00000000-0008-0000-0000-00009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7" name="Text Box 3082">
          <a:extLst>
            <a:ext uri="{FF2B5EF4-FFF2-40B4-BE49-F238E27FC236}">
              <a16:creationId xmlns="" xmlns:a16="http://schemas.microsoft.com/office/drawing/2014/main" id="{00000000-0008-0000-0000-00009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8" name="Text Box 3083">
          <a:extLst>
            <a:ext uri="{FF2B5EF4-FFF2-40B4-BE49-F238E27FC236}">
              <a16:creationId xmlns="" xmlns:a16="http://schemas.microsoft.com/office/drawing/2014/main" id="{00000000-0008-0000-0000-00009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9" name="Text Box 3084">
          <a:extLst>
            <a:ext uri="{FF2B5EF4-FFF2-40B4-BE49-F238E27FC236}">
              <a16:creationId xmlns="" xmlns:a16="http://schemas.microsoft.com/office/drawing/2014/main" id="{00000000-0008-0000-0000-00009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0" name="Text Box 3085">
          <a:extLst>
            <a:ext uri="{FF2B5EF4-FFF2-40B4-BE49-F238E27FC236}">
              <a16:creationId xmlns="" xmlns:a16="http://schemas.microsoft.com/office/drawing/2014/main" id="{00000000-0008-0000-0000-00009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1" name="Text Box 3086">
          <a:extLst>
            <a:ext uri="{FF2B5EF4-FFF2-40B4-BE49-F238E27FC236}">
              <a16:creationId xmlns="" xmlns:a16="http://schemas.microsoft.com/office/drawing/2014/main" id="{00000000-0008-0000-0000-00009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2" name="Text Box 3087">
          <a:extLst>
            <a:ext uri="{FF2B5EF4-FFF2-40B4-BE49-F238E27FC236}">
              <a16:creationId xmlns="" xmlns:a16="http://schemas.microsoft.com/office/drawing/2014/main" id="{00000000-0008-0000-0000-00009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3" name="Text Box 3088">
          <a:extLst>
            <a:ext uri="{FF2B5EF4-FFF2-40B4-BE49-F238E27FC236}">
              <a16:creationId xmlns="" xmlns:a16="http://schemas.microsoft.com/office/drawing/2014/main" id="{00000000-0008-0000-0000-00009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4" name="Text Box 3089">
          <a:extLst>
            <a:ext uri="{FF2B5EF4-FFF2-40B4-BE49-F238E27FC236}">
              <a16:creationId xmlns="" xmlns:a16="http://schemas.microsoft.com/office/drawing/2014/main" id="{00000000-0008-0000-0000-00009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5" name="Text Box 3090">
          <a:extLst>
            <a:ext uri="{FF2B5EF4-FFF2-40B4-BE49-F238E27FC236}">
              <a16:creationId xmlns="" xmlns:a16="http://schemas.microsoft.com/office/drawing/2014/main" id="{00000000-0008-0000-0000-00009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6" name="Text Box 3091">
          <a:extLst>
            <a:ext uri="{FF2B5EF4-FFF2-40B4-BE49-F238E27FC236}">
              <a16:creationId xmlns="" xmlns:a16="http://schemas.microsoft.com/office/drawing/2014/main" id="{00000000-0008-0000-0000-0000A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7" name="Text Box 3092">
          <a:extLst>
            <a:ext uri="{FF2B5EF4-FFF2-40B4-BE49-F238E27FC236}">
              <a16:creationId xmlns="" xmlns:a16="http://schemas.microsoft.com/office/drawing/2014/main" id="{00000000-0008-0000-0000-0000A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8" name="Text Box 3093">
          <a:extLst>
            <a:ext uri="{FF2B5EF4-FFF2-40B4-BE49-F238E27FC236}">
              <a16:creationId xmlns="" xmlns:a16="http://schemas.microsoft.com/office/drawing/2014/main" id="{00000000-0008-0000-0000-0000A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9" name="Text Box 3094">
          <a:extLst>
            <a:ext uri="{FF2B5EF4-FFF2-40B4-BE49-F238E27FC236}">
              <a16:creationId xmlns="" xmlns:a16="http://schemas.microsoft.com/office/drawing/2014/main" id="{00000000-0008-0000-0000-0000A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0" name="Text Box 3095">
          <a:extLst>
            <a:ext uri="{FF2B5EF4-FFF2-40B4-BE49-F238E27FC236}">
              <a16:creationId xmlns="" xmlns:a16="http://schemas.microsoft.com/office/drawing/2014/main" id="{00000000-0008-0000-0000-0000A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1" name="Text Box 3096">
          <a:extLst>
            <a:ext uri="{FF2B5EF4-FFF2-40B4-BE49-F238E27FC236}">
              <a16:creationId xmlns="" xmlns:a16="http://schemas.microsoft.com/office/drawing/2014/main" id="{00000000-0008-0000-0000-0000A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2" name="Text Box 3097">
          <a:extLst>
            <a:ext uri="{FF2B5EF4-FFF2-40B4-BE49-F238E27FC236}">
              <a16:creationId xmlns="" xmlns:a16="http://schemas.microsoft.com/office/drawing/2014/main" id="{00000000-0008-0000-0000-0000A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3" name="Text Box 3098">
          <a:extLst>
            <a:ext uri="{FF2B5EF4-FFF2-40B4-BE49-F238E27FC236}">
              <a16:creationId xmlns="" xmlns:a16="http://schemas.microsoft.com/office/drawing/2014/main" id="{00000000-0008-0000-0000-0000A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4" name="Text Box 3099">
          <a:extLst>
            <a:ext uri="{FF2B5EF4-FFF2-40B4-BE49-F238E27FC236}">
              <a16:creationId xmlns="" xmlns:a16="http://schemas.microsoft.com/office/drawing/2014/main" id="{00000000-0008-0000-0000-0000A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5" name="Text Box 3100">
          <a:extLst>
            <a:ext uri="{FF2B5EF4-FFF2-40B4-BE49-F238E27FC236}">
              <a16:creationId xmlns="" xmlns:a16="http://schemas.microsoft.com/office/drawing/2014/main" id="{00000000-0008-0000-0000-0000A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6" name="Text Box 3101">
          <a:extLst>
            <a:ext uri="{FF2B5EF4-FFF2-40B4-BE49-F238E27FC236}">
              <a16:creationId xmlns="" xmlns:a16="http://schemas.microsoft.com/office/drawing/2014/main" id="{00000000-0008-0000-0000-0000A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107" name="Text Box 3102">
          <a:extLst>
            <a:ext uri="{FF2B5EF4-FFF2-40B4-BE49-F238E27FC236}">
              <a16:creationId xmlns="" xmlns:a16="http://schemas.microsoft.com/office/drawing/2014/main" id="{00000000-0008-0000-0000-0000A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08" name="Text Box 59">
          <a:extLst>
            <a:ext uri="{FF2B5EF4-FFF2-40B4-BE49-F238E27FC236}">
              <a16:creationId xmlns="" xmlns:a16="http://schemas.microsoft.com/office/drawing/2014/main" id="{00000000-0008-0000-0000-0000A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09" name="Text Box 60">
          <a:extLst>
            <a:ext uri="{FF2B5EF4-FFF2-40B4-BE49-F238E27FC236}">
              <a16:creationId xmlns="" xmlns:a16="http://schemas.microsoft.com/office/drawing/2014/main" id="{00000000-0008-0000-0000-0000A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0" name="Text Box 61">
          <a:extLst>
            <a:ext uri="{FF2B5EF4-FFF2-40B4-BE49-F238E27FC236}">
              <a16:creationId xmlns="" xmlns:a16="http://schemas.microsoft.com/office/drawing/2014/main" id="{00000000-0008-0000-0000-0000A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1" name="Text Box 62">
          <a:extLst>
            <a:ext uri="{FF2B5EF4-FFF2-40B4-BE49-F238E27FC236}">
              <a16:creationId xmlns="" xmlns:a16="http://schemas.microsoft.com/office/drawing/2014/main" id="{00000000-0008-0000-0000-0000A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2" name="Text Box 63">
          <a:extLst>
            <a:ext uri="{FF2B5EF4-FFF2-40B4-BE49-F238E27FC236}">
              <a16:creationId xmlns="" xmlns:a16="http://schemas.microsoft.com/office/drawing/2014/main" id="{00000000-0008-0000-0000-0000B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3" name="Text Box 64">
          <a:extLst>
            <a:ext uri="{FF2B5EF4-FFF2-40B4-BE49-F238E27FC236}">
              <a16:creationId xmlns="" xmlns:a16="http://schemas.microsoft.com/office/drawing/2014/main" id="{00000000-0008-0000-0000-0000B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4" name="Text Box 65">
          <a:extLst>
            <a:ext uri="{FF2B5EF4-FFF2-40B4-BE49-F238E27FC236}">
              <a16:creationId xmlns="" xmlns:a16="http://schemas.microsoft.com/office/drawing/2014/main" id="{00000000-0008-0000-0000-0000B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5" name="Text Box 66">
          <a:extLst>
            <a:ext uri="{FF2B5EF4-FFF2-40B4-BE49-F238E27FC236}">
              <a16:creationId xmlns="" xmlns:a16="http://schemas.microsoft.com/office/drawing/2014/main" id="{00000000-0008-0000-0000-0000B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6" name="Text Box 67">
          <a:extLst>
            <a:ext uri="{FF2B5EF4-FFF2-40B4-BE49-F238E27FC236}">
              <a16:creationId xmlns="" xmlns:a16="http://schemas.microsoft.com/office/drawing/2014/main" id="{00000000-0008-0000-0000-0000B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7" name="Text Box 68">
          <a:extLst>
            <a:ext uri="{FF2B5EF4-FFF2-40B4-BE49-F238E27FC236}">
              <a16:creationId xmlns="" xmlns:a16="http://schemas.microsoft.com/office/drawing/2014/main" id="{00000000-0008-0000-0000-0000B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8" name="Text Box 69">
          <a:extLst>
            <a:ext uri="{FF2B5EF4-FFF2-40B4-BE49-F238E27FC236}">
              <a16:creationId xmlns="" xmlns:a16="http://schemas.microsoft.com/office/drawing/2014/main" id="{00000000-0008-0000-0000-0000B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9" name="Text Box 70">
          <a:extLst>
            <a:ext uri="{FF2B5EF4-FFF2-40B4-BE49-F238E27FC236}">
              <a16:creationId xmlns="" xmlns:a16="http://schemas.microsoft.com/office/drawing/2014/main" id="{00000000-0008-0000-0000-0000B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0" name="Text Box 71">
          <a:extLst>
            <a:ext uri="{FF2B5EF4-FFF2-40B4-BE49-F238E27FC236}">
              <a16:creationId xmlns="" xmlns:a16="http://schemas.microsoft.com/office/drawing/2014/main" id="{00000000-0008-0000-0000-0000B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1" name="Text Box 72">
          <a:extLst>
            <a:ext uri="{FF2B5EF4-FFF2-40B4-BE49-F238E27FC236}">
              <a16:creationId xmlns="" xmlns:a16="http://schemas.microsoft.com/office/drawing/2014/main" id="{00000000-0008-0000-0000-0000B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2" name="Text Box 73">
          <a:extLst>
            <a:ext uri="{FF2B5EF4-FFF2-40B4-BE49-F238E27FC236}">
              <a16:creationId xmlns="" xmlns:a16="http://schemas.microsoft.com/office/drawing/2014/main" id="{00000000-0008-0000-0000-0000B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3" name="Text Box 74">
          <a:extLst>
            <a:ext uri="{FF2B5EF4-FFF2-40B4-BE49-F238E27FC236}">
              <a16:creationId xmlns="" xmlns:a16="http://schemas.microsoft.com/office/drawing/2014/main" id="{00000000-0008-0000-0000-0000B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4" name="Text Box 75">
          <a:extLst>
            <a:ext uri="{FF2B5EF4-FFF2-40B4-BE49-F238E27FC236}">
              <a16:creationId xmlns="" xmlns:a16="http://schemas.microsoft.com/office/drawing/2014/main" id="{00000000-0008-0000-0000-0000B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5" name="Text Box 76">
          <a:extLst>
            <a:ext uri="{FF2B5EF4-FFF2-40B4-BE49-F238E27FC236}">
              <a16:creationId xmlns="" xmlns:a16="http://schemas.microsoft.com/office/drawing/2014/main" id="{00000000-0008-0000-0000-0000B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6" name="Text Box 77">
          <a:extLst>
            <a:ext uri="{FF2B5EF4-FFF2-40B4-BE49-F238E27FC236}">
              <a16:creationId xmlns="" xmlns:a16="http://schemas.microsoft.com/office/drawing/2014/main" id="{00000000-0008-0000-0000-0000B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7" name="Text Box 78">
          <a:extLst>
            <a:ext uri="{FF2B5EF4-FFF2-40B4-BE49-F238E27FC236}">
              <a16:creationId xmlns="" xmlns:a16="http://schemas.microsoft.com/office/drawing/2014/main" id="{00000000-0008-0000-0000-0000B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8" name="Text Box 79">
          <a:extLst>
            <a:ext uri="{FF2B5EF4-FFF2-40B4-BE49-F238E27FC236}">
              <a16:creationId xmlns="" xmlns:a16="http://schemas.microsoft.com/office/drawing/2014/main" id="{00000000-0008-0000-0000-0000C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9" name="Text Box 80">
          <a:extLst>
            <a:ext uri="{FF2B5EF4-FFF2-40B4-BE49-F238E27FC236}">
              <a16:creationId xmlns="" xmlns:a16="http://schemas.microsoft.com/office/drawing/2014/main" id="{00000000-0008-0000-0000-0000C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30" name="Text Box 81">
          <a:extLst>
            <a:ext uri="{FF2B5EF4-FFF2-40B4-BE49-F238E27FC236}">
              <a16:creationId xmlns="" xmlns:a16="http://schemas.microsoft.com/office/drawing/2014/main" id="{00000000-0008-0000-0000-0000C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1" name="Text Box 3079">
          <a:extLst>
            <a:ext uri="{FF2B5EF4-FFF2-40B4-BE49-F238E27FC236}">
              <a16:creationId xmlns="" xmlns:a16="http://schemas.microsoft.com/office/drawing/2014/main" id="{00000000-0008-0000-0000-0000C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2" name="Text Box 3080">
          <a:extLst>
            <a:ext uri="{FF2B5EF4-FFF2-40B4-BE49-F238E27FC236}">
              <a16:creationId xmlns="" xmlns:a16="http://schemas.microsoft.com/office/drawing/2014/main" id="{00000000-0008-0000-0000-0000C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3" name="Text Box 3081">
          <a:extLst>
            <a:ext uri="{FF2B5EF4-FFF2-40B4-BE49-F238E27FC236}">
              <a16:creationId xmlns="" xmlns:a16="http://schemas.microsoft.com/office/drawing/2014/main" id="{00000000-0008-0000-0000-0000C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4" name="Text Box 3082">
          <a:extLst>
            <a:ext uri="{FF2B5EF4-FFF2-40B4-BE49-F238E27FC236}">
              <a16:creationId xmlns="" xmlns:a16="http://schemas.microsoft.com/office/drawing/2014/main" id="{00000000-0008-0000-0000-0000C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5" name="Text Box 3083">
          <a:extLst>
            <a:ext uri="{FF2B5EF4-FFF2-40B4-BE49-F238E27FC236}">
              <a16:creationId xmlns="" xmlns:a16="http://schemas.microsoft.com/office/drawing/2014/main" id="{00000000-0008-0000-0000-0000C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6" name="Text Box 3084">
          <a:extLst>
            <a:ext uri="{FF2B5EF4-FFF2-40B4-BE49-F238E27FC236}">
              <a16:creationId xmlns="" xmlns:a16="http://schemas.microsoft.com/office/drawing/2014/main" id="{00000000-0008-0000-0000-0000C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7" name="Text Box 3085">
          <a:extLst>
            <a:ext uri="{FF2B5EF4-FFF2-40B4-BE49-F238E27FC236}">
              <a16:creationId xmlns="" xmlns:a16="http://schemas.microsoft.com/office/drawing/2014/main" id="{00000000-0008-0000-0000-0000C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8" name="Text Box 3086">
          <a:extLst>
            <a:ext uri="{FF2B5EF4-FFF2-40B4-BE49-F238E27FC236}">
              <a16:creationId xmlns="" xmlns:a16="http://schemas.microsoft.com/office/drawing/2014/main" id="{00000000-0008-0000-0000-0000C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9" name="Text Box 3087">
          <a:extLst>
            <a:ext uri="{FF2B5EF4-FFF2-40B4-BE49-F238E27FC236}">
              <a16:creationId xmlns="" xmlns:a16="http://schemas.microsoft.com/office/drawing/2014/main" id="{00000000-0008-0000-0000-0000C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0" name="Text Box 3088">
          <a:extLst>
            <a:ext uri="{FF2B5EF4-FFF2-40B4-BE49-F238E27FC236}">
              <a16:creationId xmlns="" xmlns:a16="http://schemas.microsoft.com/office/drawing/2014/main" id="{00000000-0008-0000-0000-0000C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1" name="Text Box 3089">
          <a:extLst>
            <a:ext uri="{FF2B5EF4-FFF2-40B4-BE49-F238E27FC236}">
              <a16:creationId xmlns="" xmlns:a16="http://schemas.microsoft.com/office/drawing/2014/main" id="{00000000-0008-0000-0000-0000C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2" name="Text Box 3090">
          <a:extLst>
            <a:ext uri="{FF2B5EF4-FFF2-40B4-BE49-F238E27FC236}">
              <a16:creationId xmlns="" xmlns:a16="http://schemas.microsoft.com/office/drawing/2014/main" id="{00000000-0008-0000-0000-0000C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3" name="Text Box 3091">
          <a:extLst>
            <a:ext uri="{FF2B5EF4-FFF2-40B4-BE49-F238E27FC236}">
              <a16:creationId xmlns="" xmlns:a16="http://schemas.microsoft.com/office/drawing/2014/main" id="{00000000-0008-0000-0000-0000C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4" name="Text Box 3092">
          <a:extLst>
            <a:ext uri="{FF2B5EF4-FFF2-40B4-BE49-F238E27FC236}">
              <a16:creationId xmlns="" xmlns:a16="http://schemas.microsoft.com/office/drawing/2014/main" id="{00000000-0008-0000-0000-0000D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5" name="Text Box 3093">
          <a:extLst>
            <a:ext uri="{FF2B5EF4-FFF2-40B4-BE49-F238E27FC236}">
              <a16:creationId xmlns="" xmlns:a16="http://schemas.microsoft.com/office/drawing/2014/main" id="{00000000-0008-0000-0000-0000D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6" name="Text Box 3094">
          <a:extLst>
            <a:ext uri="{FF2B5EF4-FFF2-40B4-BE49-F238E27FC236}">
              <a16:creationId xmlns="" xmlns:a16="http://schemas.microsoft.com/office/drawing/2014/main" id="{00000000-0008-0000-0000-0000D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7" name="Text Box 3095">
          <a:extLst>
            <a:ext uri="{FF2B5EF4-FFF2-40B4-BE49-F238E27FC236}">
              <a16:creationId xmlns="" xmlns:a16="http://schemas.microsoft.com/office/drawing/2014/main" id="{00000000-0008-0000-0000-0000D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8" name="Text Box 3096">
          <a:extLst>
            <a:ext uri="{FF2B5EF4-FFF2-40B4-BE49-F238E27FC236}">
              <a16:creationId xmlns="" xmlns:a16="http://schemas.microsoft.com/office/drawing/2014/main" id="{00000000-0008-0000-0000-0000D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9" name="Text Box 3097">
          <a:extLst>
            <a:ext uri="{FF2B5EF4-FFF2-40B4-BE49-F238E27FC236}">
              <a16:creationId xmlns="" xmlns:a16="http://schemas.microsoft.com/office/drawing/2014/main" id="{00000000-0008-0000-0000-0000D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0" name="Text Box 3098">
          <a:extLst>
            <a:ext uri="{FF2B5EF4-FFF2-40B4-BE49-F238E27FC236}">
              <a16:creationId xmlns="" xmlns:a16="http://schemas.microsoft.com/office/drawing/2014/main" id="{00000000-0008-0000-0000-0000D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1" name="Text Box 3099">
          <a:extLst>
            <a:ext uri="{FF2B5EF4-FFF2-40B4-BE49-F238E27FC236}">
              <a16:creationId xmlns="" xmlns:a16="http://schemas.microsoft.com/office/drawing/2014/main" id="{00000000-0008-0000-0000-0000D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2" name="Text Box 3100">
          <a:extLst>
            <a:ext uri="{FF2B5EF4-FFF2-40B4-BE49-F238E27FC236}">
              <a16:creationId xmlns="" xmlns:a16="http://schemas.microsoft.com/office/drawing/2014/main" id="{00000000-0008-0000-0000-0000D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3" name="Text Box 3101">
          <a:extLst>
            <a:ext uri="{FF2B5EF4-FFF2-40B4-BE49-F238E27FC236}">
              <a16:creationId xmlns="" xmlns:a16="http://schemas.microsoft.com/office/drawing/2014/main" id="{00000000-0008-0000-0000-0000D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154" name="Text Box 3102">
          <a:extLst>
            <a:ext uri="{FF2B5EF4-FFF2-40B4-BE49-F238E27FC236}">
              <a16:creationId xmlns="" xmlns:a16="http://schemas.microsoft.com/office/drawing/2014/main" id="{00000000-0008-0000-0000-0000D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5" name="Text Box 59">
          <a:extLst>
            <a:ext uri="{FF2B5EF4-FFF2-40B4-BE49-F238E27FC236}">
              <a16:creationId xmlns="" xmlns:a16="http://schemas.microsoft.com/office/drawing/2014/main" id="{00000000-0008-0000-0000-0000D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6" name="Text Box 60">
          <a:extLst>
            <a:ext uri="{FF2B5EF4-FFF2-40B4-BE49-F238E27FC236}">
              <a16:creationId xmlns="" xmlns:a16="http://schemas.microsoft.com/office/drawing/2014/main" id="{00000000-0008-0000-0000-0000D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7" name="Text Box 61">
          <a:extLst>
            <a:ext uri="{FF2B5EF4-FFF2-40B4-BE49-F238E27FC236}">
              <a16:creationId xmlns="" xmlns:a16="http://schemas.microsoft.com/office/drawing/2014/main" id="{00000000-0008-0000-0000-0000D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8" name="Text Box 62">
          <a:extLst>
            <a:ext uri="{FF2B5EF4-FFF2-40B4-BE49-F238E27FC236}">
              <a16:creationId xmlns="" xmlns:a16="http://schemas.microsoft.com/office/drawing/2014/main" id="{00000000-0008-0000-0000-0000D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9" name="Text Box 63">
          <a:extLst>
            <a:ext uri="{FF2B5EF4-FFF2-40B4-BE49-F238E27FC236}">
              <a16:creationId xmlns="" xmlns:a16="http://schemas.microsoft.com/office/drawing/2014/main" id="{00000000-0008-0000-0000-0000D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0" name="Text Box 64">
          <a:extLst>
            <a:ext uri="{FF2B5EF4-FFF2-40B4-BE49-F238E27FC236}">
              <a16:creationId xmlns="" xmlns:a16="http://schemas.microsoft.com/office/drawing/2014/main" id="{00000000-0008-0000-0000-0000E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1" name="Text Box 65">
          <a:extLst>
            <a:ext uri="{FF2B5EF4-FFF2-40B4-BE49-F238E27FC236}">
              <a16:creationId xmlns="" xmlns:a16="http://schemas.microsoft.com/office/drawing/2014/main" id="{00000000-0008-0000-0000-0000E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2" name="Text Box 66">
          <a:extLst>
            <a:ext uri="{FF2B5EF4-FFF2-40B4-BE49-F238E27FC236}">
              <a16:creationId xmlns="" xmlns:a16="http://schemas.microsoft.com/office/drawing/2014/main" id="{00000000-0008-0000-0000-0000E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3" name="Text Box 67">
          <a:extLst>
            <a:ext uri="{FF2B5EF4-FFF2-40B4-BE49-F238E27FC236}">
              <a16:creationId xmlns="" xmlns:a16="http://schemas.microsoft.com/office/drawing/2014/main" id="{00000000-0008-0000-0000-0000E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4" name="Text Box 68">
          <a:extLst>
            <a:ext uri="{FF2B5EF4-FFF2-40B4-BE49-F238E27FC236}">
              <a16:creationId xmlns="" xmlns:a16="http://schemas.microsoft.com/office/drawing/2014/main" id="{00000000-0008-0000-0000-0000E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5" name="Text Box 69">
          <a:extLst>
            <a:ext uri="{FF2B5EF4-FFF2-40B4-BE49-F238E27FC236}">
              <a16:creationId xmlns="" xmlns:a16="http://schemas.microsoft.com/office/drawing/2014/main" id="{00000000-0008-0000-0000-0000E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6" name="Text Box 70">
          <a:extLst>
            <a:ext uri="{FF2B5EF4-FFF2-40B4-BE49-F238E27FC236}">
              <a16:creationId xmlns="" xmlns:a16="http://schemas.microsoft.com/office/drawing/2014/main" id="{00000000-0008-0000-0000-0000E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7" name="Text Box 71">
          <a:extLst>
            <a:ext uri="{FF2B5EF4-FFF2-40B4-BE49-F238E27FC236}">
              <a16:creationId xmlns="" xmlns:a16="http://schemas.microsoft.com/office/drawing/2014/main" id="{00000000-0008-0000-0000-0000E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8" name="Text Box 72">
          <a:extLst>
            <a:ext uri="{FF2B5EF4-FFF2-40B4-BE49-F238E27FC236}">
              <a16:creationId xmlns="" xmlns:a16="http://schemas.microsoft.com/office/drawing/2014/main" id="{00000000-0008-0000-0000-0000E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9" name="Text Box 73">
          <a:extLst>
            <a:ext uri="{FF2B5EF4-FFF2-40B4-BE49-F238E27FC236}">
              <a16:creationId xmlns="" xmlns:a16="http://schemas.microsoft.com/office/drawing/2014/main" id="{00000000-0008-0000-0000-0000E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0" name="Text Box 74">
          <a:extLst>
            <a:ext uri="{FF2B5EF4-FFF2-40B4-BE49-F238E27FC236}">
              <a16:creationId xmlns="" xmlns:a16="http://schemas.microsoft.com/office/drawing/2014/main" id="{00000000-0008-0000-0000-0000E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1" name="Text Box 75">
          <a:extLst>
            <a:ext uri="{FF2B5EF4-FFF2-40B4-BE49-F238E27FC236}">
              <a16:creationId xmlns="" xmlns:a16="http://schemas.microsoft.com/office/drawing/2014/main" id="{00000000-0008-0000-0000-0000E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2" name="Text Box 76">
          <a:extLst>
            <a:ext uri="{FF2B5EF4-FFF2-40B4-BE49-F238E27FC236}">
              <a16:creationId xmlns="" xmlns:a16="http://schemas.microsoft.com/office/drawing/2014/main" id="{00000000-0008-0000-0000-0000E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3" name="Text Box 77">
          <a:extLst>
            <a:ext uri="{FF2B5EF4-FFF2-40B4-BE49-F238E27FC236}">
              <a16:creationId xmlns="" xmlns:a16="http://schemas.microsoft.com/office/drawing/2014/main" id="{00000000-0008-0000-0000-0000E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4" name="Text Box 78">
          <a:extLst>
            <a:ext uri="{FF2B5EF4-FFF2-40B4-BE49-F238E27FC236}">
              <a16:creationId xmlns="" xmlns:a16="http://schemas.microsoft.com/office/drawing/2014/main" id="{00000000-0008-0000-0000-0000E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5" name="Text Box 79">
          <a:extLst>
            <a:ext uri="{FF2B5EF4-FFF2-40B4-BE49-F238E27FC236}">
              <a16:creationId xmlns="" xmlns:a16="http://schemas.microsoft.com/office/drawing/2014/main" id="{00000000-0008-0000-0000-0000E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6" name="Text Box 80">
          <a:extLst>
            <a:ext uri="{FF2B5EF4-FFF2-40B4-BE49-F238E27FC236}">
              <a16:creationId xmlns="" xmlns:a16="http://schemas.microsoft.com/office/drawing/2014/main" id="{00000000-0008-0000-0000-0000F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7" name="Text Box 81">
          <a:extLst>
            <a:ext uri="{FF2B5EF4-FFF2-40B4-BE49-F238E27FC236}">
              <a16:creationId xmlns="" xmlns:a16="http://schemas.microsoft.com/office/drawing/2014/main" id="{00000000-0008-0000-0000-0000F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178" name="Text Box 82">
          <a:extLst>
            <a:ext uri="{FF2B5EF4-FFF2-40B4-BE49-F238E27FC236}">
              <a16:creationId xmlns="" xmlns:a16="http://schemas.microsoft.com/office/drawing/2014/main" id="{00000000-0008-0000-0000-0000F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79" name="Text Box 3079">
          <a:extLst>
            <a:ext uri="{FF2B5EF4-FFF2-40B4-BE49-F238E27FC236}">
              <a16:creationId xmlns="" xmlns:a16="http://schemas.microsoft.com/office/drawing/2014/main" id="{00000000-0008-0000-0000-0000F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0" name="Text Box 3080">
          <a:extLst>
            <a:ext uri="{FF2B5EF4-FFF2-40B4-BE49-F238E27FC236}">
              <a16:creationId xmlns="" xmlns:a16="http://schemas.microsoft.com/office/drawing/2014/main" id="{00000000-0008-0000-0000-0000F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1" name="Text Box 3081">
          <a:extLst>
            <a:ext uri="{FF2B5EF4-FFF2-40B4-BE49-F238E27FC236}">
              <a16:creationId xmlns="" xmlns:a16="http://schemas.microsoft.com/office/drawing/2014/main" id="{00000000-0008-0000-0000-0000F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2" name="Text Box 3082">
          <a:extLst>
            <a:ext uri="{FF2B5EF4-FFF2-40B4-BE49-F238E27FC236}">
              <a16:creationId xmlns="" xmlns:a16="http://schemas.microsoft.com/office/drawing/2014/main" id="{00000000-0008-0000-0000-0000F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3" name="Text Box 3083">
          <a:extLst>
            <a:ext uri="{FF2B5EF4-FFF2-40B4-BE49-F238E27FC236}">
              <a16:creationId xmlns="" xmlns:a16="http://schemas.microsoft.com/office/drawing/2014/main" id="{00000000-0008-0000-0000-0000F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4" name="Text Box 3084">
          <a:extLst>
            <a:ext uri="{FF2B5EF4-FFF2-40B4-BE49-F238E27FC236}">
              <a16:creationId xmlns="" xmlns:a16="http://schemas.microsoft.com/office/drawing/2014/main" id="{00000000-0008-0000-0000-0000F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5" name="Text Box 3085">
          <a:extLst>
            <a:ext uri="{FF2B5EF4-FFF2-40B4-BE49-F238E27FC236}">
              <a16:creationId xmlns="" xmlns:a16="http://schemas.microsoft.com/office/drawing/2014/main" id="{00000000-0008-0000-0000-0000F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6" name="Text Box 3086">
          <a:extLst>
            <a:ext uri="{FF2B5EF4-FFF2-40B4-BE49-F238E27FC236}">
              <a16:creationId xmlns="" xmlns:a16="http://schemas.microsoft.com/office/drawing/2014/main" id="{00000000-0008-0000-0000-0000F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7" name="Text Box 3087">
          <a:extLst>
            <a:ext uri="{FF2B5EF4-FFF2-40B4-BE49-F238E27FC236}">
              <a16:creationId xmlns="" xmlns:a16="http://schemas.microsoft.com/office/drawing/2014/main" id="{00000000-0008-0000-0000-0000F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8" name="Text Box 3088">
          <a:extLst>
            <a:ext uri="{FF2B5EF4-FFF2-40B4-BE49-F238E27FC236}">
              <a16:creationId xmlns="" xmlns:a16="http://schemas.microsoft.com/office/drawing/2014/main" id="{00000000-0008-0000-0000-0000F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9" name="Text Box 3089">
          <a:extLst>
            <a:ext uri="{FF2B5EF4-FFF2-40B4-BE49-F238E27FC236}">
              <a16:creationId xmlns="" xmlns:a16="http://schemas.microsoft.com/office/drawing/2014/main" id="{00000000-0008-0000-0000-0000F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0" name="Text Box 3090">
          <a:extLst>
            <a:ext uri="{FF2B5EF4-FFF2-40B4-BE49-F238E27FC236}">
              <a16:creationId xmlns="" xmlns:a16="http://schemas.microsoft.com/office/drawing/2014/main" id="{00000000-0008-0000-0000-0000F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1" name="Text Box 3091">
          <a:extLst>
            <a:ext uri="{FF2B5EF4-FFF2-40B4-BE49-F238E27FC236}">
              <a16:creationId xmlns="" xmlns:a16="http://schemas.microsoft.com/office/drawing/2014/main" id="{00000000-0008-0000-0000-0000F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2" name="Text Box 3092">
          <a:extLst>
            <a:ext uri="{FF2B5EF4-FFF2-40B4-BE49-F238E27FC236}">
              <a16:creationId xmlns="" xmlns:a16="http://schemas.microsoft.com/office/drawing/2014/main" id="{00000000-0008-0000-0000-00000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3" name="Text Box 3093">
          <a:extLst>
            <a:ext uri="{FF2B5EF4-FFF2-40B4-BE49-F238E27FC236}">
              <a16:creationId xmlns="" xmlns:a16="http://schemas.microsoft.com/office/drawing/2014/main" id="{00000000-0008-0000-0000-00000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4" name="Text Box 3094">
          <a:extLst>
            <a:ext uri="{FF2B5EF4-FFF2-40B4-BE49-F238E27FC236}">
              <a16:creationId xmlns="" xmlns:a16="http://schemas.microsoft.com/office/drawing/2014/main" id="{00000000-0008-0000-0000-00000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5" name="Text Box 3095">
          <a:extLst>
            <a:ext uri="{FF2B5EF4-FFF2-40B4-BE49-F238E27FC236}">
              <a16:creationId xmlns="" xmlns:a16="http://schemas.microsoft.com/office/drawing/2014/main" id="{00000000-0008-0000-0000-00000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6" name="Text Box 3096">
          <a:extLst>
            <a:ext uri="{FF2B5EF4-FFF2-40B4-BE49-F238E27FC236}">
              <a16:creationId xmlns="" xmlns:a16="http://schemas.microsoft.com/office/drawing/2014/main" id="{00000000-0008-0000-0000-00000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7" name="Text Box 3097">
          <a:extLst>
            <a:ext uri="{FF2B5EF4-FFF2-40B4-BE49-F238E27FC236}">
              <a16:creationId xmlns="" xmlns:a16="http://schemas.microsoft.com/office/drawing/2014/main" id="{00000000-0008-0000-0000-00000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8" name="Text Box 3098">
          <a:extLst>
            <a:ext uri="{FF2B5EF4-FFF2-40B4-BE49-F238E27FC236}">
              <a16:creationId xmlns="" xmlns:a16="http://schemas.microsoft.com/office/drawing/2014/main" id="{00000000-0008-0000-0000-00000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9" name="Text Box 3099">
          <a:extLst>
            <a:ext uri="{FF2B5EF4-FFF2-40B4-BE49-F238E27FC236}">
              <a16:creationId xmlns="" xmlns:a16="http://schemas.microsoft.com/office/drawing/2014/main" id="{00000000-0008-0000-0000-00000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00" name="Text Box 3100">
          <a:extLst>
            <a:ext uri="{FF2B5EF4-FFF2-40B4-BE49-F238E27FC236}">
              <a16:creationId xmlns="" xmlns:a16="http://schemas.microsoft.com/office/drawing/2014/main" id="{00000000-0008-0000-0000-00000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01" name="Text Box 3101">
          <a:extLst>
            <a:ext uri="{FF2B5EF4-FFF2-40B4-BE49-F238E27FC236}">
              <a16:creationId xmlns="" xmlns:a16="http://schemas.microsoft.com/office/drawing/2014/main" id="{00000000-0008-0000-0000-00000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02" name="Text Box 3102">
          <a:extLst>
            <a:ext uri="{FF2B5EF4-FFF2-40B4-BE49-F238E27FC236}">
              <a16:creationId xmlns="" xmlns:a16="http://schemas.microsoft.com/office/drawing/2014/main" id="{00000000-0008-0000-0000-00000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3" name="Text Box 59">
          <a:extLst>
            <a:ext uri="{FF2B5EF4-FFF2-40B4-BE49-F238E27FC236}">
              <a16:creationId xmlns="" xmlns:a16="http://schemas.microsoft.com/office/drawing/2014/main" id="{00000000-0008-0000-0000-00000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4" name="Text Box 60">
          <a:extLst>
            <a:ext uri="{FF2B5EF4-FFF2-40B4-BE49-F238E27FC236}">
              <a16:creationId xmlns="" xmlns:a16="http://schemas.microsoft.com/office/drawing/2014/main" id="{00000000-0008-0000-0000-00000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5" name="Text Box 61">
          <a:extLst>
            <a:ext uri="{FF2B5EF4-FFF2-40B4-BE49-F238E27FC236}">
              <a16:creationId xmlns="" xmlns:a16="http://schemas.microsoft.com/office/drawing/2014/main" id="{00000000-0008-0000-0000-00000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6" name="Text Box 62">
          <a:extLst>
            <a:ext uri="{FF2B5EF4-FFF2-40B4-BE49-F238E27FC236}">
              <a16:creationId xmlns="" xmlns:a16="http://schemas.microsoft.com/office/drawing/2014/main" id="{00000000-0008-0000-0000-00000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7" name="Text Box 63">
          <a:extLst>
            <a:ext uri="{FF2B5EF4-FFF2-40B4-BE49-F238E27FC236}">
              <a16:creationId xmlns="" xmlns:a16="http://schemas.microsoft.com/office/drawing/2014/main" id="{00000000-0008-0000-0000-00000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8" name="Text Box 64">
          <a:extLst>
            <a:ext uri="{FF2B5EF4-FFF2-40B4-BE49-F238E27FC236}">
              <a16:creationId xmlns="" xmlns:a16="http://schemas.microsoft.com/office/drawing/2014/main" id="{00000000-0008-0000-0000-00001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9" name="Text Box 65">
          <a:extLst>
            <a:ext uri="{FF2B5EF4-FFF2-40B4-BE49-F238E27FC236}">
              <a16:creationId xmlns="" xmlns:a16="http://schemas.microsoft.com/office/drawing/2014/main" id="{00000000-0008-0000-0000-00001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0" name="Text Box 66">
          <a:extLst>
            <a:ext uri="{FF2B5EF4-FFF2-40B4-BE49-F238E27FC236}">
              <a16:creationId xmlns="" xmlns:a16="http://schemas.microsoft.com/office/drawing/2014/main" id="{00000000-0008-0000-0000-00001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1" name="Text Box 67">
          <a:extLst>
            <a:ext uri="{FF2B5EF4-FFF2-40B4-BE49-F238E27FC236}">
              <a16:creationId xmlns="" xmlns:a16="http://schemas.microsoft.com/office/drawing/2014/main" id="{00000000-0008-0000-0000-00001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2" name="Text Box 68">
          <a:extLst>
            <a:ext uri="{FF2B5EF4-FFF2-40B4-BE49-F238E27FC236}">
              <a16:creationId xmlns="" xmlns:a16="http://schemas.microsoft.com/office/drawing/2014/main" id="{00000000-0008-0000-0000-00001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3" name="Text Box 69">
          <a:extLst>
            <a:ext uri="{FF2B5EF4-FFF2-40B4-BE49-F238E27FC236}">
              <a16:creationId xmlns="" xmlns:a16="http://schemas.microsoft.com/office/drawing/2014/main" id="{00000000-0008-0000-0000-00001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4" name="Text Box 70">
          <a:extLst>
            <a:ext uri="{FF2B5EF4-FFF2-40B4-BE49-F238E27FC236}">
              <a16:creationId xmlns="" xmlns:a16="http://schemas.microsoft.com/office/drawing/2014/main" id="{00000000-0008-0000-0000-00001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5" name="Text Box 71">
          <a:extLst>
            <a:ext uri="{FF2B5EF4-FFF2-40B4-BE49-F238E27FC236}">
              <a16:creationId xmlns="" xmlns:a16="http://schemas.microsoft.com/office/drawing/2014/main" id="{00000000-0008-0000-0000-00001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6" name="Text Box 72">
          <a:extLst>
            <a:ext uri="{FF2B5EF4-FFF2-40B4-BE49-F238E27FC236}">
              <a16:creationId xmlns="" xmlns:a16="http://schemas.microsoft.com/office/drawing/2014/main" id="{00000000-0008-0000-0000-00001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7" name="Text Box 73">
          <a:extLst>
            <a:ext uri="{FF2B5EF4-FFF2-40B4-BE49-F238E27FC236}">
              <a16:creationId xmlns="" xmlns:a16="http://schemas.microsoft.com/office/drawing/2014/main" id="{00000000-0008-0000-0000-00001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8" name="Text Box 74">
          <a:extLst>
            <a:ext uri="{FF2B5EF4-FFF2-40B4-BE49-F238E27FC236}">
              <a16:creationId xmlns="" xmlns:a16="http://schemas.microsoft.com/office/drawing/2014/main" id="{00000000-0008-0000-0000-00001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9" name="Text Box 75">
          <a:extLst>
            <a:ext uri="{FF2B5EF4-FFF2-40B4-BE49-F238E27FC236}">
              <a16:creationId xmlns="" xmlns:a16="http://schemas.microsoft.com/office/drawing/2014/main" id="{00000000-0008-0000-0000-00001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0" name="Text Box 76">
          <a:extLst>
            <a:ext uri="{FF2B5EF4-FFF2-40B4-BE49-F238E27FC236}">
              <a16:creationId xmlns="" xmlns:a16="http://schemas.microsoft.com/office/drawing/2014/main" id="{00000000-0008-0000-0000-00001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1" name="Text Box 77">
          <a:extLst>
            <a:ext uri="{FF2B5EF4-FFF2-40B4-BE49-F238E27FC236}">
              <a16:creationId xmlns="" xmlns:a16="http://schemas.microsoft.com/office/drawing/2014/main" id="{00000000-0008-0000-0000-00001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2" name="Text Box 78">
          <a:extLst>
            <a:ext uri="{FF2B5EF4-FFF2-40B4-BE49-F238E27FC236}">
              <a16:creationId xmlns="" xmlns:a16="http://schemas.microsoft.com/office/drawing/2014/main" id="{00000000-0008-0000-0000-00001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3" name="Text Box 79">
          <a:extLst>
            <a:ext uri="{FF2B5EF4-FFF2-40B4-BE49-F238E27FC236}">
              <a16:creationId xmlns="" xmlns:a16="http://schemas.microsoft.com/office/drawing/2014/main" id="{00000000-0008-0000-0000-00001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4" name="Text Box 80">
          <a:extLst>
            <a:ext uri="{FF2B5EF4-FFF2-40B4-BE49-F238E27FC236}">
              <a16:creationId xmlns="" xmlns:a16="http://schemas.microsoft.com/office/drawing/2014/main" id="{00000000-0008-0000-0000-00002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5" name="Text Box 81">
          <a:extLst>
            <a:ext uri="{FF2B5EF4-FFF2-40B4-BE49-F238E27FC236}">
              <a16:creationId xmlns="" xmlns:a16="http://schemas.microsoft.com/office/drawing/2014/main" id="{00000000-0008-0000-0000-00002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6" name="Text Box 3079">
          <a:extLst>
            <a:ext uri="{FF2B5EF4-FFF2-40B4-BE49-F238E27FC236}">
              <a16:creationId xmlns="" xmlns:a16="http://schemas.microsoft.com/office/drawing/2014/main" id="{00000000-0008-0000-0000-00002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7" name="Text Box 3080">
          <a:extLst>
            <a:ext uri="{FF2B5EF4-FFF2-40B4-BE49-F238E27FC236}">
              <a16:creationId xmlns="" xmlns:a16="http://schemas.microsoft.com/office/drawing/2014/main" id="{00000000-0008-0000-0000-00002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8" name="Text Box 3081">
          <a:extLst>
            <a:ext uri="{FF2B5EF4-FFF2-40B4-BE49-F238E27FC236}">
              <a16:creationId xmlns="" xmlns:a16="http://schemas.microsoft.com/office/drawing/2014/main" id="{00000000-0008-0000-0000-00002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9" name="Text Box 3082">
          <a:extLst>
            <a:ext uri="{FF2B5EF4-FFF2-40B4-BE49-F238E27FC236}">
              <a16:creationId xmlns="" xmlns:a16="http://schemas.microsoft.com/office/drawing/2014/main" id="{00000000-0008-0000-0000-00002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0" name="Text Box 3083">
          <a:extLst>
            <a:ext uri="{FF2B5EF4-FFF2-40B4-BE49-F238E27FC236}">
              <a16:creationId xmlns="" xmlns:a16="http://schemas.microsoft.com/office/drawing/2014/main" id="{00000000-0008-0000-0000-00002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1" name="Text Box 3084">
          <a:extLst>
            <a:ext uri="{FF2B5EF4-FFF2-40B4-BE49-F238E27FC236}">
              <a16:creationId xmlns="" xmlns:a16="http://schemas.microsoft.com/office/drawing/2014/main" id="{00000000-0008-0000-0000-00002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2" name="Text Box 3085">
          <a:extLst>
            <a:ext uri="{FF2B5EF4-FFF2-40B4-BE49-F238E27FC236}">
              <a16:creationId xmlns="" xmlns:a16="http://schemas.microsoft.com/office/drawing/2014/main" id="{00000000-0008-0000-0000-00002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3" name="Text Box 3086">
          <a:extLst>
            <a:ext uri="{FF2B5EF4-FFF2-40B4-BE49-F238E27FC236}">
              <a16:creationId xmlns="" xmlns:a16="http://schemas.microsoft.com/office/drawing/2014/main" id="{00000000-0008-0000-0000-00002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4" name="Text Box 3087">
          <a:extLst>
            <a:ext uri="{FF2B5EF4-FFF2-40B4-BE49-F238E27FC236}">
              <a16:creationId xmlns="" xmlns:a16="http://schemas.microsoft.com/office/drawing/2014/main" id="{00000000-0008-0000-0000-00002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5" name="Text Box 3088">
          <a:extLst>
            <a:ext uri="{FF2B5EF4-FFF2-40B4-BE49-F238E27FC236}">
              <a16:creationId xmlns="" xmlns:a16="http://schemas.microsoft.com/office/drawing/2014/main" id="{00000000-0008-0000-0000-00002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6" name="Text Box 3089">
          <a:extLst>
            <a:ext uri="{FF2B5EF4-FFF2-40B4-BE49-F238E27FC236}">
              <a16:creationId xmlns="" xmlns:a16="http://schemas.microsoft.com/office/drawing/2014/main" id="{00000000-0008-0000-0000-00002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7" name="Text Box 3090">
          <a:extLst>
            <a:ext uri="{FF2B5EF4-FFF2-40B4-BE49-F238E27FC236}">
              <a16:creationId xmlns="" xmlns:a16="http://schemas.microsoft.com/office/drawing/2014/main" id="{00000000-0008-0000-0000-00002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8" name="Text Box 3091">
          <a:extLst>
            <a:ext uri="{FF2B5EF4-FFF2-40B4-BE49-F238E27FC236}">
              <a16:creationId xmlns="" xmlns:a16="http://schemas.microsoft.com/office/drawing/2014/main" id="{00000000-0008-0000-0000-00002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9" name="Text Box 3092">
          <a:extLst>
            <a:ext uri="{FF2B5EF4-FFF2-40B4-BE49-F238E27FC236}">
              <a16:creationId xmlns="" xmlns:a16="http://schemas.microsoft.com/office/drawing/2014/main" id="{00000000-0008-0000-0000-00002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0" name="Text Box 3093">
          <a:extLst>
            <a:ext uri="{FF2B5EF4-FFF2-40B4-BE49-F238E27FC236}">
              <a16:creationId xmlns="" xmlns:a16="http://schemas.microsoft.com/office/drawing/2014/main" id="{00000000-0008-0000-0000-00003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1" name="Text Box 3094">
          <a:extLst>
            <a:ext uri="{FF2B5EF4-FFF2-40B4-BE49-F238E27FC236}">
              <a16:creationId xmlns="" xmlns:a16="http://schemas.microsoft.com/office/drawing/2014/main" id="{00000000-0008-0000-0000-00003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2" name="Text Box 3095">
          <a:extLst>
            <a:ext uri="{FF2B5EF4-FFF2-40B4-BE49-F238E27FC236}">
              <a16:creationId xmlns="" xmlns:a16="http://schemas.microsoft.com/office/drawing/2014/main" id="{00000000-0008-0000-0000-00003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3" name="Text Box 3096">
          <a:extLst>
            <a:ext uri="{FF2B5EF4-FFF2-40B4-BE49-F238E27FC236}">
              <a16:creationId xmlns="" xmlns:a16="http://schemas.microsoft.com/office/drawing/2014/main" id="{00000000-0008-0000-0000-00003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4" name="Text Box 3097">
          <a:extLst>
            <a:ext uri="{FF2B5EF4-FFF2-40B4-BE49-F238E27FC236}">
              <a16:creationId xmlns="" xmlns:a16="http://schemas.microsoft.com/office/drawing/2014/main" id="{00000000-0008-0000-0000-00003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5" name="Text Box 3098">
          <a:extLst>
            <a:ext uri="{FF2B5EF4-FFF2-40B4-BE49-F238E27FC236}">
              <a16:creationId xmlns="" xmlns:a16="http://schemas.microsoft.com/office/drawing/2014/main" id="{00000000-0008-0000-0000-00003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6" name="Text Box 3099">
          <a:extLst>
            <a:ext uri="{FF2B5EF4-FFF2-40B4-BE49-F238E27FC236}">
              <a16:creationId xmlns="" xmlns:a16="http://schemas.microsoft.com/office/drawing/2014/main" id="{00000000-0008-0000-0000-00003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7" name="Text Box 3100">
          <a:extLst>
            <a:ext uri="{FF2B5EF4-FFF2-40B4-BE49-F238E27FC236}">
              <a16:creationId xmlns="" xmlns:a16="http://schemas.microsoft.com/office/drawing/2014/main" id="{00000000-0008-0000-0000-00003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8" name="Text Box 3101">
          <a:extLst>
            <a:ext uri="{FF2B5EF4-FFF2-40B4-BE49-F238E27FC236}">
              <a16:creationId xmlns="" xmlns:a16="http://schemas.microsoft.com/office/drawing/2014/main" id="{00000000-0008-0000-0000-00003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49" name="Text Box 3102">
          <a:extLst>
            <a:ext uri="{FF2B5EF4-FFF2-40B4-BE49-F238E27FC236}">
              <a16:creationId xmlns="" xmlns:a16="http://schemas.microsoft.com/office/drawing/2014/main" id="{00000000-0008-0000-0000-00003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0" name="Text Box 59">
          <a:extLst>
            <a:ext uri="{FF2B5EF4-FFF2-40B4-BE49-F238E27FC236}">
              <a16:creationId xmlns="" xmlns:a16="http://schemas.microsoft.com/office/drawing/2014/main" id="{00000000-0008-0000-0000-00003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1" name="Text Box 60">
          <a:extLst>
            <a:ext uri="{FF2B5EF4-FFF2-40B4-BE49-F238E27FC236}">
              <a16:creationId xmlns="" xmlns:a16="http://schemas.microsoft.com/office/drawing/2014/main" id="{00000000-0008-0000-0000-00003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2" name="Text Box 61">
          <a:extLst>
            <a:ext uri="{FF2B5EF4-FFF2-40B4-BE49-F238E27FC236}">
              <a16:creationId xmlns="" xmlns:a16="http://schemas.microsoft.com/office/drawing/2014/main" id="{00000000-0008-0000-0000-00003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3" name="Text Box 62">
          <a:extLst>
            <a:ext uri="{FF2B5EF4-FFF2-40B4-BE49-F238E27FC236}">
              <a16:creationId xmlns="" xmlns:a16="http://schemas.microsoft.com/office/drawing/2014/main" id="{00000000-0008-0000-0000-00003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4" name="Text Box 63">
          <a:extLst>
            <a:ext uri="{FF2B5EF4-FFF2-40B4-BE49-F238E27FC236}">
              <a16:creationId xmlns="" xmlns:a16="http://schemas.microsoft.com/office/drawing/2014/main" id="{00000000-0008-0000-0000-00003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5" name="Text Box 64">
          <a:extLst>
            <a:ext uri="{FF2B5EF4-FFF2-40B4-BE49-F238E27FC236}">
              <a16:creationId xmlns="" xmlns:a16="http://schemas.microsoft.com/office/drawing/2014/main" id="{00000000-0008-0000-0000-00003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6" name="Text Box 65">
          <a:extLst>
            <a:ext uri="{FF2B5EF4-FFF2-40B4-BE49-F238E27FC236}">
              <a16:creationId xmlns="" xmlns:a16="http://schemas.microsoft.com/office/drawing/2014/main" id="{00000000-0008-0000-0000-00004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7" name="Text Box 66">
          <a:extLst>
            <a:ext uri="{FF2B5EF4-FFF2-40B4-BE49-F238E27FC236}">
              <a16:creationId xmlns="" xmlns:a16="http://schemas.microsoft.com/office/drawing/2014/main" id="{00000000-0008-0000-0000-00004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8" name="Text Box 67">
          <a:extLst>
            <a:ext uri="{FF2B5EF4-FFF2-40B4-BE49-F238E27FC236}">
              <a16:creationId xmlns="" xmlns:a16="http://schemas.microsoft.com/office/drawing/2014/main" id="{00000000-0008-0000-0000-00004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9" name="Text Box 68">
          <a:extLst>
            <a:ext uri="{FF2B5EF4-FFF2-40B4-BE49-F238E27FC236}">
              <a16:creationId xmlns="" xmlns:a16="http://schemas.microsoft.com/office/drawing/2014/main" id="{00000000-0008-0000-0000-00004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0" name="Text Box 69">
          <a:extLst>
            <a:ext uri="{FF2B5EF4-FFF2-40B4-BE49-F238E27FC236}">
              <a16:creationId xmlns="" xmlns:a16="http://schemas.microsoft.com/office/drawing/2014/main" id="{00000000-0008-0000-0000-00004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1" name="Text Box 70">
          <a:extLst>
            <a:ext uri="{FF2B5EF4-FFF2-40B4-BE49-F238E27FC236}">
              <a16:creationId xmlns="" xmlns:a16="http://schemas.microsoft.com/office/drawing/2014/main" id="{00000000-0008-0000-0000-00004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2" name="Text Box 71">
          <a:extLst>
            <a:ext uri="{FF2B5EF4-FFF2-40B4-BE49-F238E27FC236}">
              <a16:creationId xmlns="" xmlns:a16="http://schemas.microsoft.com/office/drawing/2014/main" id="{00000000-0008-0000-0000-00004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3" name="Text Box 72">
          <a:extLst>
            <a:ext uri="{FF2B5EF4-FFF2-40B4-BE49-F238E27FC236}">
              <a16:creationId xmlns="" xmlns:a16="http://schemas.microsoft.com/office/drawing/2014/main" id="{00000000-0008-0000-0000-00004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4" name="Text Box 73">
          <a:extLst>
            <a:ext uri="{FF2B5EF4-FFF2-40B4-BE49-F238E27FC236}">
              <a16:creationId xmlns="" xmlns:a16="http://schemas.microsoft.com/office/drawing/2014/main" id="{00000000-0008-0000-0000-00004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5" name="Text Box 74">
          <a:extLst>
            <a:ext uri="{FF2B5EF4-FFF2-40B4-BE49-F238E27FC236}">
              <a16:creationId xmlns="" xmlns:a16="http://schemas.microsoft.com/office/drawing/2014/main" id="{00000000-0008-0000-0000-00004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6" name="Text Box 75">
          <a:extLst>
            <a:ext uri="{FF2B5EF4-FFF2-40B4-BE49-F238E27FC236}">
              <a16:creationId xmlns="" xmlns:a16="http://schemas.microsoft.com/office/drawing/2014/main" id="{00000000-0008-0000-0000-00004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7" name="Text Box 76">
          <a:extLst>
            <a:ext uri="{FF2B5EF4-FFF2-40B4-BE49-F238E27FC236}">
              <a16:creationId xmlns="" xmlns:a16="http://schemas.microsoft.com/office/drawing/2014/main" id="{00000000-0008-0000-0000-00004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8" name="Text Box 77">
          <a:extLst>
            <a:ext uri="{FF2B5EF4-FFF2-40B4-BE49-F238E27FC236}">
              <a16:creationId xmlns="" xmlns:a16="http://schemas.microsoft.com/office/drawing/2014/main" id="{00000000-0008-0000-0000-00004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9" name="Text Box 78">
          <a:extLst>
            <a:ext uri="{FF2B5EF4-FFF2-40B4-BE49-F238E27FC236}">
              <a16:creationId xmlns="" xmlns:a16="http://schemas.microsoft.com/office/drawing/2014/main" id="{00000000-0008-0000-0000-00004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0" name="Text Box 79">
          <a:extLst>
            <a:ext uri="{FF2B5EF4-FFF2-40B4-BE49-F238E27FC236}">
              <a16:creationId xmlns="" xmlns:a16="http://schemas.microsoft.com/office/drawing/2014/main" id="{00000000-0008-0000-0000-00004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1" name="Text Box 80">
          <a:extLst>
            <a:ext uri="{FF2B5EF4-FFF2-40B4-BE49-F238E27FC236}">
              <a16:creationId xmlns="" xmlns:a16="http://schemas.microsoft.com/office/drawing/2014/main" id="{00000000-0008-0000-0000-00004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2" name="Text Box 81">
          <a:extLst>
            <a:ext uri="{FF2B5EF4-FFF2-40B4-BE49-F238E27FC236}">
              <a16:creationId xmlns="" xmlns:a16="http://schemas.microsoft.com/office/drawing/2014/main" id="{00000000-0008-0000-0000-00005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273" name="Text Box 82">
          <a:extLst>
            <a:ext uri="{FF2B5EF4-FFF2-40B4-BE49-F238E27FC236}">
              <a16:creationId xmlns="" xmlns:a16="http://schemas.microsoft.com/office/drawing/2014/main" id="{00000000-0008-0000-0000-00005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4" name="Text Box 3079">
          <a:extLst>
            <a:ext uri="{FF2B5EF4-FFF2-40B4-BE49-F238E27FC236}">
              <a16:creationId xmlns="" xmlns:a16="http://schemas.microsoft.com/office/drawing/2014/main" id="{00000000-0008-0000-0000-00005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5" name="Text Box 3080">
          <a:extLst>
            <a:ext uri="{FF2B5EF4-FFF2-40B4-BE49-F238E27FC236}">
              <a16:creationId xmlns="" xmlns:a16="http://schemas.microsoft.com/office/drawing/2014/main" id="{00000000-0008-0000-0000-00005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6" name="Text Box 3081">
          <a:extLst>
            <a:ext uri="{FF2B5EF4-FFF2-40B4-BE49-F238E27FC236}">
              <a16:creationId xmlns="" xmlns:a16="http://schemas.microsoft.com/office/drawing/2014/main" id="{00000000-0008-0000-0000-00005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7" name="Text Box 3082">
          <a:extLst>
            <a:ext uri="{FF2B5EF4-FFF2-40B4-BE49-F238E27FC236}">
              <a16:creationId xmlns="" xmlns:a16="http://schemas.microsoft.com/office/drawing/2014/main" id="{00000000-0008-0000-0000-00005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8" name="Text Box 3083">
          <a:extLst>
            <a:ext uri="{FF2B5EF4-FFF2-40B4-BE49-F238E27FC236}">
              <a16:creationId xmlns="" xmlns:a16="http://schemas.microsoft.com/office/drawing/2014/main" id="{00000000-0008-0000-0000-00005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9" name="Text Box 3084">
          <a:extLst>
            <a:ext uri="{FF2B5EF4-FFF2-40B4-BE49-F238E27FC236}">
              <a16:creationId xmlns="" xmlns:a16="http://schemas.microsoft.com/office/drawing/2014/main" id="{00000000-0008-0000-0000-00005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0" name="Text Box 3085">
          <a:extLst>
            <a:ext uri="{FF2B5EF4-FFF2-40B4-BE49-F238E27FC236}">
              <a16:creationId xmlns="" xmlns:a16="http://schemas.microsoft.com/office/drawing/2014/main" id="{00000000-0008-0000-0000-00005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1" name="Text Box 3086">
          <a:extLst>
            <a:ext uri="{FF2B5EF4-FFF2-40B4-BE49-F238E27FC236}">
              <a16:creationId xmlns="" xmlns:a16="http://schemas.microsoft.com/office/drawing/2014/main" id="{00000000-0008-0000-0000-00005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2" name="Text Box 3087">
          <a:extLst>
            <a:ext uri="{FF2B5EF4-FFF2-40B4-BE49-F238E27FC236}">
              <a16:creationId xmlns="" xmlns:a16="http://schemas.microsoft.com/office/drawing/2014/main" id="{00000000-0008-0000-0000-00005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3" name="Text Box 3088">
          <a:extLst>
            <a:ext uri="{FF2B5EF4-FFF2-40B4-BE49-F238E27FC236}">
              <a16:creationId xmlns="" xmlns:a16="http://schemas.microsoft.com/office/drawing/2014/main" id="{00000000-0008-0000-0000-00005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4" name="Text Box 3089">
          <a:extLst>
            <a:ext uri="{FF2B5EF4-FFF2-40B4-BE49-F238E27FC236}">
              <a16:creationId xmlns="" xmlns:a16="http://schemas.microsoft.com/office/drawing/2014/main" id="{00000000-0008-0000-0000-00005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5" name="Text Box 3090">
          <a:extLst>
            <a:ext uri="{FF2B5EF4-FFF2-40B4-BE49-F238E27FC236}">
              <a16:creationId xmlns="" xmlns:a16="http://schemas.microsoft.com/office/drawing/2014/main" id="{00000000-0008-0000-0000-00005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6" name="Text Box 3091">
          <a:extLst>
            <a:ext uri="{FF2B5EF4-FFF2-40B4-BE49-F238E27FC236}">
              <a16:creationId xmlns="" xmlns:a16="http://schemas.microsoft.com/office/drawing/2014/main" id="{00000000-0008-0000-0000-00005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7" name="Text Box 3092">
          <a:extLst>
            <a:ext uri="{FF2B5EF4-FFF2-40B4-BE49-F238E27FC236}">
              <a16:creationId xmlns="" xmlns:a16="http://schemas.microsoft.com/office/drawing/2014/main" id="{00000000-0008-0000-0000-00005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8" name="Text Box 3093">
          <a:extLst>
            <a:ext uri="{FF2B5EF4-FFF2-40B4-BE49-F238E27FC236}">
              <a16:creationId xmlns="" xmlns:a16="http://schemas.microsoft.com/office/drawing/2014/main" id="{00000000-0008-0000-0000-00006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9" name="Text Box 3094">
          <a:extLst>
            <a:ext uri="{FF2B5EF4-FFF2-40B4-BE49-F238E27FC236}">
              <a16:creationId xmlns="" xmlns:a16="http://schemas.microsoft.com/office/drawing/2014/main" id="{00000000-0008-0000-0000-00006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0" name="Text Box 3095">
          <a:extLst>
            <a:ext uri="{FF2B5EF4-FFF2-40B4-BE49-F238E27FC236}">
              <a16:creationId xmlns="" xmlns:a16="http://schemas.microsoft.com/office/drawing/2014/main" id="{00000000-0008-0000-0000-00006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1" name="Text Box 3096">
          <a:extLst>
            <a:ext uri="{FF2B5EF4-FFF2-40B4-BE49-F238E27FC236}">
              <a16:creationId xmlns="" xmlns:a16="http://schemas.microsoft.com/office/drawing/2014/main" id="{00000000-0008-0000-0000-00006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2" name="Text Box 3097">
          <a:extLst>
            <a:ext uri="{FF2B5EF4-FFF2-40B4-BE49-F238E27FC236}">
              <a16:creationId xmlns="" xmlns:a16="http://schemas.microsoft.com/office/drawing/2014/main" id="{00000000-0008-0000-0000-00006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3" name="Text Box 3098">
          <a:extLst>
            <a:ext uri="{FF2B5EF4-FFF2-40B4-BE49-F238E27FC236}">
              <a16:creationId xmlns="" xmlns:a16="http://schemas.microsoft.com/office/drawing/2014/main" id="{00000000-0008-0000-0000-00006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4" name="Text Box 3099">
          <a:extLst>
            <a:ext uri="{FF2B5EF4-FFF2-40B4-BE49-F238E27FC236}">
              <a16:creationId xmlns="" xmlns:a16="http://schemas.microsoft.com/office/drawing/2014/main" id="{00000000-0008-0000-0000-00006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5" name="Text Box 3100">
          <a:extLst>
            <a:ext uri="{FF2B5EF4-FFF2-40B4-BE49-F238E27FC236}">
              <a16:creationId xmlns="" xmlns:a16="http://schemas.microsoft.com/office/drawing/2014/main" id="{00000000-0008-0000-0000-00006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6" name="Text Box 3101">
          <a:extLst>
            <a:ext uri="{FF2B5EF4-FFF2-40B4-BE49-F238E27FC236}">
              <a16:creationId xmlns="" xmlns:a16="http://schemas.microsoft.com/office/drawing/2014/main" id="{00000000-0008-0000-0000-00006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97" name="Text Box 3102">
          <a:extLst>
            <a:ext uri="{FF2B5EF4-FFF2-40B4-BE49-F238E27FC236}">
              <a16:creationId xmlns="" xmlns:a16="http://schemas.microsoft.com/office/drawing/2014/main" id="{00000000-0008-0000-0000-00006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98" name="Text Box 59">
          <a:extLst>
            <a:ext uri="{FF2B5EF4-FFF2-40B4-BE49-F238E27FC236}">
              <a16:creationId xmlns="" xmlns:a16="http://schemas.microsoft.com/office/drawing/2014/main" id="{00000000-0008-0000-0000-00006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99" name="Text Box 60">
          <a:extLst>
            <a:ext uri="{FF2B5EF4-FFF2-40B4-BE49-F238E27FC236}">
              <a16:creationId xmlns="" xmlns:a16="http://schemas.microsoft.com/office/drawing/2014/main" id="{00000000-0008-0000-0000-00006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0" name="Text Box 61">
          <a:extLst>
            <a:ext uri="{FF2B5EF4-FFF2-40B4-BE49-F238E27FC236}">
              <a16:creationId xmlns="" xmlns:a16="http://schemas.microsoft.com/office/drawing/2014/main" id="{00000000-0008-0000-0000-00006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1" name="Text Box 62">
          <a:extLst>
            <a:ext uri="{FF2B5EF4-FFF2-40B4-BE49-F238E27FC236}">
              <a16:creationId xmlns="" xmlns:a16="http://schemas.microsoft.com/office/drawing/2014/main" id="{00000000-0008-0000-0000-00006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2" name="Text Box 63">
          <a:extLst>
            <a:ext uri="{FF2B5EF4-FFF2-40B4-BE49-F238E27FC236}">
              <a16:creationId xmlns="" xmlns:a16="http://schemas.microsoft.com/office/drawing/2014/main" id="{00000000-0008-0000-0000-00006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3" name="Text Box 64">
          <a:extLst>
            <a:ext uri="{FF2B5EF4-FFF2-40B4-BE49-F238E27FC236}">
              <a16:creationId xmlns="" xmlns:a16="http://schemas.microsoft.com/office/drawing/2014/main" id="{00000000-0008-0000-0000-00006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4" name="Text Box 65">
          <a:extLst>
            <a:ext uri="{FF2B5EF4-FFF2-40B4-BE49-F238E27FC236}">
              <a16:creationId xmlns="" xmlns:a16="http://schemas.microsoft.com/office/drawing/2014/main" id="{00000000-0008-0000-0000-00007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5" name="Text Box 66">
          <a:extLst>
            <a:ext uri="{FF2B5EF4-FFF2-40B4-BE49-F238E27FC236}">
              <a16:creationId xmlns="" xmlns:a16="http://schemas.microsoft.com/office/drawing/2014/main" id="{00000000-0008-0000-0000-00007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6" name="Text Box 67">
          <a:extLst>
            <a:ext uri="{FF2B5EF4-FFF2-40B4-BE49-F238E27FC236}">
              <a16:creationId xmlns="" xmlns:a16="http://schemas.microsoft.com/office/drawing/2014/main" id="{00000000-0008-0000-0000-00007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7" name="Text Box 68">
          <a:extLst>
            <a:ext uri="{FF2B5EF4-FFF2-40B4-BE49-F238E27FC236}">
              <a16:creationId xmlns="" xmlns:a16="http://schemas.microsoft.com/office/drawing/2014/main" id="{00000000-0008-0000-0000-00007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8" name="Text Box 69">
          <a:extLst>
            <a:ext uri="{FF2B5EF4-FFF2-40B4-BE49-F238E27FC236}">
              <a16:creationId xmlns="" xmlns:a16="http://schemas.microsoft.com/office/drawing/2014/main" id="{00000000-0008-0000-0000-00007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9" name="Text Box 70">
          <a:extLst>
            <a:ext uri="{FF2B5EF4-FFF2-40B4-BE49-F238E27FC236}">
              <a16:creationId xmlns="" xmlns:a16="http://schemas.microsoft.com/office/drawing/2014/main" id="{00000000-0008-0000-0000-00007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0" name="Text Box 71">
          <a:extLst>
            <a:ext uri="{FF2B5EF4-FFF2-40B4-BE49-F238E27FC236}">
              <a16:creationId xmlns="" xmlns:a16="http://schemas.microsoft.com/office/drawing/2014/main" id="{00000000-0008-0000-0000-00007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1" name="Text Box 72">
          <a:extLst>
            <a:ext uri="{FF2B5EF4-FFF2-40B4-BE49-F238E27FC236}">
              <a16:creationId xmlns="" xmlns:a16="http://schemas.microsoft.com/office/drawing/2014/main" id="{00000000-0008-0000-0000-00007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2" name="Text Box 73">
          <a:extLst>
            <a:ext uri="{FF2B5EF4-FFF2-40B4-BE49-F238E27FC236}">
              <a16:creationId xmlns="" xmlns:a16="http://schemas.microsoft.com/office/drawing/2014/main" id="{00000000-0008-0000-0000-00007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3" name="Text Box 74">
          <a:extLst>
            <a:ext uri="{FF2B5EF4-FFF2-40B4-BE49-F238E27FC236}">
              <a16:creationId xmlns="" xmlns:a16="http://schemas.microsoft.com/office/drawing/2014/main" id="{00000000-0008-0000-0000-00007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4" name="Text Box 75">
          <a:extLst>
            <a:ext uri="{FF2B5EF4-FFF2-40B4-BE49-F238E27FC236}">
              <a16:creationId xmlns="" xmlns:a16="http://schemas.microsoft.com/office/drawing/2014/main" id="{00000000-0008-0000-0000-00007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5" name="Text Box 76">
          <a:extLst>
            <a:ext uri="{FF2B5EF4-FFF2-40B4-BE49-F238E27FC236}">
              <a16:creationId xmlns="" xmlns:a16="http://schemas.microsoft.com/office/drawing/2014/main" id="{00000000-0008-0000-0000-00007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6" name="Text Box 77">
          <a:extLst>
            <a:ext uri="{FF2B5EF4-FFF2-40B4-BE49-F238E27FC236}">
              <a16:creationId xmlns="" xmlns:a16="http://schemas.microsoft.com/office/drawing/2014/main" id="{00000000-0008-0000-0000-00007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7" name="Text Box 78">
          <a:extLst>
            <a:ext uri="{FF2B5EF4-FFF2-40B4-BE49-F238E27FC236}">
              <a16:creationId xmlns="" xmlns:a16="http://schemas.microsoft.com/office/drawing/2014/main" id="{00000000-0008-0000-0000-00007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8" name="Text Box 79">
          <a:extLst>
            <a:ext uri="{FF2B5EF4-FFF2-40B4-BE49-F238E27FC236}">
              <a16:creationId xmlns="" xmlns:a16="http://schemas.microsoft.com/office/drawing/2014/main" id="{00000000-0008-0000-0000-00007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9" name="Text Box 80">
          <a:extLst>
            <a:ext uri="{FF2B5EF4-FFF2-40B4-BE49-F238E27FC236}">
              <a16:creationId xmlns="" xmlns:a16="http://schemas.microsoft.com/office/drawing/2014/main" id="{00000000-0008-0000-0000-00007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20" name="Text Box 81">
          <a:extLst>
            <a:ext uri="{FF2B5EF4-FFF2-40B4-BE49-F238E27FC236}">
              <a16:creationId xmlns="" xmlns:a16="http://schemas.microsoft.com/office/drawing/2014/main" id="{00000000-0008-0000-0000-00008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1" name="Text Box 3079">
          <a:extLst>
            <a:ext uri="{FF2B5EF4-FFF2-40B4-BE49-F238E27FC236}">
              <a16:creationId xmlns="" xmlns:a16="http://schemas.microsoft.com/office/drawing/2014/main" id="{00000000-0008-0000-0000-00008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2" name="Text Box 3080">
          <a:extLst>
            <a:ext uri="{FF2B5EF4-FFF2-40B4-BE49-F238E27FC236}">
              <a16:creationId xmlns="" xmlns:a16="http://schemas.microsoft.com/office/drawing/2014/main" id="{00000000-0008-0000-0000-00008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3" name="Text Box 3081">
          <a:extLst>
            <a:ext uri="{FF2B5EF4-FFF2-40B4-BE49-F238E27FC236}">
              <a16:creationId xmlns="" xmlns:a16="http://schemas.microsoft.com/office/drawing/2014/main" id="{00000000-0008-0000-0000-00008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4" name="Text Box 3082">
          <a:extLst>
            <a:ext uri="{FF2B5EF4-FFF2-40B4-BE49-F238E27FC236}">
              <a16:creationId xmlns="" xmlns:a16="http://schemas.microsoft.com/office/drawing/2014/main" id="{00000000-0008-0000-0000-00008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5" name="Text Box 3083">
          <a:extLst>
            <a:ext uri="{FF2B5EF4-FFF2-40B4-BE49-F238E27FC236}">
              <a16:creationId xmlns="" xmlns:a16="http://schemas.microsoft.com/office/drawing/2014/main" id="{00000000-0008-0000-0000-00008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6" name="Text Box 3084">
          <a:extLst>
            <a:ext uri="{FF2B5EF4-FFF2-40B4-BE49-F238E27FC236}">
              <a16:creationId xmlns="" xmlns:a16="http://schemas.microsoft.com/office/drawing/2014/main" id="{00000000-0008-0000-0000-00008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7" name="Text Box 3085">
          <a:extLst>
            <a:ext uri="{FF2B5EF4-FFF2-40B4-BE49-F238E27FC236}">
              <a16:creationId xmlns="" xmlns:a16="http://schemas.microsoft.com/office/drawing/2014/main" id="{00000000-0008-0000-0000-00008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8" name="Text Box 3086">
          <a:extLst>
            <a:ext uri="{FF2B5EF4-FFF2-40B4-BE49-F238E27FC236}">
              <a16:creationId xmlns="" xmlns:a16="http://schemas.microsoft.com/office/drawing/2014/main" id="{00000000-0008-0000-0000-00008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9" name="Text Box 3087">
          <a:extLst>
            <a:ext uri="{FF2B5EF4-FFF2-40B4-BE49-F238E27FC236}">
              <a16:creationId xmlns="" xmlns:a16="http://schemas.microsoft.com/office/drawing/2014/main" id="{00000000-0008-0000-0000-00008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0" name="Text Box 3088">
          <a:extLst>
            <a:ext uri="{FF2B5EF4-FFF2-40B4-BE49-F238E27FC236}">
              <a16:creationId xmlns="" xmlns:a16="http://schemas.microsoft.com/office/drawing/2014/main" id="{00000000-0008-0000-0000-00008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1" name="Text Box 3089">
          <a:extLst>
            <a:ext uri="{FF2B5EF4-FFF2-40B4-BE49-F238E27FC236}">
              <a16:creationId xmlns="" xmlns:a16="http://schemas.microsoft.com/office/drawing/2014/main" id="{00000000-0008-0000-0000-00008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2" name="Text Box 3090">
          <a:extLst>
            <a:ext uri="{FF2B5EF4-FFF2-40B4-BE49-F238E27FC236}">
              <a16:creationId xmlns="" xmlns:a16="http://schemas.microsoft.com/office/drawing/2014/main" id="{00000000-0008-0000-0000-00008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3" name="Text Box 3091">
          <a:extLst>
            <a:ext uri="{FF2B5EF4-FFF2-40B4-BE49-F238E27FC236}">
              <a16:creationId xmlns="" xmlns:a16="http://schemas.microsoft.com/office/drawing/2014/main" id="{00000000-0008-0000-0000-00008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4" name="Text Box 3092">
          <a:extLst>
            <a:ext uri="{FF2B5EF4-FFF2-40B4-BE49-F238E27FC236}">
              <a16:creationId xmlns="" xmlns:a16="http://schemas.microsoft.com/office/drawing/2014/main" id="{00000000-0008-0000-0000-00008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5" name="Text Box 3093">
          <a:extLst>
            <a:ext uri="{FF2B5EF4-FFF2-40B4-BE49-F238E27FC236}">
              <a16:creationId xmlns="" xmlns:a16="http://schemas.microsoft.com/office/drawing/2014/main" id="{00000000-0008-0000-0000-00008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6" name="Text Box 3094">
          <a:extLst>
            <a:ext uri="{FF2B5EF4-FFF2-40B4-BE49-F238E27FC236}">
              <a16:creationId xmlns="" xmlns:a16="http://schemas.microsoft.com/office/drawing/2014/main" id="{00000000-0008-0000-0000-00009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7" name="Text Box 3095">
          <a:extLst>
            <a:ext uri="{FF2B5EF4-FFF2-40B4-BE49-F238E27FC236}">
              <a16:creationId xmlns="" xmlns:a16="http://schemas.microsoft.com/office/drawing/2014/main" id="{00000000-0008-0000-0000-00009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8" name="Text Box 3096">
          <a:extLst>
            <a:ext uri="{FF2B5EF4-FFF2-40B4-BE49-F238E27FC236}">
              <a16:creationId xmlns="" xmlns:a16="http://schemas.microsoft.com/office/drawing/2014/main" id="{00000000-0008-0000-0000-00009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9" name="Text Box 3097">
          <a:extLst>
            <a:ext uri="{FF2B5EF4-FFF2-40B4-BE49-F238E27FC236}">
              <a16:creationId xmlns="" xmlns:a16="http://schemas.microsoft.com/office/drawing/2014/main" id="{00000000-0008-0000-0000-00009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0" name="Text Box 3098">
          <a:extLst>
            <a:ext uri="{FF2B5EF4-FFF2-40B4-BE49-F238E27FC236}">
              <a16:creationId xmlns="" xmlns:a16="http://schemas.microsoft.com/office/drawing/2014/main" id="{00000000-0008-0000-0000-00009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1" name="Text Box 3099">
          <a:extLst>
            <a:ext uri="{FF2B5EF4-FFF2-40B4-BE49-F238E27FC236}">
              <a16:creationId xmlns="" xmlns:a16="http://schemas.microsoft.com/office/drawing/2014/main" id="{00000000-0008-0000-0000-00009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2" name="Text Box 3100">
          <a:extLst>
            <a:ext uri="{FF2B5EF4-FFF2-40B4-BE49-F238E27FC236}">
              <a16:creationId xmlns="" xmlns:a16="http://schemas.microsoft.com/office/drawing/2014/main" id="{00000000-0008-0000-0000-00009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3" name="Text Box 3101">
          <a:extLst>
            <a:ext uri="{FF2B5EF4-FFF2-40B4-BE49-F238E27FC236}">
              <a16:creationId xmlns="" xmlns:a16="http://schemas.microsoft.com/office/drawing/2014/main" id="{00000000-0008-0000-0000-00009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344" name="Text Box 3102">
          <a:extLst>
            <a:ext uri="{FF2B5EF4-FFF2-40B4-BE49-F238E27FC236}">
              <a16:creationId xmlns="" xmlns:a16="http://schemas.microsoft.com/office/drawing/2014/main" id="{00000000-0008-0000-0000-00009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5" name="Text Box 59">
          <a:extLst>
            <a:ext uri="{FF2B5EF4-FFF2-40B4-BE49-F238E27FC236}">
              <a16:creationId xmlns="" xmlns:a16="http://schemas.microsoft.com/office/drawing/2014/main" id="{00000000-0008-0000-0000-00009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6" name="Text Box 60">
          <a:extLst>
            <a:ext uri="{FF2B5EF4-FFF2-40B4-BE49-F238E27FC236}">
              <a16:creationId xmlns="" xmlns:a16="http://schemas.microsoft.com/office/drawing/2014/main" id="{00000000-0008-0000-0000-00009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7" name="Text Box 61">
          <a:extLst>
            <a:ext uri="{FF2B5EF4-FFF2-40B4-BE49-F238E27FC236}">
              <a16:creationId xmlns="" xmlns:a16="http://schemas.microsoft.com/office/drawing/2014/main" id="{00000000-0008-0000-0000-00009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8" name="Text Box 62">
          <a:extLst>
            <a:ext uri="{FF2B5EF4-FFF2-40B4-BE49-F238E27FC236}">
              <a16:creationId xmlns="" xmlns:a16="http://schemas.microsoft.com/office/drawing/2014/main" id="{00000000-0008-0000-0000-00009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9" name="Text Box 63">
          <a:extLst>
            <a:ext uri="{FF2B5EF4-FFF2-40B4-BE49-F238E27FC236}">
              <a16:creationId xmlns="" xmlns:a16="http://schemas.microsoft.com/office/drawing/2014/main" id="{00000000-0008-0000-0000-00009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0" name="Text Box 64">
          <a:extLst>
            <a:ext uri="{FF2B5EF4-FFF2-40B4-BE49-F238E27FC236}">
              <a16:creationId xmlns="" xmlns:a16="http://schemas.microsoft.com/office/drawing/2014/main" id="{00000000-0008-0000-0000-00009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1" name="Text Box 65">
          <a:extLst>
            <a:ext uri="{FF2B5EF4-FFF2-40B4-BE49-F238E27FC236}">
              <a16:creationId xmlns="" xmlns:a16="http://schemas.microsoft.com/office/drawing/2014/main" id="{00000000-0008-0000-0000-00009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2" name="Text Box 66">
          <a:extLst>
            <a:ext uri="{FF2B5EF4-FFF2-40B4-BE49-F238E27FC236}">
              <a16:creationId xmlns="" xmlns:a16="http://schemas.microsoft.com/office/drawing/2014/main" id="{00000000-0008-0000-0000-0000A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3" name="Text Box 67">
          <a:extLst>
            <a:ext uri="{FF2B5EF4-FFF2-40B4-BE49-F238E27FC236}">
              <a16:creationId xmlns="" xmlns:a16="http://schemas.microsoft.com/office/drawing/2014/main" id="{00000000-0008-0000-0000-0000A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4" name="Text Box 68">
          <a:extLst>
            <a:ext uri="{FF2B5EF4-FFF2-40B4-BE49-F238E27FC236}">
              <a16:creationId xmlns="" xmlns:a16="http://schemas.microsoft.com/office/drawing/2014/main" id="{00000000-0008-0000-0000-0000A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5" name="Text Box 69">
          <a:extLst>
            <a:ext uri="{FF2B5EF4-FFF2-40B4-BE49-F238E27FC236}">
              <a16:creationId xmlns="" xmlns:a16="http://schemas.microsoft.com/office/drawing/2014/main" id="{00000000-0008-0000-0000-0000A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6" name="Text Box 70">
          <a:extLst>
            <a:ext uri="{FF2B5EF4-FFF2-40B4-BE49-F238E27FC236}">
              <a16:creationId xmlns="" xmlns:a16="http://schemas.microsoft.com/office/drawing/2014/main" id="{00000000-0008-0000-0000-0000A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7" name="Text Box 71">
          <a:extLst>
            <a:ext uri="{FF2B5EF4-FFF2-40B4-BE49-F238E27FC236}">
              <a16:creationId xmlns="" xmlns:a16="http://schemas.microsoft.com/office/drawing/2014/main" id="{00000000-0008-0000-0000-0000A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8" name="Text Box 72">
          <a:extLst>
            <a:ext uri="{FF2B5EF4-FFF2-40B4-BE49-F238E27FC236}">
              <a16:creationId xmlns="" xmlns:a16="http://schemas.microsoft.com/office/drawing/2014/main" id="{00000000-0008-0000-0000-0000A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9" name="Text Box 73">
          <a:extLst>
            <a:ext uri="{FF2B5EF4-FFF2-40B4-BE49-F238E27FC236}">
              <a16:creationId xmlns="" xmlns:a16="http://schemas.microsoft.com/office/drawing/2014/main" id="{00000000-0008-0000-0000-0000A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0" name="Text Box 74">
          <a:extLst>
            <a:ext uri="{FF2B5EF4-FFF2-40B4-BE49-F238E27FC236}">
              <a16:creationId xmlns="" xmlns:a16="http://schemas.microsoft.com/office/drawing/2014/main" id="{00000000-0008-0000-0000-0000A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1" name="Text Box 75">
          <a:extLst>
            <a:ext uri="{FF2B5EF4-FFF2-40B4-BE49-F238E27FC236}">
              <a16:creationId xmlns="" xmlns:a16="http://schemas.microsoft.com/office/drawing/2014/main" id="{00000000-0008-0000-0000-0000A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2" name="Text Box 76">
          <a:extLst>
            <a:ext uri="{FF2B5EF4-FFF2-40B4-BE49-F238E27FC236}">
              <a16:creationId xmlns="" xmlns:a16="http://schemas.microsoft.com/office/drawing/2014/main" id="{00000000-0008-0000-0000-0000A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3" name="Text Box 77">
          <a:extLst>
            <a:ext uri="{FF2B5EF4-FFF2-40B4-BE49-F238E27FC236}">
              <a16:creationId xmlns="" xmlns:a16="http://schemas.microsoft.com/office/drawing/2014/main" id="{00000000-0008-0000-0000-0000A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4" name="Text Box 78">
          <a:extLst>
            <a:ext uri="{FF2B5EF4-FFF2-40B4-BE49-F238E27FC236}">
              <a16:creationId xmlns="" xmlns:a16="http://schemas.microsoft.com/office/drawing/2014/main" id="{00000000-0008-0000-0000-0000A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5" name="Text Box 79">
          <a:extLst>
            <a:ext uri="{FF2B5EF4-FFF2-40B4-BE49-F238E27FC236}">
              <a16:creationId xmlns="" xmlns:a16="http://schemas.microsoft.com/office/drawing/2014/main" id="{00000000-0008-0000-0000-0000A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6" name="Text Box 80">
          <a:extLst>
            <a:ext uri="{FF2B5EF4-FFF2-40B4-BE49-F238E27FC236}">
              <a16:creationId xmlns="" xmlns:a16="http://schemas.microsoft.com/office/drawing/2014/main" id="{00000000-0008-0000-0000-0000A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7" name="Text Box 81">
          <a:extLst>
            <a:ext uri="{FF2B5EF4-FFF2-40B4-BE49-F238E27FC236}">
              <a16:creationId xmlns="" xmlns:a16="http://schemas.microsoft.com/office/drawing/2014/main" id="{00000000-0008-0000-0000-0000A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368" name="Text Box 82">
          <a:extLst>
            <a:ext uri="{FF2B5EF4-FFF2-40B4-BE49-F238E27FC236}">
              <a16:creationId xmlns="" xmlns:a16="http://schemas.microsoft.com/office/drawing/2014/main" id="{00000000-0008-0000-0000-0000B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69" name="Text Box 3079">
          <a:extLst>
            <a:ext uri="{FF2B5EF4-FFF2-40B4-BE49-F238E27FC236}">
              <a16:creationId xmlns="" xmlns:a16="http://schemas.microsoft.com/office/drawing/2014/main" id="{00000000-0008-0000-0000-0000B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0" name="Text Box 3080">
          <a:extLst>
            <a:ext uri="{FF2B5EF4-FFF2-40B4-BE49-F238E27FC236}">
              <a16:creationId xmlns="" xmlns:a16="http://schemas.microsoft.com/office/drawing/2014/main" id="{00000000-0008-0000-0000-0000B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1" name="Text Box 3081">
          <a:extLst>
            <a:ext uri="{FF2B5EF4-FFF2-40B4-BE49-F238E27FC236}">
              <a16:creationId xmlns="" xmlns:a16="http://schemas.microsoft.com/office/drawing/2014/main" id="{00000000-0008-0000-0000-0000B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2" name="Text Box 3082">
          <a:extLst>
            <a:ext uri="{FF2B5EF4-FFF2-40B4-BE49-F238E27FC236}">
              <a16:creationId xmlns="" xmlns:a16="http://schemas.microsoft.com/office/drawing/2014/main" id="{00000000-0008-0000-0000-0000B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3" name="Text Box 3083">
          <a:extLst>
            <a:ext uri="{FF2B5EF4-FFF2-40B4-BE49-F238E27FC236}">
              <a16:creationId xmlns="" xmlns:a16="http://schemas.microsoft.com/office/drawing/2014/main" id="{00000000-0008-0000-0000-0000B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4" name="Text Box 3084">
          <a:extLst>
            <a:ext uri="{FF2B5EF4-FFF2-40B4-BE49-F238E27FC236}">
              <a16:creationId xmlns="" xmlns:a16="http://schemas.microsoft.com/office/drawing/2014/main" id="{00000000-0008-0000-0000-0000B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5" name="Text Box 3085">
          <a:extLst>
            <a:ext uri="{FF2B5EF4-FFF2-40B4-BE49-F238E27FC236}">
              <a16:creationId xmlns="" xmlns:a16="http://schemas.microsoft.com/office/drawing/2014/main" id="{00000000-0008-0000-0000-0000B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6" name="Text Box 3086">
          <a:extLst>
            <a:ext uri="{FF2B5EF4-FFF2-40B4-BE49-F238E27FC236}">
              <a16:creationId xmlns="" xmlns:a16="http://schemas.microsoft.com/office/drawing/2014/main" id="{00000000-0008-0000-0000-0000B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7" name="Text Box 3087">
          <a:extLst>
            <a:ext uri="{FF2B5EF4-FFF2-40B4-BE49-F238E27FC236}">
              <a16:creationId xmlns="" xmlns:a16="http://schemas.microsoft.com/office/drawing/2014/main" id="{00000000-0008-0000-0000-0000B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8" name="Text Box 3088">
          <a:extLst>
            <a:ext uri="{FF2B5EF4-FFF2-40B4-BE49-F238E27FC236}">
              <a16:creationId xmlns="" xmlns:a16="http://schemas.microsoft.com/office/drawing/2014/main" id="{00000000-0008-0000-0000-0000B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9" name="Text Box 3089">
          <a:extLst>
            <a:ext uri="{FF2B5EF4-FFF2-40B4-BE49-F238E27FC236}">
              <a16:creationId xmlns="" xmlns:a16="http://schemas.microsoft.com/office/drawing/2014/main" id="{00000000-0008-0000-0000-0000B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0" name="Text Box 3090">
          <a:extLst>
            <a:ext uri="{FF2B5EF4-FFF2-40B4-BE49-F238E27FC236}">
              <a16:creationId xmlns="" xmlns:a16="http://schemas.microsoft.com/office/drawing/2014/main" id="{00000000-0008-0000-0000-0000B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1" name="Text Box 3091">
          <a:extLst>
            <a:ext uri="{FF2B5EF4-FFF2-40B4-BE49-F238E27FC236}">
              <a16:creationId xmlns="" xmlns:a16="http://schemas.microsoft.com/office/drawing/2014/main" id="{00000000-0008-0000-0000-0000B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2" name="Text Box 3092">
          <a:extLst>
            <a:ext uri="{FF2B5EF4-FFF2-40B4-BE49-F238E27FC236}">
              <a16:creationId xmlns="" xmlns:a16="http://schemas.microsoft.com/office/drawing/2014/main" id="{00000000-0008-0000-0000-0000B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3" name="Text Box 3093">
          <a:extLst>
            <a:ext uri="{FF2B5EF4-FFF2-40B4-BE49-F238E27FC236}">
              <a16:creationId xmlns="" xmlns:a16="http://schemas.microsoft.com/office/drawing/2014/main" id="{00000000-0008-0000-0000-0000B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4" name="Text Box 3094">
          <a:extLst>
            <a:ext uri="{FF2B5EF4-FFF2-40B4-BE49-F238E27FC236}">
              <a16:creationId xmlns="" xmlns:a16="http://schemas.microsoft.com/office/drawing/2014/main" id="{00000000-0008-0000-0000-0000C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5" name="Text Box 3095">
          <a:extLst>
            <a:ext uri="{FF2B5EF4-FFF2-40B4-BE49-F238E27FC236}">
              <a16:creationId xmlns="" xmlns:a16="http://schemas.microsoft.com/office/drawing/2014/main" id="{00000000-0008-0000-0000-0000C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6" name="Text Box 3096">
          <a:extLst>
            <a:ext uri="{FF2B5EF4-FFF2-40B4-BE49-F238E27FC236}">
              <a16:creationId xmlns="" xmlns:a16="http://schemas.microsoft.com/office/drawing/2014/main" id="{00000000-0008-0000-0000-0000C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7" name="Text Box 3097">
          <a:extLst>
            <a:ext uri="{FF2B5EF4-FFF2-40B4-BE49-F238E27FC236}">
              <a16:creationId xmlns="" xmlns:a16="http://schemas.microsoft.com/office/drawing/2014/main" id="{00000000-0008-0000-0000-0000C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8" name="Text Box 3098">
          <a:extLst>
            <a:ext uri="{FF2B5EF4-FFF2-40B4-BE49-F238E27FC236}">
              <a16:creationId xmlns="" xmlns:a16="http://schemas.microsoft.com/office/drawing/2014/main" id="{00000000-0008-0000-0000-0000C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9" name="Text Box 3099">
          <a:extLst>
            <a:ext uri="{FF2B5EF4-FFF2-40B4-BE49-F238E27FC236}">
              <a16:creationId xmlns="" xmlns:a16="http://schemas.microsoft.com/office/drawing/2014/main" id="{00000000-0008-0000-0000-0000C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90" name="Text Box 3100">
          <a:extLst>
            <a:ext uri="{FF2B5EF4-FFF2-40B4-BE49-F238E27FC236}">
              <a16:creationId xmlns="" xmlns:a16="http://schemas.microsoft.com/office/drawing/2014/main" id="{00000000-0008-0000-0000-0000C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91" name="Text Box 3101">
          <a:extLst>
            <a:ext uri="{FF2B5EF4-FFF2-40B4-BE49-F238E27FC236}">
              <a16:creationId xmlns="" xmlns:a16="http://schemas.microsoft.com/office/drawing/2014/main" id="{00000000-0008-0000-0000-0000C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392" name="Text Box 3102">
          <a:extLst>
            <a:ext uri="{FF2B5EF4-FFF2-40B4-BE49-F238E27FC236}">
              <a16:creationId xmlns="" xmlns:a16="http://schemas.microsoft.com/office/drawing/2014/main" id="{00000000-0008-0000-0000-0000C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3" name="Text Box 59">
          <a:extLst>
            <a:ext uri="{FF2B5EF4-FFF2-40B4-BE49-F238E27FC236}">
              <a16:creationId xmlns="" xmlns:a16="http://schemas.microsoft.com/office/drawing/2014/main" id="{00000000-0008-0000-0000-0000C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4" name="Text Box 60">
          <a:extLst>
            <a:ext uri="{FF2B5EF4-FFF2-40B4-BE49-F238E27FC236}">
              <a16:creationId xmlns="" xmlns:a16="http://schemas.microsoft.com/office/drawing/2014/main" id="{00000000-0008-0000-0000-0000C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5" name="Text Box 61">
          <a:extLst>
            <a:ext uri="{FF2B5EF4-FFF2-40B4-BE49-F238E27FC236}">
              <a16:creationId xmlns="" xmlns:a16="http://schemas.microsoft.com/office/drawing/2014/main" id="{00000000-0008-0000-0000-0000C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6" name="Text Box 62">
          <a:extLst>
            <a:ext uri="{FF2B5EF4-FFF2-40B4-BE49-F238E27FC236}">
              <a16:creationId xmlns="" xmlns:a16="http://schemas.microsoft.com/office/drawing/2014/main" id="{00000000-0008-0000-0000-0000C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7" name="Text Box 63">
          <a:extLst>
            <a:ext uri="{FF2B5EF4-FFF2-40B4-BE49-F238E27FC236}">
              <a16:creationId xmlns="" xmlns:a16="http://schemas.microsoft.com/office/drawing/2014/main" id="{00000000-0008-0000-0000-0000C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8" name="Text Box 64">
          <a:extLst>
            <a:ext uri="{FF2B5EF4-FFF2-40B4-BE49-F238E27FC236}">
              <a16:creationId xmlns="" xmlns:a16="http://schemas.microsoft.com/office/drawing/2014/main" id="{00000000-0008-0000-0000-0000C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9" name="Text Box 65">
          <a:extLst>
            <a:ext uri="{FF2B5EF4-FFF2-40B4-BE49-F238E27FC236}">
              <a16:creationId xmlns="" xmlns:a16="http://schemas.microsoft.com/office/drawing/2014/main" id="{00000000-0008-0000-0000-0000C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0" name="Text Box 66">
          <a:extLst>
            <a:ext uri="{FF2B5EF4-FFF2-40B4-BE49-F238E27FC236}">
              <a16:creationId xmlns="" xmlns:a16="http://schemas.microsoft.com/office/drawing/2014/main" id="{00000000-0008-0000-0000-0000D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1" name="Text Box 67">
          <a:extLst>
            <a:ext uri="{FF2B5EF4-FFF2-40B4-BE49-F238E27FC236}">
              <a16:creationId xmlns="" xmlns:a16="http://schemas.microsoft.com/office/drawing/2014/main" id="{00000000-0008-0000-0000-0000D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2" name="Text Box 68">
          <a:extLst>
            <a:ext uri="{FF2B5EF4-FFF2-40B4-BE49-F238E27FC236}">
              <a16:creationId xmlns="" xmlns:a16="http://schemas.microsoft.com/office/drawing/2014/main" id="{00000000-0008-0000-0000-0000D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3" name="Text Box 69">
          <a:extLst>
            <a:ext uri="{FF2B5EF4-FFF2-40B4-BE49-F238E27FC236}">
              <a16:creationId xmlns="" xmlns:a16="http://schemas.microsoft.com/office/drawing/2014/main" id="{00000000-0008-0000-0000-0000D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4" name="Text Box 70">
          <a:extLst>
            <a:ext uri="{FF2B5EF4-FFF2-40B4-BE49-F238E27FC236}">
              <a16:creationId xmlns="" xmlns:a16="http://schemas.microsoft.com/office/drawing/2014/main" id="{00000000-0008-0000-0000-0000D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5" name="Text Box 71">
          <a:extLst>
            <a:ext uri="{FF2B5EF4-FFF2-40B4-BE49-F238E27FC236}">
              <a16:creationId xmlns="" xmlns:a16="http://schemas.microsoft.com/office/drawing/2014/main" id="{00000000-0008-0000-0000-0000D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6" name="Text Box 72">
          <a:extLst>
            <a:ext uri="{FF2B5EF4-FFF2-40B4-BE49-F238E27FC236}">
              <a16:creationId xmlns="" xmlns:a16="http://schemas.microsoft.com/office/drawing/2014/main" id="{00000000-0008-0000-0000-0000D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7" name="Text Box 73">
          <a:extLst>
            <a:ext uri="{FF2B5EF4-FFF2-40B4-BE49-F238E27FC236}">
              <a16:creationId xmlns="" xmlns:a16="http://schemas.microsoft.com/office/drawing/2014/main" id="{00000000-0008-0000-0000-0000D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8" name="Text Box 74">
          <a:extLst>
            <a:ext uri="{FF2B5EF4-FFF2-40B4-BE49-F238E27FC236}">
              <a16:creationId xmlns="" xmlns:a16="http://schemas.microsoft.com/office/drawing/2014/main" id="{00000000-0008-0000-0000-0000D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9" name="Text Box 75">
          <a:extLst>
            <a:ext uri="{FF2B5EF4-FFF2-40B4-BE49-F238E27FC236}">
              <a16:creationId xmlns="" xmlns:a16="http://schemas.microsoft.com/office/drawing/2014/main" id="{00000000-0008-0000-0000-0000D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0" name="Text Box 76">
          <a:extLst>
            <a:ext uri="{FF2B5EF4-FFF2-40B4-BE49-F238E27FC236}">
              <a16:creationId xmlns="" xmlns:a16="http://schemas.microsoft.com/office/drawing/2014/main" id="{00000000-0008-0000-0000-0000D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1" name="Text Box 77">
          <a:extLst>
            <a:ext uri="{FF2B5EF4-FFF2-40B4-BE49-F238E27FC236}">
              <a16:creationId xmlns="" xmlns:a16="http://schemas.microsoft.com/office/drawing/2014/main" id="{00000000-0008-0000-0000-0000D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2" name="Text Box 78">
          <a:extLst>
            <a:ext uri="{FF2B5EF4-FFF2-40B4-BE49-F238E27FC236}">
              <a16:creationId xmlns="" xmlns:a16="http://schemas.microsoft.com/office/drawing/2014/main" id="{00000000-0008-0000-0000-0000D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3" name="Text Box 79">
          <a:extLst>
            <a:ext uri="{FF2B5EF4-FFF2-40B4-BE49-F238E27FC236}">
              <a16:creationId xmlns="" xmlns:a16="http://schemas.microsoft.com/office/drawing/2014/main" id="{00000000-0008-0000-0000-0000D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4" name="Text Box 80">
          <a:extLst>
            <a:ext uri="{FF2B5EF4-FFF2-40B4-BE49-F238E27FC236}">
              <a16:creationId xmlns="" xmlns:a16="http://schemas.microsoft.com/office/drawing/2014/main" id="{00000000-0008-0000-0000-0000D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5" name="Text Box 81">
          <a:extLst>
            <a:ext uri="{FF2B5EF4-FFF2-40B4-BE49-F238E27FC236}">
              <a16:creationId xmlns="" xmlns:a16="http://schemas.microsoft.com/office/drawing/2014/main" id="{00000000-0008-0000-0000-0000D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6" name="Text Box 3079">
          <a:extLst>
            <a:ext uri="{FF2B5EF4-FFF2-40B4-BE49-F238E27FC236}">
              <a16:creationId xmlns="" xmlns:a16="http://schemas.microsoft.com/office/drawing/2014/main" id="{00000000-0008-0000-0000-0000E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7" name="Text Box 3080">
          <a:extLst>
            <a:ext uri="{FF2B5EF4-FFF2-40B4-BE49-F238E27FC236}">
              <a16:creationId xmlns="" xmlns:a16="http://schemas.microsoft.com/office/drawing/2014/main" id="{00000000-0008-0000-0000-0000E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8" name="Text Box 3081">
          <a:extLst>
            <a:ext uri="{FF2B5EF4-FFF2-40B4-BE49-F238E27FC236}">
              <a16:creationId xmlns="" xmlns:a16="http://schemas.microsoft.com/office/drawing/2014/main" id="{00000000-0008-0000-0000-0000E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9" name="Text Box 3082">
          <a:extLst>
            <a:ext uri="{FF2B5EF4-FFF2-40B4-BE49-F238E27FC236}">
              <a16:creationId xmlns="" xmlns:a16="http://schemas.microsoft.com/office/drawing/2014/main" id="{00000000-0008-0000-0000-0000E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0" name="Text Box 3083">
          <a:extLst>
            <a:ext uri="{FF2B5EF4-FFF2-40B4-BE49-F238E27FC236}">
              <a16:creationId xmlns="" xmlns:a16="http://schemas.microsoft.com/office/drawing/2014/main" id="{00000000-0008-0000-0000-0000E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1" name="Text Box 3084">
          <a:extLst>
            <a:ext uri="{FF2B5EF4-FFF2-40B4-BE49-F238E27FC236}">
              <a16:creationId xmlns="" xmlns:a16="http://schemas.microsoft.com/office/drawing/2014/main" id="{00000000-0008-0000-0000-0000E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2" name="Text Box 3085">
          <a:extLst>
            <a:ext uri="{FF2B5EF4-FFF2-40B4-BE49-F238E27FC236}">
              <a16:creationId xmlns="" xmlns:a16="http://schemas.microsoft.com/office/drawing/2014/main" id="{00000000-0008-0000-0000-0000E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3" name="Text Box 3086">
          <a:extLst>
            <a:ext uri="{FF2B5EF4-FFF2-40B4-BE49-F238E27FC236}">
              <a16:creationId xmlns="" xmlns:a16="http://schemas.microsoft.com/office/drawing/2014/main" id="{00000000-0008-0000-0000-0000E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4" name="Text Box 3087">
          <a:extLst>
            <a:ext uri="{FF2B5EF4-FFF2-40B4-BE49-F238E27FC236}">
              <a16:creationId xmlns="" xmlns:a16="http://schemas.microsoft.com/office/drawing/2014/main" id="{00000000-0008-0000-0000-0000E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5" name="Text Box 3088">
          <a:extLst>
            <a:ext uri="{FF2B5EF4-FFF2-40B4-BE49-F238E27FC236}">
              <a16:creationId xmlns="" xmlns:a16="http://schemas.microsoft.com/office/drawing/2014/main" id="{00000000-0008-0000-0000-0000E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6" name="Text Box 3089">
          <a:extLst>
            <a:ext uri="{FF2B5EF4-FFF2-40B4-BE49-F238E27FC236}">
              <a16:creationId xmlns="" xmlns:a16="http://schemas.microsoft.com/office/drawing/2014/main" id="{00000000-0008-0000-0000-0000E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7" name="Text Box 3090">
          <a:extLst>
            <a:ext uri="{FF2B5EF4-FFF2-40B4-BE49-F238E27FC236}">
              <a16:creationId xmlns="" xmlns:a16="http://schemas.microsoft.com/office/drawing/2014/main" id="{00000000-0008-0000-0000-0000E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8" name="Text Box 3091">
          <a:extLst>
            <a:ext uri="{FF2B5EF4-FFF2-40B4-BE49-F238E27FC236}">
              <a16:creationId xmlns="" xmlns:a16="http://schemas.microsoft.com/office/drawing/2014/main" id="{00000000-0008-0000-0000-0000E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9" name="Text Box 3092">
          <a:extLst>
            <a:ext uri="{FF2B5EF4-FFF2-40B4-BE49-F238E27FC236}">
              <a16:creationId xmlns="" xmlns:a16="http://schemas.microsoft.com/office/drawing/2014/main" id="{00000000-0008-0000-0000-0000E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0" name="Text Box 3093">
          <a:extLst>
            <a:ext uri="{FF2B5EF4-FFF2-40B4-BE49-F238E27FC236}">
              <a16:creationId xmlns="" xmlns:a16="http://schemas.microsoft.com/office/drawing/2014/main" id="{00000000-0008-0000-0000-0000E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1" name="Text Box 3094">
          <a:extLst>
            <a:ext uri="{FF2B5EF4-FFF2-40B4-BE49-F238E27FC236}">
              <a16:creationId xmlns="" xmlns:a16="http://schemas.microsoft.com/office/drawing/2014/main" id="{00000000-0008-0000-0000-0000E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2" name="Text Box 3095">
          <a:extLst>
            <a:ext uri="{FF2B5EF4-FFF2-40B4-BE49-F238E27FC236}">
              <a16:creationId xmlns="" xmlns:a16="http://schemas.microsoft.com/office/drawing/2014/main" id="{00000000-0008-0000-0000-0000F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3" name="Text Box 3096">
          <a:extLst>
            <a:ext uri="{FF2B5EF4-FFF2-40B4-BE49-F238E27FC236}">
              <a16:creationId xmlns="" xmlns:a16="http://schemas.microsoft.com/office/drawing/2014/main" id="{00000000-0008-0000-0000-0000F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4" name="Text Box 3097">
          <a:extLst>
            <a:ext uri="{FF2B5EF4-FFF2-40B4-BE49-F238E27FC236}">
              <a16:creationId xmlns="" xmlns:a16="http://schemas.microsoft.com/office/drawing/2014/main" id="{00000000-0008-0000-0000-0000F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5" name="Text Box 3098">
          <a:extLst>
            <a:ext uri="{FF2B5EF4-FFF2-40B4-BE49-F238E27FC236}">
              <a16:creationId xmlns="" xmlns:a16="http://schemas.microsoft.com/office/drawing/2014/main" id="{00000000-0008-0000-0000-0000F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6" name="Text Box 3099">
          <a:extLst>
            <a:ext uri="{FF2B5EF4-FFF2-40B4-BE49-F238E27FC236}">
              <a16:creationId xmlns="" xmlns:a16="http://schemas.microsoft.com/office/drawing/2014/main" id="{00000000-0008-0000-0000-0000F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7" name="Text Box 3100">
          <a:extLst>
            <a:ext uri="{FF2B5EF4-FFF2-40B4-BE49-F238E27FC236}">
              <a16:creationId xmlns="" xmlns:a16="http://schemas.microsoft.com/office/drawing/2014/main" id="{00000000-0008-0000-0000-0000F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8" name="Text Box 3101">
          <a:extLst>
            <a:ext uri="{FF2B5EF4-FFF2-40B4-BE49-F238E27FC236}">
              <a16:creationId xmlns="" xmlns:a16="http://schemas.microsoft.com/office/drawing/2014/main" id="{00000000-0008-0000-0000-0000F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439" name="Text Box 3102">
          <a:extLst>
            <a:ext uri="{FF2B5EF4-FFF2-40B4-BE49-F238E27FC236}">
              <a16:creationId xmlns="" xmlns:a16="http://schemas.microsoft.com/office/drawing/2014/main" id="{00000000-0008-0000-0000-0000F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0" name="Text Box 59">
          <a:extLst>
            <a:ext uri="{FF2B5EF4-FFF2-40B4-BE49-F238E27FC236}">
              <a16:creationId xmlns="" xmlns:a16="http://schemas.microsoft.com/office/drawing/2014/main" id="{00000000-0008-0000-0000-0000F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1" name="Text Box 60">
          <a:extLst>
            <a:ext uri="{FF2B5EF4-FFF2-40B4-BE49-F238E27FC236}">
              <a16:creationId xmlns="" xmlns:a16="http://schemas.microsoft.com/office/drawing/2014/main" id="{00000000-0008-0000-0000-0000F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2" name="Text Box 61">
          <a:extLst>
            <a:ext uri="{FF2B5EF4-FFF2-40B4-BE49-F238E27FC236}">
              <a16:creationId xmlns="" xmlns:a16="http://schemas.microsoft.com/office/drawing/2014/main" id="{00000000-0008-0000-0000-0000F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3" name="Text Box 62">
          <a:extLst>
            <a:ext uri="{FF2B5EF4-FFF2-40B4-BE49-F238E27FC236}">
              <a16:creationId xmlns="" xmlns:a16="http://schemas.microsoft.com/office/drawing/2014/main" id="{00000000-0008-0000-0000-0000F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4" name="Text Box 63">
          <a:extLst>
            <a:ext uri="{FF2B5EF4-FFF2-40B4-BE49-F238E27FC236}">
              <a16:creationId xmlns="" xmlns:a16="http://schemas.microsoft.com/office/drawing/2014/main" id="{00000000-0008-0000-0000-0000F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5" name="Text Box 64">
          <a:extLst>
            <a:ext uri="{FF2B5EF4-FFF2-40B4-BE49-F238E27FC236}">
              <a16:creationId xmlns="" xmlns:a16="http://schemas.microsoft.com/office/drawing/2014/main" id="{00000000-0008-0000-0000-0000F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6" name="Text Box 65">
          <a:extLst>
            <a:ext uri="{FF2B5EF4-FFF2-40B4-BE49-F238E27FC236}">
              <a16:creationId xmlns="" xmlns:a16="http://schemas.microsoft.com/office/drawing/2014/main" id="{00000000-0008-0000-0000-0000F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7" name="Text Box 66">
          <a:extLst>
            <a:ext uri="{FF2B5EF4-FFF2-40B4-BE49-F238E27FC236}">
              <a16:creationId xmlns="" xmlns:a16="http://schemas.microsoft.com/office/drawing/2014/main" id="{00000000-0008-0000-0000-0000F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8" name="Text Box 67">
          <a:extLst>
            <a:ext uri="{FF2B5EF4-FFF2-40B4-BE49-F238E27FC236}">
              <a16:creationId xmlns="" xmlns:a16="http://schemas.microsoft.com/office/drawing/2014/main" id="{00000000-0008-0000-0000-00000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9" name="Text Box 68">
          <a:extLst>
            <a:ext uri="{FF2B5EF4-FFF2-40B4-BE49-F238E27FC236}">
              <a16:creationId xmlns="" xmlns:a16="http://schemas.microsoft.com/office/drawing/2014/main" id="{00000000-0008-0000-0000-00000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0" name="Text Box 69">
          <a:extLst>
            <a:ext uri="{FF2B5EF4-FFF2-40B4-BE49-F238E27FC236}">
              <a16:creationId xmlns="" xmlns:a16="http://schemas.microsoft.com/office/drawing/2014/main" id="{00000000-0008-0000-0000-00000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1" name="Text Box 70">
          <a:extLst>
            <a:ext uri="{FF2B5EF4-FFF2-40B4-BE49-F238E27FC236}">
              <a16:creationId xmlns="" xmlns:a16="http://schemas.microsoft.com/office/drawing/2014/main" id="{00000000-0008-0000-0000-00000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2" name="Text Box 71">
          <a:extLst>
            <a:ext uri="{FF2B5EF4-FFF2-40B4-BE49-F238E27FC236}">
              <a16:creationId xmlns="" xmlns:a16="http://schemas.microsoft.com/office/drawing/2014/main" id="{00000000-0008-0000-0000-00000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3" name="Text Box 72">
          <a:extLst>
            <a:ext uri="{FF2B5EF4-FFF2-40B4-BE49-F238E27FC236}">
              <a16:creationId xmlns="" xmlns:a16="http://schemas.microsoft.com/office/drawing/2014/main" id="{00000000-0008-0000-0000-00000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4" name="Text Box 73">
          <a:extLst>
            <a:ext uri="{FF2B5EF4-FFF2-40B4-BE49-F238E27FC236}">
              <a16:creationId xmlns="" xmlns:a16="http://schemas.microsoft.com/office/drawing/2014/main" id="{00000000-0008-0000-0000-00000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5" name="Text Box 74">
          <a:extLst>
            <a:ext uri="{FF2B5EF4-FFF2-40B4-BE49-F238E27FC236}">
              <a16:creationId xmlns="" xmlns:a16="http://schemas.microsoft.com/office/drawing/2014/main" id="{00000000-0008-0000-0000-00000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6" name="Text Box 75">
          <a:extLst>
            <a:ext uri="{FF2B5EF4-FFF2-40B4-BE49-F238E27FC236}">
              <a16:creationId xmlns="" xmlns:a16="http://schemas.microsoft.com/office/drawing/2014/main" id="{00000000-0008-0000-0000-00000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7" name="Text Box 76">
          <a:extLst>
            <a:ext uri="{FF2B5EF4-FFF2-40B4-BE49-F238E27FC236}">
              <a16:creationId xmlns="" xmlns:a16="http://schemas.microsoft.com/office/drawing/2014/main" id="{00000000-0008-0000-0000-00000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8" name="Text Box 77">
          <a:extLst>
            <a:ext uri="{FF2B5EF4-FFF2-40B4-BE49-F238E27FC236}">
              <a16:creationId xmlns="" xmlns:a16="http://schemas.microsoft.com/office/drawing/2014/main" id="{00000000-0008-0000-0000-00000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9" name="Text Box 78">
          <a:extLst>
            <a:ext uri="{FF2B5EF4-FFF2-40B4-BE49-F238E27FC236}">
              <a16:creationId xmlns="" xmlns:a16="http://schemas.microsoft.com/office/drawing/2014/main" id="{00000000-0008-0000-0000-00000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0" name="Text Box 79">
          <a:extLst>
            <a:ext uri="{FF2B5EF4-FFF2-40B4-BE49-F238E27FC236}">
              <a16:creationId xmlns="" xmlns:a16="http://schemas.microsoft.com/office/drawing/2014/main" id="{00000000-0008-0000-0000-00000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1" name="Text Box 80">
          <a:extLst>
            <a:ext uri="{FF2B5EF4-FFF2-40B4-BE49-F238E27FC236}">
              <a16:creationId xmlns="" xmlns:a16="http://schemas.microsoft.com/office/drawing/2014/main" id="{00000000-0008-0000-0000-00000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2" name="Text Box 81">
          <a:extLst>
            <a:ext uri="{FF2B5EF4-FFF2-40B4-BE49-F238E27FC236}">
              <a16:creationId xmlns="" xmlns:a16="http://schemas.microsoft.com/office/drawing/2014/main" id="{00000000-0008-0000-0000-00000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463" name="Text Box 82">
          <a:extLst>
            <a:ext uri="{FF2B5EF4-FFF2-40B4-BE49-F238E27FC236}">
              <a16:creationId xmlns="" xmlns:a16="http://schemas.microsoft.com/office/drawing/2014/main" id="{00000000-0008-0000-0000-00000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4" name="Text Box 3079">
          <a:extLst>
            <a:ext uri="{FF2B5EF4-FFF2-40B4-BE49-F238E27FC236}">
              <a16:creationId xmlns="" xmlns:a16="http://schemas.microsoft.com/office/drawing/2014/main" id="{00000000-0008-0000-0000-00001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5" name="Text Box 3080">
          <a:extLst>
            <a:ext uri="{FF2B5EF4-FFF2-40B4-BE49-F238E27FC236}">
              <a16:creationId xmlns="" xmlns:a16="http://schemas.microsoft.com/office/drawing/2014/main" id="{00000000-0008-0000-0000-00001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6" name="Text Box 3081">
          <a:extLst>
            <a:ext uri="{FF2B5EF4-FFF2-40B4-BE49-F238E27FC236}">
              <a16:creationId xmlns="" xmlns:a16="http://schemas.microsoft.com/office/drawing/2014/main" id="{00000000-0008-0000-0000-00001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7" name="Text Box 3082">
          <a:extLst>
            <a:ext uri="{FF2B5EF4-FFF2-40B4-BE49-F238E27FC236}">
              <a16:creationId xmlns="" xmlns:a16="http://schemas.microsoft.com/office/drawing/2014/main" id="{00000000-0008-0000-0000-00001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8" name="Text Box 3083">
          <a:extLst>
            <a:ext uri="{FF2B5EF4-FFF2-40B4-BE49-F238E27FC236}">
              <a16:creationId xmlns="" xmlns:a16="http://schemas.microsoft.com/office/drawing/2014/main" id="{00000000-0008-0000-0000-00001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9" name="Text Box 3084">
          <a:extLst>
            <a:ext uri="{FF2B5EF4-FFF2-40B4-BE49-F238E27FC236}">
              <a16:creationId xmlns="" xmlns:a16="http://schemas.microsoft.com/office/drawing/2014/main" id="{00000000-0008-0000-0000-00001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0" name="Text Box 3085">
          <a:extLst>
            <a:ext uri="{FF2B5EF4-FFF2-40B4-BE49-F238E27FC236}">
              <a16:creationId xmlns="" xmlns:a16="http://schemas.microsoft.com/office/drawing/2014/main" id="{00000000-0008-0000-0000-00001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1" name="Text Box 3086">
          <a:extLst>
            <a:ext uri="{FF2B5EF4-FFF2-40B4-BE49-F238E27FC236}">
              <a16:creationId xmlns="" xmlns:a16="http://schemas.microsoft.com/office/drawing/2014/main" id="{00000000-0008-0000-0000-00001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2" name="Text Box 3087">
          <a:extLst>
            <a:ext uri="{FF2B5EF4-FFF2-40B4-BE49-F238E27FC236}">
              <a16:creationId xmlns="" xmlns:a16="http://schemas.microsoft.com/office/drawing/2014/main" id="{00000000-0008-0000-0000-00001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3" name="Text Box 3088">
          <a:extLst>
            <a:ext uri="{FF2B5EF4-FFF2-40B4-BE49-F238E27FC236}">
              <a16:creationId xmlns="" xmlns:a16="http://schemas.microsoft.com/office/drawing/2014/main" id="{00000000-0008-0000-0000-00001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4" name="Text Box 3089">
          <a:extLst>
            <a:ext uri="{FF2B5EF4-FFF2-40B4-BE49-F238E27FC236}">
              <a16:creationId xmlns="" xmlns:a16="http://schemas.microsoft.com/office/drawing/2014/main" id="{00000000-0008-0000-0000-00001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5" name="Text Box 3090">
          <a:extLst>
            <a:ext uri="{FF2B5EF4-FFF2-40B4-BE49-F238E27FC236}">
              <a16:creationId xmlns="" xmlns:a16="http://schemas.microsoft.com/office/drawing/2014/main" id="{00000000-0008-0000-0000-00001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6" name="Text Box 3091">
          <a:extLst>
            <a:ext uri="{FF2B5EF4-FFF2-40B4-BE49-F238E27FC236}">
              <a16:creationId xmlns="" xmlns:a16="http://schemas.microsoft.com/office/drawing/2014/main" id="{00000000-0008-0000-0000-00001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7" name="Text Box 3092">
          <a:extLst>
            <a:ext uri="{FF2B5EF4-FFF2-40B4-BE49-F238E27FC236}">
              <a16:creationId xmlns="" xmlns:a16="http://schemas.microsoft.com/office/drawing/2014/main" id="{00000000-0008-0000-0000-00001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8" name="Text Box 3093">
          <a:extLst>
            <a:ext uri="{FF2B5EF4-FFF2-40B4-BE49-F238E27FC236}">
              <a16:creationId xmlns="" xmlns:a16="http://schemas.microsoft.com/office/drawing/2014/main" id="{00000000-0008-0000-0000-00001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9" name="Text Box 3094">
          <a:extLst>
            <a:ext uri="{FF2B5EF4-FFF2-40B4-BE49-F238E27FC236}">
              <a16:creationId xmlns="" xmlns:a16="http://schemas.microsoft.com/office/drawing/2014/main" id="{00000000-0008-0000-0000-00001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0" name="Text Box 3095">
          <a:extLst>
            <a:ext uri="{FF2B5EF4-FFF2-40B4-BE49-F238E27FC236}">
              <a16:creationId xmlns="" xmlns:a16="http://schemas.microsoft.com/office/drawing/2014/main" id="{00000000-0008-0000-0000-00002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1" name="Text Box 3096">
          <a:extLst>
            <a:ext uri="{FF2B5EF4-FFF2-40B4-BE49-F238E27FC236}">
              <a16:creationId xmlns="" xmlns:a16="http://schemas.microsoft.com/office/drawing/2014/main" id="{00000000-0008-0000-0000-00002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2" name="Text Box 3097">
          <a:extLst>
            <a:ext uri="{FF2B5EF4-FFF2-40B4-BE49-F238E27FC236}">
              <a16:creationId xmlns="" xmlns:a16="http://schemas.microsoft.com/office/drawing/2014/main" id="{00000000-0008-0000-0000-00002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3" name="Text Box 3098">
          <a:extLst>
            <a:ext uri="{FF2B5EF4-FFF2-40B4-BE49-F238E27FC236}">
              <a16:creationId xmlns="" xmlns:a16="http://schemas.microsoft.com/office/drawing/2014/main" id="{00000000-0008-0000-0000-00002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4" name="Text Box 3099">
          <a:extLst>
            <a:ext uri="{FF2B5EF4-FFF2-40B4-BE49-F238E27FC236}">
              <a16:creationId xmlns="" xmlns:a16="http://schemas.microsoft.com/office/drawing/2014/main" id="{00000000-0008-0000-0000-00002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5" name="Text Box 3100">
          <a:extLst>
            <a:ext uri="{FF2B5EF4-FFF2-40B4-BE49-F238E27FC236}">
              <a16:creationId xmlns="" xmlns:a16="http://schemas.microsoft.com/office/drawing/2014/main" id="{00000000-0008-0000-0000-00002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6" name="Text Box 3101">
          <a:extLst>
            <a:ext uri="{FF2B5EF4-FFF2-40B4-BE49-F238E27FC236}">
              <a16:creationId xmlns="" xmlns:a16="http://schemas.microsoft.com/office/drawing/2014/main" id="{00000000-0008-0000-0000-00002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487" name="Text Box 3102">
          <a:extLst>
            <a:ext uri="{FF2B5EF4-FFF2-40B4-BE49-F238E27FC236}">
              <a16:creationId xmlns="" xmlns:a16="http://schemas.microsoft.com/office/drawing/2014/main" id="{00000000-0008-0000-0000-00002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88" name="Text Box 59">
          <a:extLst>
            <a:ext uri="{FF2B5EF4-FFF2-40B4-BE49-F238E27FC236}">
              <a16:creationId xmlns="" xmlns:a16="http://schemas.microsoft.com/office/drawing/2014/main" id="{00000000-0008-0000-0000-00002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89" name="Text Box 60">
          <a:extLst>
            <a:ext uri="{FF2B5EF4-FFF2-40B4-BE49-F238E27FC236}">
              <a16:creationId xmlns="" xmlns:a16="http://schemas.microsoft.com/office/drawing/2014/main" id="{00000000-0008-0000-0000-00002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0" name="Text Box 61">
          <a:extLst>
            <a:ext uri="{FF2B5EF4-FFF2-40B4-BE49-F238E27FC236}">
              <a16:creationId xmlns="" xmlns:a16="http://schemas.microsoft.com/office/drawing/2014/main" id="{00000000-0008-0000-0000-00002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1" name="Text Box 62">
          <a:extLst>
            <a:ext uri="{FF2B5EF4-FFF2-40B4-BE49-F238E27FC236}">
              <a16:creationId xmlns="" xmlns:a16="http://schemas.microsoft.com/office/drawing/2014/main" id="{00000000-0008-0000-0000-00002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2" name="Text Box 63">
          <a:extLst>
            <a:ext uri="{FF2B5EF4-FFF2-40B4-BE49-F238E27FC236}">
              <a16:creationId xmlns="" xmlns:a16="http://schemas.microsoft.com/office/drawing/2014/main" id="{00000000-0008-0000-0000-00002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3" name="Text Box 64">
          <a:extLst>
            <a:ext uri="{FF2B5EF4-FFF2-40B4-BE49-F238E27FC236}">
              <a16:creationId xmlns="" xmlns:a16="http://schemas.microsoft.com/office/drawing/2014/main" id="{00000000-0008-0000-0000-00002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4" name="Text Box 65">
          <a:extLst>
            <a:ext uri="{FF2B5EF4-FFF2-40B4-BE49-F238E27FC236}">
              <a16:creationId xmlns="" xmlns:a16="http://schemas.microsoft.com/office/drawing/2014/main" id="{00000000-0008-0000-0000-00002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5" name="Text Box 66">
          <a:extLst>
            <a:ext uri="{FF2B5EF4-FFF2-40B4-BE49-F238E27FC236}">
              <a16:creationId xmlns="" xmlns:a16="http://schemas.microsoft.com/office/drawing/2014/main" id="{00000000-0008-0000-0000-00002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6" name="Text Box 67">
          <a:extLst>
            <a:ext uri="{FF2B5EF4-FFF2-40B4-BE49-F238E27FC236}">
              <a16:creationId xmlns="" xmlns:a16="http://schemas.microsoft.com/office/drawing/2014/main" id="{00000000-0008-0000-0000-00003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7" name="Text Box 68">
          <a:extLst>
            <a:ext uri="{FF2B5EF4-FFF2-40B4-BE49-F238E27FC236}">
              <a16:creationId xmlns="" xmlns:a16="http://schemas.microsoft.com/office/drawing/2014/main" id="{00000000-0008-0000-0000-00003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8" name="Text Box 69">
          <a:extLst>
            <a:ext uri="{FF2B5EF4-FFF2-40B4-BE49-F238E27FC236}">
              <a16:creationId xmlns="" xmlns:a16="http://schemas.microsoft.com/office/drawing/2014/main" id="{00000000-0008-0000-0000-00003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9" name="Text Box 70">
          <a:extLst>
            <a:ext uri="{FF2B5EF4-FFF2-40B4-BE49-F238E27FC236}">
              <a16:creationId xmlns="" xmlns:a16="http://schemas.microsoft.com/office/drawing/2014/main" id="{00000000-0008-0000-0000-00003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0" name="Text Box 71">
          <a:extLst>
            <a:ext uri="{FF2B5EF4-FFF2-40B4-BE49-F238E27FC236}">
              <a16:creationId xmlns="" xmlns:a16="http://schemas.microsoft.com/office/drawing/2014/main" id="{00000000-0008-0000-0000-00003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1" name="Text Box 72">
          <a:extLst>
            <a:ext uri="{FF2B5EF4-FFF2-40B4-BE49-F238E27FC236}">
              <a16:creationId xmlns="" xmlns:a16="http://schemas.microsoft.com/office/drawing/2014/main" id="{00000000-0008-0000-0000-00003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2" name="Text Box 73">
          <a:extLst>
            <a:ext uri="{FF2B5EF4-FFF2-40B4-BE49-F238E27FC236}">
              <a16:creationId xmlns="" xmlns:a16="http://schemas.microsoft.com/office/drawing/2014/main" id="{00000000-0008-0000-0000-00003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3" name="Text Box 74">
          <a:extLst>
            <a:ext uri="{FF2B5EF4-FFF2-40B4-BE49-F238E27FC236}">
              <a16:creationId xmlns="" xmlns:a16="http://schemas.microsoft.com/office/drawing/2014/main" id="{00000000-0008-0000-0000-00003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4" name="Text Box 75">
          <a:extLst>
            <a:ext uri="{FF2B5EF4-FFF2-40B4-BE49-F238E27FC236}">
              <a16:creationId xmlns="" xmlns:a16="http://schemas.microsoft.com/office/drawing/2014/main" id="{00000000-0008-0000-0000-00003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5" name="Text Box 76">
          <a:extLst>
            <a:ext uri="{FF2B5EF4-FFF2-40B4-BE49-F238E27FC236}">
              <a16:creationId xmlns="" xmlns:a16="http://schemas.microsoft.com/office/drawing/2014/main" id="{00000000-0008-0000-0000-00003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6" name="Text Box 77">
          <a:extLst>
            <a:ext uri="{FF2B5EF4-FFF2-40B4-BE49-F238E27FC236}">
              <a16:creationId xmlns="" xmlns:a16="http://schemas.microsoft.com/office/drawing/2014/main" id="{00000000-0008-0000-0000-00003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7" name="Text Box 78">
          <a:extLst>
            <a:ext uri="{FF2B5EF4-FFF2-40B4-BE49-F238E27FC236}">
              <a16:creationId xmlns="" xmlns:a16="http://schemas.microsoft.com/office/drawing/2014/main" id="{00000000-0008-0000-0000-00003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8" name="Text Box 79">
          <a:extLst>
            <a:ext uri="{FF2B5EF4-FFF2-40B4-BE49-F238E27FC236}">
              <a16:creationId xmlns="" xmlns:a16="http://schemas.microsoft.com/office/drawing/2014/main" id="{00000000-0008-0000-0000-00003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9" name="Text Box 80">
          <a:extLst>
            <a:ext uri="{FF2B5EF4-FFF2-40B4-BE49-F238E27FC236}">
              <a16:creationId xmlns="" xmlns:a16="http://schemas.microsoft.com/office/drawing/2014/main" id="{00000000-0008-0000-0000-00003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10" name="Text Box 81">
          <a:extLst>
            <a:ext uri="{FF2B5EF4-FFF2-40B4-BE49-F238E27FC236}">
              <a16:creationId xmlns="" xmlns:a16="http://schemas.microsoft.com/office/drawing/2014/main" id="{00000000-0008-0000-0000-00003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1" name="Text Box 3079">
          <a:extLst>
            <a:ext uri="{FF2B5EF4-FFF2-40B4-BE49-F238E27FC236}">
              <a16:creationId xmlns="" xmlns:a16="http://schemas.microsoft.com/office/drawing/2014/main" id="{00000000-0008-0000-0000-00003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2" name="Text Box 3080">
          <a:extLst>
            <a:ext uri="{FF2B5EF4-FFF2-40B4-BE49-F238E27FC236}">
              <a16:creationId xmlns="" xmlns:a16="http://schemas.microsoft.com/office/drawing/2014/main" id="{00000000-0008-0000-0000-00004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3" name="Text Box 3081">
          <a:extLst>
            <a:ext uri="{FF2B5EF4-FFF2-40B4-BE49-F238E27FC236}">
              <a16:creationId xmlns="" xmlns:a16="http://schemas.microsoft.com/office/drawing/2014/main" id="{00000000-0008-0000-0000-00004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4" name="Text Box 3082">
          <a:extLst>
            <a:ext uri="{FF2B5EF4-FFF2-40B4-BE49-F238E27FC236}">
              <a16:creationId xmlns="" xmlns:a16="http://schemas.microsoft.com/office/drawing/2014/main" id="{00000000-0008-0000-0000-00004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5" name="Text Box 3083">
          <a:extLst>
            <a:ext uri="{FF2B5EF4-FFF2-40B4-BE49-F238E27FC236}">
              <a16:creationId xmlns="" xmlns:a16="http://schemas.microsoft.com/office/drawing/2014/main" id="{00000000-0008-0000-0000-00004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6" name="Text Box 3084">
          <a:extLst>
            <a:ext uri="{FF2B5EF4-FFF2-40B4-BE49-F238E27FC236}">
              <a16:creationId xmlns="" xmlns:a16="http://schemas.microsoft.com/office/drawing/2014/main" id="{00000000-0008-0000-0000-00004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7" name="Text Box 3085">
          <a:extLst>
            <a:ext uri="{FF2B5EF4-FFF2-40B4-BE49-F238E27FC236}">
              <a16:creationId xmlns="" xmlns:a16="http://schemas.microsoft.com/office/drawing/2014/main" id="{00000000-0008-0000-0000-00004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8" name="Text Box 3086">
          <a:extLst>
            <a:ext uri="{FF2B5EF4-FFF2-40B4-BE49-F238E27FC236}">
              <a16:creationId xmlns="" xmlns:a16="http://schemas.microsoft.com/office/drawing/2014/main" id="{00000000-0008-0000-0000-00004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9" name="Text Box 3087">
          <a:extLst>
            <a:ext uri="{FF2B5EF4-FFF2-40B4-BE49-F238E27FC236}">
              <a16:creationId xmlns="" xmlns:a16="http://schemas.microsoft.com/office/drawing/2014/main" id="{00000000-0008-0000-0000-00004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0" name="Text Box 3088">
          <a:extLst>
            <a:ext uri="{FF2B5EF4-FFF2-40B4-BE49-F238E27FC236}">
              <a16:creationId xmlns="" xmlns:a16="http://schemas.microsoft.com/office/drawing/2014/main" id="{00000000-0008-0000-0000-00004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1" name="Text Box 3089">
          <a:extLst>
            <a:ext uri="{FF2B5EF4-FFF2-40B4-BE49-F238E27FC236}">
              <a16:creationId xmlns="" xmlns:a16="http://schemas.microsoft.com/office/drawing/2014/main" id="{00000000-0008-0000-0000-00004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2" name="Text Box 3090">
          <a:extLst>
            <a:ext uri="{FF2B5EF4-FFF2-40B4-BE49-F238E27FC236}">
              <a16:creationId xmlns="" xmlns:a16="http://schemas.microsoft.com/office/drawing/2014/main" id="{00000000-0008-0000-0000-00004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3" name="Text Box 3091">
          <a:extLst>
            <a:ext uri="{FF2B5EF4-FFF2-40B4-BE49-F238E27FC236}">
              <a16:creationId xmlns="" xmlns:a16="http://schemas.microsoft.com/office/drawing/2014/main" id="{00000000-0008-0000-0000-00004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4" name="Text Box 3092">
          <a:extLst>
            <a:ext uri="{FF2B5EF4-FFF2-40B4-BE49-F238E27FC236}">
              <a16:creationId xmlns="" xmlns:a16="http://schemas.microsoft.com/office/drawing/2014/main" id="{00000000-0008-0000-0000-00004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5" name="Text Box 3093">
          <a:extLst>
            <a:ext uri="{FF2B5EF4-FFF2-40B4-BE49-F238E27FC236}">
              <a16:creationId xmlns="" xmlns:a16="http://schemas.microsoft.com/office/drawing/2014/main" id="{00000000-0008-0000-0000-00004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6" name="Text Box 3094">
          <a:extLst>
            <a:ext uri="{FF2B5EF4-FFF2-40B4-BE49-F238E27FC236}">
              <a16:creationId xmlns="" xmlns:a16="http://schemas.microsoft.com/office/drawing/2014/main" id="{00000000-0008-0000-0000-00004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7" name="Text Box 3095">
          <a:extLst>
            <a:ext uri="{FF2B5EF4-FFF2-40B4-BE49-F238E27FC236}">
              <a16:creationId xmlns="" xmlns:a16="http://schemas.microsoft.com/office/drawing/2014/main" id="{00000000-0008-0000-0000-00004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8" name="Text Box 3096">
          <a:extLst>
            <a:ext uri="{FF2B5EF4-FFF2-40B4-BE49-F238E27FC236}">
              <a16:creationId xmlns="" xmlns:a16="http://schemas.microsoft.com/office/drawing/2014/main" id="{00000000-0008-0000-0000-00005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9" name="Text Box 3097">
          <a:extLst>
            <a:ext uri="{FF2B5EF4-FFF2-40B4-BE49-F238E27FC236}">
              <a16:creationId xmlns="" xmlns:a16="http://schemas.microsoft.com/office/drawing/2014/main" id="{00000000-0008-0000-0000-00005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0" name="Text Box 3098">
          <a:extLst>
            <a:ext uri="{FF2B5EF4-FFF2-40B4-BE49-F238E27FC236}">
              <a16:creationId xmlns="" xmlns:a16="http://schemas.microsoft.com/office/drawing/2014/main" id="{00000000-0008-0000-0000-00005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1" name="Text Box 3099">
          <a:extLst>
            <a:ext uri="{FF2B5EF4-FFF2-40B4-BE49-F238E27FC236}">
              <a16:creationId xmlns="" xmlns:a16="http://schemas.microsoft.com/office/drawing/2014/main" id="{00000000-0008-0000-0000-00005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2" name="Text Box 3100">
          <a:extLst>
            <a:ext uri="{FF2B5EF4-FFF2-40B4-BE49-F238E27FC236}">
              <a16:creationId xmlns="" xmlns:a16="http://schemas.microsoft.com/office/drawing/2014/main" id="{00000000-0008-0000-0000-00005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3" name="Text Box 3101">
          <a:extLst>
            <a:ext uri="{FF2B5EF4-FFF2-40B4-BE49-F238E27FC236}">
              <a16:creationId xmlns="" xmlns:a16="http://schemas.microsoft.com/office/drawing/2014/main" id="{00000000-0008-0000-0000-00005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534" name="Text Box 3102">
          <a:extLst>
            <a:ext uri="{FF2B5EF4-FFF2-40B4-BE49-F238E27FC236}">
              <a16:creationId xmlns="" xmlns:a16="http://schemas.microsoft.com/office/drawing/2014/main" id="{00000000-0008-0000-0000-00005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5" name="Text Box 59">
          <a:extLst>
            <a:ext uri="{FF2B5EF4-FFF2-40B4-BE49-F238E27FC236}">
              <a16:creationId xmlns="" xmlns:a16="http://schemas.microsoft.com/office/drawing/2014/main" id="{00000000-0008-0000-0000-00005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6" name="Text Box 60">
          <a:extLst>
            <a:ext uri="{FF2B5EF4-FFF2-40B4-BE49-F238E27FC236}">
              <a16:creationId xmlns="" xmlns:a16="http://schemas.microsoft.com/office/drawing/2014/main" id="{00000000-0008-0000-0000-00005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7" name="Text Box 61">
          <a:extLst>
            <a:ext uri="{FF2B5EF4-FFF2-40B4-BE49-F238E27FC236}">
              <a16:creationId xmlns="" xmlns:a16="http://schemas.microsoft.com/office/drawing/2014/main" id="{00000000-0008-0000-0000-00005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8" name="Text Box 62">
          <a:extLst>
            <a:ext uri="{FF2B5EF4-FFF2-40B4-BE49-F238E27FC236}">
              <a16:creationId xmlns="" xmlns:a16="http://schemas.microsoft.com/office/drawing/2014/main" id="{00000000-0008-0000-0000-00005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9" name="Text Box 63">
          <a:extLst>
            <a:ext uri="{FF2B5EF4-FFF2-40B4-BE49-F238E27FC236}">
              <a16:creationId xmlns="" xmlns:a16="http://schemas.microsoft.com/office/drawing/2014/main" id="{00000000-0008-0000-0000-00005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0" name="Text Box 64">
          <a:extLst>
            <a:ext uri="{FF2B5EF4-FFF2-40B4-BE49-F238E27FC236}">
              <a16:creationId xmlns="" xmlns:a16="http://schemas.microsoft.com/office/drawing/2014/main" id="{00000000-0008-0000-0000-00005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1" name="Text Box 65">
          <a:extLst>
            <a:ext uri="{FF2B5EF4-FFF2-40B4-BE49-F238E27FC236}">
              <a16:creationId xmlns="" xmlns:a16="http://schemas.microsoft.com/office/drawing/2014/main" id="{00000000-0008-0000-0000-00005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2" name="Text Box 66">
          <a:extLst>
            <a:ext uri="{FF2B5EF4-FFF2-40B4-BE49-F238E27FC236}">
              <a16:creationId xmlns="" xmlns:a16="http://schemas.microsoft.com/office/drawing/2014/main" id="{00000000-0008-0000-0000-00005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3" name="Text Box 67">
          <a:extLst>
            <a:ext uri="{FF2B5EF4-FFF2-40B4-BE49-F238E27FC236}">
              <a16:creationId xmlns="" xmlns:a16="http://schemas.microsoft.com/office/drawing/2014/main" id="{00000000-0008-0000-0000-00005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4" name="Text Box 68">
          <a:extLst>
            <a:ext uri="{FF2B5EF4-FFF2-40B4-BE49-F238E27FC236}">
              <a16:creationId xmlns="" xmlns:a16="http://schemas.microsoft.com/office/drawing/2014/main" id="{00000000-0008-0000-0000-00006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5" name="Text Box 69">
          <a:extLst>
            <a:ext uri="{FF2B5EF4-FFF2-40B4-BE49-F238E27FC236}">
              <a16:creationId xmlns="" xmlns:a16="http://schemas.microsoft.com/office/drawing/2014/main" id="{00000000-0008-0000-0000-00006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6" name="Text Box 70">
          <a:extLst>
            <a:ext uri="{FF2B5EF4-FFF2-40B4-BE49-F238E27FC236}">
              <a16:creationId xmlns="" xmlns:a16="http://schemas.microsoft.com/office/drawing/2014/main" id="{00000000-0008-0000-0000-00006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7" name="Text Box 71">
          <a:extLst>
            <a:ext uri="{FF2B5EF4-FFF2-40B4-BE49-F238E27FC236}">
              <a16:creationId xmlns="" xmlns:a16="http://schemas.microsoft.com/office/drawing/2014/main" id="{00000000-0008-0000-0000-00006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8" name="Text Box 72">
          <a:extLst>
            <a:ext uri="{FF2B5EF4-FFF2-40B4-BE49-F238E27FC236}">
              <a16:creationId xmlns="" xmlns:a16="http://schemas.microsoft.com/office/drawing/2014/main" id="{00000000-0008-0000-0000-00006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9" name="Text Box 73">
          <a:extLst>
            <a:ext uri="{FF2B5EF4-FFF2-40B4-BE49-F238E27FC236}">
              <a16:creationId xmlns="" xmlns:a16="http://schemas.microsoft.com/office/drawing/2014/main" id="{00000000-0008-0000-0000-00006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0" name="Text Box 74">
          <a:extLst>
            <a:ext uri="{FF2B5EF4-FFF2-40B4-BE49-F238E27FC236}">
              <a16:creationId xmlns="" xmlns:a16="http://schemas.microsoft.com/office/drawing/2014/main" id="{00000000-0008-0000-0000-00006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1" name="Text Box 75">
          <a:extLst>
            <a:ext uri="{FF2B5EF4-FFF2-40B4-BE49-F238E27FC236}">
              <a16:creationId xmlns="" xmlns:a16="http://schemas.microsoft.com/office/drawing/2014/main" id="{00000000-0008-0000-0000-00006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2" name="Text Box 76">
          <a:extLst>
            <a:ext uri="{FF2B5EF4-FFF2-40B4-BE49-F238E27FC236}">
              <a16:creationId xmlns="" xmlns:a16="http://schemas.microsoft.com/office/drawing/2014/main" id="{00000000-0008-0000-0000-00006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3" name="Text Box 77">
          <a:extLst>
            <a:ext uri="{FF2B5EF4-FFF2-40B4-BE49-F238E27FC236}">
              <a16:creationId xmlns="" xmlns:a16="http://schemas.microsoft.com/office/drawing/2014/main" id="{00000000-0008-0000-0000-00006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4" name="Text Box 78">
          <a:extLst>
            <a:ext uri="{FF2B5EF4-FFF2-40B4-BE49-F238E27FC236}">
              <a16:creationId xmlns="" xmlns:a16="http://schemas.microsoft.com/office/drawing/2014/main" id="{00000000-0008-0000-0000-00006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5" name="Text Box 79">
          <a:extLst>
            <a:ext uri="{FF2B5EF4-FFF2-40B4-BE49-F238E27FC236}">
              <a16:creationId xmlns="" xmlns:a16="http://schemas.microsoft.com/office/drawing/2014/main" id="{00000000-0008-0000-0000-00006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6" name="Text Box 80">
          <a:extLst>
            <a:ext uri="{FF2B5EF4-FFF2-40B4-BE49-F238E27FC236}">
              <a16:creationId xmlns="" xmlns:a16="http://schemas.microsoft.com/office/drawing/2014/main" id="{00000000-0008-0000-0000-00006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7" name="Text Box 81">
          <a:extLst>
            <a:ext uri="{FF2B5EF4-FFF2-40B4-BE49-F238E27FC236}">
              <a16:creationId xmlns="" xmlns:a16="http://schemas.microsoft.com/office/drawing/2014/main" id="{00000000-0008-0000-0000-00006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558" name="Text Box 82">
          <a:extLst>
            <a:ext uri="{FF2B5EF4-FFF2-40B4-BE49-F238E27FC236}">
              <a16:creationId xmlns="" xmlns:a16="http://schemas.microsoft.com/office/drawing/2014/main" id="{00000000-0008-0000-0000-00006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59" name="Text Box 3079">
          <a:extLst>
            <a:ext uri="{FF2B5EF4-FFF2-40B4-BE49-F238E27FC236}">
              <a16:creationId xmlns="" xmlns:a16="http://schemas.microsoft.com/office/drawing/2014/main" id="{00000000-0008-0000-0000-00006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0" name="Text Box 3080">
          <a:extLst>
            <a:ext uri="{FF2B5EF4-FFF2-40B4-BE49-F238E27FC236}">
              <a16:creationId xmlns="" xmlns:a16="http://schemas.microsoft.com/office/drawing/2014/main" id="{00000000-0008-0000-0000-00007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1" name="Text Box 3081">
          <a:extLst>
            <a:ext uri="{FF2B5EF4-FFF2-40B4-BE49-F238E27FC236}">
              <a16:creationId xmlns="" xmlns:a16="http://schemas.microsoft.com/office/drawing/2014/main" id="{00000000-0008-0000-0000-00007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2" name="Text Box 3082">
          <a:extLst>
            <a:ext uri="{FF2B5EF4-FFF2-40B4-BE49-F238E27FC236}">
              <a16:creationId xmlns="" xmlns:a16="http://schemas.microsoft.com/office/drawing/2014/main" id="{00000000-0008-0000-0000-00007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3" name="Text Box 3083">
          <a:extLst>
            <a:ext uri="{FF2B5EF4-FFF2-40B4-BE49-F238E27FC236}">
              <a16:creationId xmlns="" xmlns:a16="http://schemas.microsoft.com/office/drawing/2014/main" id="{00000000-0008-0000-0000-00007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4" name="Text Box 3084">
          <a:extLst>
            <a:ext uri="{FF2B5EF4-FFF2-40B4-BE49-F238E27FC236}">
              <a16:creationId xmlns="" xmlns:a16="http://schemas.microsoft.com/office/drawing/2014/main" id="{00000000-0008-0000-0000-00007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5" name="Text Box 3085">
          <a:extLst>
            <a:ext uri="{FF2B5EF4-FFF2-40B4-BE49-F238E27FC236}">
              <a16:creationId xmlns="" xmlns:a16="http://schemas.microsoft.com/office/drawing/2014/main" id="{00000000-0008-0000-0000-00007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6" name="Text Box 3086">
          <a:extLst>
            <a:ext uri="{FF2B5EF4-FFF2-40B4-BE49-F238E27FC236}">
              <a16:creationId xmlns="" xmlns:a16="http://schemas.microsoft.com/office/drawing/2014/main" id="{00000000-0008-0000-0000-00007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7" name="Text Box 3087">
          <a:extLst>
            <a:ext uri="{FF2B5EF4-FFF2-40B4-BE49-F238E27FC236}">
              <a16:creationId xmlns="" xmlns:a16="http://schemas.microsoft.com/office/drawing/2014/main" id="{00000000-0008-0000-0000-00007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8" name="Text Box 3088">
          <a:extLst>
            <a:ext uri="{FF2B5EF4-FFF2-40B4-BE49-F238E27FC236}">
              <a16:creationId xmlns="" xmlns:a16="http://schemas.microsoft.com/office/drawing/2014/main" id="{00000000-0008-0000-0000-00007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9" name="Text Box 3089">
          <a:extLst>
            <a:ext uri="{FF2B5EF4-FFF2-40B4-BE49-F238E27FC236}">
              <a16:creationId xmlns="" xmlns:a16="http://schemas.microsoft.com/office/drawing/2014/main" id="{00000000-0008-0000-0000-00007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0" name="Text Box 3090">
          <a:extLst>
            <a:ext uri="{FF2B5EF4-FFF2-40B4-BE49-F238E27FC236}">
              <a16:creationId xmlns="" xmlns:a16="http://schemas.microsoft.com/office/drawing/2014/main" id="{00000000-0008-0000-0000-00007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1" name="Text Box 3091">
          <a:extLst>
            <a:ext uri="{FF2B5EF4-FFF2-40B4-BE49-F238E27FC236}">
              <a16:creationId xmlns="" xmlns:a16="http://schemas.microsoft.com/office/drawing/2014/main" id="{00000000-0008-0000-0000-00007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2" name="Text Box 3092">
          <a:extLst>
            <a:ext uri="{FF2B5EF4-FFF2-40B4-BE49-F238E27FC236}">
              <a16:creationId xmlns="" xmlns:a16="http://schemas.microsoft.com/office/drawing/2014/main" id="{00000000-0008-0000-0000-00007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3" name="Text Box 3093">
          <a:extLst>
            <a:ext uri="{FF2B5EF4-FFF2-40B4-BE49-F238E27FC236}">
              <a16:creationId xmlns="" xmlns:a16="http://schemas.microsoft.com/office/drawing/2014/main" id="{00000000-0008-0000-0000-00007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4" name="Text Box 3094">
          <a:extLst>
            <a:ext uri="{FF2B5EF4-FFF2-40B4-BE49-F238E27FC236}">
              <a16:creationId xmlns="" xmlns:a16="http://schemas.microsoft.com/office/drawing/2014/main" id="{00000000-0008-0000-0000-00007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5" name="Text Box 3095">
          <a:extLst>
            <a:ext uri="{FF2B5EF4-FFF2-40B4-BE49-F238E27FC236}">
              <a16:creationId xmlns="" xmlns:a16="http://schemas.microsoft.com/office/drawing/2014/main" id="{00000000-0008-0000-0000-00007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6" name="Text Box 3096">
          <a:extLst>
            <a:ext uri="{FF2B5EF4-FFF2-40B4-BE49-F238E27FC236}">
              <a16:creationId xmlns="" xmlns:a16="http://schemas.microsoft.com/office/drawing/2014/main" id="{00000000-0008-0000-0000-00008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7" name="Text Box 3097">
          <a:extLst>
            <a:ext uri="{FF2B5EF4-FFF2-40B4-BE49-F238E27FC236}">
              <a16:creationId xmlns="" xmlns:a16="http://schemas.microsoft.com/office/drawing/2014/main" id="{00000000-0008-0000-0000-00008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8" name="Text Box 3098">
          <a:extLst>
            <a:ext uri="{FF2B5EF4-FFF2-40B4-BE49-F238E27FC236}">
              <a16:creationId xmlns="" xmlns:a16="http://schemas.microsoft.com/office/drawing/2014/main" id="{00000000-0008-0000-0000-00008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9" name="Text Box 3099">
          <a:extLst>
            <a:ext uri="{FF2B5EF4-FFF2-40B4-BE49-F238E27FC236}">
              <a16:creationId xmlns="" xmlns:a16="http://schemas.microsoft.com/office/drawing/2014/main" id="{00000000-0008-0000-0000-00008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80" name="Text Box 3100">
          <a:extLst>
            <a:ext uri="{FF2B5EF4-FFF2-40B4-BE49-F238E27FC236}">
              <a16:creationId xmlns="" xmlns:a16="http://schemas.microsoft.com/office/drawing/2014/main" id="{00000000-0008-0000-0000-00008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81" name="Text Box 3101">
          <a:extLst>
            <a:ext uri="{FF2B5EF4-FFF2-40B4-BE49-F238E27FC236}">
              <a16:creationId xmlns="" xmlns:a16="http://schemas.microsoft.com/office/drawing/2014/main" id="{00000000-0008-0000-0000-00008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582" name="Text Box 3102">
          <a:extLst>
            <a:ext uri="{FF2B5EF4-FFF2-40B4-BE49-F238E27FC236}">
              <a16:creationId xmlns="" xmlns:a16="http://schemas.microsoft.com/office/drawing/2014/main" id="{00000000-0008-0000-0000-00008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3" name="Text Box 59">
          <a:extLst>
            <a:ext uri="{FF2B5EF4-FFF2-40B4-BE49-F238E27FC236}">
              <a16:creationId xmlns="" xmlns:a16="http://schemas.microsoft.com/office/drawing/2014/main" id="{00000000-0008-0000-0000-00008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4" name="Text Box 60">
          <a:extLst>
            <a:ext uri="{FF2B5EF4-FFF2-40B4-BE49-F238E27FC236}">
              <a16:creationId xmlns="" xmlns:a16="http://schemas.microsoft.com/office/drawing/2014/main" id="{00000000-0008-0000-0000-00008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5" name="Text Box 61">
          <a:extLst>
            <a:ext uri="{FF2B5EF4-FFF2-40B4-BE49-F238E27FC236}">
              <a16:creationId xmlns="" xmlns:a16="http://schemas.microsoft.com/office/drawing/2014/main" id="{00000000-0008-0000-0000-00008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6" name="Text Box 62">
          <a:extLst>
            <a:ext uri="{FF2B5EF4-FFF2-40B4-BE49-F238E27FC236}">
              <a16:creationId xmlns="" xmlns:a16="http://schemas.microsoft.com/office/drawing/2014/main" id="{00000000-0008-0000-0000-00008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7" name="Text Box 63">
          <a:extLst>
            <a:ext uri="{FF2B5EF4-FFF2-40B4-BE49-F238E27FC236}">
              <a16:creationId xmlns="" xmlns:a16="http://schemas.microsoft.com/office/drawing/2014/main" id="{00000000-0008-0000-0000-00008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8" name="Text Box 64">
          <a:extLst>
            <a:ext uri="{FF2B5EF4-FFF2-40B4-BE49-F238E27FC236}">
              <a16:creationId xmlns="" xmlns:a16="http://schemas.microsoft.com/office/drawing/2014/main" id="{00000000-0008-0000-0000-00008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9" name="Text Box 65">
          <a:extLst>
            <a:ext uri="{FF2B5EF4-FFF2-40B4-BE49-F238E27FC236}">
              <a16:creationId xmlns="" xmlns:a16="http://schemas.microsoft.com/office/drawing/2014/main" id="{00000000-0008-0000-0000-00008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0" name="Text Box 66">
          <a:extLst>
            <a:ext uri="{FF2B5EF4-FFF2-40B4-BE49-F238E27FC236}">
              <a16:creationId xmlns="" xmlns:a16="http://schemas.microsoft.com/office/drawing/2014/main" id="{00000000-0008-0000-0000-00008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1" name="Text Box 67">
          <a:extLst>
            <a:ext uri="{FF2B5EF4-FFF2-40B4-BE49-F238E27FC236}">
              <a16:creationId xmlns="" xmlns:a16="http://schemas.microsoft.com/office/drawing/2014/main" id="{00000000-0008-0000-0000-00008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2" name="Text Box 68">
          <a:extLst>
            <a:ext uri="{FF2B5EF4-FFF2-40B4-BE49-F238E27FC236}">
              <a16:creationId xmlns="" xmlns:a16="http://schemas.microsoft.com/office/drawing/2014/main" id="{00000000-0008-0000-0000-00009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3" name="Text Box 69">
          <a:extLst>
            <a:ext uri="{FF2B5EF4-FFF2-40B4-BE49-F238E27FC236}">
              <a16:creationId xmlns="" xmlns:a16="http://schemas.microsoft.com/office/drawing/2014/main" id="{00000000-0008-0000-0000-00009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4" name="Text Box 70">
          <a:extLst>
            <a:ext uri="{FF2B5EF4-FFF2-40B4-BE49-F238E27FC236}">
              <a16:creationId xmlns="" xmlns:a16="http://schemas.microsoft.com/office/drawing/2014/main" id="{00000000-0008-0000-0000-00009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5" name="Text Box 71">
          <a:extLst>
            <a:ext uri="{FF2B5EF4-FFF2-40B4-BE49-F238E27FC236}">
              <a16:creationId xmlns="" xmlns:a16="http://schemas.microsoft.com/office/drawing/2014/main" id="{00000000-0008-0000-0000-00009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6" name="Text Box 72">
          <a:extLst>
            <a:ext uri="{FF2B5EF4-FFF2-40B4-BE49-F238E27FC236}">
              <a16:creationId xmlns="" xmlns:a16="http://schemas.microsoft.com/office/drawing/2014/main" id="{00000000-0008-0000-0000-00009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7" name="Text Box 73">
          <a:extLst>
            <a:ext uri="{FF2B5EF4-FFF2-40B4-BE49-F238E27FC236}">
              <a16:creationId xmlns="" xmlns:a16="http://schemas.microsoft.com/office/drawing/2014/main" id="{00000000-0008-0000-0000-00009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8" name="Text Box 74">
          <a:extLst>
            <a:ext uri="{FF2B5EF4-FFF2-40B4-BE49-F238E27FC236}">
              <a16:creationId xmlns="" xmlns:a16="http://schemas.microsoft.com/office/drawing/2014/main" id="{00000000-0008-0000-0000-00009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9" name="Text Box 75">
          <a:extLst>
            <a:ext uri="{FF2B5EF4-FFF2-40B4-BE49-F238E27FC236}">
              <a16:creationId xmlns="" xmlns:a16="http://schemas.microsoft.com/office/drawing/2014/main" id="{00000000-0008-0000-0000-00009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0" name="Text Box 76">
          <a:extLst>
            <a:ext uri="{FF2B5EF4-FFF2-40B4-BE49-F238E27FC236}">
              <a16:creationId xmlns="" xmlns:a16="http://schemas.microsoft.com/office/drawing/2014/main" id="{00000000-0008-0000-0000-00009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1" name="Text Box 77">
          <a:extLst>
            <a:ext uri="{FF2B5EF4-FFF2-40B4-BE49-F238E27FC236}">
              <a16:creationId xmlns="" xmlns:a16="http://schemas.microsoft.com/office/drawing/2014/main" id="{00000000-0008-0000-0000-00009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2" name="Text Box 78">
          <a:extLst>
            <a:ext uri="{FF2B5EF4-FFF2-40B4-BE49-F238E27FC236}">
              <a16:creationId xmlns="" xmlns:a16="http://schemas.microsoft.com/office/drawing/2014/main" id="{00000000-0008-0000-0000-00009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3" name="Text Box 79">
          <a:extLst>
            <a:ext uri="{FF2B5EF4-FFF2-40B4-BE49-F238E27FC236}">
              <a16:creationId xmlns="" xmlns:a16="http://schemas.microsoft.com/office/drawing/2014/main" id="{00000000-0008-0000-0000-00009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4" name="Text Box 80">
          <a:extLst>
            <a:ext uri="{FF2B5EF4-FFF2-40B4-BE49-F238E27FC236}">
              <a16:creationId xmlns="" xmlns:a16="http://schemas.microsoft.com/office/drawing/2014/main" id="{00000000-0008-0000-0000-00009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5" name="Text Box 81">
          <a:extLst>
            <a:ext uri="{FF2B5EF4-FFF2-40B4-BE49-F238E27FC236}">
              <a16:creationId xmlns="" xmlns:a16="http://schemas.microsoft.com/office/drawing/2014/main" id="{00000000-0008-0000-0000-00009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6" name="Text Box 3079">
          <a:extLst>
            <a:ext uri="{FF2B5EF4-FFF2-40B4-BE49-F238E27FC236}">
              <a16:creationId xmlns="" xmlns:a16="http://schemas.microsoft.com/office/drawing/2014/main" id="{00000000-0008-0000-0000-00009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7" name="Text Box 3080">
          <a:extLst>
            <a:ext uri="{FF2B5EF4-FFF2-40B4-BE49-F238E27FC236}">
              <a16:creationId xmlns="" xmlns:a16="http://schemas.microsoft.com/office/drawing/2014/main" id="{00000000-0008-0000-0000-00009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8" name="Text Box 3081">
          <a:extLst>
            <a:ext uri="{FF2B5EF4-FFF2-40B4-BE49-F238E27FC236}">
              <a16:creationId xmlns="" xmlns:a16="http://schemas.microsoft.com/office/drawing/2014/main" id="{00000000-0008-0000-0000-0000A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9" name="Text Box 3082">
          <a:extLst>
            <a:ext uri="{FF2B5EF4-FFF2-40B4-BE49-F238E27FC236}">
              <a16:creationId xmlns="" xmlns:a16="http://schemas.microsoft.com/office/drawing/2014/main" id="{00000000-0008-0000-0000-0000A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0" name="Text Box 3083">
          <a:extLst>
            <a:ext uri="{FF2B5EF4-FFF2-40B4-BE49-F238E27FC236}">
              <a16:creationId xmlns="" xmlns:a16="http://schemas.microsoft.com/office/drawing/2014/main" id="{00000000-0008-0000-0000-0000A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1" name="Text Box 3084">
          <a:extLst>
            <a:ext uri="{FF2B5EF4-FFF2-40B4-BE49-F238E27FC236}">
              <a16:creationId xmlns="" xmlns:a16="http://schemas.microsoft.com/office/drawing/2014/main" id="{00000000-0008-0000-0000-0000A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2" name="Text Box 3085">
          <a:extLst>
            <a:ext uri="{FF2B5EF4-FFF2-40B4-BE49-F238E27FC236}">
              <a16:creationId xmlns="" xmlns:a16="http://schemas.microsoft.com/office/drawing/2014/main" id="{00000000-0008-0000-0000-0000A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3" name="Text Box 3086">
          <a:extLst>
            <a:ext uri="{FF2B5EF4-FFF2-40B4-BE49-F238E27FC236}">
              <a16:creationId xmlns="" xmlns:a16="http://schemas.microsoft.com/office/drawing/2014/main" id="{00000000-0008-0000-0000-0000A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4" name="Text Box 3087">
          <a:extLst>
            <a:ext uri="{FF2B5EF4-FFF2-40B4-BE49-F238E27FC236}">
              <a16:creationId xmlns="" xmlns:a16="http://schemas.microsoft.com/office/drawing/2014/main" id="{00000000-0008-0000-0000-0000A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5" name="Text Box 3088">
          <a:extLst>
            <a:ext uri="{FF2B5EF4-FFF2-40B4-BE49-F238E27FC236}">
              <a16:creationId xmlns="" xmlns:a16="http://schemas.microsoft.com/office/drawing/2014/main" id="{00000000-0008-0000-0000-0000A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6" name="Text Box 3089">
          <a:extLst>
            <a:ext uri="{FF2B5EF4-FFF2-40B4-BE49-F238E27FC236}">
              <a16:creationId xmlns="" xmlns:a16="http://schemas.microsoft.com/office/drawing/2014/main" id="{00000000-0008-0000-0000-0000A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7" name="Text Box 3090">
          <a:extLst>
            <a:ext uri="{FF2B5EF4-FFF2-40B4-BE49-F238E27FC236}">
              <a16:creationId xmlns="" xmlns:a16="http://schemas.microsoft.com/office/drawing/2014/main" id="{00000000-0008-0000-0000-0000A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8" name="Text Box 3091">
          <a:extLst>
            <a:ext uri="{FF2B5EF4-FFF2-40B4-BE49-F238E27FC236}">
              <a16:creationId xmlns="" xmlns:a16="http://schemas.microsoft.com/office/drawing/2014/main" id="{00000000-0008-0000-0000-0000A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9" name="Text Box 3092">
          <a:extLst>
            <a:ext uri="{FF2B5EF4-FFF2-40B4-BE49-F238E27FC236}">
              <a16:creationId xmlns="" xmlns:a16="http://schemas.microsoft.com/office/drawing/2014/main" id="{00000000-0008-0000-0000-0000A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0" name="Text Box 3093">
          <a:extLst>
            <a:ext uri="{FF2B5EF4-FFF2-40B4-BE49-F238E27FC236}">
              <a16:creationId xmlns="" xmlns:a16="http://schemas.microsoft.com/office/drawing/2014/main" id="{00000000-0008-0000-0000-0000A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1" name="Text Box 3094">
          <a:extLst>
            <a:ext uri="{FF2B5EF4-FFF2-40B4-BE49-F238E27FC236}">
              <a16:creationId xmlns="" xmlns:a16="http://schemas.microsoft.com/office/drawing/2014/main" id="{00000000-0008-0000-0000-0000A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2" name="Text Box 3095">
          <a:extLst>
            <a:ext uri="{FF2B5EF4-FFF2-40B4-BE49-F238E27FC236}">
              <a16:creationId xmlns="" xmlns:a16="http://schemas.microsoft.com/office/drawing/2014/main" id="{00000000-0008-0000-0000-0000A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3" name="Text Box 3096">
          <a:extLst>
            <a:ext uri="{FF2B5EF4-FFF2-40B4-BE49-F238E27FC236}">
              <a16:creationId xmlns="" xmlns:a16="http://schemas.microsoft.com/office/drawing/2014/main" id="{00000000-0008-0000-0000-0000A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4" name="Text Box 3097">
          <a:extLst>
            <a:ext uri="{FF2B5EF4-FFF2-40B4-BE49-F238E27FC236}">
              <a16:creationId xmlns="" xmlns:a16="http://schemas.microsoft.com/office/drawing/2014/main" id="{00000000-0008-0000-0000-0000B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5" name="Text Box 3098">
          <a:extLst>
            <a:ext uri="{FF2B5EF4-FFF2-40B4-BE49-F238E27FC236}">
              <a16:creationId xmlns="" xmlns:a16="http://schemas.microsoft.com/office/drawing/2014/main" id="{00000000-0008-0000-0000-0000B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6" name="Text Box 3099">
          <a:extLst>
            <a:ext uri="{FF2B5EF4-FFF2-40B4-BE49-F238E27FC236}">
              <a16:creationId xmlns="" xmlns:a16="http://schemas.microsoft.com/office/drawing/2014/main" id="{00000000-0008-0000-0000-0000B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7" name="Text Box 3100">
          <a:extLst>
            <a:ext uri="{FF2B5EF4-FFF2-40B4-BE49-F238E27FC236}">
              <a16:creationId xmlns="" xmlns:a16="http://schemas.microsoft.com/office/drawing/2014/main" id="{00000000-0008-0000-0000-0000B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8" name="Text Box 3101">
          <a:extLst>
            <a:ext uri="{FF2B5EF4-FFF2-40B4-BE49-F238E27FC236}">
              <a16:creationId xmlns="" xmlns:a16="http://schemas.microsoft.com/office/drawing/2014/main" id="{00000000-0008-0000-0000-0000B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629" name="Text Box 3102">
          <a:extLst>
            <a:ext uri="{FF2B5EF4-FFF2-40B4-BE49-F238E27FC236}">
              <a16:creationId xmlns="" xmlns:a16="http://schemas.microsoft.com/office/drawing/2014/main" id="{00000000-0008-0000-0000-0000B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0" name="Text Box 59">
          <a:extLst>
            <a:ext uri="{FF2B5EF4-FFF2-40B4-BE49-F238E27FC236}">
              <a16:creationId xmlns="" xmlns:a16="http://schemas.microsoft.com/office/drawing/2014/main" id="{00000000-0008-0000-0000-0000B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1" name="Text Box 60">
          <a:extLst>
            <a:ext uri="{FF2B5EF4-FFF2-40B4-BE49-F238E27FC236}">
              <a16:creationId xmlns="" xmlns:a16="http://schemas.microsoft.com/office/drawing/2014/main" id="{00000000-0008-0000-0000-0000B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2" name="Text Box 61">
          <a:extLst>
            <a:ext uri="{FF2B5EF4-FFF2-40B4-BE49-F238E27FC236}">
              <a16:creationId xmlns="" xmlns:a16="http://schemas.microsoft.com/office/drawing/2014/main" id="{00000000-0008-0000-0000-0000B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3" name="Text Box 62">
          <a:extLst>
            <a:ext uri="{FF2B5EF4-FFF2-40B4-BE49-F238E27FC236}">
              <a16:creationId xmlns="" xmlns:a16="http://schemas.microsoft.com/office/drawing/2014/main" id="{00000000-0008-0000-0000-0000B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4" name="Text Box 63">
          <a:extLst>
            <a:ext uri="{FF2B5EF4-FFF2-40B4-BE49-F238E27FC236}">
              <a16:creationId xmlns="" xmlns:a16="http://schemas.microsoft.com/office/drawing/2014/main" id="{00000000-0008-0000-0000-0000B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5" name="Text Box 64">
          <a:extLst>
            <a:ext uri="{FF2B5EF4-FFF2-40B4-BE49-F238E27FC236}">
              <a16:creationId xmlns="" xmlns:a16="http://schemas.microsoft.com/office/drawing/2014/main" id="{00000000-0008-0000-0000-0000B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6" name="Text Box 65">
          <a:extLst>
            <a:ext uri="{FF2B5EF4-FFF2-40B4-BE49-F238E27FC236}">
              <a16:creationId xmlns="" xmlns:a16="http://schemas.microsoft.com/office/drawing/2014/main" id="{00000000-0008-0000-0000-0000B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7" name="Text Box 66">
          <a:extLst>
            <a:ext uri="{FF2B5EF4-FFF2-40B4-BE49-F238E27FC236}">
              <a16:creationId xmlns="" xmlns:a16="http://schemas.microsoft.com/office/drawing/2014/main" id="{00000000-0008-0000-0000-0000B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8" name="Text Box 67">
          <a:extLst>
            <a:ext uri="{FF2B5EF4-FFF2-40B4-BE49-F238E27FC236}">
              <a16:creationId xmlns="" xmlns:a16="http://schemas.microsoft.com/office/drawing/2014/main" id="{00000000-0008-0000-0000-0000B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9" name="Text Box 68">
          <a:extLst>
            <a:ext uri="{FF2B5EF4-FFF2-40B4-BE49-F238E27FC236}">
              <a16:creationId xmlns="" xmlns:a16="http://schemas.microsoft.com/office/drawing/2014/main" id="{00000000-0008-0000-0000-0000B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0" name="Text Box 69">
          <a:extLst>
            <a:ext uri="{FF2B5EF4-FFF2-40B4-BE49-F238E27FC236}">
              <a16:creationId xmlns="" xmlns:a16="http://schemas.microsoft.com/office/drawing/2014/main" id="{00000000-0008-0000-0000-0000C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1" name="Text Box 70">
          <a:extLst>
            <a:ext uri="{FF2B5EF4-FFF2-40B4-BE49-F238E27FC236}">
              <a16:creationId xmlns="" xmlns:a16="http://schemas.microsoft.com/office/drawing/2014/main" id="{00000000-0008-0000-0000-0000C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2" name="Text Box 71">
          <a:extLst>
            <a:ext uri="{FF2B5EF4-FFF2-40B4-BE49-F238E27FC236}">
              <a16:creationId xmlns="" xmlns:a16="http://schemas.microsoft.com/office/drawing/2014/main" id="{00000000-0008-0000-0000-0000C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3" name="Text Box 72">
          <a:extLst>
            <a:ext uri="{FF2B5EF4-FFF2-40B4-BE49-F238E27FC236}">
              <a16:creationId xmlns="" xmlns:a16="http://schemas.microsoft.com/office/drawing/2014/main" id="{00000000-0008-0000-0000-0000C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4" name="Text Box 73">
          <a:extLst>
            <a:ext uri="{FF2B5EF4-FFF2-40B4-BE49-F238E27FC236}">
              <a16:creationId xmlns="" xmlns:a16="http://schemas.microsoft.com/office/drawing/2014/main" id="{00000000-0008-0000-0000-0000C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5" name="Text Box 74">
          <a:extLst>
            <a:ext uri="{FF2B5EF4-FFF2-40B4-BE49-F238E27FC236}">
              <a16:creationId xmlns="" xmlns:a16="http://schemas.microsoft.com/office/drawing/2014/main" id="{00000000-0008-0000-0000-0000C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6" name="Text Box 75">
          <a:extLst>
            <a:ext uri="{FF2B5EF4-FFF2-40B4-BE49-F238E27FC236}">
              <a16:creationId xmlns="" xmlns:a16="http://schemas.microsoft.com/office/drawing/2014/main" id="{00000000-0008-0000-0000-0000C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7" name="Text Box 76">
          <a:extLst>
            <a:ext uri="{FF2B5EF4-FFF2-40B4-BE49-F238E27FC236}">
              <a16:creationId xmlns="" xmlns:a16="http://schemas.microsoft.com/office/drawing/2014/main" id="{00000000-0008-0000-0000-0000C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8" name="Text Box 77">
          <a:extLst>
            <a:ext uri="{FF2B5EF4-FFF2-40B4-BE49-F238E27FC236}">
              <a16:creationId xmlns="" xmlns:a16="http://schemas.microsoft.com/office/drawing/2014/main" id="{00000000-0008-0000-0000-0000C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9" name="Text Box 78">
          <a:extLst>
            <a:ext uri="{FF2B5EF4-FFF2-40B4-BE49-F238E27FC236}">
              <a16:creationId xmlns="" xmlns:a16="http://schemas.microsoft.com/office/drawing/2014/main" id="{00000000-0008-0000-0000-0000C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0" name="Text Box 79">
          <a:extLst>
            <a:ext uri="{FF2B5EF4-FFF2-40B4-BE49-F238E27FC236}">
              <a16:creationId xmlns="" xmlns:a16="http://schemas.microsoft.com/office/drawing/2014/main" id="{00000000-0008-0000-0000-0000C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1" name="Text Box 80">
          <a:extLst>
            <a:ext uri="{FF2B5EF4-FFF2-40B4-BE49-F238E27FC236}">
              <a16:creationId xmlns="" xmlns:a16="http://schemas.microsoft.com/office/drawing/2014/main" id="{00000000-0008-0000-0000-0000C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2" name="Text Box 81">
          <a:extLst>
            <a:ext uri="{FF2B5EF4-FFF2-40B4-BE49-F238E27FC236}">
              <a16:creationId xmlns="" xmlns:a16="http://schemas.microsoft.com/office/drawing/2014/main" id="{00000000-0008-0000-0000-0000C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653" name="Text Box 82">
          <a:extLst>
            <a:ext uri="{FF2B5EF4-FFF2-40B4-BE49-F238E27FC236}">
              <a16:creationId xmlns="" xmlns:a16="http://schemas.microsoft.com/office/drawing/2014/main" id="{00000000-0008-0000-0000-0000C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4" name="Text Box 3079">
          <a:extLst>
            <a:ext uri="{FF2B5EF4-FFF2-40B4-BE49-F238E27FC236}">
              <a16:creationId xmlns="" xmlns:a16="http://schemas.microsoft.com/office/drawing/2014/main" id="{00000000-0008-0000-0000-0000C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5" name="Text Box 3080">
          <a:extLst>
            <a:ext uri="{FF2B5EF4-FFF2-40B4-BE49-F238E27FC236}">
              <a16:creationId xmlns="" xmlns:a16="http://schemas.microsoft.com/office/drawing/2014/main" id="{00000000-0008-0000-0000-0000C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6" name="Text Box 3081">
          <a:extLst>
            <a:ext uri="{FF2B5EF4-FFF2-40B4-BE49-F238E27FC236}">
              <a16:creationId xmlns="" xmlns:a16="http://schemas.microsoft.com/office/drawing/2014/main" id="{00000000-0008-0000-0000-0000D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7" name="Text Box 3082">
          <a:extLst>
            <a:ext uri="{FF2B5EF4-FFF2-40B4-BE49-F238E27FC236}">
              <a16:creationId xmlns="" xmlns:a16="http://schemas.microsoft.com/office/drawing/2014/main" id="{00000000-0008-0000-0000-0000D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8" name="Text Box 3083">
          <a:extLst>
            <a:ext uri="{FF2B5EF4-FFF2-40B4-BE49-F238E27FC236}">
              <a16:creationId xmlns="" xmlns:a16="http://schemas.microsoft.com/office/drawing/2014/main" id="{00000000-0008-0000-0000-0000D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9" name="Text Box 3084">
          <a:extLst>
            <a:ext uri="{FF2B5EF4-FFF2-40B4-BE49-F238E27FC236}">
              <a16:creationId xmlns="" xmlns:a16="http://schemas.microsoft.com/office/drawing/2014/main" id="{00000000-0008-0000-0000-0000D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0" name="Text Box 3085">
          <a:extLst>
            <a:ext uri="{FF2B5EF4-FFF2-40B4-BE49-F238E27FC236}">
              <a16:creationId xmlns="" xmlns:a16="http://schemas.microsoft.com/office/drawing/2014/main" id="{00000000-0008-0000-0000-0000D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1" name="Text Box 3086">
          <a:extLst>
            <a:ext uri="{FF2B5EF4-FFF2-40B4-BE49-F238E27FC236}">
              <a16:creationId xmlns="" xmlns:a16="http://schemas.microsoft.com/office/drawing/2014/main" id="{00000000-0008-0000-0000-0000D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2" name="Text Box 3087">
          <a:extLst>
            <a:ext uri="{FF2B5EF4-FFF2-40B4-BE49-F238E27FC236}">
              <a16:creationId xmlns="" xmlns:a16="http://schemas.microsoft.com/office/drawing/2014/main" id="{00000000-0008-0000-0000-0000D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3" name="Text Box 3088">
          <a:extLst>
            <a:ext uri="{FF2B5EF4-FFF2-40B4-BE49-F238E27FC236}">
              <a16:creationId xmlns="" xmlns:a16="http://schemas.microsoft.com/office/drawing/2014/main" id="{00000000-0008-0000-0000-0000D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4" name="Text Box 3089">
          <a:extLst>
            <a:ext uri="{FF2B5EF4-FFF2-40B4-BE49-F238E27FC236}">
              <a16:creationId xmlns="" xmlns:a16="http://schemas.microsoft.com/office/drawing/2014/main" id="{00000000-0008-0000-0000-0000D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5" name="Text Box 3090">
          <a:extLst>
            <a:ext uri="{FF2B5EF4-FFF2-40B4-BE49-F238E27FC236}">
              <a16:creationId xmlns="" xmlns:a16="http://schemas.microsoft.com/office/drawing/2014/main" id="{00000000-0008-0000-0000-0000D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6" name="Text Box 3091">
          <a:extLst>
            <a:ext uri="{FF2B5EF4-FFF2-40B4-BE49-F238E27FC236}">
              <a16:creationId xmlns="" xmlns:a16="http://schemas.microsoft.com/office/drawing/2014/main" id="{00000000-0008-0000-0000-0000D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7" name="Text Box 3092">
          <a:extLst>
            <a:ext uri="{FF2B5EF4-FFF2-40B4-BE49-F238E27FC236}">
              <a16:creationId xmlns="" xmlns:a16="http://schemas.microsoft.com/office/drawing/2014/main" id="{00000000-0008-0000-0000-0000D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8" name="Text Box 3093">
          <a:extLst>
            <a:ext uri="{FF2B5EF4-FFF2-40B4-BE49-F238E27FC236}">
              <a16:creationId xmlns="" xmlns:a16="http://schemas.microsoft.com/office/drawing/2014/main" id="{00000000-0008-0000-0000-0000D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9" name="Text Box 3094">
          <a:extLst>
            <a:ext uri="{FF2B5EF4-FFF2-40B4-BE49-F238E27FC236}">
              <a16:creationId xmlns="" xmlns:a16="http://schemas.microsoft.com/office/drawing/2014/main" id="{00000000-0008-0000-0000-0000D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0" name="Text Box 3095">
          <a:extLst>
            <a:ext uri="{FF2B5EF4-FFF2-40B4-BE49-F238E27FC236}">
              <a16:creationId xmlns="" xmlns:a16="http://schemas.microsoft.com/office/drawing/2014/main" id="{00000000-0008-0000-0000-0000D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1" name="Text Box 3096">
          <a:extLst>
            <a:ext uri="{FF2B5EF4-FFF2-40B4-BE49-F238E27FC236}">
              <a16:creationId xmlns="" xmlns:a16="http://schemas.microsoft.com/office/drawing/2014/main" id="{00000000-0008-0000-0000-0000D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2" name="Text Box 3097">
          <a:extLst>
            <a:ext uri="{FF2B5EF4-FFF2-40B4-BE49-F238E27FC236}">
              <a16:creationId xmlns="" xmlns:a16="http://schemas.microsoft.com/office/drawing/2014/main" id="{00000000-0008-0000-0000-0000E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3" name="Text Box 3098">
          <a:extLst>
            <a:ext uri="{FF2B5EF4-FFF2-40B4-BE49-F238E27FC236}">
              <a16:creationId xmlns="" xmlns:a16="http://schemas.microsoft.com/office/drawing/2014/main" id="{00000000-0008-0000-0000-0000E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4" name="Text Box 3099">
          <a:extLst>
            <a:ext uri="{FF2B5EF4-FFF2-40B4-BE49-F238E27FC236}">
              <a16:creationId xmlns="" xmlns:a16="http://schemas.microsoft.com/office/drawing/2014/main" id="{00000000-0008-0000-0000-0000E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5" name="Text Box 3100">
          <a:extLst>
            <a:ext uri="{FF2B5EF4-FFF2-40B4-BE49-F238E27FC236}">
              <a16:creationId xmlns="" xmlns:a16="http://schemas.microsoft.com/office/drawing/2014/main" id="{00000000-0008-0000-0000-0000E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6" name="Text Box 3101">
          <a:extLst>
            <a:ext uri="{FF2B5EF4-FFF2-40B4-BE49-F238E27FC236}">
              <a16:creationId xmlns="" xmlns:a16="http://schemas.microsoft.com/office/drawing/2014/main" id="{00000000-0008-0000-0000-0000E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677" name="Text Box 3102">
          <a:extLst>
            <a:ext uri="{FF2B5EF4-FFF2-40B4-BE49-F238E27FC236}">
              <a16:creationId xmlns="" xmlns:a16="http://schemas.microsoft.com/office/drawing/2014/main" id="{00000000-0008-0000-0000-0000E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78" name="Text Box 59">
          <a:extLst>
            <a:ext uri="{FF2B5EF4-FFF2-40B4-BE49-F238E27FC236}">
              <a16:creationId xmlns="" xmlns:a16="http://schemas.microsoft.com/office/drawing/2014/main" id="{00000000-0008-0000-0000-0000E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79" name="Text Box 60">
          <a:extLst>
            <a:ext uri="{FF2B5EF4-FFF2-40B4-BE49-F238E27FC236}">
              <a16:creationId xmlns="" xmlns:a16="http://schemas.microsoft.com/office/drawing/2014/main" id="{00000000-0008-0000-0000-0000E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0" name="Text Box 61">
          <a:extLst>
            <a:ext uri="{FF2B5EF4-FFF2-40B4-BE49-F238E27FC236}">
              <a16:creationId xmlns="" xmlns:a16="http://schemas.microsoft.com/office/drawing/2014/main" id="{00000000-0008-0000-0000-0000E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1" name="Text Box 62">
          <a:extLst>
            <a:ext uri="{FF2B5EF4-FFF2-40B4-BE49-F238E27FC236}">
              <a16:creationId xmlns="" xmlns:a16="http://schemas.microsoft.com/office/drawing/2014/main" id="{00000000-0008-0000-0000-0000E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2" name="Text Box 63">
          <a:extLst>
            <a:ext uri="{FF2B5EF4-FFF2-40B4-BE49-F238E27FC236}">
              <a16:creationId xmlns="" xmlns:a16="http://schemas.microsoft.com/office/drawing/2014/main" id="{00000000-0008-0000-0000-0000E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3" name="Text Box 64">
          <a:extLst>
            <a:ext uri="{FF2B5EF4-FFF2-40B4-BE49-F238E27FC236}">
              <a16:creationId xmlns="" xmlns:a16="http://schemas.microsoft.com/office/drawing/2014/main" id="{00000000-0008-0000-0000-0000E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4" name="Text Box 65">
          <a:extLst>
            <a:ext uri="{FF2B5EF4-FFF2-40B4-BE49-F238E27FC236}">
              <a16:creationId xmlns="" xmlns:a16="http://schemas.microsoft.com/office/drawing/2014/main" id="{00000000-0008-0000-0000-0000E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5" name="Text Box 66">
          <a:extLst>
            <a:ext uri="{FF2B5EF4-FFF2-40B4-BE49-F238E27FC236}">
              <a16:creationId xmlns="" xmlns:a16="http://schemas.microsoft.com/office/drawing/2014/main" id="{00000000-0008-0000-0000-0000E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6" name="Text Box 67">
          <a:extLst>
            <a:ext uri="{FF2B5EF4-FFF2-40B4-BE49-F238E27FC236}">
              <a16:creationId xmlns="" xmlns:a16="http://schemas.microsoft.com/office/drawing/2014/main" id="{00000000-0008-0000-0000-0000E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7" name="Text Box 68">
          <a:extLst>
            <a:ext uri="{FF2B5EF4-FFF2-40B4-BE49-F238E27FC236}">
              <a16:creationId xmlns="" xmlns:a16="http://schemas.microsoft.com/office/drawing/2014/main" id="{00000000-0008-0000-0000-0000E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8" name="Text Box 69">
          <a:extLst>
            <a:ext uri="{FF2B5EF4-FFF2-40B4-BE49-F238E27FC236}">
              <a16:creationId xmlns="" xmlns:a16="http://schemas.microsoft.com/office/drawing/2014/main" id="{00000000-0008-0000-0000-0000F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9" name="Text Box 70">
          <a:extLst>
            <a:ext uri="{FF2B5EF4-FFF2-40B4-BE49-F238E27FC236}">
              <a16:creationId xmlns="" xmlns:a16="http://schemas.microsoft.com/office/drawing/2014/main" id="{00000000-0008-0000-0000-0000F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0" name="Text Box 71">
          <a:extLst>
            <a:ext uri="{FF2B5EF4-FFF2-40B4-BE49-F238E27FC236}">
              <a16:creationId xmlns="" xmlns:a16="http://schemas.microsoft.com/office/drawing/2014/main" id="{00000000-0008-0000-0000-0000F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1" name="Text Box 72">
          <a:extLst>
            <a:ext uri="{FF2B5EF4-FFF2-40B4-BE49-F238E27FC236}">
              <a16:creationId xmlns="" xmlns:a16="http://schemas.microsoft.com/office/drawing/2014/main" id="{00000000-0008-0000-0000-0000F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2" name="Text Box 73">
          <a:extLst>
            <a:ext uri="{FF2B5EF4-FFF2-40B4-BE49-F238E27FC236}">
              <a16:creationId xmlns="" xmlns:a16="http://schemas.microsoft.com/office/drawing/2014/main" id="{00000000-0008-0000-0000-0000F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3" name="Text Box 74">
          <a:extLst>
            <a:ext uri="{FF2B5EF4-FFF2-40B4-BE49-F238E27FC236}">
              <a16:creationId xmlns="" xmlns:a16="http://schemas.microsoft.com/office/drawing/2014/main" id="{00000000-0008-0000-0000-0000F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4" name="Text Box 75">
          <a:extLst>
            <a:ext uri="{FF2B5EF4-FFF2-40B4-BE49-F238E27FC236}">
              <a16:creationId xmlns="" xmlns:a16="http://schemas.microsoft.com/office/drawing/2014/main" id="{00000000-0008-0000-0000-0000F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5" name="Text Box 76">
          <a:extLst>
            <a:ext uri="{FF2B5EF4-FFF2-40B4-BE49-F238E27FC236}">
              <a16:creationId xmlns="" xmlns:a16="http://schemas.microsoft.com/office/drawing/2014/main" id="{00000000-0008-0000-0000-0000F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6" name="Text Box 77">
          <a:extLst>
            <a:ext uri="{FF2B5EF4-FFF2-40B4-BE49-F238E27FC236}">
              <a16:creationId xmlns="" xmlns:a16="http://schemas.microsoft.com/office/drawing/2014/main" id="{00000000-0008-0000-0000-0000F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7" name="Text Box 78">
          <a:extLst>
            <a:ext uri="{FF2B5EF4-FFF2-40B4-BE49-F238E27FC236}">
              <a16:creationId xmlns="" xmlns:a16="http://schemas.microsoft.com/office/drawing/2014/main" id="{00000000-0008-0000-0000-0000F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8" name="Text Box 79">
          <a:extLst>
            <a:ext uri="{FF2B5EF4-FFF2-40B4-BE49-F238E27FC236}">
              <a16:creationId xmlns="" xmlns:a16="http://schemas.microsoft.com/office/drawing/2014/main" id="{00000000-0008-0000-0000-0000F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9" name="Text Box 80">
          <a:extLst>
            <a:ext uri="{FF2B5EF4-FFF2-40B4-BE49-F238E27FC236}">
              <a16:creationId xmlns="" xmlns:a16="http://schemas.microsoft.com/office/drawing/2014/main" id="{00000000-0008-0000-0000-0000F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00" name="Text Box 81">
          <a:extLst>
            <a:ext uri="{FF2B5EF4-FFF2-40B4-BE49-F238E27FC236}">
              <a16:creationId xmlns="" xmlns:a16="http://schemas.microsoft.com/office/drawing/2014/main" id="{00000000-0008-0000-0000-0000F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1" name="Text Box 3079">
          <a:extLst>
            <a:ext uri="{FF2B5EF4-FFF2-40B4-BE49-F238E27FC236}">
              <a16:creationId xmlns="" xmlns:a16="http://schemas.microsoft.com/office/drawing/2014/main" id="{00000000-0008-0000-0000-0000F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2" name="Text Box 3080">
          <a:extLst>
            <a:ext uri="{FF2B5EF4-FFF2-40B4-BE49-F238E27FC236}">
              <a16:creationId xmlns="" xmlns:a16="http://schemas.microsoft.com/office/drawing/2014/main" id="{00000000-0008-0000-0000-0000F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3" name="Text Box 3081">
          <a:extLst>
            <a:ext uri="{FF2B5EF4-FFF2-40B4-BE49-F238E27FC236}">
              <a16:creationId xmlns="" xmlns:a16="http://schemas.microsoft.com/office/drawing/2014/main" id="{00000000-0008-0000-0000-0000F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4" name="Text Box 3082">
          <a:extLst>
            <a:ext uri="{FF2B5EF4-FFF2-40B4-BE49-F238E27FC236}">
              <a16:creationId xmlns="" xmlns:a16="http://schemas.microsoft.com/office/drawing/2014/main" id="{00000000-0008-0000-0000-00000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5" name="Text Box 3083">
          <a:extLst>
            <a:ext uri="{FF2B5EF4-FFF2-40B4-BE49-F238E27FC236}">
              <a16:creationId xmlns="" xmlns:a16="http://schemas.microsoft.com/office/drawing/2014/main" id="{00000000-0008-0000-0000-00000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6" name="Text Box 3084">
          <a:extLst>
            <a:ext uri="{FF2B5EF4-FFF2-40B4-BE49-F238E27FC236}">
              <a16:creationId xmlns="" xmlns:a16="http://schemas.microsoft.com/office/drawing/2014/main" id="{00000000-0008-0000-0000-00000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7" name="Text Box 3085">
          <a:extLst>
            <a:ext uri="{FF2B5EF4-FFF2-40B4-BE49-F238E27FC236}">
              <a16:creationId xmlns="" xmlns:a16="http://schemas.microsoft.com/office/drawing/2014/main" id="{00000000-0008-0000-0000-00000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8" name="Text Box 3086">
          <a:extLst>
            <a:ext uri="{FF2B5EF4-FFF2-40B4-BE49-F238E27FC236}">
              <a16:creationId xmlns="" xmlns:a16="http://schemas.microsoft.com/office/drawing/2014/main" id="{00000000-0008-0000-0000-00000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9" name="Text Box 3087">
          <a:extLst>
            <a:ext uri="{FF2B5EF4-FFF2-40B4-BE49-F238E27FC236}">
              <a16:creationId xmlns="" xmlns:a16="http://schemas.microsoft.com/office/drawing/2014/main" id="{00000000-0008-0000-0000-00000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0" name="Text Box 3088">
          <a:extLst>
            <a:ext uri="{FF2B5EF4-FFF2-40B4-BE49-F238E27FC236}">
              <a16:creationId xmlns="" xmlns:a16="http://schemas.microsoft.com/office/drawing/2014/main" id="{00000000-0008-0000-0000-00000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1" name="Text Box 3089">
          <a:extLst>
            <a:ext uri="{FF2B5EF4-FFF2-40B4-BE49-F238E27FC236}">
              <a16:creationId xmlns="" xmlns:a16="http://schemas.microsoft.com/office/drawing/2014/main" id="{00000000-0008-0000-0000-00000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2" name="Text Box 3090">
          <a:extLst>
            <a:ext uri="{FF2B5EF4-FFF2-40B4-BE49-F238E27FC236}">
              <a16:creationId xmlns="" xmlns:a16="http://schemas.microsoft.com/office/drawing/2014/main" id="{00000000-0008-0000-0000-00000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3" name="Text Box 3091">
          <a:extLst>
            <a:ext uri="{FF2B5EF4-FFF2-40B4-BE49-F238E27FC236}">
              <a16:creationId xmlns="" xmlns:a16="http://schemas.microsoft.com/office/drawing/2014/main" id="{00000000-0008-0000-0000-00000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4" name="Text Box 3092">
          <a:extLst>
            <a:ext uri="{FF2B5EF4-FFF2-40B4-BE49-F238E27FC236}">
              <a16:creationId xmlns="" xmlns:a16="http://schemas.microsoft.com/office/drawing/2014/main" id="{00000000-0008-0000-0000-00000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5" name="Text Box 3093">
          <a:extLst>
            <a:ext uri="{FF2B5EF4-FFF2-40B4-BE49-F238E27FC236}">
              <a16:creationId xmlns="" xmlns:a16="http://schemas.microsoft.com/office/drawing/2014/main" id="{00000000-0008-0000-0000-00000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6" name="Text Box 3094">
          <a:extLst>
            <a:ext uri="{FF2B5EF4-FFF2-40B4-BE49-F238E27FC236}">
              <a16:creationId xmlns="" xmlns:a16="http://schemas.microsoft.com/office/drawing/2014/main" id="{00000000-0008-0000-0000-00000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7" name="Text Box 3095">
          <a:extLst>
            <a:ext uri="{FF2B5EF4-FFF2-40B4-BE49-F238E27FC236}">
              <a16:creationId xmlns="" xmlns:a16="http://schemas.microsoft.com/office/drawing/2014/main" id="{00000000-0008-0000-0000-00000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8" name="Text Box 3096">
          <a:extLst>
            <a:ext uri="{FF2B5EF4-FFF2-40B4-BE49-F238E27FC236}">
              <a16:creationId xmlns="" xmlns:a16="http://schemas.microsoft.com/office/drawing/2014/main" id="{00000000-0008-0000-0000-00000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9" name="Text Box 3097">
          <a:extLst>
            <a:ext uri="{FF2B5EF4-FFF2-40B4-BE49-F238E27FC236}">
              <a16:creationId xmlns="" xmlns:a16="http://schemas.microsoft.com/office/drawing/2014/main" id="{00000000-0008-0000-0000-00000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0" name="Text Box 3098">
          <a:extLst>
            <a:ext uri="{FF2B5EF4-FFF2-40B4-BE49-F238E27FC236}">
              <a16:creationId xmlns="" xmlns:a16="http://schemas.microsoft.com/office/drawing/2014/main" id="{00000000-0008-0000-0000-00001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1" name="Text Box 3099">
          <a:extLst>
            <a:ext uri="{FF2B5EF4-FFF2-40B4-BE49-F238E27FC236}">
              <a16:creationId xmlns="" xmlns:a16="http://schemas.microsoft.com/office/drawing/2014/main" id="{00000000-0008-0000-0000-00001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2" name="Text Box 3100">
          <a:extLst>
            <a:ext uri="{FF2B5EF4-FFF2-40B4-BE49-F238E27FC236}">
              <a16:creationId xmlns="" xmlns:a16="http://schemas.microsoft.com/office/drawing/2014/main" id="{00000000-0008-0000-0000-00001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3" name="Text Box 3101">
          <a:extLst>
            <a:ext uri="{FF2B5EF4-FFF2-40B4-BE49-F238E27FC236}">
              <a16:creationId xmlns="" xmlns:a16="http://schemas.microsoft.com/office/drawing/2014/main" id="{00000000-0008-0000-0000-00001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724" name="Text Box 3102">
          <a:extLst>
            <a:ext uri="{FF2B5EF4-FFF2-40B4-BE49-F238E27FC236}">
              <a16:creationId xmlns="" xmlns:a16="http://schemas.microsoft.com/office/drawing/2014/main" id="{00000000-0008-0000-0000-00001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5" name="Text Box 59">
          <a:extLst>
            <a:ext uri="{FF2B5EF4-FFF2-40B4-BE49-F238E27FC236}">
              <a16:creationId xmlns="" xmlns:a16="http://schemas.microsoft.com/office/drawing/2014/main" id="{00000000-0008-0000-0000-00001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6" name="Text Box 60">
          <a:extLst>
            <a:ext uri="{FF2B5EF4-FFF2-40B4-BE49-F238E27FC236}">
              <a16:creationId xmlns="" xmlns:a16="http://schemas.microsoft.com/office/drawing/2014/main" id="{00000000-0008-0000-0000-00001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7" name="Text Box 61">
          <a:extLst>
            <a:ext uri="{FF2B5EF4-FFF2-40B4-BE49-F238E27FC236}">
              <a16:creationId xmlns="" xmlns:a16="http://schemas.microsoft.com/office/drawing/2014/main" id="{00000000-0008-0000-0000-00001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8" name="Text Box 62">
          <a:extLst>
            <a:ext uri="{FF2B5EF4-FFF2-40B4-BE49-F238E27FC236}">
              <a16:creationId xmlns="" xmlns:a16="http://schemas.microsoft.com/office/drawing/2014/main" id="{00000000-0008-0000-0000-00001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9" name="Text Box 63">
          <a:extLst>
            <a:ext uri="{FF2B5EF4-FFF2-40B4-BE49-F238E27FC236}">
              <a16:creationId xmlns="" xmlns:a16="http://schemas.microsoft.com/office/drawing/2014/main" id="{00000000-0008-0000-0000-00001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0" name="Text Box 64">
          <a:extLst>
            <a:ext uri="{FF2B5EF4-FFF2-40B4-BE49-F238E27FC236}">
              <a16:creationId xmlns="" xmlns:a16="http://schemas.microsoft.com/office/drawing/2014/main" id="{00000000-0008-0000-0000-00001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1" name="Text Box 65">
          <a:extLst>
            <a:ext uri="{FF2B5EF4-FFF2-40B4-BE49-F238E27FC236}">
              <a16:creationId xmlns="" xmlns:a16="http://schemas.microsoft.com/office/drawing/2014/main" id="{00000000-0008-0000-0000-00001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2" name="Text Box 66">
          <a:extLst>
            <a:ext uri="{FF2B5EF4-FFF2-40B4-BE49-F238E27FC236}">
              <a16:creationId xmlns="" xmlns:a16="http://schemas.microsoft.com/office/drawing/2014/main" id="{00000000-0008-0000-0000-00001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3" name="Text Box 67">
          <a:extLst>
            <a:ext uri="{FF2B5EF4-FFF2-40B4-BE49-F238E27FC236}">
              <a16:creationId xmlns="" xmlns:a16="http://schemas.microsoft.com/office/drawing/2014/main" id="{00000000-0008-0000-0000-00001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4" name="Text Box 68">
          <a:extLst>
            <a:ext uri="{FF2B5EF4-FFF2-40B4-BE49-F238E27FC236}">
              <a16:creationId xmlns="" xmlns:a16="http://schemas.microsoft.com/office/drawing/2014/main" id="{00000000-0008-0000-0000-00001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5" name="Text Box 69">
          <a:extLst>
            <a:ext uri="{FF2B5EF4-FFF2-40B4-BE49-F238E27FC236}">
              <a16:creationId xmlns="" xmlns:a16="http://schemas.microsoft.com/office/drawing/2014/main" id="{00000000-0008-0000-0000-00001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6" name="Text Box 70">
          <a:extLst>
            <a:ext uri="{FF2B5EF4-FFF2-40B4-BE49-F238E27FC236}">
              <a16:creationId xmlns="" xmlns:a16="http://schemas.microsoft.com/office/drawing/2014/main" id="{00000000-0008-0000-0000-00002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7" name="Text Box 71">
          <a:extLst>
            <a:ext uri="{FF2B5EF4-FFF2-40B4-BE49-F238E27FC236}">
              <a16:creationId xmlns="" xmlns:a16="http://schemas.microsoft.com/office/drawing/2014/main" id="{00000000-0008-0000-0000-00002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8" name="Text Box 72">
          <a:extLst>
            <a:ext uri="{FF2B5EF4-FFF2-40B4-BE49-F238E27FC236}">
              <a16:creationId xmlns="" xmlns:a16="http://schemas.microsoft.com/office/drawing/2014/main" id="{00000000-0008-0000-0000-00002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9" name="Text Box 73">
          <a:extLst>
            <a:ext uri="{FF2B5EF4-FFF2-40B4-BE49-F238E27FC236}">
              <a16:creationId xmlns="" xmlns:a16="http://schemas.microsoft.com/office/drawing/2014/main" id="{00000000-0008-0000-0000-00002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0" name="Text Box 74">
          <a:extLst>
            <a:ext uri="{FF2B5EF4-FFF2-40B4-BE49-F238E27FC236}">
              <a16:creationId xmlns="" xmlns:a16="http://schemas.microsoft.com/office/drawing/2014/main" id="{00000000-0008-0000-0000-00002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1" name="Text Box 75">
          <a:extLst>
            <a:ext uri="{FF2B5EF4-FFF2-40B4-BE49-F238E27FC236}">
              <a16:creationId xmlns="" xmlns:a16="http://schemas.microsoft.com/office/drawing/2014/main" id="{00000000-0008-0000-0000-00002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2" name="Text Box 76">
          <a:extLst>
            <a:ext uri="{FF2B5EF4-FFF2-40B4-BE49-F238E27FC236}">
              <a16:creationId xmlns="" xmlns:a16="http://schemas.microsoft.com/office/drawing/2014/main" id="{00000000-0008-0000-0000-00002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3" name="Text Box 77">
          <a:extLst>
            <a:ext uri="{FF2B5EF4-FFF2-40B4-BE49-F238E27FC236}">
              <a16:creationId xmlns="" xmlns:a16="http://schemas.microsoft.com/office/drawing/2014/main" id="{00000000-0008-0000-0000-00002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4" name="Text Box 78">
          <a:extLst>
            <a:ext uri="{FF2B5EF4-FFF2-40B4-BE49-F238E27FC236}">
              <a16:creationId xmlns="" xmlns:a16="http://schemas.microsoft.com/office/drawing/2014/main" id="{00000000-0008-0000-0000-00002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5" name="Text Box 79">
          <a:extLst>
            <a:ext uri="{FF2B5EF4-FFF2-40B4-BE49-F238E27FC236}">
              <a16:creationId xmlns="" xmlns:a16="http://schemas.microsoft.com/office/drawing/2014/main" id="{00000000-0008-0000-0000-00002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6" name="Text Box 80">
          <a:extLst>
            <a:ext uri="{FF2B5EF4-FFF2-40B4-BE49-F238E27FC236}">
              <a16:creationId xmlns="" xmlns:a16="http://schemas.microsoft.com/office/drawing/2014/main" id="{00000000-0008-0000-0000-00002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7" name="Text Box 81">
          <a:extLst>
            <a:ext uri="{FF2B5EF4-FFF2-40B4-BE49-F238E27FC236}">
              <a16:creationId xmlns="" xmlns:a16="http://schemas.microsoft.com/office/drawing/2014/main" id="{00000000-0008-0000-0000-00002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748" name="Text Box 82">
          <a:extLst>
            <a:ext uri="{FF2B5EF4-FFF2-40B4-BE49-F238E27FC236}">
              <a16:creationId xmlns="" xmlns:a16="http://schemas.microsoft.com/office/drawing/2014/main" id="{00000000-0008-0000-0000-00002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49" name="Text Box 3079">
          <a:extLst>
            <a:ext uri="{FF2B5EF4-FFF2-40B4-BE49-F238E27FC236}">
              <a16:creationId xmlns="" xmlns:a16="http://schemas.microsoft.com/office/drawing/2014/main" id="{00000000-0008-0000-0000-00002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0" name="Text Box 3080">
          <a:extLst>
            <a:ext uri="{FF2B5EF4-FFF2-40B4-BE49-F238E27FC236}">
              <a16:creationId xmlns="" xmlns:a16="http://schemas.microsoft.com/office/drawing/2014/main" id="{00000000-0008-0000-0000-00002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1" name="Text Box 3081">
          <a:extLst>
            <a:ext uri="{FF2B5EF4-FFF2-40B4-BE49-F238E27FC236}">
              <a16:creationId xmlns="" xmlns:a16="http://schemas.microsoft.com/office/drawing/2014/main" id="{00000000-0008-0000-0000-00002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2" name="Text Box 3082">
          <a:extLst>
            <a:ext uri="{FF2B5EF4-FFF2-40B4-BE49-F238E27FC236}">
              <a16:creationId xmlns="" xmlns:a16="http://schemas.microsoft.com/office/drawing/2014/main" id="{00000000-0008-0000-0000-00003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3" name="Text Box 3083">
          <a:extLst>
            <a:ext uri="{FF2B5EF4-FFF2-40B4-BE49-F238E27FC236}">
              <a16:creationId xmlns="" xmlns:a16="http://schemas.microsoft.com/office/drawing/2014/main" id="{00000000-0008-0000-0000-00003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4" name="Text Box 3084">
          <a:extLst>
            <a:ext uri="{FF2B5EF4-FFF2-40B4-BE49-F238E27FC236}">
              <a16:creationId xmlns="" xmlns:a16="http://schemas.microsoft.com/office/drawing/2014/main" id="{00000000-0008-0000-0000-00003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5" name="Text Box 3085">
          <a:extLst>
            <a:ext uri="{FF2B5EF4-FFF2-40B4-BE49-F238E27FC236}">
              <a16:creationId xmlns="" xmlns:a16="http://schemas.microsoft.com/office/drawing/2014/main" id="{00000000-0008-0000-0000-00003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6" name="Text Box 3086">
          <a:extLst>
            <a:ext uri="{FF2B5EF4-FFF2-40B4-BE49-F238E27FC236}">
              <a16:creationId xmlns="" xmlns:a16="http://schemas.microsoft.com/office/drawing/2014/main" id="{00000000-0008-0000-0000-00003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7" name="Text Box 3087">
          <a:extLst>
            <a:ext uri="{FF2B5EF4-FFF2-40B4-BE49-F238E27FC236}">
              <a16:creationId xmlns="" xmlns:a16="http://schemas.microsoft.com/office/drawing/2014/main" id="{00000000-0008-0000-0000-00003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8" name="Text Box 3088">
          <a:extLst>
            <a:ext uri="{FF2B5EF4-FFF2-40B4-BE49-F238E27FC236}">
              <a16:creationId xmlns="" xmlns:a16="http://schemas.microsoft.com/office/drawing/2014/main" id="{00000000-0008-0000-0000-00003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9" name="Text Box 3089">
          <a:extLst>
            <a:ext uri="{FF2B5EF4-FFF2-40B4-BE49-F238E27FC236}">
              <a16:creationId xmlns="" xmlns:a16="http://schemas.microsoft.com/office/drawing/2014/main" id="{00000000-0008-0000-0000-00003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0" name="Text Box 3090">
          <a:extLst>
            <a:ext uri="{FF2B5EF4-FFF2-40B4-BE49-F238E27FC236}">
              <a16:creationId xmlns="" xmlns:a16="http://schemas.microsoft.com/office/drawing/2014/main" id="{00000000-0008-0000-0000-00003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1" name="Text Box 3091">
          <a:extLst>
            <a:ext uri="{FF2B5EF4-FFF2-40B4-BE49-F238E27FC236}">
              <a16:creationId xmlns="" xmlns:a16="http://schemas.microsoft.com/office/drawing/2014/main" id="{00000000-0008-0000-0000-00003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2" name="Text Box 3092">
          <a:extLst>
            <a:ext uri="{FF2B5EF4-FFF2-40B4-BE49-F238E27FC236}">
              <a16:creationId xmlns="" xmlns:a16="http://schemas.microsoft.com/office/drawing/2014/main" id="{00000000-0008-0000-0000-00003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3" name="Text Box 3093">
          <a:extLst>
            <a:ext uri="{FF2B5EF4-FFF2-40B4-BE49-F238E27FC236}">
              <a16:creationId xmlns="" xmlns:a16="http://schemas.microsoft.com/office/drawing/2014/main" id="{00000000-0008-0000-0000-00003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4" name="Text Box 3094">
          <a:extLst>
            <a:ext uri="{FF2B5EF4-FFF2-40B4-BE49-F238E27FC236}">
              <a16:creationId xmlns="" xmlns:a16="http://schemas.microsoft.com/office/drawing/2014/main" id="{00000000-0008-0000-0000-00003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5" name="Text Box 3095">
          <a:extLst>
            <a:ext uri="{FF2B5EF4-FFF2-40B4-BE49-F238E27FC236}">
              <a16:creationId xmlns="" xmlns:a16="http://schemas.microsoft.com/office/drawing/2014/main" id="{00000000-0008-0000-0000-00003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6" name="Text Box 3096">
          <a:extLst>
            <a:ext uri="{FF2B5EF4-FFF2-40B4-BE49-F238E27FC236}">
              <a16:creationId xmlns="" xmlns:a16="http://schemas.microsoft.com/office/drawing/2014/main" id="{00000000-0008-0000-0000-00003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7" name="Text Box 3097">
          <a:extLst>
            <a:ext uri="{FF2B5EF4-FFF2-40B4-BE49-F238E27FC236}">
              <a16:creationId xmlns="" xmlns:a16="http://schemas.microsoft.com/office/drawing/2014/main" id="{00000000-0008-0000-0000-00003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8" name="Text Box 3098">
          <a:extLst>
            <a:ext uri="{FF2B5EF4-FFF2-40B4-BE49-F238E27FC236}">
              <a16:creationId xmlns="" xmlns:a16="http://schemas.microsoft.com/office/drawing/2014/main" id="{00000000-0008-0000-0000-00004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9" name="Text Box 3099">
          <a:extLst>
            <a:ext uri="{FF2B5EF4-FFF2-40B4-BE49-F238E27FC236}">
              <a16:creationId xmlns="" xmlns:a16="http://schemas.microsoft.com/office/drawing/2014/main" id="{00000000-0008-0000-0000-00004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70" name="Text Box 3100">
          <a:extLst>
            <a:ext uri="{FF2B5EF4-FFF2-40B4-BE49-F238E27FC236}">
              <a16:creationId xmlns="" xmlns:a16="http://schemas.microsoft.com/office/drawing/2014/main" id="{00000000-0008-0000-0000-00004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71" name="Text Box 3101">
          <a:extLst>
            <a:ext uri="{FF2B5EF4-FFF2-40B4-BE49-F238E27FC236}">
              <a16:creationId xmlns="" xmlns:a16="http://schemas.microsoft.com/office/drawing/2014/main" id="{00000000-0008-0000-0000-00004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772" name="Text Box 3102">
          <a:extLst>
            <a:ext uri="{FF2B5EF4-FFF2-40B4-BE49-F238E27FC236}">
              <a16:creationId xmlns="" xmlns:a16="http://schemas.microsoft.com/office/drawing/2014/main" id="{00000000-0008-0000-0000-00004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3" name="Text Box 59">
          <a:extLst>
            <a:ext uri="{FF2B5EF4-FFF2-40B4-BE49-F238E27FC236}">
              <a16:creationId xmlns="" xmlns:a16="http://schemas.microsoft.com/office/drawing/2014/main" id="{00000000-0008-0000-0000-00004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4" name="Text Box 60">
          <a:extLst>
            <a:ext uri="{FF2B5EF4-FFF2-40B4-BE49-F238E27FC236}">
              <a16:creationId xmlns="" xmlns:a16="http://schemas.microsoft.com/office/drawing/2014/main" id="{00000000-0008-0000-0000-00004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5" name="Text Box 61">
          <a:extLst>
            <a:ext uri="{FF2B5EF4-FFF2-40B4-BE49-F238E27FC236}">
              <a16:creationId xmlns="" xmlns:a16="http://schemas.microsoft.com/office/drawing/2014/main" id="{00000000-0008-0000-0000-00004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6" name="Text Box 62">
          <a:extLst>
            <a:ext uri="{FF2B5EF4-FFF2-40B4-BE49-F238E27FC236}">
              <a16:creationId xmlns="" xmlns:a16="http://schemas.microsoft.com/office/drawing/2014/main" id="{00000000-0008-0000-0000-00004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7" name="Text Box 63">
          <a:extLst>
            <a:ext uri="{FF2B5EF4-FFF2-40B4-BE49-F238E27FC236}">
              <a16:creationId xmlns="" xmlns:a16="http://schemas.microsoft.com/office/drawing/2014/main" id="{00000000-0008-0000-0000-00004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8" name="Text Box 64">
          <a:extLst>
            <a:ext uri="{FF2B5EF4-FFF2-40B4-BE49-F238E27FC236}">
              <a16:creationId xmlns="" xmlns:a16="http://schemas.microsoft.com/office/drawing/2014/main" id="{00000000-0008-0000-0000-00004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9" name="Text Box 65">
          <a:extLst>
            <a:ext uri="{FF2B5EF4-FFF2-40B4-BE49-F238E27FC236}">
              <a16:creationId xmlns="" xmlns:a16="http://schemas.microsoft.com/office/drawing/2014/main" id="{00000000-0008-0000-0000-00004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0" name="Text Box 66">
          <a:extLst>
            <a:ext uri="{FF2B5EF4-FFF2-40B4-BE49-F238E27FC236}">
              <a16:creationId xmlns="" xmlns:a16="http://schemas.microsoft.com/office/drawing/2014/main" id="{00000000-0008-0000-0000-00004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1" name="Text Box 67">
          <a:extLst>
            <a:ext uri="{FF2B5EF4-FFF2-40B4-BE49-F238E27FC236}">
              <a16:creationId xmlns="" xmlns:a16="http://schemas.microsoft.com/office/drawing/2014/main" id="{00000000-0008-0000-0000-00004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2" name="Text Box 68">
          <a:extLst>
            <a:ext uri="{FF2B5EF4-FFF2-40B4-BE49-F238E27FC236}">
              <a16:creationId xmlns="" xmlns:a16="http://schemas.microsoft.com/office/drawing/2014/main" id="{00000000-0008-0000-0000-00004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3" name="Text Box 69">
          <a:extLst>
            <a:ext uri="{FF2B5EF4-FFF2-40B4-BE49-F238E27FC236}">
              <a16:creationId xmlns="" xmlns:a16="http://schemas.microsoft.com/office/drawing/2014/main" id="{00000000-0008-0000-0000-00004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4" name="Text Box 70">
          <a:extLst>
            <a:ext uri="{FF2B5EF4-FFF2-40B4-BE49-F238E27FC236}">
              <a16:creationId xmlns="" xmlns:a16="http://schemas.microsoft.com/office/drawing/2014/main" id="{00000000-0008-0000-0000-00005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5" name="Text Box 71">
          <a:extLst>
            <a:ext uri="{FF2B5EF4-FFF2-40B4-BE49-F238E27FC236}">
              <a16:creationId xmlns="" xmlns:a16="http://schemas.microsoft.com/office/drawing/2014/main" id="{00000000-0008-0000-0000-00005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6" name="Text Box 72">
          <a:extLst>
            <a:ext uri="{FF2B5EF4-FFF2-40B4-BE49-F238E27FC236}">
              <a16:creationId xmlns="" xmlns:a16="http://schemas.microsoft.com/office/drawing/2014/main" id="{00000000-0008-0000-0000-00005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7" name="Text Box 73">
          <a:extLst>
            <a:ext uri="{FF2B5EF4-FFF2-40B4-BE49-F238E27FC236}">
              <a16:creationId xmlns="" xmlns:a16="http://schemas.microsoft.com/office/drawing/2014/main" id="{00000000-0008-0000-0000-00005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8" name="Text Box 74">
          <a:extLst>
            <a:ext uri="{FF2B5EF4-FFF2-40B4-BE49-F238E27FC236}">
              <a16:creationId xmlns="" xmlns:a16="http://schemas.microsoft.com/office/drawing/2014/main" id="{00000000-0008-0000-0000-00005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9" name="Text Box 75">
          <a:extLst>
            <a:ext uri="{FF2B5EF4-FFF2-40B4-BE49-F238E27FC236}">
              <a16:creationId xmlns="" xmlns:a16="http://schemas.microsoft.com/office/drawing/2014/main" id="{00000000-0008-0000-0000-00005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0" name="Text Box 76">
          <a:extLst>
            <a:ext uri="{FF2B5EF4-FFF2-40B4-BE49-F238E27FC236}">
              <a16:creationId xmlns="" xmlns:a16="http://schemas.microsoft.com/office/drawing/2014/main" id="{00000000-0008-0000-0000-00005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1" name="Text Box 77">
          <a:extLst>
            <a:ext uri="{FF2B5EF4-FFF2-40B4-BE49-F238E27FC236}">
              <a16:creationId xmlns="" xmlns:a16="http://schemas.microsoft.com/office/drawing/2014/main" id="{00000000-0008-0000-0000-00005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2" name="Text Box 78">
          <a:extLst>
            <a:ext uri="{FF2B5EF4-FFF2-40B4-BE49-F238E27FC236}">
              <a16:creationId xmlns="" xmlns:a16="http://schemas.microsoft.com/office/drawing/2014/main" id="{00000000-0008-0000-0000-00005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3" name="Text Box 79">
          <a:extLst>
            <a:ext uri="{FF2B5EF4-FFF2-40B4-BE49-F238E27FC236}">
              <a16:creationId xmlns="" xmlns:a16="http://schemas.microsoft.com/office/drawing/2014/main" id="{00000000-0008-0000-0000-00005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4" name="Text Box 80">
          <a:extLst>
            <a:ext uri="{FF2B5EF4-FFF2-40B4-BE49-F238E27FC236}">
              <a16:creationId xmlns="" xmlns:a16="http://schemas.microsoft.com/office/drawing/2014/main" id="{00000000-0008-0000-0000-00005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5" name="Text Box 81">
          <a:extLst>
            <a:ext uri="{FF2B5EF4-FFF2-40B4-BE49-F238E27FC236}">
              <a16:creationId xmlns="" xmlns:a16="http://schemas.microsoft.com/office/drawing/2014/main" id="{00000000-0008-0000-0000-00005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6" name="Text Box 3079">
          <a:extLst>
            <a:ext uri="{FF2B5EF4-FFF2-40B4-BE49-F238E27FC236}">
              <a16:creationId xmlns="" xmlns:a16="http://schemas.microsoft.com/office/drawing/2014/main" id="{00000000-0008-0000-0000-00005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7" name="Text Box 3080">
          <a:extLst>
            <a:ext uri="{FF2B5EF4-FFF2-40B4-BE49-F238E27FC236}">
              <a16:creationId xmlns="" xmlns:a16="http://schemas.microsoft.com/office/drawing/2014/main" id="{00000000-0008-0000-0000-00005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8" name="Text Box 3081">
          <a:extLst>
            <a:ext uri="{FF2B5EF4-FFF2-40B4-BE49-F238E27FC236}">
              <a16:creationId xmlns="" xmlns:a16="http://schemas.microsoft.com/office/drawing/2014/main" id="{00000000-0008-0000-0000-00005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9" name="Text Box 3082">
          <a:extLst>
            <a:ext uri="{FF2B5EF4-FFF2-40B4-BE49-F238E27FC236}">
              <a16:creationId xmlns="" xmlns:a16="http://schemas.microsoft.com/office/drawing/2014/main" id="{00000000-0008-0000-0000-00005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0" name="Text Box 3083">
          <a:extLst>
            <a:ext uri="{FF2B5EF4-FFF2-40B4-BE49-F238E27FC236}">
              <a16:creationId xmlns="" xmlns:a16="http://schemas.microsoft.com/office/drawing/2014/main" id="{00000000-0008-0000-0000-00006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1" name="Text Box 3084">
          <a:extLst>
            <a:ext uri="{FF2B5EF4-FFF2-40B4-BE49-F238E27FC236}">
              <a16:creationId xmlns="" xmlns:a16="http://schemas.microsoft.com/office/drawing/2014/main" id="{00000000-0008-0000-0000-00006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2" name="Text Box 3085">
          <a:extLst>
            <a:ext uri="{FF2B5EF4-FFF2-40B4-BE49-F238E27FC236}">
              <a16:creationId xmlns="" xmlns:a16="http://schemas.microsoft.com/office/drawing/2014/main" id="{00000000-0008-0000-0000-00006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3" name="Text Box 3086">
          <a:extLst>
            <a:ext uri="{FF2B5EF4-FFF2-40B4-BE49-F238E27FC236}">
              <a16:creationId xmlns="" xmlns:a16="http://schemas.microsoft.com/office/drawing/2014/main" id="{00000000-0008-0000-0000-00006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4" name="Text Box 3087">
          <a:extLst>
            <a:ext uri="{FF2B5EF4-FFF2-40B4-BE49-F238E27FC236}">
              <a16:creationId xmlns="" xmlns:a16="http://schemas.microsoft.com/office/drawing/2014/main" id="{00000000-0008-0000-0000-00006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5" name="Text Box 3088">
          <a:extLst>
            <a:ext uri="{FF2B5EF4-FFF2-40B4-BE49-F238E27FC236}">
              <a16:creationId xmlns="" xmlns:a16="http://schemas.microsoft.com/office/drawing/2014/main" id="{00000000-0008-0000-0000-00006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6" name="Text Box 3089">
          <a:extLst>
            <a:ext uri="{FF2B5EF4-FFF2-40B4-BE49-F238E27FC236}">
              <a16:creationId xmlns="" xmlns:a16="http://schemas.microsoft.com/office/drawing/2014/main" id="{00000000-0008-0000-0000-00006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7" name="Text Box 3090">
          <a:extLst>
            <a:ext uri="{FF2B5EF4-FFF2-40B4-BE49-F238E27FC236}">
              <a16:creationId xmlns="" xmlns:a16="http://schemas.microsoft.com/office/drawing/2014/main" id="{00000000-0008-0000-0000-00006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8" name="Text Box 3091">
          <a:extLst>
            <a:ext uri="{FF2B5EF4-FFF2-40B4-BE49-F238E27FC236}">
              <a16:creationId xmlns="" xmlns:a16="http://schemas.microsoft.com/office/drawing/2014/main" id="{00000000-0008-0000-0000-00006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9" name="Text Box 3092">
          <a:extLst>
            <a:ext uri="{FF2B5EF4-FFF2-40B4-BE49-F238E27FC236}">
              <a16:creationId xmlns="" xmlns:a16="http://schemas.microsoft.com/office/drawing/2014/main" id="{00000000-0008-0000-0000-00006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0" name="Text Box 3093">
          <a:extLst>
            <a:ext uri="{FF2B5EF4-FFF2-40B4-BE49-F238E27FC236}">
              <a16:creationId xmlns="" xmlns:a16="http://schemas.microsoft.com/office/drawing/2014/main" id="{00000000-0008-0000-0000-00006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1" name="Text Box 3094">
          <a:extLst>
            <a:ext uri="{FF2B5EF4-FFF2-40B4-BE49-F238E27FC236}">
              <a16:creationId xmlns="" xmlns:a16="http://schemas.microsoft.com/office/drawing/2014/main" id="{00000000-0008-0000-0000-00006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2" name="Text Box 3095">
          <a:extLst>
            <a:ext uri="{FF2B5EF4-FFF2-40B4-BE49-F238E27FC236}">
              <a16:creationId xmlns="" xmlns:a16="http://schemas.microsoft.com/office/drawing/2014/main" id="{00000000-0008-0000-0000-00006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3" name="Text Box 3096">
          <a:extLst>
            <a:ext uri="{FF2B5EF4-FFF2-40B4-BE49-F238E27FC236}">
              <a16:creationId xmlns="" xmlns:a16="http://schemas.microsoft.com/office/drawing/2014/main" id="{00000000-0008-0000-0000-00006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4" name="Text Box 3097">
          <a:extLst>
            <a:ext uri="{FF2B5EF4-FFF2-40B4-BE49-F238E27FC236}">
              <a16:creationId xmlns="" xmlns:a16="http://schemas.microsoft.com/office/drawing/2014/main" id="{00000000-0008-0000-0000-00006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5" name="Text Box 3098">
          <a:extLst>
            <a:ext uri="{FF2B5EF4-FFF2-40B4-BE49-F238E27FC236}">
              <a16:creationId xmlns="" xmlns:a16="http://schemas.microsoft.com/office/drawing/2014/main" id="{00000000-0008-0000-0000-00006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6" name="Text Box 3099">
          <a:extLst>
            <a:ext uri="{FF2B5EF4-FFF2-40B4-BE49-F238E27FC236}">
              <a16:creationId xmlns="" xmlns:a16="http://schemas.microsoft.com/office/drawing/2014/main" id="{00000000-0008-0000-0000-00007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7" name="Text Box 3100">
          <a:extLst>
            <a:ext uri="{FF2B5EF4-FFF2-40B4-BE49-F238E27FC236}">
              <a16:creationId xmlns="" xmlns:a16="http://schemas.microsoft.com/office/drawing/2014/main" id="{00000000-0008-0000-0000-00007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8" name="Text Box 3101">
          <a:extLst>
            <a:ext uri="{FF2B5EF4-FFF2-40B4-BE49-F238E27FC236}">
              <a16:creationId xmlns="" xmlns:a16="http://schemas.microsoft.com/office/drawing/2014/main" id="{00000000-0008-0000-0000-00007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819" name="Text Box 3102">
          <a:extLst>
            <a:ext uri="{FF2B5EF4-FFF2-40B4-BE49-F238E27FC236}">
              <a16:creationId xmlns="" xmlns:a16="http://schemas.microsoft.com/office/drawing/2014/main" id="{00000000-0008-0000-0000-00007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0" name="Text Box 59">
          <a:extLst>
            <a:ext uri="{FF2B5EF4-FFF2-40B4-BE49-F238E27FC236}">
              <a16:creationId xmlns="" xmlns:a16="http://schemas.microsoft.com/office/drawing/2014/main" id="{00000000-0008-0000-0000-00007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1" name="Text Box 60">
          <a:extLst>
            <a:ext uri="{FF2B5EF4-FFF2-40B4-BE49-F238E27FC236}">
              <a16:creationId xmlns="" xmlns:a16="http://schemas.microsoft.com/office/drawing/2014/main" id="{00000000-0008-0000-0000-00007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2" name="Text Box 61">
          <a:extLst>
            <a:ext uri="{FF2B5EF4-FFF2-40B4-BE49-F238E27FC236}">
              <a16:creationId xmlns="" xmlns:a16="http://schemas.microsoft.com/office/drawing/2014/main" id="{00000000-0008-0000-0000-00007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3" name="Text Box 62">
          <a:extLst>
            <a:ext uri="{FF2B5EF4-FFF2-40B4-BE49-F238E27FC236}">
              <a16:creationId xmlns="" xmlns:a16="http://schemas.microsoft.com/office/drawing/2014/main" id="{00000000-0008-0000-0000-00007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4" name="Text Box 63">
          <a:extLst>
            <a:ext uri="{FF2B5EF4-FFF2-40B4-BE49-F238E27FC236}">
              <a16:creationId xmlns="" xmlns:a16="http://schemas.microsoft.com/office/drawing/2014/main" id="{00000000-0008-0000-0000-00007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5" name="Text Box 64">
          <a:extLst>
            <a:ext uri="{FF2B5EF4-FFF2-40B4-BE49-F238E27FC236}">
              <a16:creationId xmlns="" xmlns:a16="http://schemas.microsoft.com/office/drawing/2014/main" id="{00000000-0008-0000-0000-00007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6" name="Text Box 65">
          <a:extLst>
            <a:ext uri="{FF2B5EF4-FFF2-40B4-BE49-F238E27FC236}">
              <a16:creationId xmlns="" xmlns:a16="http://schemas.microsoft.com/office/drawing/2014/main" id="{00000000-0008-0000-0000-00007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7" name="Text Box 66">
          <a:extLst>
            <a:ext uri="{FF2B5EF4-FFF2-40B4-BE49-F238E27FC236}">
              <a16:creationId xmlns="" xmlns:a16="http://schemas.microsoft.com/office/drawing/2014/main" id="{00000000-0008-0000-0000-00007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8" name="Text Box 67">
          <a:extLst>
            <a:ext uri="{FF2B5EF4-FFF2-40B4-BE49-F238E27FC236}">
              <a16:creationId xmlns="" xmlns:a16="http://schemas.microsoft.com/office/drawing/2014/main" id="{00000000-0008-0000-0000-00007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9" name="Text Box 68">
          <a:extLst>
            <a:ext uri="{FF2B5EF4-FFF2-40B4-BE49-F238E27FC236}">
              <a16:creationId xmlns="" xmlns:a16="http://schemas.microsoft.com/office/drawing/2014/main" id="{00000000-0008-0000-0000-00007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0" name="Text Box 69">
          <a:extLst>
            <a:ext uri="{FF2B5EF4-FFF2-40B4-BE49-F238E27FC236}">
              <a16:creationId xmlns="" xmlns:a16="http://schemas.microsoft.com/office/drawing/2014/main" id="{00000000-0008-0000-0000-00007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1" name="Text Box 70">
          <a:extLst>
            <a:ext uri="{FF2B5EF4-FFF2-40B4-BE49-F238E27FC236}">
              <a16:creationId xmlns="" xmlns:a16="http://schemas.microsoft.com/office/drawing/2014/main" id="{00000000-0008-0000-0000-00007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2" name="Text Box 71">
          <a:extLst>
            <a:ext uri="{FF2B5EF4-FFF2-40B4-BE49-F238E27FC236}">
              <a16:creationId xmlns="" xmlns:a16="http://schemas.microsoft.com/office/drawing/2014/main" id="{00000000-0008-0000-0000-00008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3" name="Text Box 72">
          <a:extLst>
            <a:ext uri="{FF2B5EF4-FFF2-40B4-BE49-F238E27FC236}">
              <a16:creationId xmlns="" xmlns:a16="http://schemas.microsoft.com/office/drawing/2014/main" id="{00000000-0008-0000-0000-00008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4" name="Text Box 73">
          <a:extLst>
            <a:ext uri="{FF2B5EF4-FFF2-40B4-BE49-F238E27FC236}">
              <a16:creationId xmlns="" xmlns:a16="http://schemas.microsoft.com/office/drawing/2014/main" id="{00000000-0008-0000-0000-00008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5" name="Text Box 74">
          <a:extLst>
            <a:ext uri="{FF2B5EF4-FFF2-40B4-BE49-F238E27FC236}">
              <a16:creationId xmlns="" xmlns:a16="http://schemas.microsoft.com/office/drawing/2014/main" id="{00000000-0008-0000-0000-00008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6" name="Text Box 75">
          <a:extLst>
            <a:ext uri="{FF2B5EF4-FFF2-40B4-BE49-F238E27FC236}">
              <a16:creationId xmlns="" xmlns:a16="http://schemas.microsoft.com/office/drawing/2014/main" id="{00000000-0008-0000-0000-00008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7" name="Text Box 76">
          <a:extLst>
            <a:ext uri="{FF2B5EF4-FFF2-40B4-BE49-F238E27FC236}">
              <a16:creationId xmlns="" xmlns:a16="http://schemas.microsoft.com/office/drawing/2014/main" id="{00000000-0008-0000-0000-00008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8" name="Text Box 77">
          <a:extLst>
            <a:ext uri="{FF2B5EF4-FFF2-40B4-BE49-F238E27FC236}">
              <a16:creationId xmlns="" xmlns:a16="http://schemas.microsoft.com/office/drawing/2014/main" id="{00000000-0008-0000-0000-00008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9" name="Text Box 78">
          <a:extLst>
            <a:ext uri="{FF2B5EF4-FFF2-40B4-BE49-F238E27FC236}">
              <a16:creationId xmlns="" xmlns:a16="http://schemas.microsoft.com/office/drawing/2014/main" id="{00000000-0008-0000-0000-00008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0" name="Text Box 79">
          <a:extLst>
            <a:ext uri="{FF2B5EF4-FFF2-40B4-BE49-F238E27FC236}">
              <a16:creationId xmlns="" xmlns:a16="http://schemas.microsoft.com/office/drawing/2014/main" id="{00000000-0008-0000-0000-00008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1" name="Text Box 80">
          <a:extLst>
            <a:ext uri="{FF2B5EF4-FFF2-40B4-BE49-F238E27FC236}">
              <a16:creationId xmlns="" xmlns:a16="http://schemas.microsoft.com/office/drawing/2014/main" id="{00000000-0008-0000-0000-00008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2" name="Text Box 81">
          <a:extLst>
            <a:ext uri="{FF2B5EF4-FFF2-40B4-BE49-F238E27FC236}">
              <a16:creationId xmlns="" xmlns:a16="http://schemas.microsoft.com/office/drawing/2014/main" id="{00000000-0008-0000-0000-00008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843" name="Text Box 82">
          <a:extLst>
            <a:ext uri="{FF2B5EF4-FFF2-40B4-BE49-F238E27FC236}">
              <a16:creationId xmlns="" xmlns:a16="http://schemas.microsoft.com/office/drawing/2014/main" id="{00000000-0008-0000-0000-00008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4" name="Text Box 3079">
          <a:extLst>
            <a:ext uri="{FF2B5EF4-FFF2-40B4-BE49-F238E27FC236}">
              <a16:creationId xmlns="" xmlns:a16="http://schemas.microsoft.com/office/drawing/2014/main" id="{00000000-0008-0000-0000-00008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5" name="Text Box 3080">
          <a:extLst>
            <a:ext uri="{FF2B5EF4-FFF2-40B4-BE49-F238E27FC236}">
              <a16:creationId xmlns="" xmlns:a16="http://schemas.microsoft.com/office/drawing/2014/main" id="{00000000-0008-0000-0000-00008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6" name="Text Box 3081">
          <a:extLst>
            <a:ext uri="{FF2B5EF4-FFF2-40B4-BE49-F238E27FC236}">
              <a16:creationId xmlns="" xmlns:a16="http://schemas.microsoft.com/office/drawing/2014/main" id="{00000000-0008-0000-0000-00008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7" name="Text Box 3082">
          <a:extLst>
            <a:ext uri="{FF2B5EF4-FFF2-40B4-BE49-F238E27FC236}">
              <a16:creationId xmlns="" xmlns:a16="http://schemas.microsoft.com/office/drawing/2014/main" id="{00000000-0008-0000-0000-00008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8" name="Text Box 3083">
          <a:extLst>
            <a:ext uri="{FF2B5EF4-FFF2-40B4-BE49-F238E27FC236}">
              <a16:creationId xmlns="" xmlns:a16="http://schemas.microsoft.com/office/drawing/2014/main" id="{00000000-0008-0000-0000-00009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9" name="Text Box 3084">
          <a:extLst>
            <a:ext uri="{FF2B5EF4-FFF2-40B4-BE49-F238E27FC236}">
              <a16:creationId xmlns="" xmlns:a16="http://schemas.microsoft.com/office/drawing/2014/main" id="{00000000-0008-0000-0000-00009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0" name="Text Box 3085">
          <a:extLst>
            <a:ext uri="{FF2B5EF4-FFF2-40B4-BE49-F238E27FC236}">
              <a16:creationId xmlns="" xmlns:a16="http://schemas.microsoft.com/office/drawing/2014/main" id="{00000000-0008-0000-0000-00009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1" name="Text Box 3086">
          <a:extLst>
            <a:ext uri="{FF2B5EF4-FFF2-40B4-BE49-F238E27FC236}">
              <a16:creationId xmlns="" xmlns:a16="http://schemas.microsoft.com/office/drawing/2014/main" id="{00000000-0008-0000-0000-00009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2" name="Text Box 3087">
          <a:extLst>
            <a:ext uri="{FF2B5EF4-FFF2-40B4-BE49-F238E27FC236}">
              <a16:creationId xmlns="" xmlns:a16="http://schemas.microsoft.com/office/drawing/2014/main" id="{00000000-0008-0000-0000-00009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3" name="Text Box 3088">
          <a:extLst>
            <a:ext uri="{FF2B5EF4-FFF2-40B4-BE49-F238E27FC236}">
              <a16:creationId xmlns="" xmlns:a16="http://schemas.microsoft.com/office/drawing/2014/main" id="{00000000-0008-0000-0000-00009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4" name="Text Box 3089">
          <a:extLst>
            <a:ext uri="{FF2B5EF4-FFF2-40B4-BE49-F238E27FC236}">
              <a16:creationId xmlns="" xmlns:a16="http://schemas.microsoft.com/office/drawing/2014/main" id="{00000000-0008-0000-0000-00009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5" name="Text Box 3090">
          <a:extLst>
            <a:ext uri="{FF2B5EF4-FFF2-40B4-BE49-F238E27FC236}">
              <a16:creationId xmlns="" xmlns:a16="http://schemas.microsoft.com/office/drawing/2014/main" id="{00000000-0008-0000-0000-00009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6" name="Text Box 3091">
          <a:extLst>
            <a:ext uri="{FF2B5EF4-FFF2-40B4-BE49-F238E27FC236}">
              <a16:creationId xmlns="" xmlns:a16="http://schemas.microsoft.com/office/drawing/2014/main" id="{00000000-0008-0000-0000-00009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7" name="Text Box 3092">
          <a:extLst>
            <a:ext uri="{FF2B5EF4-FFF2-40B4-BE49-F238E27FC236}">
              <a16:creationId xmlns="" xmlns:a16="http://schemas.microsoft.com/office/drawing/2014/main" id="{00000000-0008-0000-0000-00009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8" name="Text Box 3093">
          <a:extLst>
            <a:ext uri="{FF2B5EF4-FFF2-40B4-BE49-F238E27FC236}">
              <a16:creationId xmlns="" xmlns:a16="http://schemas.microsoft.com/office/drawing/2014/main" id="{00000000-0008-0000-0000-00009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9" name="Text Box 3094">
          <a:extLst>
            <a:ext uri="{FF2B5EF4-FFF2-40B4-BE49-F238E27FC236}">
              <a16:creationId xmlns="" xmlns:a16="http://schemas.microsoft.com/office/drawing/2014/main" id="{00000000-0008-0000-0000-00009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0" name="Text Box 3095">
          <a:extLst>
            <a:ext uri="{FF2B5EF4-FFF2-40B4-BE49-F238E27FC236}">
              <a16:creationId xmlns="" xmlns:a16="http://schemas.microsoft.com/office/drawing/2014/main" id="{00000000-0008-0000-0000-00009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1" name="Text Box 3096">
          <a:extLst>
            <a:ext uri="{FF2B5EF4-FFF2-40B4-BE49-F238E27FC236}">
              <a16:creationId xmlns="" xmlns:a16="http://schemas.microsoft.com/office/drawing/2014/main" id="{00000000-0008-0000-0000-00009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2" name="Text Box 3097">
          <a:extLst>
            <a:ext uri="{FF2B5EF4-FFF2-40B4-BE49-F238E27FC236}">
              <a16:creationId xmlns="" xmlns:a16="http://schemas.microsoft.com/office/drawing/2014/main" id="{00000000-0008-0000-0000-00009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3" name="Text Box 3098">
          <a:extLst>
            <a:ext uri="{FF2B5EF4-FFF2-40B4-BE49-F238E27FC236}">
              <a16:creationId xmlns="" xmlns:a16="http://schemas.microsoft.com/office/drawing/2014/main" id="{00000000-0008-0000-0000-00009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4" name="Text Box 3099">
          <a:extLst>
            <a:ext uri="{FF2B5EF4-FFF2-40B4-BE49-F238E27FC236}">
              <a16:creationId xmlns="" xmlns:a16="http://schemas.microsoft.com/office/drawing/2014/main" id="{00000000-0008-0000-0000-0000A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5" name="Text Box 3100">
          <a:extLst>
            <a:ext uri="{FF2B5EF4-FFF2-40B4-BE49-F238E27FC236}">
              <a16:creationId xmlns="" xmlns:a16="http://schemas.microsoft.com/office/drawing/2014/main" id="{00000000-0008-0000-0000-0000A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6" name="Text Box 3101">
          <a:extLst>
            <a:ext uri="{FF2B5EF4-FFF2-40B4-BE49-F238E27FC236}">
              <a16:creationId xmlns="" xmlns:a16="http://schemas.microsoft.com/office/drawing/2014/main" id="{00000000-0008-0000-0000-0000A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867" name="Text Box 3102">
          <a:extLst>
            <a:ext uri="{FF2B5EF4-FFF2-40B4-BE49-F238E27FC236}">
              <a16:creationId xmlns="" xmlns:a16="http://schemas.microsoft.com/office/drawing/2014/main" id="{00000000-0008-0000-0000-0000A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68" name="Text Box 59">
          <a:extLst>
            <a:ext uri="{FF2B5EF4-FFF2-40B4-BE49-F238E27FC236}">
              <a16:creationId xmlns="" xmlns:a16="http://schemas.microsoft.com/office/drawing/2014/main" id="{00000000-0008-0000-0000-0000A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69" name="Text Box 60">
          <a:extLst>
            <a:ext uri="{FF2B5EF4-FFF2-40B4-BE49-F238E27FC236}">
              <a16:creationId xmlns="" xmlns:a16="http://schemas.microsoft.com/office/drawing/2014/main" id="{00000000-0008-0000-0000-0000A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0" name="Text Box 61">
          <a:extLst>
            <a:ext uri="{FF2B5EF4-FFF2-40B4-BE49-F238E27FC236}">
              <a16:creationId xmlns="" xmlns:a16="http://schemas.microsoft.com/office/drawing/2014/main" id="{00000000-0008-0000-0000-0000A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1" name="Text Box 62">
          <a:extLst>
            <a:ext uri="{FF2B5EF4-FFF2-40B4-BE49-F238E27FC236}">
              <a16:creationId xmlns="" xmlns:a16="http://schemas.microsoft.com/office/drawing/2014/main" id="{00000000-0008-0000-0000-0000A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2" name="Text Box 63">
          <a:extLst>
            <a:ext uri="{FF2B5EF4-FFF2-40B4-BE49-F238E27FC236}">
              <a16:creationId xmlns="" xmlns:a16="http://schemas.microsoft.com/office/drawing/2014/main" id="{00000000-0008-0000-0000-0000A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3" name="Text Box 64">
          <a:extLst>
            <a:ext uri="{FF2B5EF4-FFF2-40B4-BE49-F238E27FC236}">
              <a16:creationId xmlns="" xmlns:a16="http://schemas.microsoft.com/office/drawing/2014/main" id="{00000000-0008-0000-0000-0000A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4" name="Text Box 65">
          <a:extLst>
            <a:ext uri="{FF2B5EF4-FFF2-40B4-BE49-F238E27FC236}">
              <a16:creationId xmlns="" xmlns:a16="http://schemas.microsoft.com/office/drawing/2014/main" id="{00000000-0008-0000-0000-0000A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5" name="Text Box 66">
          <a:extLst>
            <a:ext uri="{FF2B5EF4-FFF2-40B4-BE49-F238E27FC236}">
              <a16:creationId xmlns="" xmlns:a16="http://schemas.microsoft.com/office/drawing/2014/main" id="{00000000-0008-0000-0000-0000A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6" name="Text Box 67">
          <a:extLst>
            <a:ext uri="{FF2B5EF4-FFF2-40B4-BE49-F238E27FC236}">
              <a16:creationId xmlns="" xmlns:a16="http://schemas.microsoft.com/office/drawing/2014/main" id="{00000000-0008-0000-0000-0000A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7" name="Text Box 68">
          <a:extLst>
            <a:ext uri="{FF2B5EF4-FFF2-40B4-BE49-F238E27FC236}">
              <a16:creationId xmlns="" xmlns:a16="http://schemas.microsoft.com/office/drawing/2014/main" id="{00000000-0008-0000-0000-0000A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8" name="Text Box 69">
          <a:extLst>
            <a:ext uri="{FF2B5EF4-FFF2-40B4-BE49-F238E27FC236}">
              <a16:creationId xmlns="" xmlns:a16="http://schemas.microsoft.com/office/drawing/2014/main" id="{00000000-0008-0000-0000-0000A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9" name="Text Box 70">
          <a:extLst>
            <a:ext uri="{FF2B5EF4-FFF2-40B4-BE49-F238E27FC236}">
              <a16:creationId xmlns="" xmlns:a16="http://schemas.microsoft.com/office/drawing/2014/main" id="{00000000-0008-0000-0000-0000A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0" name="Text Box 71">
          <a:extLst>
            <a:ext uri="{FF2B5EF4-FFF2-40B4-BE49-F238E27FC236}">
              <a16:creationId xmlns="" xmlns:a16="http://schemas.microsoft.com/office/drawing/2014/main" id="{00000000-0008-0000-0000-0000B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1" name="Text Box 72">
          <a:extLst>
            <a:ext uri="{FF2B5EF4-FFF2-40B4-BE49-F238E27FC236}">
              <a16:creationId xmlns="" xmlns:a16="http://schemas.microsoft.com/office/drawing/2014/main" id="{00000000-0008-0000-0000-0000B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2" name="Text Box 73">
          <a:extLst>
            <a:ext uri="{FF2B5EF4-FFF2-40B4-BE49-F238E27FC236}">
              <a16:creationId xmlns="" xmlns:a16="http://schemas.microsoft.com/office/drawing/2014/main" id="{00000000-0008-0000-0000-0000B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3" name="Text Box 74">
          <a:extLst>
            <a:ext uri="{FF2B5EF4-FFF2-40B4-BE49-F238E27FC236}">
              <a16:creationId xmlns="" xmlns:a16="http://schemas.microsoft.com/office/drawing/2014/main" id="{00000000-0008-0000-0000-0000B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4" name="Text Box 75">
          <a:extLst>
            <a:ext uri="{FF2B5EF4-FFF2-40B4-BE49-F238E27FC236}">
              <a16:creationId xmlns="" xmlns:a16="http://schemas.microsoft.com/office/drawing/2014/main" id="{00000000-0008-0000-0000-0000B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5" name="Text Box 76">
          <a:extLst>
            <a:ext uri="{FF2B5EF4-FFF2-40B4-BE49-F238E27FC236}">
              <a16:creationId xmlns="" xmlns:a16="http://schemas.microsoft.com/office/drawing/2014/main" id="{00000000-0008-0000-0000-0000B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6" name="Text Box 77">
          <a:extLst>
            <a:ext uri="{FF2B5EF4-FFF2-40B4-BE49-F238E27FC236}">
              <a16:creationId xmlns="" xmlns:a16="http://schemas.microsoft.com/office/drawing/2014/main" id="{00000000-0008-0000-0000-0000B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7" name="Text Box 78">
          <a:extLst>
            <a:ext uri="{FF2B5EF4-FFF2-40B4-BE49-F238E27FC236}">
              <a16:creationId xmlns="" xmlns:a16="http://schemas.microsoft.com/office/drawing/2014/main" id="{00000000-0008-0000-0000-0000B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8" name="Text Box 79">
          <a:extLst>
            <a:ext uri="{FF2B5EF4-FFF2-40B4-BE49-F238E27FC236}">
              <a16:creationId xmlns="" xmlns:a16="http://schemas.microsoft.com/office/drawing/2014/main" id="{00000000-0008-0000-0000-0000B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9" name="Text Box 80">
          <a:extLst>
            <a:ext uri="{FF2B5EF4-FFF2-40B4-BE49-F238E27FC236}">
              <a16:creationId xmlns="" xmlns:a16="http://schemas.microsoft.com/office/drawing/2014/main" id="{00000000-0008-0000-0000-0000B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90" name="Text Box 81">
          <a:extLst>
            <a:ext uri="{FF2B5EF4-FFF2-40B4-BE49-F238E27FC236}">
              <a16:creationId xmlns="" xmlns:a16="http://schemas.microsoft.com/office/drawing/2014/main" id="{00000000-0008-0000-0000-0000B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1" name="Text Box 3079">
          <a:extLst>
            <a:ext uri="{FF2B5EF4-FFF2-40B4-BE49-F238E27FC236}">
              <a16:creationId xmlns="" xmlns:a16="http://schemas.microsoft.com/office/drawing/2014/main" id="{00000000-0008-0000-0000-0000B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2" name="Text Box 3080">
          <a:extLst>
            <a:ext uri="{FF2B5EF4-FFF2-40B4-BE49-F238E27FC236}">
              <a16:creationId xmlns="" xmlns:a16="http://schemas.microsoft.com/office/drawing/2014/main" id="{00000000-0008-0000-0000-0000B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3" name="Text Box 3081">
          <a:extLst>
            <a:ext uri="{FF2B5EF4-FFF2-40B4-BE49-F238E27FC236}">
              <a16:creationId xmlns="" xmlns:a16="http://schemas.microsoft.com/office/drawing/2014/main" id="{00000000-0008-0000-0000-0000B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4" name="Text Box 3082">
          <a:extLst>
            <a:ext uri="{FF2B5EF4-FFF2-40B4-BE49-F238E27FC236}">
              <a16:creationId xmlns="" xmlns:a16="http://schemas.microsoft.com/office/drawing/2014/main" id="{00000000-0008-0000-0000-0000B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5" name="Text Box 3083">
          <a:extLst>
            <a:ext uri="{FF2B5EF4-FFF2-40B4-BE49-F238E27FC236}">
              <a16:creationId xmlns="" xmlns:a16="http://schemas.microsoft.com/office/drawing/2014/main" id="{00000000-0008-0000-0000-0000B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6" name="Text Box 3084">
          <a:extLst>
            <a:ext uri="{FF2B5EF4-FFF2-40B4-BE49-F238E27FC236}">
              <a16:creationId xmlns="" xmlns:a16="http://schemas.microsoft.com/office/drawing/2014/main" id="{00000000-0008-0000-0000-0000C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7" name="Text Box 3085">
          <a:extLst>
            <a:ext uri="{FF2B5EF4-FFF2-40B4-BE49-F238E27FC236}">
              <a16:creationId xmlns="" xmlns:a16="http://schemas.microsoft.com/office/drawing/2014/main" id="{00000000-0008-0000-0000-0000C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8" name="Text Box 3086">
          <a:extLst>
            <a:ext uri="{FF2B5EF4-FFF2-40B4-BE49-F238E27FC236}">
              <a16:creationId xmlns="" xmlns:a16="http://schemas.microsoft.com/office/drawing/2014/main" id="{00000000-0008-0000-0000-0000C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9" name="Text Box 3087">
          <a:extLst>
            <a:ext uri="{FF2B5EF4-FFF2-40B4-BE49-F238E27FC236}">
              <a16:creationId xmlns="" xmlns:a16="http://schemas.microsoft.com/office/drawing/2014/main" id="{00000000-0008-0000-0000-0000C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0" name="Text Box 3088">
          <a:extLst>
            <a:ext uri="{FF2B5EF4-FFF2-40B4-BE49-F238E27FC236}">
              <a16:creationId xmlns="" xmlns:a16="http://schemas.microsoft.com/office/drawing/2014/main" id="{00000000-0008-0000-0000-0000C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1" name="Text Box 3089">
          <a:extLst>
            <a:ext uri="{FF2B5EF4-FFF2-40B4-BE49-F238E27FC236}">
              <a16:creationId xmlns="" xmlns:a16="http://schemas.microsoft.com/office/drawing/2014/main" id="{00000000-0008-0000-0000-0000C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2" name="Text Box 3090">
          <a:extLst>
            <a:ext uri="{FF2B5EF4-FFF2-40B4-BE49-F238E27FC236}">
              <a16:creationId xmlns="" xmlns:a16="http://schemas.microsoft.com/office/drawing/2014/main" id="{00000000-0008-0000-0000-0000C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3" name="Text Box 3091">
          <a:extLst>
            <a:ext uri="{FF2B5EF4-FFF2-40B4-BE49-F238E27FC236}">
              <a16:creationId xmlns="" xmlns:a16="http://schemas.microsoft.com/office/drawing/2014/main" id="{00000000-0008-0000-0000-0000C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4" name="Text Box 3092">
          <a:extLst>
            <a:ext uri="{FF2B5EF4-FFF2-40B4-BE49-F238E27FC236}">
              <a16:creationId xmlns="" xmlns:a16="http://schemas.microsoft.com/office/drawing/2014/main" id="{00000000-0008-0000-0000-0000C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5" name="Text Box 3093">
          <a:extLst>
            <a:ext uri="{FF2B5EF4-FFF2-40B4-BE49-F238E27FC236}">
              <a16:creationId xmlns="" xmlns:a16="http://schemas.microsoft.com/office/drawing/2014/main" id="{00000000-0008-0000-0000-0000C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6" name="Text Box 3094">
          <a:extLst>
            <a:ext uri="{FF2B5EF4-FFF2-40B4-BE49-F238E27FC236}">
              <a16:creationId xmlns="" xmlns:a16="http://schemas.microsoft.com/office/drawing/2014/main" id="{00000000-0008-0000-0000-0000C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7" name="Text Box 3095">
          <a:extLst>
            <a:ext uri="{FF2B5EF4-FFF2-40B4-BE49-F238E27FC236}">
              <a16:creationId xmlns="" xmlns:a16="http://schemas.microsoft.com/office/drawing/2014/main" id="{00000000-0008-0000-0000-0000C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8" name="Text Box 3096">
          <a:extLst>
            <a:ext uri="{FF2B5EF4-FFF2-40B4-BE49-F238E27FC236}">
              <a16:creationId xmlns="" xmlns:a16="http://schemas.microsoft.com/office/drawing/2014/main" id="{00000000-0008-0000-0000-0000C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9" name="Text Box 3097">
          <a:extLst>
            <a:ext uri="{FF2B5EF4-FFF2-40B4-BE49-F238E27FC236}">
              <a16:creationId xmlns="" xmlns:a16="http://schemas.microsoft.com/office/drawing/2014/main" id="{00000000-0008-0000-0000-0000C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0" name="Text Box 3098">
          <a:extLst>
            <a:ext uri="{FF2B5EF4-FFF2-40B4-BE49-F238E27FC236}">
              <a16:creationId xmlns="" xmlns:a16="http://schemas.microsoft.com/office/drawing/2014/main" id="{00000000-0008-0000-0000-0000C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1" name="Text Box 3099">
          <a:extLst>
            <a:ext uri="{FF2B5EF4-FFF2-40B4-BE49-F238E27FC236}">
              <a16:creationId xmlns="" xmlns:a16="http://schemas.microsoft.com/office/drawing/2014/main" id="{00000000-0008-0000-0000-0000C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2" name="Text Box 3100">
          <a:extLst>
            <a:ext uri="{FF2B5EF4-FFF2-40B4-BE49-F238E27FC236}">
              <a16:creationId xmlns="" xmlns:a16="http://schemas.microsoft.com/office/drawing/2014/main" id="{00000000-0008-0000-0000-0000D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3" name="Text Box 3101">
          <a:extLst>
            <a:ext uri="{FF2B5EF4-FFF2-40B4-BE49-F238E27FC236}">
              <a16:creationId xmlns="" xmlns:a16="http://schemas.microsoft.com/office/drawing/2014/main" id="{00000000-0008-0000-0000-0000D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914" name="Text Box 3102">
          <a:extLst>
            <a:ext uri="{FF2B5EF4-FFF2-40B4-BE49-F238E27FC236}">
              <a16:creationId xmlns="" xmlns:a16="http://schemas.microsoft.com/office/drawing/2014/main" id="{00000000-0008-0000-0000-0000D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5" name="Text Box 59">
          <a:extLst>
            <a:ext uri="{FF2B5EF4-FFF2-40B4-BE49-F238E27FC236}">
              <a16:creationId xmlns="" xmlns:a16="http://schemas.microsoft.com/office/drawing/2014/main" id="{00000000-0008-0000-0000-0000D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6" name="Text Box 60">
          <a:extLst>
            <a:ext uri="{FF2B5EF4-FFF2-40B4-BE49-F238E27FC236}">
              <a16:creationId xmlns="" xmlns:a16="http://schemas.microsoft.com/office/drawing/2014/main" id="{00000000-0008-0000-0000-0000D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7" name="Text Box 61">
          <a:extLst>
            <a:ext uri="{FF2B5EF4-FFF2-40B4-BE49-F238E27FC236}">
              <a16:creationId xmlns="" xmlns:a16="http://schemas.microsoft.com/office/drawing/2014/main" id="{00000000-0008-0000-0000-0000D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8" name="Text Box 62">
          <a:extLst>
            <a:ext uri="{FF2B5EF4-FFF2-40B4-BE49-F238E27FC236}">
              <a16:creationId xmlns="" xmlns:a16="http://schemas.microsoft.com/office/drawing/2014/main" id="{00000000-0008-0000-0000-0000D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9" name="Text Box 63">
          <a:extLst>
            <a:ext uri="{FF2B5EF4-FFF2-40B4-BE49-F238E27FC236}">
              <a16:creationId xmlns="" xmlns:a16="http://schemas.microsoft.com/office/drawing/2014/main" id="{00000000-0008-0000-0000-0000D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0" name="Text Box 64">
          <a:extLst>
            <a:ext uri="{FF2B5EF4-FFF2-40B4-BE49-F238E27FC236}">
              <a16:creationId xmlns="" xmlns:a16="http://schemas.microsoft.com/office/drawing/2014/main" id="{00000000-0008-0000-0000-0000D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1" name="Text Box 65">
          <a:extLst>
            <a:ext uri="{FF2B5EF4-FFF2-40B4-BE49-F238E27FC236}">
              <a16:creationId xmlns="" xmlns:a16="http://schemas.microsoft.com/office/drawing/2014/main" id="{00000000-0008-0000-0000-0000D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2" name="Text Box 66">
          <a:extLst>
            <a:ext uri="{FF2B5EF4-FFF2-40B4-BE49-F238E27FC236}">
              <a16:creationId xmlns="" xmlns:a16="http://schemas.microsoft.com/office/drawing/2014/main" id="{00000000-0008-0000-0000-0000D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3" name="Text Box 67">
          <a:extLst>
            <a:ext uri="{FF2B5EF4-FFF2-40B4-BE49-F238E27FC236}">
              <a16:creationId xmlns="" xmlns:a16="http://schemas.microsoft.com/office/drawing/2014/main" id="{00000000-0008-0000-0000-0000D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4" name="Text Box 68">
          <a:extLst>
            <a:ext uri="{FF2B5EF4-FFF2-40B4-BE49-F238E27FC236}">
              <a16:creationId xmlns="" xmlns:a16="http://schemas.microsoft.com/office/drawing/2014/main" id="{00000000-0008-0000-0000-0000D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5" name="Text Box 69">
          <a:extLst>
            <a:ext uri="{FF2B5EF4-FFF2-40B4-BE49-F238E27FC236}">
              <a16:creationId xmlns="" xmlns:a16="http://schemas.microsoft.com/office/drawing/2014/main" id="{00000000-0008-0000-0000-0000D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6" name="Text Box 70">
          <a:extLst>
            <a:ext uri="{FF2B5EF4-FFF2-40B4-BE49-F238E27FC236}">
              <a16:creationId xmlns="" xmlns:a16="http://schemas.microsoft.com/office/drawing/2014/main" id="{00000000-0008-0000-0000-0000D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7" name="Text Box 71">
          <a:extLst>
            <a:ext uri="{FF2B5EF4-FFF2-40B4-BE49-F238E27FC236}">
              <a16:creationId xmlns="" xmlns:a16="http://schemas.microsoft.com/office/drawing/2014/main" id="{00000000-0008-0000-0000-0000D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8" name="Text Box 72">
          <a:extLst>
            <a:ext uri="{FF2B5EF4-FFF2-40B4-BE49-F238E27FC236}">
              <a16:creationId xmlns="" xmlns:a16="http://schemas.microsoft.com/office/drawing/2014/main" id="{00000000-0008-0000-0000-0000E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9" name="Text Box 73">
          <a:extLst>
            <a:ext uri="{FF2B5EF4-FFF2-40B4-BE49-F238E27FC236}">
              <a16:creationId xmlns="" xmlns:a16="http://schemas.microsoft.com/office/drawing/2014/main" id="{00000000-0008-0000-0000-0000E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0" name="Text Box 74">
          <a:extLst>
            <a:ext uri="{FF2B5EF4-FFF2-40B4-BE49-F238E27FC236}">
              <a16:creationId xmlns="" xmlns:a16="http://schemas.microsoft.com/office/drawing/2014/main" id="{00000000-0008-0000-0000-0000E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1" name="Text Box 75">
          <a:extLst>
            <a:ext uri="{FF2B5EF4-FFF2-40B4-BE49-F238E27FC236}">
              <a16:creationId xmlns="" xmlns:a16="http://schemas.microsoft.com/office/drawing/2014/main" id="{00000000-0008-0000-0000-0000E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2" name="Text Box 76">
          <a:extLst>
            <a:ext uri="{FF2B5EF4-FFF2-40B4-BE49-F238E27FC236}">
              <a16:creationId xmlns="" xmlns:a16="http://schemas.microsoft.com/office/drawing/2014/main" id="{00000000-0008-0000-0000-0000E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3" name="Text Box 77">
          <a:extLst>
            <a:ext uri="{FF2B5EF4-FFF2-40B4-BE49-F238E27FC236}">
              <a16:creationId xmlns="" xmlns:a16="http://schemas.microsoft.com/office/drawing/2014/main" id="{00000000-0008-0000-0000-0000E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4" name="Text Box 78">
          <a:extLst>
            <a:ext uri="{FF2B5EF4-FFF2-40B4-BE49-F238E27FC236}">
              <a16:creationId xmlns="" xmlns:a16="http://schemas.microsoft.com/office/drawing/2014/main" id="{00000000-0008-0000-0000-0000E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5" name="Text Box 79">
          <a:extLst>
            <a:ext uri="{FF2B5EF4-FFF2-40B4-BE49-F238E27FC236}">
              <a16:creationId xmlns="" xmlns:a16="http://schemas.microsoft.com/office/drawing/2014/main" id="{00000000-0008-0000-0000-0000E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6" name="Text Box 80">
          <a:extLst>
            <a:ext uri="{FF2B5EF4-FFF2-40B4-BE49-F238E27FC236}">
              <a16:creationId xmlns="" xmlns:a16="http://schemas.microsoft.com/office/drawing/2014/main" id="{00000000-0008-0000-0000-0000E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7" name="Text Box 81">
          <a:extLst>
            <a:ext uri="{FF2B5EF4-FFF2-40B4-BE49-F238E27FC236}">
              <a16:creationId xmlns="" xmlns:a16="http://schemas.microsoft.com/office/drawing/2014/main" id="{00000000-0008-0000-0000-0000E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938" name="Text Box 82">
          <a:extLst>
            <a:ext uri="{FF2B5EF4-FFF2-40B4-BE49-F238E27FC236}">
              <a16:creationId xmlns="" xmlns:a16="http://schemas.microsoft.com/office/drawing/2014/main" id="{00000000-0008-0000-0000-0000E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39" name="Text Box 3079">
          <a:extLst>
            <a:ext uri="{FF2B5EF4-FFF2-40B4-BE49-F238E27FC236}">
              <a16:creationId xmlns="" xmlns:a16="http://schemas.microsoft.com/office/drawing/2014/main" id="{00000000-0008-0000-0000-0000E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0" name="Text Box 3080">
          <a:extLst>
            <a:ext uri="{FF2B5EF4-FFF2-40B4-BE49-F238E27FC236}">
              <a16:creationId xmlns="" xmlns:a16="http://schemas.microsoft.com/office/drawing/2014/main" id="{00000000-0008-0000-0000-0000E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1" name="Text Box 3081">
          <a:extLst>
            <a:ext uri="{FF2B5EF4-FFF2-40B4-BE49-F238E27FC236}">
              <a16:creationId xmlns="" xmlns:a16="http://schemas.microsoft.com/office/drawing/2014/main" id="{00000000-0008-0000-0000-0000E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2" name="Text Box 3082">
          <a:extLst>
            <a:ext uri="{FF2B5EF4-FFF2-40B4-BE49-F238E27FC236}">
              <a16:creationId xmlns="" xmlns:a16="http://schemas.microsoft.com/office/drawing/2014/main" id="{00000000-0008-0000-0000-0000E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3" name="Text Box 3083">
          <a:extLst>
            <a:ext uri="{FF2B5EF4-FFF2-40B4-BE49-F238E27FC236}">
              <a16:creationId xmlns="" xmlns:a16="http://schemas.microsoft.com/office/drawing/2014/main" id="{00000000-0008-0000-0000-0000E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4" name="Text Box 3084">
          <a:extLst>
            <a:ext uri="{FF2B5EF4-FFF2-40B4-BE49-F238E27FC236}">
              <a16:creationId xmlns="" xmlns:a16="http://schemas.microsoft.com/office/drawing/2014/main" id="{00000000-0008-0000-0000-0000F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5" name="Text Box 3085">
          <a:extLst>
            <a:ext uri="{FF2B5EF4-FFF2-40B4-BE49-F238E27FC236}">
              <a16:creationId xmlns="" xmlns:a16="http://schemas.microsoft.com/office/drawing/2014/main" id="{00000000-0008-0000-0000-0000F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6" name="Text Box 3086">
          <a:extLst>
            <a:ext uri="{FF2B5EF4-FFF2-40B4-BE49-F238E27FC236}">
              <a16:creationId xmlns="" xmlns:a16="http://schemas.microsoft.com/office/drawing/2014/main" id="{00000000-0008-0000-0000-0000F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7" name="Text Box 3087">
          <a:extLst>
            <a:ext uri="{FF2B5EF4-FFF2-40B4-BE49-F238E27FC236}">
              <a16:creationId xmlns="" xmlns:a16="http://schemas.microsoft.com/office/drawing/2014/main" id="{00000000-0008-0000-0000-0000F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8" name="Text Box 3088">
          <a:extLst>
            <a:ext uri="{FF2B5EF4-FFF2-40B4-BE49-F238E27FC236}">
              <a16:creationId xmlns="" xmlns:a16="http://schemas.microsoft.com/office/drawing/2014/main" id="{00000000-0008-0000-0000-0000F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9" name="Text Box 3089">
          <a:extLst>
            <a:ext uri="{FF2B5EF4-FFF2-40B4-BE49-F238E27FC236}">
              <a16:creationId xmlns="" xmlns:a16="http://schemas.microsoft.com/office/drawing/2014/main" id="{00000000-0008-0000-0000-0000F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0" name="Text Box 3090">
          <a:extLst>
            <a:ext uri="{FF2B5EF4-FFF2-40B4-BE49-F238E27FC236}">
              <a16:creationId xmlns="" xmlns:a16="http://schemas.microsoft.com/office/drawing/2014/main" id="{00000000-0008-0000-0000-0000F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1" name="Text Box 3091">
          <a:extLst>
            <a:ext uri="{FF2B5EF4-FFF2-40B4-BE49-F238E27FC236}">
              <a16:creationId xmlns="" xmlns:a16="http://schemas.microsoft.com/office/drawing/2014/main" id="{00000000-0008-0000-0000-0000F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2" name="Text Box 3092">
          <a:extLst>
            <a:ext uri="{FF2B5EF4-FFF2-40B4-BE49-F238E27FC236}">
              <a16:creationId xmlns="" xmlns:a16="http://schemas.microsoft.com/office/drawing/2014/main" id="{00000000-0008-0000-0000-0000F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3" name="Text Box 3093">
          <a:extLst>
            <a:ext uri="{FF2B5EF4-FFF2-40B4-BE49-F238E27FC236}">
              <a16:creationId xmlns="" xmlns:a16="http://schemas.microsoft.com/office/drawing/2014/main" id="{00000000-0008-0000-0000-0000F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4" name="Text Box 3094">
          <a:extLst>
            <a:ext uri="{FF2B5EF4-FFF2-40B4-BE49-F238E27FC236}">
              <a16:creationId xmlns="" xmlns:a16="http://schemas.microsoft.com/office/drawing/2014/main" id="{00000000-0008-0000-0000-0000F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5" name="Text Box 3095">
          <a:extLst>
            <a:ext uri="{FF2B5EF4-FFF2-40B4-BE49-F238E27FC236}">
              <a16:creationId xmlns="" xmlns:a16="http://schemas.microsoft.com/office/drawing/2014/main" id="{00000000-0008-0000-0000-0000F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6" name="Text Box 3096">
          <a:extLst>
            <a:ext uri="{FF2B5EF4-FFF2-40B4-BE49-F238E27FC236}">
              <a16:creationId xmlns="" xmlns:a16="http://schemas.microsoft.com/office/drawing/2014/main" id="{00000000-0008-0000-0000-0000F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7" name="Text Box 3097">
          <a:extLst>
            <a:ext uri="{FF2B5EF4-FFF2-40B4-BE49-F238E27FC236}">
              <a16:creationId xmlns="" xmlns:a16="http://schemas.microsoft.com/office/drawing/2014/main" id="{00000000-0008-0000-0000-0000F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8" name="Text Box 3098">
          <a:extLst>
            <a:ext uri="{FF2B5EF4-FFF2-40B4-BE49-F238E27FC236}">
              <a16:creationId xmlns="" xmlns:a16="http://schemas.microsoft.com/office/drawing/2014/main" id="{00000000-0008-0000-0000-0000F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9" name="Text Box 3099">
          <a:extLst>
            <a:ext uri="{FF2B5EF4-FFF2-40B4-BE49-F238E27FC236}">
              <a16:creationId xmlns="" xmlns:a16="http://schemas.microsoft.com/office/drawing/2014/main" id="{00000000-0008-0000-0000-0000F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60" name="Text Box 3100">
          <a:extLst>
            <a:ext uri="{FF2B5EF4-FFF2-40B4-BE49-F238E27FC236}">
              <a16:creationId xmlns="" xmlns:a16="http://schemas.microsoft.com/office/drawing/2014/main" id="{00000000-0008-0000-0000-00000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61" name="Text Box 3101">
          <a:extLst>
            <a:ext uri="{FF2B5EF4-FFF2-40B4-BE49-F238E27FC236}">
              <a16:creationId xmlns="" xmlns:a16="http://schemas.microsoft.com/office/drawing/2014/main" id="{00000000-0008-0000-0000-00000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962" name="Text Box 3102">
          <a:extLst>
            <a:ext uri="{FF2B5EF4-FFF2-40B4-BE49-F238E27FC236}">
              <a16:creationId xmlns="" xmlns:a16="http://schemas.microsoft.com/office/drawing/2014/main" id="{00000000-0008-0000-0000-00000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3" name="Text Box 59">
          <a:extLst>
            <a:ext uri="{FF2B5EF4-FFF2-40B4-BE49-F238E27FC236}">
              <a16:creationId xmlns="" xmlns:a16="http://schemas.microsoft.com/office/drawing/2014/main" id="{00000000-0008-0000-0000-00000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4" name="Text Box 60">
          <a:extLst>
            <a:ext uri="{FF2B5EF4-FFF2-40B4-BE49-F238E27FC236}">
              <a16:creationId xmlns="" xmlns:a16="http://schemas.microsoft.com/office/drawing/2014/main" id="{00000000-0008-0000-0000-00000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5" name="Text Box 61">
          <a:extLst>
            <a:ext uri="{FF2B5EF4-FFF2-40B4-BE49-F238E27FC236}">
              <a16:creationId xmlns="" xmlns:a16="http://schemas.microsoft.com/office/drawing/2014/main" id="{00000000-0008-0000-0000-00000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6" name="Text Box 62">
          <a:extLst>
            <a:ext uri="{FF2B5EF4-FFF2-40B4-BE49-F238E27FC236}">
              <a16:creationId xmlns="" xmlns:a16="http://schemas.microsoft.com/office/drawing/2014/main" id="{00000000-0008-0000-0000-00000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7" name="Text Box 63">
          <a:extLst>
            <a:ext uri="{FF2B5EF4-FFF2-40B4-BE49-F238E27FC236}">
              <a16:creationId xmlns="" xmlns:a16="http://schemas.microsoft.com/office/drawing/2014/main" id="{00000000-0008-0000-0000-00000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8" name="Text Box 64">
          <a:extLst>
            <a:ext uri="{FF2B5EF4-FFF2-40B4-BE49-F238E27FC236}">
              <a16:creationId xmlns="" xmlns:a16="http://schemas.microsoft.com/office/drawing/2014/main" id="{00000000-0008-0000-0000-00000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9" name="Text Box 65">
          <a:extLst>
            <a:ext uri="{FF2B5EF4-FFF2-40B4-BE49-F238E27FC236}">
              <a16:creationId xmlns="" xmlns:a16="http://schemas.microsoft.com/office/drawing/2014/main" id="{00000000-0008-0000-0000-00000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0" name="Text Box 66">
          <a:extLst>
            <a:ext uri="{FF2B5EF4-FFF2-40B4-BE49-F238E27FC236}">
              <a16:creationId xmlns="" xmlns:a16="http://schemas.microsoft.com/office/drawing/2014/main" id="{00000000-0008-0000-0000-00000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1" name="Text Box 67">
          <a:extLst>
            <a:ext uri="{FF2B5EF4-FFF2-40B4-BE49-F238E27FC236}">
              <a16:creationId xmlns="" xmlns:a16="http://schemas.microsoft.com/office/drawing/2014/main" id="{00000000-0008-0000-0000-00000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2" name="Text Box 68">
          <a:extLst>
            <a:ext uri="{FF2B5EF4-FFF2-40B4-BE49-F238E27FC236}">
              <a16:creationId xmlns="" xmlns:a16="http://schemas.microsoft.com/office/drawing/2014/main" id="{00000000-0008-0000-0000-00000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3" name="Text Box 69">
          <a:extLst>
            <a:ext uri="{FF2B5EF4-FFF2-40B4-BE49-F238E27FC236}">
              <a16:creationId xmlns="" xmlns:a16="http://schemas.microsoft.com/office/drawing/2014/main" id="{00000000-0008-0000-0000-00000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4" name="Text Box 70">
          <a:extLst>
            <a:ext uri="{FF2B5EF4-FFF2-40B4-BE49-F238E27FC236}">
              <a16:creationId xmlns="" xmlns:a16="http://schemas.microsoft.com/office/drawing/2014/main" id="{00000000-0008-0000-0000-00000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5" name="Text Box 71">
          <a:extLst>
            <a:ext uri="{FF2B5EF4-FFF2-40B4-BE49-F238E27FC236}">
              <a16:creationId xmlns="" xmlns:a16="http://schemas.microsoft.com/office/drawing/2014/main" id="{00000000-0008-0000-0000-00000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6" name="Text Box 72">
          <a:extLst>
            <a:ext uri="{FF2B5EF4-FFF2-40B4-BE49-F238E27FC236}">
              <a16:creationId xmlns="" xmlns:a16="http://schemas.microsoft.com/office/drawing/2014/main" id="{00000000-0008-0000-0000-00001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7" name="Text Box 73">
          <a:extLst>
            <a:ext uri="{FF2B5EF4-FFF2-40B4-BE49-F238E27FC236}">
              <a16:creationId xmlns="" xmlns:a16="http://schemas.microsoft.com/office/drawing/2014/main" id="{00000000-0008-0000-0000-00001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8" name="Text Box 74">
          <a:extLst>
            <a:ext uri="{FF2B5EF4-FFF2-40B4-BE49-F238E27FC236}">
              <a16:creationId xmlns="" xmlns:a16="http://schemas.microsoft.com/office/drawing/2014/main" id="{00000000-0008-0000-0000-00001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9" name="Text Box 75">
          <a:extLst>
            <a:ext uri="{FF2B5EF4-FFF2-40B4-BE49-F238E27FC236}">
              <a16:creationId xmlns="" xmlns:a16="http://schemas.microsoft.com/office/drawing/2014/main" id="{00000000-0008-0000-0000-00001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0" name="Text Box 76">
          <a:extLst>
            <a:ext uri="{FF2B5EF4-FFF2-40B4-BE49-F238E27FC236}">
              <a16:creationId xmlns="" xmlns:a16="http://schemas.microsoft.com/office/drawing/2014/main" id="{00000000-0008-0000-0000-00001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1" name="Text Box 77">
          <a:extLst>
            <a:ext uri="{FF2B5EF4-FFF2-40B4-BE49-F238E27FC236}">
              <a16:creationId xmlns="" xmlns:a16="http://schemas.microsoft.com/office/drawing/2014/main" id="{00000000-0008-0000-0000-00001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2" name="Text Box 78">
          <a:extLst>
            <a:ext uri="{FF2B5EF4-FFF2-40B4-BE49-F238E27FC236}">
              <a16:creationId xmlns="" xmlns:a16="http://schemas.microsoft.com/office/drawing/2014/main" id="{00000000-0008-0000-0000-00001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3" name="Text Box 79">
          <a:extLst>
            <a:ext uri="{FF2B5EF4-FFF2-40B4-BE49-F238E27FC236}">
              <a16:creationId xmlns="" xmlns:a16="http://schemas.microsoft.com/office/drawing/2014/main" id="{00000000-0008-0000-0000-00001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4" name="Text Box 80">
          <a:extLst>
            <a:ext uri="{FF2B5EF4-FFF2-40B4-BE49-F238E27FC236}">
              <a16:creationId xmlns="" xmlns:a16="http://schemas.microsoft.com/office/drawing/2014/main" id="{00000000-0008-0000-0000-00001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5" name="Text Box 81">
          <a:extLst>
            <a:ext uri="{FF2B5EF4-FFF2-40B4-BE49-F238E27FC236}">
              <a16:creationId xmlns="" xmlns:a16="http://schemas.microsoft.com/office/drawing/2014/main" id="{00000000-0008-0000-0000-00001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6" name="Text Box 3079">
          <a:extLst>
            <a:ext uri="{FF2B5EF4-FFF2-40B4-BE49-F238E27FC236}">
              <a16:creationId xmlns="" xmlns:a16="http://schemas.microsoft.com/office/drawing/2014/main" id="{00000000-0008-0000-0000-00001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7" name="Text Box 3080">
          <a:extLst>
            <a:ext uri="{FF2B5EF4-FFF2-40B4-BE49-F238E27FC236}">
              <a16:creationId xmlns="" xmlns:a16="http://schemas.microsoft.com/office/drawing/2014/main" id="{00000000-0008-0000-0000-00001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8" name="Text Box 3081">
          <a:extLst>
            <a:ext uri="{FF2B5EF4-FFF2-40B4-BE49-F238E27FC236}">
              <a16:creationId xmlns="" xmlns:a16="http://schemas.microsoft.com/office/drawing/2014/main" id="{00000000-0008-0000-0000-00001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9" name="Text Box 3082">
          <a:extLst>
            <a:ext uri="{FF2B5EF4-FFF2-40B4-BE49-F238E27FC236}">
              <a16:creationId xmlns="" xmlns:a16="http://schemas.microsoft.com/office/drawing/2014/main" id="{00000000-0008-0000-0000-00001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0" name="Text Box 3083">
          <a:extLst>
            <a:ext uri="{FF2B5EF4-FFF2-40B4-BE49-F238E27FC236}">
              <a16:creationId xmlns="" xmlns:a16="http://schemas.microsoft.com/office/drawing/2014/main" id="{00000000-0008-0000-0000-00001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1" name="Text Box 3084">
          <a:extLst>
            <a:ext uri="{FF2B5EF4-FFF2-40B4-BE49-F238E27FC236}">
              <a16:creationId xmlns="" xmlns:a16="http://schemas.microsoft.com/office/drawing/2014/main" id="{00000000-0008-0000-0000-00001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2" name="Text Box 3085">
          <a:extLst>
            <a:ext uri="{FF2B5EF4-FFF2-40B4-BE49-F238E27FC236}">
              <a16:creationId xmlns="" xmlns:a16="http://schemas.microsoft.com/office/drawing/2014/main" id="{00000000-0008-0000-0000-00002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3" name="Text Box 3086">
          <a:extLst>
            <a:ext uri="{FF2B5EF4-FFF2-40B4-BE49-F238E27FC236}">
              <a16:creationId xmlns="" xmlns:a16="http://schemas.microsoft.com/office/drawing/2014/main" id="{00000000-0008-0000-0000-00002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4" name="Text Box 3087">
          <a:extLst>
            <a:ext uri="{FF2B5EF4-FFF2-40B4-BE49-F238E27FC236}">
              <a16:creationId xmlns="" xmlns:a16="http://schemas.microsoft.com/office/drawing/2014/main" id="{00000000-0008-0000-0000-00002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5" name="Text Box 3088">
          <a:extLst>
            <a:ext uri="{FF2B5EF4-FFF2-40B4-BE49-F238E27FC236}">
              <a16:creationId xmlns="" xmlns:a16="http://schemas.microsoft.com/office/drawing/2014/main" id="{00000000-0008-0000-0000-00002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6" name="Text Box 3089">
          <a:extLst>
            <a:ext uri="{FF2B5EF4-FFF2-40B4-BE49-F238E27FC236}">
              <a16:creationId xmlns="" xmlns:a16="http://schemas.microsoft.com/office/drawing/2014/main" id="{00000000-0008-0000-0000-00002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7" name="Text Box 3090">
          <a:extLst>
            <a:ext uri="{FF2B5EF4-FFF2-40B4-BE49-F238E27FC236}">
              <a16:creationId xmlns="" xmlns:a16="http://schemas.microsoft.com/office/drawing/2014/main" id="{00000000-0008-0000-0000-00002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8" name="Text Box 3091">
          <a:extLst>
            <a:ext uri="{FF2B5EF4-FFF2-40B4-BE49-F238E27FC236}">
              <a16:creationId xmlns="" xmlns:a16="http://schemas.microsoft.com/office/drawing/2014/main" id="{00000000-0008-0000-0000-00002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9" name="Text Box 3092">
          <a:extLst>
            <a:ext uri="{FF2B5EF4-FFF2-40B4-BE49-F238E27FC236}">
              <a16:creationId xmlns="" xmlns:a16="http://schemas.microsoft.com/office/drawing/2014/main" id="{00000000-0008-0000-0000-00002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0" name="Text Box 3093">
          <a:extLst>
            <a:ext uri="{FF2B5EF4-FFF2-40B4-BE49-F238E27FC236}">
              <a16:creationId xmlns="" xmlns:a16="http://schemas.microsoft.com/office/drawing/2014/main" id="{00000000-0008-0000-0000-00002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1" name="Text Box 3094">
          <a:extLst>
            <a:ext uri="{FF2B5EF4-FFF2-40B4-BE49-F238E27FC236}">
              <a16:creationId xmlns="" xmlns:a16="http://schemas.microsoft.com/office/drawing/2014/main" id="{00000000-0008-0000-0000-00002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2" name="Text Box 3095">
          <a:extLst>
            <a:ext uri="{FF2B5EF4-FFF2-40B4-BE49-F238E27FC236}">
              <a16:creationId xmlns="" xmlns:a16="http://schemas.microsoft.com/office/drawing/2014/main" id="{00000000-0008-0000-0000-00002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3" name="Text Box 3096">
          <a:extLst>
            <a:ext uri="{FF2B5EF4-FFF2-40B4-BE49-F238E27FC236}">
              <a16:creationId xmlns="" xmlns:a16="http://schemas.microsoft.com/office/drawing/2014/main" id="{00000000-0008-0000-0000-00002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4" name="Text Box 3097">
          <a:extLst>
            <a:ext uri="{FF2B5EF4-FFF2-40B4-BE49-F238E27FC236}">
              <a16:creationId xmlns="" xmlns:a16="http://schemas.microsoft.com/office/drawing/2014/main" id="{00000000-0008-0000-0000-00002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5" name="Text Box 3098">
          <a:extLst>
            <a:ext uri="{FF2B5EF4-FFF2-40B4-BE49-F238E27FC236}">
              <a16:creationId xmlns="" xmlns:a16="http://schemas.microsoft.com/office/drawing/2014/main" id="{00000000-0008-0000-0000-00002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6" name="Text Box 3099">
          <a:extLst>
            <a:ext uri="{FF2B5EF4-FFF2-40B4-BE49-F238E27FC236}">
              <a16:creationId xmlns="" xmlns:a16="http://schemas.microsoft.com/office/drawing/2014/main" id="{00000000-0008-0000-0000-00002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7" name="Text Box 3100">
          <a:extLst>
            <a:ext uri="{FF2B5EF4-FFF2-40B4-BE49-F238E27FC236}">
              <a16:creationId xmlns="" xmlns:a16="http://schemas.microsoft.com/office/drawing/2014/main" id="{00000000-0008-0000-0000-00002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8" name="Text Box 3101">
          <a:extLst>
            <a:ext uri="{FF2B5EF4-FFF2-40B4-BE49-F238E27FC236}">
              <a16:creationId xmlns="" xmlns:a16="http://schemas.microsoft.com/office/drawing/2014/main" id="{00000000-0008-0000-0000-00003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009" name="Text Box 3102">
          <a:extLst>
            <a:ext uri="{FF2B5EF4-FFF2-40B4-BE49-F238E27FC236}">
              <a16:creationId xmlns="" xmlns:a16="http://schemas.microsoft.com/office/drawing/2014/main" id="{00000000-0008-0000-0000-00003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0" name="Text Box 59">
          <a:extLst>
            <a:ext uri="{FF2B5EF4-FFF2-40B4-BE49-F238E27FC236}">
              <a16:creationId xmlns="" xmlns:a16="http://schemas.microsoft.com/office/drawing/2014/main" id="{00000000-0008-0000-0000-00003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1" name="Text Box 60">
          <a:extLst>
            <a:ext uri="{FF2B5EF4-FFF2-40B4-BE49-F238E27FC236}">
              <a16:creationId xmlns="" xmlns:a16="http://schemas.microsoft.com/office/drawing/2014/main" id="{00000000-0008-0000-0000-00003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2" name="Text Box 61">
          <a:extLst>
            <a:ext uri="{FF2B5EF4-FFF2-40B4-BE49-F238E27FC236}">
              <a16:creationId xmlns="" xmlns:a16="http://schemas.microsoft.com/office/drawing/2014/main" id="{00000000-0008-0000-0000-00003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3" name="Text Box 62">
          <a:extLst>
            <a:ext uri="{FF2B5EF4-FFF2-40B4-BE49-F238E27FC236}">
              <a16:creationId xmlns="" xmlns:a16="http://schemas.microsoft.com/office/drawing/2014/main" id="{00000000-0008-0000-0000-00003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4" name="Text Box 63">
          <a:extLst>
            <a:ext uri="{FF2B5EF4-FFF2-40B4-BE49-F238E27FC236}">
              <a16:creationId xmlns="" xmlns:a16="http://schemas.microsoft.com/office/drawing/2014/main" id="{00000000-0008-0000-0000-00003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5" name="Text Box 64">
          <a:extLst>
            <a:ext uri="{FF2B5EF4-FFF2-40B4-BE49-F238E27FC236}">
              <a16:creationId xmlns="" xmlns:a16="http://schemas.microsoft.com/office/drawing/2014/main" id="{00000000-0008-0000-0000-00003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6" name="Text Box 65">
          <a:extLst>
            <a:ext uri="{FF2B5EF4-FFF2-40B4-BE49-F238E27FC236}">
              <a16:creationId xmlns="" xmlns:a16="http://schemas.microsoft.com/office/drawing/2014/main" id="{00000000-0008-0000-0000-00003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7" name="Text Box 66">
          <a:extLst>
            <a:ext uri="{FF2B5EF4-FFF2-40B4-BE49-F238E27FC236}">
              <a16:creationId xmlns="" xmlns:a16="http://schemas.microsoft.com/office/drawing/2014/main" id="{00000000-0008-0000-0000-00003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8" name="Text Box 67">
          <a:extLst>
            <a:ext uri="{FF2B5EF4-FFF2-40B4-BE49-F238E27FC236}">
              <a16:creationId xmlns="" xmlns:a16="http://schemas.microsoft.com/office/drawing/2014/main" id="{00000000-0008-0000-0000-00003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9" name="Text Box 68">
          <a:extLst>
            <a:ext uri="{FF2B5EF4-FFF2-40B4-BE49-F238E27FC236}">
              <a16:creationId xmlns="" xmlns:a16="http://schemas.microsoft.com/office/drawing/2014/main" id="{00000000-0008-0000-0000-00003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0" name="Text Box 69">
          <a:extLst>
            <a:ext uri="{FF2B5EF4-FFF2-40B4-BE49-F238E27FC236}">
              <a16:creationId xmlns="" xmlns:a16="http://schemas.microsoft.com/office/drawing/2014/main" id="{00000000-0008-0000-0000-00003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1" name="Text Box 70">
          <a:extLst>
            <a:ext uri="{FF2B5EF4-FFF2-40B4-BE49-F238E27FC236}">
              <a16:creationId xmlns="" xmlns:a16="http://schemas.microsoft.com/office/drawing/2014/main" id="{00000000-0008-0000-0000-00003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2" name="Text Box 71">
          <a:extLst>
            <a:ext uri="{FF2B5EF4-FFF2-40B4-BE49-F238E27FC236}">
              <a16:creationId xmlns="" xmlns:a16="http://schemas.microsoft.com/office/drawing/2014/main" id="{00000000-0008-0000-0000-00003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3" name="Text Box 72">
          <a:extLst>
            <a:ext uri="{FF2B5EF4-FFF2-40B4-BE49-F238E27FC236}">
              <a16:creationId xmlns="" xmlns:a16="http://schemas.microsoft.com/office/drawing/2014/main" id="{00000000-0008-0000-0000-00003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4" name="Text Box 73">
          <a:extLst>
            <a:ext uri="{FF2B5EF4-FFF2-40B4-BE49-F238E27FC236}">
              <a16:creationId xmlns="" xmlns:a16="http://schemas.microsoft.com/office/drawing/2014/main" id="{00000000-0008-0000-0000-00004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5" name="Text Box 74">
          <a:extLst>
            <a:ext uri="{FF2B5EF4-FFF2-40B4-BE49-F238E27FC236}">
              <a16:creationId xmlns="" xmlns:a16="http://schemas.microsoft.com/office/drawing/2014/main" id="{00000000-0008-0000-0000-00004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6" name="Text Box 75">
          <a:extLst>
            <a:ext uri="{FF2B5EF4-FFF2-40B4-BE49-F238E27FC236}">
              <a16:creationId xmlns="" xmlns:a16="http://schemas.microsoft.com/office/drawing/2014/main" id="{00000000-0008-0000-0000-00004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7" name="Text Box 76">
          <a:extLst>
            <a:ext uri="{FF2B5EF4-FFF2-40B4-BE49-F238E27FC236}">
              <a16:creationId xmlns="" xmlns:a16="http://schemas.microsoft.com/office/drawing/2014/main" id="{00000000-0008-0000-0000-00004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8" name="Text Box 77">
          <a:extLst>
            <a:ext uri="{FF2B5EF4-FFF2-40B4-BE49-F238E27FC236}">
              <a16:creationId xmlns="" xmlns:a16="http://schemas.microsoft.com/office/drawing/2014/main" id="{00000000-0008-0000-0000-00004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9" name="Text Box 78">
          <a:extLst>
            <a:ext uri="{FF2B5EF4-FFF2-40B4-BE49-F238E27FC236}">
              <a16:creationId xmlns="" xmlns:a16="http://schemas.microsoft.com/office/drawing/2014/main" id="{00000000-0008-0000-0000-00004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0" name="Text Box 79">
          <a:extLst>
            <a:ext uri="{FF2B5EF4-FFF2-40B4-BE49-F238E27FC236}">
              <a16:creationId xmlns="" xmlns:a16="http://schemas.microsoft.com/office/drawing/2014/main" id="{00000000-0008-0000-0000-00004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1" name="Text Box 80">
          <a:extLst>
            <a:ext uri="{FF2B5EF4-FFF2-40B4-BE49-F238E27FC236}">
              <a16:creationId xmlns="" xmlns:a16="http://schemas.microsoft.com/office/drawing/2014/main" id="{00000000-0008-0000-0000-00004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2" name="Text Box 81">
          <a:extLst>
            <a:ext uri="{FF2B5EF4-FFF2-40B4-BE49-F238E27FC236}">
              <a16:creationId xmlns="" xmlns:a16="http://schemas.microsoft.com/office/drawing/2014/main" id="{00000000-0008-0000-0000-00004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033" name="Text Box 82">
          <a:extLst>
            <a:ext uri="{FF2B5EF4-FFF2-40B4-BE49-F238E27FC236}">
              <a16:creationId xmlns="" xmlns:a16="http://schemas.microsoft.com/office/drawing/2014/main" id="{00000000-0008-0000-0000-00004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4" name="Text Box 3079">
          <a:extLst>
            <a:ext uri="{FF2B5EF4-FFF2-40B4-BE49-F238E27FC236}">
              <a16:creationId xmlns="" xmlns:a16="http://schemas.microsoft.com/office/drawing/2014/main" id="{00000000-0008-0000-0000-00004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5" name="Text Box 3080">
          <a:extLst>
            <a:ext uri="{FF2B5EF4-FFF2-40B4-BE49-F238E27FC236}">
              <a16:creationId xmlns="" xmlns:a16="http://schemas.microsoft.com/office/drawing/2014/main" id="{00000000-0008-0000-0000-00004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6" name="Text Box 3081">
          <a:extLst>
            <a:ext uri="{FF2B5EF4-FFF2-40B4-BE49-F238E27FC236}">
              <a16:creationId xmlns="" xmlns:a16="http://schemas.microsoft.com/office/drawing/2014/main" id="{00000000-0008-0000-0000-00004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7" name="Text Box 3082">
          <a:extLst>
            <a:ext uri="{FF2B5EF4-FFF2-40B4-BE49-F238E27FC236}">
              <a16:creationId xmlns="" xmlns:a16="http://schemas.microsoft.com/office/drawing/2014/main" id="{00000000-0008-0000-0000-00004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8" name="Text Box 3083">
          <a:extLst>
            <a:ext uri="{FF2B5EF4-FFF2-40B4-BE49-F238E27FC236}">
              <a16:creationId xmlns="" xmlns:a16="http://schemas.microsoft.com/office/drawing/2014/main" id="{00000000-0008-0000-0000-00004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9" name="Text Box 3084">
          <a:extLst>
            <a:ext uri="{FF2B5EF4-FFF2-40B4-BE49-F238E27FC236}">
              <a16:creationId xmlns="" xmlns:a16="http://schemas.microsoft.com/office/drawing/2014/main" id="{00000000-0008-0000-0000-00004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0" name="Text Box 3085">
          <a:extLst>
            <a:ext uri="{FF2B5EF4-FFF2-40B4-BE49-F238E27FC236}">
              <a16:creationId xmlns="" xmlns:a16="http://schemas.microsoft.com/office/drawing/2014/main" id="{00000000-0008-0000-0000-00005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1" name="Text Box 3086">
          <a:extLst>
            <a:ext uri="{FF2B5EF4-FFF2-40B4-BE49-F238E27FC236}">
              <a16:creationId xmlns="" xmlns:a16="http://schemas.microsoft.com/office/drawing/2014/main" id="{00000000-0008-0000-0000-00005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2" name="Text Box 3087">
          <a:extLst>
            <a:ext uri="{FF2B5EF4-FFF2-40B4-BE49-F238E27FC236}">
              <a16:creationId xmlns="" xmlns:a16="http://schemas.microsoft.com/office/drawing/2014/main" id="{00000000-0008-0000-0000-00005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3" name="Text Box 3088">
          <a:extLst>
            <a:ext uri="{FF2B5EF4-FFF2-40B4-BE49-F238E27FC236}">
              <a16:creationId xmlns="" xmlns:a16="http://schemas.microsoft.com/office/drawing/2014/main" id="{00000000-0008-0000-0000-00005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4" name="Text Box 3089">
          <a:extLst>
            <a:ext uri="{FF2B5EF4-FFF2-40B4-BE49-F238E27FC236}">
              <a16:creationId xmlns="" xmlns:a16="http://schemas.microsoft.com/office/drawing/2014/main" id="{00000000-0008-0000-0000-00005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5" name="Text Box 3090">
          <a:extLst>
            <a:ext uri="{FF2B5EF4-FFF2-40B4-BE49-F238E27FC236}">
              <a16:creationId xmlns="" xmlns:a16="http://schemas.microsoft.com/office/drawing/2014/main" id="{00000000-0008-0000-0000-00005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6" name="Text Box 3091">
          <a:extLst>
            <a:ext uri="{FF2B5EF4-FFF2-40B4-BE49-F238E27FC236}">
              <a16:creationId xmlns="" xmlns:a16="http://schemas.microsoft.com/office/drawing/2014/main" id="{00000000-0008-0000-0000-00005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7" name="Text Box 3092">
          <a:extLst>
            <a:ext uri="{FF2B5EF4-FFF2-40B4-BE49-F238E27FC236}">
              <a16:creationId xmlns="" xmlns:a16="http://schemas.microsoft.com/office/drawing/2014/main" id="{00000000-0008-0000-0000-00005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8" name="Text Box 3093">
          <a:extLst>
            <a:ext uri="{FF2B5EF4-FFF2-40B4-BE49-F238E27FC236}">
              <a16:creationId xmlns="" xmlns:a16="http://schemas.microsoft.com/office/drawing/2014/main" id="{00000000-0008-0000-0000-00005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9" name="Text Box 3094">
          <a:extLst>
            <a:ext uri="{FF2B5EF4-FFF2-40B4-BE49-F238E27FC236}">
              <a16:creationId xmlns="" xmlns:a16="http://schemas.microsoft.com/office/drawing/2014/main" id="{00000000-0008-0000-0000-00005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0" name="Text Box 3095">
          <a:extLst>
            <a:ext uri="{FF2B5EF4-FFF2-40B4-BE49-F238E27FC236}">
              <a16:creationId xmlns="" xmlns:a16="http://schemas.microsoft.com/office/drawing/2014/main" id="{00000000-0008-0000-0000-00005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1" name="Text Box 3096">
          <a:extLst>
            <a:ext uri="{FF2B5EF4-FFF2-40B4-BE49-F238E27FC236}">
              <a16:creationId xmlns="" xmlns:a16="http://schemas.microsoft.com/office/drawing/2014/main" id="{00000000-0008-0000-0000-00005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2" name="Text Box 3097">
          <a:extLst>
            <a:ext uri="{FF2B5EF4-FFF2-40B4-BE49-F238E27FC236}">
              <a16:creationId xmlns="" xmlns:a16="http://schemas.microsoft.com/office/drawing/2014/main" id="{00000000-0008-0000-0000-00005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3" name="Text Box 3098">
          <a:extLst>
            <a:ext uri="{FF2B5EF4-FFF2-40B4-BE49-F238E27FC236}">
              <a16:creationId xmlns="" xmlns:a16="http://schemas.microsoft.com/office/drawing/2014/main" id="{00000000-0008-0000-0000-00005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4" name="Text Box 3099">
          <a:extLst>
            <a:ext uri="{FF2B5EF4-FFF2-40B4-BE49-F238E27FC236}">
              <a16:creationId xmlns="" xmlns:a16="http://schemas.microsoft.com/office/drawing/2014/main" id="{00000000-0008-0000-0000-00005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5" name="Text Box 3100">
          <a:extLst>
            <a:ext uri="{FF2B5EF4-FFF2-40B4-BE49-F238E27FC236}">
              <a16:creationId xmlns="" xmlns:a16="http://schemas.microsoft.com/office/drawing/2014/main" id="{00000000-0008-0000-0000-00005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6" name="Text Box 3101">
          <a:extLst>
            <a:ext uri="{FF2B5EF4-FFF2-40B4-BE49-F238E27FC236}">
              <a16:creationId xmlns="" xmlns:a16="http://schemas.microsoft.com/office/drawing/2014/main" id="{00000000-0008-0000-0000-00006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057" name="Text Box 3102">
          <a:extLst>
            <a:ext uri="{FF2B5EF4-FFF2-40B4-BE49-F238E27FC236}">
              <a16:creationId xmlns="" xmlns:a16="http://schemas.microsoft.com/office/drawing/2014/main" id="{00000000-0008-0000-0000-00006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58" name="Text Box 59">
          <a:extLst>
            <a:ext uri="{FF2B5EF4-FFF2-40B4-BE49-F238E27FC236}">
              <a16:creationId xmlns="" xmlns:a16="http://schemas.microsoft.com/office/drawing/2014/main" id="{00000000-0008-0000-0000-00006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59" name="Text Box 60">
          <a:extLst>
            <a:ext uri="{FF2B5EF4-FFF2-40B4-BE49-F238E27FC236}">
              <a16:creationId xmlns="" xmlns:a16="http://schemas.microsoft.com/office/drawing/2014/main" id="{00000000-0008-0000-0000-00006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0" name="Text Box 61">
          <a:extLst>
            <a:ext uri="{FF2B5EF4-FFF2-40B4-BE49-F238E27FC236}">
              <a16:creationId xmlns="" xmlns:a16="http://schemas.microsoft.com/office/drawing/2014/main" id="{00000000-0008-0000-0000-00006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1" name="Text Box 62">
          <a:extLst>
            <a:ext uri="{FF2B5EF4-FFF2-40B4-BE49-F238E27FC236}">
              <a16:creationId xmlns="" xmlns:a16="http://schemas.microsoft.com/office/drawing/2014/main" id="{00000000-0008-0000-0000-00006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2" name="Text Box 63">
          <a:extLst>
            <a:ext uri="{FF2B5EF4-FFF2-40B4-BE49-F238E27FC236}">
              <a16:creationId xmlns="" xmlns:a16="http://schemas.microsoft.com/office/drawing/2014/main" id="{00000000-0008-0000-0000-00006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3" name="Text Box 64">
          <a:extLst>
            <a:ext uri="{FF2B5EF4-FFF2-40B4-BE49-F238E27FC236}">
              <a16:creationId xmlns="" xmlns:a16="http://schemas.microsoft.com/office/drawing/2014/main" id="{00000000-0008-0000-0000-00006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4" name="Text Box 65">
          <a:extLst>
            <a:ext uri="{FF2B5EF4-FFF2-40B4-BE49-F238E27FC236}">
              <a16:creationId xmlns="" xmlns:a16="http://schemas.microsoft.com/office/drawing/2014/main" id="{00000000-0008-0000-0000-00006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5" name="Text Box 66">
          <a:extLst>
            <a:ext uri="{FF2B5EF4-FFF2-40B4-BE49-F238E27FC236}">
              <a16:creationId xmlns="" xmlns:a16="http://schemas.microsoft.com/office/drawing/2014/main" id="{00000000-0008-0000-0000-00006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6" name="Text Box 67">
          <a:extLst>
            <a:ext uri="{FF2B5EF4-FFF2-40B4-BE49-F238E27FC236}">
              <a16:creationId xmlns="" xmlns:a16="http://schemas.microsoft.com/office/drawing/2014/main" id="{00000000-0008-0000-0000-00006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7" name="Text Box 68">
          <a:extLst>
            <a:ext uri="{FF2B5EF4-FFF2-40B4-BE49-F238E27FC236}">
              <a16:creationId xmlns="" xmlns:a16="http://schemas.microsoft.com/office/drawing/2014/main" id="{00000000-0008-0000-0000-00006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8" name="Text Box 69">
          <a:extLst>
            <a:ext uri="{FF2B5EF4-FFF2-40B4-BE49-F238E27FC236}">
              <a16:creationId xmlns="" xmlns:a16="http://schemas.microsoft.com/office/drawing/2014/main" id="{00000000-0008-0000-0000-00006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9" name="Text Box 70">
          <a:extLst>
            <a:ext uri="{FF2B5EF4-FFF2-40B4-BE49-F238E27FC236}">
              <a16:creationId xmlns="" xmlns:a16="http://schemas.microsoft.com/office/drawing/2014/main" id="{00000000-0008-0000-0000-00006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0" name="Text Box 71">
          <a:extLst>
            <a:ext uri="{FF2B5EF4-FFF2-40B4-BE49-F238E27FC236}">
              <a16:creationId xmlns="" xmlns:a16="http://schemas.microsoft.com/office/drawing/2014/main" id="{00000000-0008-0000-0000-00006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1" name="Text Box 72">
          <a:extLst>
            <a:ext uri="{FF2B5EF4-FFF2-40B4-BE49-F238E27FC236}">
              <a16:creationId xmlns="" xmlns:a16="http://schemas.microsoft.com/office/drawing/2014/main" id="{00000000-0008-0000-0000-00006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2" name="Text Box 73">
          <a:extLst>
            <a:ext uri="{FF2B5EF4-FFF2-40B4-BE49-F238E27FC236}">
              <a16:creationId xmlns="" xmlns:a16="http://schemas.microsoft.com/office/drawing/2014/main" id="{00000000-0008-0000-0000-00007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3" name="Text Box 74">
          <a:extLst>
            <a:ext uri="{FF2B5EF4-FFF2-40B4-BE49-F238E27FC236}">
              <a16:creationId xmlns="" xmlns:a16="http://schemas.microsoft.com/office/drawing/2014/main" id="{00000000-0008-0000-0000-00007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4" name="Text Box 75">
          <a:extLst>
            <a:ext uri="{FF2B5EF4-FFF2-40B4-BE49-F238E27FC236}">
              <a16:creationId xmlns="" xmlns:a16="http://schemas.microsoft.com/office/drawing/2014/main" id="{00000000-0008-0000-0000-00007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5" name="Text Box 76">
          <a:extLst>
            <a:ext uri="{FF2B5EF4-FFF2-40B4-BE49-F238E27FC236}">
              <a16:creationId xmlns="" xmlns:a16="http://schemas.microsoft.com/office/drawing/2014/main" id="{00000000-0008-0000-0000-00007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6" name="Text Box 77">
          <a:extLst>
            <a:ext uri="{FF2B5EF4-FFF2-40B4-BE49-F238E27FC236}">
              <a16:creationId xmlns="" xmlns:a16="http://schemas.microsoft.com/office/drawing/2014/main" id="{00000000-0008-0000-0000-00007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7" name="Text Box 78">
          <a:extLst>
            <a:ext uri="{FF2B5EF4-FFF2-40B4-BE49-F238E27FC236}">
              <a16:creationId xmlns="" xmlns:a16="http://schemas.microsoft.com/office/drawing/2014/main" id="{00000000-0008-0000-0000-00007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8" name="Text Box 79">
          <a:extLst>
            <a:ext uri="{FF2B5EF4-FFF2-40B4-BE49-F238E27FC236}">
              <a16:creationId xmlns="" xmlns:a16="http://schemas.microsoft.com/office/drawing/2014/main" id="{00000000-0008-0000-0000-00007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9" name="Text Box 80">
          <a:extLst>
            <a:ext uri="{FF2B5EF4-FFF2-40B4-BE49-F238E27FC236}">
              <a16:creationId xmlns="" xmlns:a16="http://schemas.microsoft.com/office/drawing/2014/main" id="{00000000-0008-0000-0000-00007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80" name="Text Box 81">
          <a:extLst>
            <a:ext uri="{FF2B5EF4-FFF2-40B4-BE49-F238E27FC236}">
              <a16:creationId xmlns="" xmlns:a16="http://schemas.microsoft.com/office/drawing/2014/main" id="{00000000-0008-0000-0000-00007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1" name="Text Box 3079">
          <a:extLst>
            <a:ext uri="{FF2B5EF4-FFF2-40B4-BE49-F238E27FC236}">
              <a16:creationId xmlns="" xmlns:a16="http://schemas.microsoft.com/office/drawing/2014/main" id="{00000000-0008-0000-0000-00007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2" name="Text Box 3080">
          <a:extLst>
            <a:ext uri="{FF2B5EF4-FFF2-40B4-BE49-F238E27FC236}">
              <a16:creationId xmlns="" xmlns:a16="http://schemas.microsoft.com/office/drawing/2014/main" id="{00000000-0008-0000-0000-00007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3" name="Text Box 3081">
          <a:extLst>
            <a:ext uri="{FF2B5EF4-FFF2-40B4-BE49-F238E27FC236}">
              <a16:creationId xmlns="" xmlns:a16="http://schemas.microsoft.com/office/drawing/2014/main" id="{00000000-0008-0000-0000-00007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4" name="Text Box 3082">
          <a:extLst>
            <a:ext uri="{FF2B5EF4-FFF2-40B4-BE49-F238E27FC236}">
              <a16:creationId xmlns="" xmlns:a16="http://schemas.microsoft.com/office/drawing/2014/main" id="{00000000-0008-0000-0000-00007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5" name="Text Box 3083">
          <a:extLst>
            <a:ext uri="{FF2B5EF4-FFF2-40B4-BE49-F238E27FC236}">
              <a16:creationId xmlns="" xmlns:a16="http://schemas.microsoft.com/office/drawing/2014/main" id="{00000000-0008-0000-0000-00007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6" name="Text Box 3084">
          <a:extLst>
            <a:ext uri="{FF2B5EF4-FFF2-40B4-BE49-F238E27FC236}">
              <a16:creationId xmlns="" xmlns:a16="http://schemas.microsoft.com/office/drawing/2014/main" id="{00000000-0008-0000-0000-00007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7" name="Text Box 3085">
          <a:extLst>
            <a:ext uri="{FF2B5EF4-FFF2-40B4-BE49-F238E27FC236}">
              <a16:creationId xmlns="" xmlns:a16="http://schemas.microsoft.com/office/drawing/2014/main" id="{00000000-0008-0000-0000-00007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8" name="Text Box 3086">
          <a:extLst>
            <a:ext uri="{FF2B5EF4-FFF2-40B4-BE49-F238E27FC236}">
              <a16:creationId xmlns="" xmlns:a16="http://schemas.microsoft.com/office/drawing/2014/main" id="{00000000-0008-0000-0000-00008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9" name="Text Box 3087">
          <a:extLst>
            <a:ext uri="{FF2B5EF4-FFF2-40B4-BE49-F238E27FC236}">
              <a16:creationId xmlns="" xmlns:a16="http://schemas.microsoft.com/office/drawing/2014/main" id="{00000000-0008-0000-0000-00008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0" name="Text Box 3088">
          <a:extLst>
            <a:ext uri="{FF2B5EF4-FFF2-40B4-BE49-F238E27FC236}">
              <a16:creationId xmlns="" xmlns:a16="http://schemas.microsoft.com/office/drawing/2014/main" id="{00000000-0008-0000-0000-00008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1" name="Text Box 3089">
          <a:extLst>
            <a:ext uri="{FF2B5EF4-FFF2-40B4-BE49-F238E27FC236}">
              <a16:creationId xmlns="" xmlns:a16="http://schemas.microsoft.com/office/drawing/2014/main" id="{00000000-0008-0000-0000-00008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2" name="Text Box 3090">
          <a:extLst>
            <a:ext uri="{FF2B5EF4-FFF2-40B4-BE49-F238E27FC236}">
              <a16:creationId xmlns="" xmlns:a16="http://schemas.microsoft.com/office/drawing/2014/main" id="{00000000-0008-0000-0000-00008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3" name="Text Box 3091">
          <a:extLst>
            <a:ext uri="{FF2B5EF4-FFF2-40B4-BE49-F238E27FC236}">
              <a16:creationId xmlns="" xmlns:a16="http://schemas.microsoft.com/office/drawing/2014/main" id="{00000000-0008-0000-0000-00008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4" name="Text Box 3092">
          <a:extLst>
            <a:ext uri="{FF2B5EF4-FFF2-40B4-BE49-F238E27FC236}">
              <a16:creationId xmlns="" xmlns:a16="http://schemas.microsoft.com/office/drawing/2014/main" id="{00000000-0008-0000-0000-00008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5" name="Text Box 3093">
          <a:extLst>
            <a:ext uri="{FF2B5EF4-FFF2-40B4-BE49-F238E27FC236}">
              <a16:creationId xmlns="" xmlns:a16="http://schemas.microsoft.com/office/drawing/2014/main" id="{00000000-0008-0000-0000-00008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6" name="Text Box 3094">
          <a:extLst>
            <a:ext uri="{FF2B5EF4-FFF2-40B4-BE49-F238E27FC236}">
              <a16:creationId xmlns="" xmlns:a16="http://schemas.microsoft.com/office/drawing/2014/main" id="{00000000-0008-0000-0000-00008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7" name="Text Box 3095">
          <a:extLst>
            <a:ext uri="{FF2B5EF4-FFF2-40B4-BE49-F238E27FC236}">
              <a16:creationId xmlns="" xmlns:a16="http://schemas.microsoft.com/office/drawing/2014/main" id="{00000000-0008-0000-0000-00008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8" name="Text Box 3096">
          <a:extLst>
            <a:ext uri="{FF2B5EF4-FFF2-40B4-BE49-F238E27FC236}">
              <a16:creationId xmlns="" xmlns:a16="http://schemas.microsoft.com/office/drawing/2014/main" id="{00000000-0008-0000-0000-00008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9" name="Text Box 3097">
          <a:extLst>
            <a:ext uri="{FF2B5EF4-FFF2-40B4-BE49-F238E27FC236}">
              <a16:creationId xmlns="" xmlns:a16="http://schemas.microsoft.com/office/drawing/2014/main" id="{00000000-0008-0000-0000-00008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0" name="Text Box 3098">
          <a:extLst>
            <a:ext uri="{FF2B5EF4-FFF2-40B4-BE49-F238E27FC236}">
              <a16:creationId xmlns="" xmlns:a16="http://schemas.microsoft.com/office/drawing/2014/main" id="{00000000-0008-0000-0000-00008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1" name="Text Box 3099">
          <a:extLst>
            <a:ext uri="{FF2B5EF4-FFF2-40B4-BE49-F238E27FC236}">
              <a16:creationId xmlns="" xmlns:a16="http://schemas.microsoft.com/office/drawing/2014/main" id="{00000000-0008-0000-0000-00008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2" name="Text Box 3100">
          <a:extLst>
            <a:ext uri="{FF2B5EF4-FFF2-40B4-BE49-F238E27FC236}">
              <a16:creationId xmlns="" xmlns:a16="http://schemas.microsoft.com/office/drawing/2014/main" id="{00000000-0008-0000-0000-00008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3" name="Text Box 3101">
          <a:extLst>
            <a:ext uri="{FF2B5EF4-FFF2-40B4-BE49-F238E27FC236}">
              <a16:creationId xmlns="" xmlns:a16="http://schemas.microsoft.com/office/drawing/2014/main" id="{00000000-0008-0000-0000-00008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04" name="Text Box 3102">
          <a:extLst>
            <a:ext uri="{FF2B5EF4-FFF2-40B4-BE49-F238E27FC236}">
              <a16:creationId xmlns="" xmlns:a16="http://schemas.microsoft.com/office/drawing/2014/main" id="{00000000-0008-0000-0000-00009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5" name="Text Box 59">
          <a:extLst>
            <a:ext uri="{FF2B5EF4-FFF2-40B4-BE49-F238E27FC236}">
              <a16:creationId xmlns="" xmlns:a16="http://schemas.microsoft.com/office/drawing/2014/main" id="{00000000-0008-0000-0000-00009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6" name="Text Box 60">
          <a:extLst>
            <a:ext uri="{FF2B5EF4-FFF2-40B4-BE49-F238E27FC236}">
              <a16:creationId xmlns="" xmlns:a16="http://schemas.microsoft.com/office/drawing/2014/main" id="{00000000-0008-0000-0000-00009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7" name="Text Box 61">
          <a:extLst>
            <a:ext uri="{FF2B5EF4-FFF2-40B4-BE49-F238E27FC236}">
              <a16:creationId xmlns="" xmlns:a16="http://schemas.microsoft.com/office/drawing/2014/main" id="{00000000-0008-0000-0000-00009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8" name="Text Box 62">
          <a:extLst>
            <a:ext uri="{FF2B5EF4-FFF2-40B4-BE49-F238E27FC236}">
              <a16:creationId xmlns="" xmlns:a16="http://schemas.microsoft.com/office/drawing/2014/main" id="{00000000-0008-0000-0000-00009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9" name="Text Box 63">
          <a:extLst>
            <a:ext uri="{FF2B5EF4-FFF2-40B4-BE49-F238E27FC236}">
              <a16:creationId xmlns="" xmlns:a16="http://schemas.microsoft.com/office/drawing/2014/main" id="{00000000-0008-0000-0000-00009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0" name="Text Box 64">
          <a:extLst>
            <a:ext uri="{FF2B5EF4-FFF2-40B4-BE49-F238E27FC236}">
              <a16:creationId xmlns="" xmlns:a16="http://schemas.microsoft.com/office/drawing/2014/main" id="{00000000-0008-0000-0000-00009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1" name="Text Box 65">
          <a:extLst>
            <a:ext uri="{FF2B5EF4-FFF2-40B4-BE49-F238E27FC236}">
              <a16:creationId xmlns="" xmlns:a16="http://schemas.microsoft.com/office/drawing/2014/main" id="{00000000-0008-0000-0000-00009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2" name="Text Box 66">
          <a:extLst>
            <a:ext uri="{FF2B5EF4-FFF2-40B4-BE49-F238E27FC236}">
              <a16:creationId xmlns="" xmlns:a16="http://schemas.microsoft.com/office/drawing/2014/main" id="{00000000-0008-0000-0000-00009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3" name="Text Box 67">
          <a:extLst>
            <a:ext uri="{FF2B5EF4-FFF2-40B4-BE49-F238E27FC236}">
              <a16:creationId xmlns="" xmlns:a16="http://schemas.microsoft.com/office/drawing/2014/main" id="{00000000-0008-0000-0000-00009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4" name="Text Box 68">
          <a:extLst>
            <a:ext uri="{FF2B5EF4-FFF2-40B4-BE49-F238E27FC236}">
              <a16:creationId xmlns="" xmlns:a16="http://schemas.microsoft.com/office/drawing/2014/main" id="{00000000-0008-0000-0000-00009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5" name="Text Box 69">
          <a:extLst>
            <a:ext uri="{FF2B5EF4-FFF2-40B4-BE49-F238E27FC236}">
              <a16:creationId xmlns="" xmlns:a16="http://schemas.microsoft.com/office/drawing/2014/main" id="{00000000-0008-0000-0000-00009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6" name="Text Box 70">
          <a:extLst>
            <a:ext uri="{FF2B5EF4-FFF2-40B4-BE49-F238E27FC236}">
              <a16:creationId xmlns="" xmlns:a16="http://schemas.microsoft.com/office/drawing/2014/main" id="{00000000-0008-0000-0000-00009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7" name="Text Box 71">
          <a:extLst>
            <a:ext uri="{FF2B5EF4-FFF2-40B4-BE49-F238E27FC236}">
              <a16:creationId xmlns="" xmlns:a16="http://schemas.microsoft.com/office/drawing/2014/main" id="{00000000-0008-0000-0000-00009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8" name="Text Box 72">
          <a:extLst>
            <a:ext uri="{FF2B5EF4-FFF2-40B4-BE49-F238E27FC236}">
              <a16:creationId xmlns="" xmlns:a16="http://schemas.microsoft.com/office/drawing/2014/main" id="{00000000-0008-0000-0000-00009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9" name="Text Box 73">
          <a:extLst>
            <a:ext uri="{FF2B5EF4-FFF2-40B4-BE49-F238E27FC236}">
              <a16:creationId xmlns="" xmlns:a16="http://schemas.microsoft.com/office/drawing/2014/main" id="{00000000-0008-0000-0000-00009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0" name="Text Box 74">
          <a:extLst>
            <a:ext uri="{FF2B5EF4-FFF2-40B4-BE49-F238E27FC236}">
              <a16:creationId xmlns="" xmlns:a16="http://schemas.microsoft.com/office/drawing/2014/main" id="{00000000-0008-0000-0000-0000A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1" name="Text Box 75">
          <a:extLst>
            <a:ext uri="{FF2B5EF4-FFF2-40B4-BE49-F238E27FC236}">
              <a16:creationId xmlns="" xmlns:a16="http://schemas.microsoft.com/office/drawing/2014/main" id="{00000000-0008-0000-0000-0000A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2" name="Text Box 76">
          <a:extLst>
            <a:ext uri="{FF2B5EF4-FFF2-40B4-BE49-F238E27FC236}">
              <a16:creationId xmlns="" xmlns:a16="http://schemas.microsoft.com/office/drawing/2014/main" id="{00000000-0008-0000-0000-0000A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3" name="Text Box 77">
          <a:extLst>
            <a:ext uri="{FF2B5EF4-FFF2-40B4-BE49-F238E27FC236}">
              <a16:creationId xmlns="" xmlns:a16="http://schemas.microsoft.com/office/drawing/2014/main" id="{00000000-0008-0000-0000-0000A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4" name="Text Box 78">
          <a:extLst>
            <a:ext uri="{FF2B5EF4-FFF2-40B4-BE49-F238E27FC236}">
              <a16:creationId xmlns="" xmlns:a16="http://schemas.microsoft.com/office/drawing/2014/main" id="{00000000-0008-0000-0000-0000A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5" name="Text Box 79">
          <a:extLst>
            <a:ext uri="{FF2B5EF4-FFF2-40B4-BE49-F238E27FC236}">
              <a16:creationId xmlns="" xmlns:a16="http://schemas.microsoft.com/office/drawing/2014/main" id="{00000000-0008-0000-0000-0000A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6" name="Text Box 80">
          <a:extLst>
            <a:ext uri="{FF2B5EF4-FFF2-40B4-BE49-F238E27FC236}">
              <a16:creationId xmlns="" xmlns:a16="http://schemas.microsoft.com/office/drawing/2014/main" id="{00000000-0008-0000-0000-0000A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7" name="Text Box 81">
          <a:extLst>
            <a:ext uri="{FF2B5EF4-FFF2-40B4-BE49-F238E27FC236}">
              <a16:creationId xmlns="" xmlns:a16="http://schemas.microsoft.com/office/drawing/2014/main" id="{00000000-0008-0000-0000-0000A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128" name="Text Box 82">
          <a:extLst>
            <a:ext uri="{FF2B5EF4-FFF2-40B4-BE49-F238E27FC236}">
              <a16:creationId xmlns="" xmlns:a16="http://schemas.microsoft.com/office/drawing/2014/main" id="{00000000-0008-0000-0000-0000A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29" name="Text Box 3079">
          <a:extLst>
            <a:ext uri="{FF2B5EF4-FFF2-40B4-BE49-F238E27FC236}">
              <a16:creationId xmlns="" xmlns:a16="http://schemas.microsoft.com/office/drawing/2014/main" id="{00000000-0008-0000-0000-0000A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0" name="Text Box 3080">
          <a:extLst>
            <a:ext uri="{FF2B5EF4-FFF2-40B4-BE49-F238E27FC236}">
              <a16:creationId xmlns="" xmlns:a16="http://schemas.microsoft.com/office/drawing/2014/main" id="{00000000-0008-0000-0000-0000A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1" name="Text Box 3081">
          <a:extLst>
            <a:ext uri="{FF2B5EF4-FFF2-40B4-BE49-F238E27FC236}">
              <a16:creationId xmlns="" xmlns:a16="http://schemas.microsoft.com/office/drawing/2014/main" id="{00000000-0008-0000-0000-0000A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2" name="Text Box 3082">
          <a:extLst>
            <a:ext uri="{FF2B5EF4-FFF2-40B4-BE49-F238E27FC236}">
              <a16:creationId xmlns="" xmlns:a16="http://schemas.microsoft.com/office/drawing/2014/main" id="{00000000-0008-0000-0000-0000A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3" name="Text Box 3083">
          <a:extLst>
            <a:ext uri="{FF2B5EF4-FFF2-40B4-BE49-F238E27FC236}">
              <a16:creationId xmlns="" xmlns:a16="http://schemas.microsoft.com/office/drawing/2014/main" id="{00000000-0008-0000-0000-0000A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4" name="Text Box 3084">
          <a:extLst>
            <a:ext uri="{FF2B5EF4-FFF2-40B4-BE49-F238E27FC236}">
              <a16:creationId xmlns="" xmlns:a16="http://schemas.microsoft.com/office/drawing/2014/main" id="{00000000-0008-0000-0000-0000A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5" name="Text Box 3085">
          <a:extLst>
            <a:ext uri="{FF2B5EF4-FFF2-40B4-BE49-F238E27FC236}">
              <a16:creationId xmlns="" xmlns:a16="http://schemas.microsoft.com/office/drawing/2014/main" id="{00000000-0008-0000-0000-0000A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6" name="Text Box 3086">
          <a:extLst>
            <a:ext uri="{FF2B5EF4-FFF2-40B4-BE49-F238E27FC236}">
              <a16:creationId xmlns="" xmlns:a16="http://schemas.microsoft.com/office/drawing/2014/main" id="{00000000-0008-0000-0000-0000B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7" name="Text Box 3087">
          <a:extLst>
            <a:ext uri="{FF2B5EF4-FFF2-40B4-BE49-F238E27FC236}">
              <a16:creationId xmlns="" xmlns:a16="http://schemas.microsoft.com/office/drawing/2014/main" id="{00000000-0008-0000-0000-0000B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8" name="Text Box 3088">
          <a:extLst>
            <a:ext uri="{FF2B5EF4-FFF2-40B4-BE49-F238E27FC236}">
              <a16:creationId xmlns="" xmlns:a16="http://schemas.microsoft.com/office/drawing/2014/main" id="{00000000-0008-0000-0000-0000B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9" name="Text Box 3089">
          <a:extLst>
            <a:ext uri="{FF2B5EF4-FFF2-40B4-BE49-F238E27FC236}">
              <a16:creationId xmlns="" xmlns:a16="http://schemas.microsoft.com/office/drawing/2014/main" id="{00000000-0008-0000-0000-0000B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0" name="Text Box 3090">
          <a:extLst>
            <a:ext uri="{FF2B5EF4-FFF2-40B4-BE49-F238E27FC236}">
              <a16:creationId xmlns="" xmlns:a16="http://schemas.microsoft.com/office/drawing/2014/main" id="{00000000-0008-0000-0000-0000B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1" name="Text Box 3091">
          <a:extLst>
            <a:ext uri="{FF2B5EF4-FFF2-40B4-BE49-F238E27FC236}">
              <a16:creationId xmlns="" xmlns:a16="http://schemas.microsoft.com/office/drawing/2014/main" id="{00000000-0008-0000-0000-0000B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2" name="Text Box 3092">
          <a:extLst>
            <a:ext uri="{FF2B5EF4-FFF2-40B4-BE49-F238E27FC236}">
              <a16:creationId xmlns="" xmlns:a16="http://schemas.microsoft.com/office/drawing/2014/main" id="{00000000-0008-0000-0000-0000B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3" name="Text Box 3093">
          <a:extLst>
            <a:ext uri="{FF2B5EF4-FFF2-40B4-BE49-F238E27FC236}">
              <a16:creationId xmlns="" xmlns:a16="http://schemas.microsoft.com/office/drawing/2014/main" id="{00000000-0008-0000-0000-0000B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4" name="Text Box 3094">
          <a:extLst>
            <a:ext uri="{FF2B5EF4-FFF2-40B4-BE49-F238E27FC236}">
              <a16:creationId xmlns="" xmlns:a16="http://schemas.microsoft.com/office/drawing/2014/main" id="{00000000-0008-0000-0000-0000B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5" name="Text Box 3095">
          <a:extLst>
            <a:ext uri="{FF2B5EF4-FFF2-40B4-BE49-F238E27FC236}">
              <a16:creationId xmlns="" xmlns:a16="http://schemas.microsoft.com/office/drawing/2014/main" id="{00000000-0008-0000-0000-0000B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6" name="Text Box 3096">
          <a:extLst>
            <a:ext uri="{FF2B5EF4-FFF2-40B4-BE49-F238E27FC236}">
              <a16:creationId xmlns="" xmlns:a16="http://schemas.microsoft.com/office/drawing/2014/main" id="{00000000-0008-0000-0000-0000B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7" name="Text Box 3097">
          <a:extLst>
            <a:ext uri="{FF2B5EF4-FFF2-40B4-BE49-F238E27FC236}">
              <a16:creationId xmlns="" xmlns:a16="http://schemas.microsoft.com/office/drawing/2014/main" id="{00000000-0008-0000-0000-0000B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8" name="Text Box 3098">
          <a:extLst>
            <a:ext uri="{FF2B5EF4-FFF2-40B4-BE49-F238E27FC236}">
              <a16:creationId xmlns="" xmlns:a16="http://schemas.microsoft.com/office/drawing/2014/main" id="{00000000-0008-0000-0000-0000B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9" name="Text Box 3099">
          <a:extLst>
            <a:ext uri="{FF2B5EF4-FFF2-40B4-BE49-F238E27FC236}">
              <a16:creationId xmlns="" xmlns:a16="http://schemas.microsoft.com/office/drawing/2014/main" id="{00000000-0008-0000-0000-0000B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50" name="Text Box 3100">
          <a:extLst>
            <a:ext uri="{FF2B5EF4-FFF2-40B4-BE49-F238E27FC236}">
              <a16:creationId xmlns="" xmlns:a16="http://schemas.microsoft.com/office/drawing/2014/main" id="{00000000-0008-0000-0000-0000B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51" name="Text Box 3101">
          <a:extLst>
            <a:ext uri="{FF2B5EF4-FFF2-40B4-BE49-F238E27FC236}">
              <a16:creationId xmlns="" xmlns:a16="http://schemas.microsoft.com/office/drawing/2014/main" id="{00000000-0008-0000-0000-0000B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52" name="Text Box 3102">
          <a:extLst>
            <a:ext uri="{FF2B5EF4-FFF2-40B4-BE49-F238E27FC236}">
              <a16:creationId xmlns="" xmlns:a16="http://schemas.microsoft.com/office/drawing/2014/main" id="{00000000-0008-0000-0000-0000C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3" name="Text Box 59">
          <a:extLst>
            <a:ext uri="{FF2B5EF4-FFF2-40B4-BE49-F238E27FC236}">
              <a16:creationId xmlns="" xmlns:a16="http://schemas.microsoft.com/office/drawing/2014/main" id="{00000000-0008-0000-0000-0000C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4" name="Text Box 60">
          <a:extLst>
            <a:ext uri="{FF2B5EF4-FFF2-40B4-BE49-F238E27FC236}">
              <a16:creationId xmlns="" xmlns:a16="http://schemas.microsoft.com/office/drawing/2014/main" id="{00000000-0008-0000-0000-0000C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5" name="Text Box 61">
          <a:extLst>
            <a:ext uri="{FF2B5EF4-FFF2-40B4-BE49-F238E27FC236}">
              <a16:creationId xmlns="" xmlns:a16="http://schemas.microsoft.com/office/drawing/2014/main" id="{00000000-0008-0000-0000-0000C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6" name="Text Box 62">
          <a:extLst>
            <a:ext uri="{FF2B5EF4-FFF2-40B4-BE49-F238E27FC236}">
              <a16:creationId xmlns="" xmlns:a16="http://schemas.microsoft.com/office/drawing/2014/main" id="{00000000-0008-0000-0000-0000C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7" name="Text Box 63">
          <a:extLst>
            <a:ext uri="{FF2B5EF4-FFF2-40B4-BE49-F238E27FC236}">
              <a16:creationId xmlns="" xmlns:a16="http://schemas.microsoft.com/office/drawing/2014/main" id="{00000000-0008-0000-0000-0000C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8" name="Text Box 64">
          <a:extLst>
            <a:ext uri="{FF2B5EF4-FFF2-40B4-BE49-F238E27FC236}">
              <a16:creationId xmlns="" xmlns:a16="http://schemas.microsoft.com/office/drawing/2014/main" id="{00000000-0008-0000-0000-0000C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9" name="Text Box 65">
          <a:extLst>
            <a:ext uri="{FF2B5EF4-FFF2-40B4-BE49-F238E27FC236}">
              <a16:creationId xmlns="" xmlns:a16="http://schemas.microsoft.com/office/drawing/2014/main" id="{00000000-0008-0000-0000-0000C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0" name="Text Box 66">
          <a:extLst>
            <a:ext uri="{FF2B5EF4-FFF2-40B4-BE49-F238E27FC236}">
              <a16:creationId xmlns="" xmlns:a16="http://schemas.microsoft.com/office/drawing/2014/main" id="{00000000-0008-0000-0000-0000C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1" name="Text Box 67">
          <a:extLst>
            <a:ext uri="{FF2B5EF4-FFF2-40B4-BE49-F238E27FC236}">
              <a16:creationId xmlns="" xmlns:a16="http://schemas.microsoft.com/office/drawing/2014/main" id="{00000000-0008-0000-0000-0000C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2" name="Text Box 68">
          <a:extLst>
            <a:ext uri="{FF2B5EF4-FFF2-40B4-BE49-F238E27FC236}">
              <a16:creationId xmlns="" xmlns:a16="http://schemas.microsoft.com/office/drawing/2014/main" id="{00000000-0008-0000-0000-0000C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3" name="Text Box 69">
          <a:extLst>
            <a:ext uri="{FF2B5EF4-FFF2-40B4-BE49-F238E27FC236}">
              <a16:creationId xmlns="" xmlns:a16="http://schemas.microsoft.com/office/drawing/2014/main" id="{00000000-0008-0000-0000-0000C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4" name="Text Box 70">
          <a:extLst>
            <a:ext uri="{FF2B5EF4-FFF2-40B4-BE49-F238E27FC236}">
              <a16:creationId xmlns="" xmlns:a16="http://schemas.microsoft.com/office/drawing/2014/main" id="{00000000-0008-0000-0000-0000C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5" name="Text Box 71">
          <a:extLst>
            <a:ext uri="{FF2B5EF4-FFF2-40B4-BE49-F238E27FC236}">
              <a16:creationId xmlns="" xmlns:a16="http://schemas.microsoft.com/office/drawing/2014/main" id="{00000000-0008-0000-0000-0000C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6" name="Text Box 72">
          <a:extLst>
            <a:ext uri="{FF2B5EF4-FFF2-40B4-BE49-F238E27FC236}">
              <a16:creationId xmlns="" xmlns:a16="http://schemas.microsoft.com/office/drawing/2014/main" id="{00000000-0008-0000-0000-0000C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7" name="Text Box 73">
          <a:extLst>
            <a:ext uri="{FF2B5EF4-FFF2-40B4-BE49-F238E27FC236}">
              <a16:creationId xmlns="" xmlns:a16="http://schemas.microsoft.com/office/drawing/2014/main" id="{00000000-0008-0000-0000-0000C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8" name="Text Box 74">
          <a:extLst>
            <a:ext uri="{FF2B5EF4-FFF2-40B4-BE49-F238E27FC236}">
              <a16:creationId xmlns="" xmlns:a16="http://schemas.microsoft.com/office/drawing/2014/main" id="{00000000-0008-0000-0000-0000D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9" name="Text Box 75">
          <a:extLst>
            <a:ext uri="{FF2B5EF4-FFF2-40B4-BE49-F238E27FC236}">
              <a16:creationId xmlns="" xmlns:a16="http://schemas.microsoft.com/office/drawing/2014/main" id="{00000000-0008-0000-0000-0000D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0" name="Text Box 76">
          <a:extLst>
            <a:ext uri="{FF2B5EF4-FFF2-40B4-BE49-F238E27FC236}">
              <a16:creationId xmlns="" xmlns:a16="http://schemas.microsoft.com/office/drawing/2014/main" id="{00000000-0008-0000-0000-0000D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1" name="Text Box 77">
          <a:extLst>
            <a:ext uri="{FF2B5EF4-FFF2-40B4-BE49-F238E27FC236}">
              <a16:creationId xmlns="" xmlns:a16="http://schemas.microsoft.com/office/drawing/2014/main" id="{00000000-0008-0000-0000-0000D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2" name="Text Box 78">
          <a:extLst>
            <a:ext uri="{FF2B5EF4-FFF2-40B4-BE49-F238E27FC236}">
              <a16:creationId xmlns="" xmlns:a16="http://schemas.microsoft.com/office/drawing/2014/main" id="{00000000-0008-0000-0000-0000D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3" name="Text Box 79">
          <a:extLst>
            <a:ext uri="{FF2B5EF4-FFF2-40B4-BE49-F238E27FC236}">
              <a16:creationId xmlns="" xmlns:a16="http://schemas.microsoft.com/office/drawing/2014/main" id="{00000000-0008-0000-0000-0000D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4" name="Text Box 80">
          <a:extLst>
            <a:ext uri="{FF2B5EF4-FFF2-40B4-BE49-F238E27FC236}">
              <a16:creationId xmlns="" xmlns:a16="http://schemas.microsoft.com/office/drawing/2014/main" id="{00000000-0008-0000-0000-0000D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5" name="Text Box 81">
          <a:extLst>
            <a:ext uri="{FF2B5EF4-FFF2-40B4-BE49-F238E27FC236}">
              <a16:creationId xmlns="" xmlns:a16="http://schemas.microsoft.com/office/drawing/2014/main" id="{00000000-0008-0000-0000-0000D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6" name="Text Box 3079">
          <a:extLst>
            <a:ext uri="{FF2B5EF4-FFF2-40B4-BE49-F238E27FC236}">
              <a16:creationId xmlns="" xmlns:a16="http://schemas.microsoft.com/office/drawing/2014/main" id="{00000000-0008-0000-0000-0000D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7" name="Text Box 3080">
          <a:extLst>
            <a:ext uri="{FF2B5EF4-FFF2-40B4-BE49-F238E27FC236}">
              <a16:creationId xmlns="" xmlns:a16="http://schemas.microsoft.com/office/drawing/2014/main" id="{00000000-0008-0000-0000-0000D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8" name="Text Box 3081">
          <a:extLst>
            <a:ext uri="{FF2B5EF4-FFF2-40B4-BE49-F238E27FC236}">
              <a16:creationId xmlns="" xmlns:a16="http://schemas.microsoft.com/office/drawing/2014/main" id="{00000000-0008-0000-0000-0000D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9" name="Text Box 3082">
          <a:extLst>
            <a:ext uri="{FF2B5EF4-FFF2-40B4-BE49-F238E27FC236}">
              <a16:creationId xmlns="" xmlns:a16="http://schemas.microsoft.com/office/drawing/2014/main" id="{00000000-0008-0000-0000-0000D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0" name="Text Box 3083">
          <a:extLst>
            <a:ext uri="{FF2B5EF4-FFF2-40B4-BE49-F238E27FC236}">
              <a16:creationId xmlns="" xmlns:a16="http://schemas.microsoft.com/office/drawing/2014/main" id="{00000000-0008-0000-0000-0000D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1" name="Text Box 3084">
          <a:extLst>
            <a:ext uri="{FF2B5EF4-FFF2-40B4-BE49-F238E27FC236}">
              <a16:creationId xmlns="" xmlns:a16="http://schemas.microsoft.com/office/drawing/2014/main" id="{00000000-0008-0000-0000-0000D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2" name="Text Box 3085">
          <a:extLst>
            <a:ext uri="{FF2B5EF4-FFF2-40B4-BE49-F238E27FC236}">
              <a16:creationId xmlns="" xmlns:a16="http://schemas.microsoft.com/office/drawing/2014/main" id="{00000000-0008-0000-0000-0000D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3" name="Text Box 3086">
          <a:extLst>
            <a:ext uri="{FF2B5EF4-FFF2-40B4-BE49-F238E27FC236}">
              <a16:creationId xmlns="" xmlns:a16="http://schemas.microsoft.com/office/drawing/2014/main" id="{00000000-0008-0000-0000-0000D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4" name="Text Box 3087">
          <a:extLst>
            <a:ext uri="{FF2B5EF4-FFF2-40B4-BE49-F238E27FC236}">
              <a16:creationId xmlns="" xmlns:a16="http://schemas.microsoft.com/office/drawing/2014/main" id="{00000000-0008-0000-0000-0000E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5" name="Text Box 3088">
          <a:extLst>
            <a:ext uri="{FF2B5EF4-FFF2-40B4-BE49-F238E27FC236}">
              <a16:creationId xmlns="" xmlns:a16="http://schemas.microsoft.com/office/drawing/2014/main" id="{00000000-0008-0000-0000-0000E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6" name="Text Box 3089">
          <a:extLst>
            <a:ext uri="{FF2B5EF4-FFF2-40B4-BE49-F238E27FC236}">
              <a16:creationId xmlns="" xmlns:a16="http://schemas.microsoft.com/office/drawing/2014/main" id="{00000000-0008-0000-0000-0000E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7" name="Text Box 3090">
          <a:extLst>
            <a:ext uri="{FF2B5EF4-FFF2-40B4-BE49-F238E27FC236}">
              <a16:creationId xmlns="" xmlns:a16="http://schemas.microsoft.com/office/drawing/2014/main" id="{00000000-0008-0000-0000-0000E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8" name="Text Box 3091">
          <a:extLst>
            <a:ext uri="{FF2B5EF4-FFF2-40B4-BE49-F238E27FC236}">
              <a16:creationId xmlns="" xmlns:a16="http://schemas.microsoft.com/office/drawing/2014/main" id="{00000000-0008-0000-0000-0000E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9" name="Text Box 3092">
          <a:extLst>
            <a:ext uri="{FF2B5EF4-FFF2-40B4-BE49-F238E27FC236}">
              <a16:creationId xmlns="" xmlns:a16="http://schemas.microsoft.com/office/drawing/2014/main" id="{00000000-0008-0000-0000-0000E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0" name="Text Box 3093">
          <a:extLst>
            <a:ext uri="{FF2B5EF4-FFF2-40B4-BE49-F238E27FC236}">
              <a16:creationId xmlns="" xmlns:a16="http://schemas.microsoft.com/office/drawing/2014/main" id="{00000000-0008-0000-0000-0000E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1" name="Text Box 3094">
          <a:extLst>
            <a:ext uri="{FF2B5EF4-FFF2-40B4-BE49-F238E27FC236}">
              <a16:creationId xmlns="" xmlns:a16="http://schemas.microsoft.com/office/drawing/2014/main" id="{00000000-0008-0000-0000-0000E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2" name="Text Box 3095">
          <a:extLst>
            <a:ext uri="{FF2B5EF4-FFF2-40B4-BE49-F238E27FC236}">
              <a16:creationId xmlns="" xmlns:a16="http://schemas.microsoft.com/office/drawing/2014/main" id="{00000000-0008-0000-0000-0000E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3" name="Text Box 3096">
          <a:extLst>
            <a:ext uri="{FF2B5EF4-FFF2-40B4-BE49-F238E27FC236}">
              <a16:creationId xmlns="" xmlns:a16="http://schemas.microsoft.com/office/drawing/2014/main" id="{00000000-0008-0000-0000-0000E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4" name="Text Box 3097">
          <a:extLst>
            <a:ext uri="{FF2B5EF4-FFF2-40B4-BE49-F238E27FC236}">
              <a16:creationId xmlns="" xmlns:a16="http://schemas.microsoft.com/office/drawing/2014/main" id="{00000000-0008-0000-0000-0000E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5" name="Text Box 3098">
          <a:extLst>
            <a:ext uri="{FF2B5EF4-FFF2-40B4-BE49-F238E27FC236}">
              <a16:creationId xmlns="" xmlns:a16="http://schemas.microsoft.com/office/drawing/2014/main" id="{00000000-0008-0000-0000-0000E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6" name="Text Box 3099">
          <a:extLst>
            <a:ext uri="{FF2B5EF4-FFF2-40B4-BE49-F238E27FC236}">
              <a16:creationId xmlns="" xmlns:a16="http://schemas.microsoft.com/office/drawing/2014/main" id="{00000000-0008-0000-0000-0000E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7" name="Text Box 3100">
          <a:extLst>
            <a:ext uri="{FF2B5EF4-FFF2-40B4-BE49-F238E27FC236}">
              <a16:creationId xmlns="" xmlns:a16="http://schemas.microsoft.com/office/drawing/2014/main" id="{00000000-0008-0000-0000-0000E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8" name="Text Box 3101">
          <a:extLst>
            <a:ext uri="{FF2B5EF4-FFF2-40B4-BE49-F238E27FC236}">
              <a16:creationId xmlns="" xmlns:a16="http://schemas.microsoft.com/office/drawing/2014/main" id="{00000000-0008-0000-0000-0000E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99" name="Text Box 3102">
          <a:extLst>
            <a:ext uri="{FF2B5EF4-FFF2-40B4-BE49-F238E27FC236}">
              <a16:creationId xmlns="" xmlns:a16="http://schemas.microsoft.com/office/drawing/2014/main" id="{00000000-0008-0000-0000-0000E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0" name="Text Box 59">
          <a:extLst>
            <a:ext uri="{FF2B5EF4-FFF2-40B4-BE49-F238E27FC236}">
              <a16:creationId xmlns="" xmlns:a16="http://schemas.microsoft.com/office/drawing/2014/main" id="{00000000-0008-0000-0000-0000F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1" name="Text Box 60">
          <a:extLst>
            <a:ext uri="{FF2B5EF4-FFF2-40B4-BE49-F238E27FC236}">
              <a16:creationId xmlns="" xmlns:a16="http://schemas.microsoft.com/office/drawing/2014/main" id="{00000000-0008-0000-0000-0000F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2" name="Text Box 61">
          <a:extLst>
            <a:ext uri="{FF2B5EF4-FFF2-40B4-BE49-F238E27FC236}">
              <a16:creationId xmlns="" xmlns:a16="http://schemas.microsoft.com/office/drawing/2014/main" id="{00000000-0008-0000-0000-0000F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3" name="Text Box 62">
          <a:extLst>
            <a:ext uri="{FF2B5EF4-FFF2-40B4-BE49-F238E27FC236}">
              <a16:creationId xmlns="" xmlns:a16="http://schemas.microsoft.com/office/drawing/2014/main" id="{00000000-0008-0000-0000-0000F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4" name="Text Box 63">
          <a:extLst>
            <a:ext uri="{FF2B5EF4-FFF2-40B4-BE49-F238E27FC236}">
              <a16:creationId xmlns="" xmlns:a16="http://schemas.microsoft.com/office/drawing/2014/main" id="{00000000-0008-0000-0000-0000F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5" name="Text Box 64">
          <a:extLst>
            <a:ext uri="{FF2B5EF4-FFF2-40B4-BE49-F238E27FC236}">
              <a16:creationId xmlns="" xmlns:a16="http://schemas.microsoft.com/office/drawing/2014/main" id="{00000000-0008-0000-0000-0000F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6" name="Text Box 65">
          <a:extLst>
            <a:ext uri="{FF2B5EF4-FFF2-40B4-BE49-F238E27FC236}">
              <a16:creationId xmlns="" xmlns:a16="http://schemas.microsoft.com/office/drawing/2014/main" id="{00000000-0008-0000-0000-0000F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7" name="Text Box 66">
          <a:extLst>
            <a:ext uri="{FF2B5EF4-FFF2-40B4-BE49-F238E27FC236}">
              <a16:creationId xmlns="" xmlns:a16="http://schemas.microsoft.com/office/drawing/2014/main" id="{00000000-0008-0000-0000-0000F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8" name="Text Box 67">
          <a:extLst>
            <a:ext uri="{FF2B5EF4-FFF2-40B4-BE49-F238E27FC236}">
              <a16:creationId xmlns="" xmlns:a16="http://schemas.microsoft.com/office/drawing/2014/main" id="{00000000-0008-0000-0000-0000F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9" name="Text Box 68">
          <a:extLst>
            <a:ext uri="{FF2B5EF4-FFF2-40B4-BE49-F238E27FC236}">
              <a16:creationId xmlns="" xmlns:a16="http://schemas.microsoft.com/office/drawing/2014/main" id="{00000000-0008-0000-0000-0000F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0" name="Text Box 69">
          <a:extLst>
            <a:ext uri="{FF2B5EF4-FFF2-40B4-BE49-F238E27FC236}">
              <a16:creationId xmlns="" xmlns:a16="http://schemas.microsoft.com/office/drawing/2014/main" id="{00000000-0008-0000-0000-0000F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1" name="Text Box 70">
          <a:extLst>
            <a:ext uri="{FF2B5EF4-FFF2-40B4-BE49-F238E27FC236}">
              <a16:creationId xmlns="" xmlns:a16="http://schemas.microsoft.com/office/drawing/2014/main" id="{00000000-0008-0000-0000-0000F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2" name="Text Box 71">
          <a:extLst>
            <a:ext uri="{FF2B5EF4-FFF2-40B4-BE49-F238E27FC236}">
              <a16:creationId xmlns="" xmlns:a16="http://schemas.microsoft.com/office/drawing/2014/main" id="{00000000-0008-0000-0000-0000F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3" name="Text Box 72">
          <a:extLst>
            <a:ext uri="{FF2B5EF4-FFF2-40B4-BE49-F238E27FC236}">
              <a16:creationId xmlns="" xmlns:a16="http://schemas.microsoft.com/office/drawing/2014/main" id="{00000000-0008-0000-0000-0000F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4" name="Text Box 73">
          <a:extLst>
            <a:ext uri="{FF2B5EF4-FFF2-40B4-BE49-F238E27FC236}">
              <a16:creationId xmlns="" xmlns:a16="http://schemas.microsoft.com/office/drawing/2014/main" id="{00000000-0008-0000-0000-0000F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5" name="Text Box 74">
          <a:extLst>
            <a:ext uri="{FF2B5EF4-FFF2-40B4-BE49-F238E27FC236}">
              <a16:creationId xmlns="" xmlns:a16="http://schemas.microsoft.com/office/drawing/2014/main" id="{00000000-0008-0000-0000-0000F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6" name="Text Box 75">
          <a:extLst>
            <a:ext uri="{FF2B5EF4-FFF2-40B4-BE49-F238E27FC236}">
              <a16:creationId xmlns="" xmlns:a16="http://schemas.microsoft.com/office/drawing/2014/main" id="{00000000-0008-0000-0000-00000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7" name="Text Box 76">
          <a:extLst>
            <a:ext uri="{FF2B5EF4-FFF2-40B4-BE49-F238E27FC236}">
              <a16:creationId xmlns=""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8" name="Text Box 77">
          <a:extLst>
            <a:ext uri="{FF2B5EF4-FFF2-40B4-BE49-F238E27FC236}">
              <a16:creationId xmlns="" xmlns:a16="http://schemas.microsoft.com/office/drawing/2014/main" id="{00000000-0008-0000-0000-00000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9" name="Text Box 78">
          <a:extLst>
            <a:ext uri="{FF2B5EF4-FFF2-40B4-BE49-F238E27FC236}">
              <a16:creationId xmlns="" xmlns:a16="http://schemas.microsoft.com/office/drawing/2014/main" id="{00000000-0008-0000-0000-00000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0" name="Text Box 79">
          <a:extLst>
            <a:ext uri="{FF2B5EF4-FFF2-40B4-BE49-F238E27FC236}">
              <a16:creationId xmlns="" xmlns:a16="http://schemas.microsoft.com/office/drawing/2014/main" id="{00000000-0008-0000-0000-00000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1" name="Text Box 80">
          <a:extLst>
            <a:ext uri="{FF2B5EF4-FFF2-40B4-BE49-F238E27FC236}">
              <a16:creationId xmlns="" xmlns:a16="http://schemas.microsoft.com/office/drawing/2014/main" id="{00000000-0008-0000-0000-00000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2" name="Text Box 81">
          <a:extLst>
            <a:ext uri="{FF2B5EF4-FFF2-40B4-BE49-F238E27FC236}">
              <a16:creationId xmlns="" xmlns:a16="http://schemas.microsoft.com/office/drawing/2014/main" id="{00000000-0008-0000-0000-00000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223" name="Text Box 82">
          <a:extLst>
            <a:ext uri="{FF2B5EF4-FFF2-40B4-BE49-F238E27FC236}">
              <a16:creationId xmlns="" xmlns:a16="http://schemas.microsoft.com/office/drawing/2014/main" id="{00000000-0008-0000-0000-00000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4" name="Text Box 3079">
          <a:extLst>
            <a:ext uri="{FF2B5EF4-FFF2-40B4-BE49-F238E27FC236}">
              <a16:creationId xmlns="" xmlns:a16="http://schemas.microsoft.com/office/drawing/2014/main" id="{00000000-0008-0000-0000-00000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5" name="Text Box 3080">
          <a:extLst>
            <a:ext uri="{FF2B5EF4-FFF2-40B4-BE49-F238E27FC236}">
              <a16:creationId xmlns="" xmlns:a16="http://schemas.microsoft.com/office/drawing/2014/main" id="{00000000-0008-0000-0000-00000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6" name="Text Box 3081">
          <a:extLst>
            <a:ext uri="{FF2B5EF4-FFF2-40B4-BE49-F238E27FC236}">
              <a16:creationId xmlns="" xmlns:a16="http://schemas.microsoft.com/office/drawing/2014/main" id="{00000000-0008-0000-0000-00000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7" name="Text Box 3082">
          <a:extLst>
            <a:ext uri="{FF2B5EF4-FFF2-40B4-BE49-F238E27FC236}">
              <a16:creationId xmlns="" xmlns:a16="http://schemas.microsoft.com/office/drawing/2014/main" id="{00000000-0008-0000-0000-00000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8" name="Text Box 3083">
          <a:extLst>
            <a:ext uri="{FF2B5EF4-FFF2-40B4-BE49-F238E27FC236}">
              <a16:creationId xmlns="" xmlns:a16="http://schemas.microsoft.com/office/drawing/2014/main" id="{00000000-0008-0000-0000-00000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9" name="Text Box 3084">
          <a:extLst>
            <a:ext uri="{FF2B5EF4-FFF2-40B4-BE49-F238E27FC236}">
              <a16:creationId xmlns="" xmlns:a16="http://schemas.microsoft.com/office/drawing/2014/main" id="{00000000-0008-0000-0000-00000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0" name="Text Box 3085">
          <a:extLst>
            <a:ext uri="{FF2B5EF4-FFF2-40B4-BE49-F238E27FC236}">
              <a16:creationId xmlns="" xmlns:a16="http://schemas.microsoft.com/office/drawing/2014/main" id="{00000000-0008-0000-0000-00000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1" name="Text Box 3086">
          <a:extLst>
            <a:ext uri="{FF2B5EF4-FFF2-40B4-BE49-F238E27FC236}">
              <a16:creationId xmlns="" xmlns:a16="http://schemas.microsoft.com/office/drawing/2014/main" id="{00000000-0008-0000-0000-00000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2" name="Text Box 3087">
          <a:extLst>
            <a:ext uri="{FF2B5EF4-FFF2-40B4-BE49-F238E27FC236}">
              <a16:creationId xmlns="" xmlns:a16="http://schemas.microsoft.com/office/drawing/2014/main" id="{00000000-0008-0000-0000-00001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3" name="Text Box 3088">
          <a:extLst>
            <a:ext uri="{FF2B5EF4-FFF2-40B4-BE49-F238E27FC236}">
              <a16:creationId xmlns="" xmlns:a16="http://schemas.microsoft.com/office/drawing/2014/main" id="{00000000-0008-0000-0000-00001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4" name="Text Box 3089">
          <a:extLst>
            <a:ext uri="{FF2B5EF4-FFF2-40B4-BE49-F238E27FC236}">
              <a16:creationId xmlns="" xmlns:a16="http://schemas.microsoft.com/office/drawing/2014/main" id="{00000000-0008-0000-0000-00001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5" name="Text Box 3090">
          <a:extLst>
            <a:ext uri="{FF2B5EF4-FFF2-40B4-BE49-F238E27FC236}">
              <a16:creationId xmlns="" xmlns:a16="http://schemas.microsoft.com/office/drawing/2014/main" id="{00000000-0008-0000-0000-00001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6" name="Text Box 3091">
          <a:extLst>
            <a:ext uri="{FF2B5EF4-FFF2-40B4-BE49-F238E27FC236}">
              <a16:creationId xmlns="" xmlns:a16="http://schemas.microsoft.com/office/drawing/2014/main" id="{00000000-0008-0000-0000-00001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7" name="Text Box 3092">
          <a:extLst>
            <a:ext uri="{FF2B5EF4-FFF2-40B4-BE49-F238E27FC236}">
              <a16:creationId xmlns="" xmlns:a16="http://schemas.microsoft.com/office/drawing/2014/main" id="{00000000-0008-0000-0000-00001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8" name="Text Box 3093">
          <a:extLst>
            <a:ext uri="{FF2B5EF4-FFF2-40B4-BE49-F238E27FC236}">
              <a16:creationId xmlns="" xmlns:a16="http://schemas.microsoft.com/office/drawing/2014/main" id="{00000000-0008-0000-0000-00001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9" name="Text Box 3094">
          <a:extLst>
            <a:ext uri="{FF2B5EF4-FFF2-40B4-BE49-F238E27FC236}">
              <a16:creationId xmlns="" xmlns:a16="http://schemas.microsoft.com/office/drawing/2014/main" id="{00000000-0008-0000-0000-00001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0" name="Text Box 3095">
          <a:extLst>
            <a:ext uri="{FF2B5EF4-FFF2-40B4-BE49-F238E27FC236}">
              <a16:creationId xmlns="" xmlns:a16="http://schemas.microsoft.com/office/drawing/2014/main" id="{00000000-0008-0000-0000-00001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1" name="Text Box 3096">
          <a:extLst>
            <a:ext uri="{FF2B5EF4-FFF2-40B4-BE49-F238E27FC236}">
              <a16:creationId xmlns="" xmlns:a16="http://schemas.microsoft.com/office/drawing/2014/main" id="{00000000-0008-0000-0000-00001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2" name="Text Box 3097">
          <a:extLst>
            <a:ext uri="{FF2B5EF4-FFF2-40B4-BE49-F238E27FC236}">
              <a16:creationId xmlns="" xmlns:a16="http://schemas.microsoft.com/office/drawing/2014/main" id="{00000000-0008-0000-0000-00001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3" name="Text Box 3098">
          <a:extLst>
            <a:ext uri="{FF2B5EF4-FFF2-40B4-BE49-F238E27FC236}">
              <a16:creationId xmlns="" xmlns:a16="http://schemas.microsoft.com/office/drawing/2014/main" id="{00000000-0008-0000-0000-00001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4" name="Text Box 3099">
          <a:extLst>
            <a:ext uri="{FF2B5EF4-FFF2-40B4-BE49-F238E27FC236}">
              <a16:creationId xmlns="" xmlns:a16="http://schemas.microsoft.com/office/drawing/2014/main" id="{00000000-0008-0000-0000-00001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5" name="Text Box 3100">
          <a:extLst>
            <a:ext uri="{FF2B5EF4-FFF2-40B4-BE49-F238E27FC236}">
              <a16:creationId xmlns="" xmlns:a16="http://schemas.microsoft.com/office/drawing/2014/main" id="{00000000-0008-0000-0000-00001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6" name="Text Box 3101">
          <a:extLst>
            <a:ext uri="{FF2B5EF4-FFF2-40B4-BE49-F238E27FC236}">
              <a16:creationId xmlns="" xmlns:a16="http://schemas.microsoft.com/office/drawing/2014/main" id="{00000000-0008-0000-0000-00001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247" name="Text Box 3102">
          <a:extLst>
            <a:ext uri="{FF2B5EF4-FFF2-40B4-BE49-F238E27FC236}">
              <a16:creationId xmlns="" xmlns:a16="http://schemas.microsoft.com/office/drawing/2014/main" id="{00000000-0008-0000-0000-00001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48" name="Text Box 59">
          <a:extLst>
            <a:ext uri="{FF2B5EF4-FFF2-40B4-BE49-F238E27FC236}">
              <a16:creationId xmlns="" xmlns:a16="http://schemas.microsoft.com/office/drawing/2014/main" id="{00000000-0008-0000-0000-00002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49" name="Text Box 60">
          <a:extLst>
            <a:ext uri="{FF2B5EF4-FFF2-40B4-BE49-F238E27FC236}">
              <a16:creationId xmlns="" xmlns:a16="http://schemas.microsoft.com/office/drawing/2014/main" id="{00000000-0008-0000-0000-00002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0" name="Text Box 61">
          <a:extLst>
            <a:ext uri="{FF2B5EF4-FFF2-40B4-BE49-F238E27FC236}">
              <a16:creationId xmlns="" xmlns:a16="http://schemas.microsoft.com/office/drawing/2014/main" id="{00000000-0008-0000-0000-00002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1" name="Text Box 62">
          <a:extLst>
            <a:ext uri="{FF2B5EF4-FFF2-40B4-BE49-F238E27FC236}">
              <a16:creationId xmlns="" xmlns:a16="http://schemas.microsoft.com/office/drawing/2014/main" id="{00000000-0008-0000-0000-00002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2" name="Text Box 63">
          <a:extLst>
            <a:ext uri="{FF2B5EF4-FFF2-40B4-BE49-F238E27FC236}">
              <a16:creationId xmlns="" xmlns:a16="http://schemas.microsoft.com/office/drawing/2014/main" id="{00000000-0008-0000-0000-00002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3" name="Text Box 64">
          <a:extLst>
            <a:ext uri="{FF2B5EF4-FFF2-40B4-BE49-F238E27FC236}">
              <a16:creationId xmlns="" xmlns:a16="http://schemas.microsoft.com/office/drawing/2014/main" id="{00000000-0008-0000-0000-00002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4" name="Text Box 65">
          <a:extLst>
            <a:ext uri="{FF2B5EF4-FFF2-40B4-BE49-F238E27FC236}">
              <a16:creationId xmlns="" xmlns:a16="http://schemas.microsoft.com/office/drawing/2014/main" id="{00000000-0008-0000-0000-00002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5" name="Text Box 66">
          <a:extLst>
            <a:ext uri="{FF2B5EF4-FFF2-40B4-BE49-F238E27FC236}">
              <a16:creationId xmlns="" xmlns:a16="http://schemas.microsoft.com/office/drawing/2014/main" id="{00000000-0008-0000-0000-00002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6" name="Text Box 67">
          <a:extLst>
            <a:ext uri="{FF2B5EF4-FFF2-40B4-BE49-F238E27FC236}">
              <a16:creationId xmlns="" xmlns:a16="http://schemas.microsoft.com/office/drawing/2014/main" id="{00000000-0008-0000-0000-00002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7" name="Text Box 68">
          <a:extLst>
            <a:ext uri="{FF2B5EF4-FFF2-40B4-BE49-F238E27FC236}">
              <a16:creationId xmlns="" xmlns:a16="http://schemas.microsoft.com/office/drawing/2014/main" id="{00000000-0008-0000-0000-00002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8" name="Text Box 69">
          <a:extLst>
            <a:ext uri="{FF2B5EF4-FFF2-40B4-BE49-F238E27FC236}">
              <a16:creationId xmlns="" xmlns:a16="http://schemas.microsoft.com/office/drawing/2014/main" id="{00000000-0008-0000-0000-00002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9" name="Text Box 70">
          <a:extLst>
            <a:ext uri="{FF2B5EF4-FFF2-40B4-BE49-F238E27FC236}">
              <a16:creationId xmlns="" xmlns:a16="http://schemas.microsoft.com/office/drawing/2014/main" id="{00000000-0008-0000-0000-00002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0" name="Text Box 71">
          <a:extLst>
            <a:ext uri="{FF2B5EF4-FFF2-40B4-BE49-F238E27FC236}">
              <a16:creationId xmlns="" xmlns:a16="http://schemas.microsoft.com/office/drawing/2014/main" id="{00000000-0008-0000-0000-00002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1" name="Text Box 72">
          <a:extLst>
            <a:ext uri="{FF2B5EF4-FFF2-40B4-BE49-F238E27FC236}">
              <a16:creationId xmlns="" xmlns:a16="http://schemas.microsoft.com/office/drawing/2014/main" id="{00000000-0008-0000-0000-00002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2" name="Text Box 73">
          <a:extLst>
            <a:ext uri="{FF2B5EF4-FFF2-40B4-BE49-F238E27FC236}">
              <a16:creationId xmlns="" xmlns:a16="http://schemas.microsoft.com/office/drawing/2014/main" id="{00000000-0008-0000-0000-00002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3" name="Text Box 74">
          <a:extLst>
            <a:ext uri="{FF2B5EF4-FFF2-40B4-BE49-F238E27FC236}">
              <a16:creationId xmlns="" xmlns:a16="http://schemas.microsoft.com/office/drawing/2014/main" id="{00000000-0008-0000-0000-00002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4" name="Text Box 75">
          <a:extLst>
            <a:ext uri="{FF2B5EF4-FFF2-40B4-BE49-F238E27FC236}">
              <a16:creationId xmlns="" xmlns:a16="http://schemas.microsoft.com/office/drawing/2014/main" id="{00000000-0008-0000-0000-00003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5" name="Text Box 76">
          <a:extLst>
            <a:ext uri="{FF2B5EF4-FFF2-40B4-BE49-F238E27FC236}">
              <a16:creationId xmlns="" xmlns:a16="http://schemas.microsoft.com/office/drawing/2014/main" id="{00000000-0008-0000-0000-00003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6" name="Text Box 77">
          <a:extLst>
            <a:ext uri="{FF2B5EF4-FFF2-40B4-BE49-F238E27FC236}">
              <a16:creationId xmlns="" xmlns:a16="http://schemas.microsoft.com/office/drawing/2014/main" id="{00000000-0008-0000-0000-00003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7" name="Text Box 78">
          <a:extLst>
            <a:ext uri="{FF2B5EF4-FFF2-40B4-BE49-F238E27FC236}">
              <a16:creationId xmlns="" xmlns:a16="http://schemas.microsoft.com/office/drawing/2014/main" id="{00000000-0008-0000-0000-00003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8" name="Text Box 79">
          <a:extLst>
            <a:ext uri="{FF2B5EF4-FFF2-40B4-BE49-F238E27FC236}">
              <a16:creationId xmlns="" xmlns:a16="http://schemas.microsoft.com/office/drawing/2014/main" id="{00000000-0008-0000-0000-00003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9" name="Text Box 80">
          <a:extLst>
            <a:ext uri="{FF2B5EF4-FFF2-40B4-BE49-F238E27FC236}">
              <a16:creationId xmlns="" xmlns:a16="http://schemas.microsoft.com/office/drawing/2014/main" id="{00000000-0008-0000-0000-00003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70" name="Text Box 81">
          <a:extLst>
            <a:ext uri="{FF2B5EF4-FFF2-40B4-BE49-F238E27FC236}">
              <a16:creationId xmlns="" xmlns:a16="http://schemas.microsoft.com/office/drawing/2014/main" id="{00000000-0008-0000-0000-00003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1" name="Text Box 3079">
          <a:extLst>
            <a:ext uri="{FF2B5EF4-FFF2-40B4-BE49-F238E27FC236}">
              <a16:creationId xmlns="" xmlns:a16="http://schemas.microsoft.com/office/drawing/2014/main" id="{00000000-0008-0000-0000-00003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2" name="Text Box 3080">
          <a:extLst>
            <a:ext uri="{FF2B5EF4-FFF2-40B4-BE49-F238E27FC236}">
              <a16:creationId xmlns="" xmlns:a16="http://schemas.microsoft.com/office/drawing/2014/main" id="{00000000-0008-0000-0000-00003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3" name="Text Box 3081">
          <a:extLst>
            <a:ext uri="{FF2B5EF4-FFF2-40B4-BE49-F238E27FC236}">
              <a16:creationId xmlns="" xmlns:a16="http://schemas.microsoft.com/office/drawing/2014/main" id="{00000000-0008-0000-0000-00003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4" name="Text Box 3082">
          <a:extLst>
            <a:ext uri="{FF2B5EF4-FFF2-40B4-BE49-F238E27FC236}">
              <a16:creationId xmlns="" xmlns:a16="http://schemas.microsoft.com/office/drawing/2014/main" id="{00000000-0008-0000-0000-00003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5" name="Text Box 3083">
          <a:extLst>
            <a:ext uri="{FF2B5EF4-FFF2-40B4-BE49-F238E27FC236}">
              <a16:creationId xmlns="" xmlns:a16="http://schemas.microsoft.com/office/drawing/2014/main" id="{00000000-0008-0000-0000-00003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6" name="Text Box 3084">
          <a:extLst>
            <a:ext uri="{FF2B5EF4-FFF2-40B4-BE49-F238E27FC236}">
              <a16:creationId xmlns="" xmlns:a16="http://schemas.microsoft.com/office/drawing/2014/main" id="{00000000-0008-0000-0000-00003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7" name="Text Box 3085">
          <a:extLst>
            <a:ext uri="{FF2B5EF4-FFF2-40B4-BE49-F238E27FC236}">
              <a16:creationId xmlns="" xmlns:a16="http://schemas.microsoft.com/office/drawing/2014/main" id="{00000000-0008-0000-0000-00003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8" name="Text Box 3086">
          <a:extLst>
            <a:ext uri="{FF2B5EF4-FFF2-40B4-BE49-F238E27FC236}">
              <a16:creationId xmlns="" xmlns:a16="http://schemas.microsoft.com/office/drawing/2014/main" id="{00000000-0008-0000-0000-00003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9" name="Text Box 3087">
          <a:extLst>
            <a:ext uri="{FF2B5EF4-FFF2-40B4-BE49-F238E27FC236}">
              <a16:creationId xmlns="" xmlns:a16="http://schemas.microsoft.com/office/drawing/2014/main" id="{00000000-0008-0000-0000-00003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0" name="Text Box 3088">
          <a:extLst>
            <a:ext uri="{FF2B5EF4-FFF2-40B4-BE49-F238E27FC236}">
              <a16:creationId xmlns="" xmlns:a16="http://schemas.microsoft.com/office/drawing/2014/main" id="{00000000-0008-0000-0000-00004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1" name="Text Box 3089">
          <a:extLst>
            <a:ext uri="{FF2B5EF4-FFF2-40B4-BE49-F238E27FC236}">
              <a16:creationId xmlns="" xmlns:a16="http://schemas.microsoft.com/office/drawing/2014/main" id="{00000000-0008-0000-0000-00004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2" name="Text Box 3090">
          <a:extLst>
            <a:ext uri="{FF2B5EF4-FFF2-40B4-BE49-F238E27FC236}">
              <a16:creationId xmlns="" xmlns:a16="http://schemas.microsoft.com/office/drawing/2014/main" id="{00000000-0008-0000-0000-00004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3" name="Text Box 3091">
          <a:extLst>
            <a:ext uri="{FF2B5EF4-FFF2-40B4-BE49-F238E27FC236}">
              <a16:creationId xmlns="" xmlns:a16="http://schemas.microsoft.com/office/drawing/2014/main" id="{00000000-0008-0000-0000-00004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4" name="Text Box 3092">
          <a:extLst>
            <a:ext uri="{FF2B5EF4-FFF2-40B4-BE49-F238E27FC236}">
              <a16:creationId xmlns="" xmlns:a16="http://schemas.microsoft.com/office/drawing/2014/main" id="{00000000-0008-0000-0000-00004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5" name="Text Box 3093">
          <a:extLst>
            <a:ext uri="{FF2B5EF4-FFF2-40B4-BE49-F238E27FC236}">
              <a16:creationId xmlns="" xmlns:a16="http://schemas.microsoft.com/office/drawing/2014/main" id="{00000000-0008-0000-0000-00004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6" name="Text Box 3094">
          <a:extLst>
            <a:ext uri="{FF2B5EF4-FFF2-40B4-BE49-F238E27FC236}">
              <a16:creationId xmlns="" xmlns:a16="http://schemas.microsoft.com/office/drawing/2014/main" id="{00000000-0008-0000-0000-00004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7" name="Text Box 3095">
          <a:extLst>
            <a:ext uri="{FF2B5EF4-FFF2-40B4-BE49-F238E27FC236}">
              <a16:creationId xmlns="" xmlns:a16="http://schemas.microsoft.com/office/drawing/2014/main" id="{00000000-0008-0000-0000-00004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8" name="Text Box 3096">
          <a:extLst>
            <a:ext uri="{FF2B5EF4-FFF2-40B4-BE49-F238E27FC236}">
              <a16:creationId xmlns="" xmlns:a16="http://schemas.microsoft.com/office/drawing/2014/main" id="{00000000-0008-0000-0000-00004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9" name="Text Box 3097">
          <a:extLst>
            <a:ext uri="{FF2B5EF4-FFF2-40B4-BE49-F238E27FC236}">
              <a16:creationId xmlns="" xmlns:a16="http://schemas.microsoft.com/office/drawing/2014/main" id="{00000000-0008-0000-0000-00004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0" name="Text Box 3098">
          <a:extLst>
            <a:ext uri="{FF2B5EF4-FFF2-40B4-BE49-F238E27FC236}">
              <a16:creationId xmlns="" xmlns:a16="http://schemas.microsoft.com/office/drawing/2014/main" id="{00000000-0008-0000-0000-00004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1" name="Text Box 3099">
          <a:extLst>
            <a:ext uri="{FF2B5EF4-FFF2-40B4-BE49-F238E27FC236}">
              <a16:creationId xmlns="" xmlns:a16="http://schemas.microsoft.com/office/drawing/2014/main" id="{00000000-0008-0000-0000-00004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2" name="Text Box 3100">
          <a:extLst>
            <a:ext uri="{FF2B5EF4-FFF2-40B4-BE49-F238E27FC236}">
              <a16:creationId xmlns="" xmlns:a16="http://schemas.microsoft.com/office/drawing/2014/main" id="{00000000-0008-0000-0000-00004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3" name="Text Box 3101">
          <a:extLst>
            <a:ext uri="{FF2B5EF4-FFF2-40B4-BE49-F238E27FC236}">
              <a16:creationId xmlns="" xmlns:a16="http://schemas.microsoft.com/office/drawing/2014/main" id="{00000000-0008-0000-0000-00004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294" name="Text Box 3102">
          <a:extLst>
            <a:ext uri="{FF2B5EF4-FFF2-40B4-BE49-F238E27FC236}">
              <a16:creationId xmlns="" xmlns:a16="http://schemas.microsoft.com/office/drawing/2014/main" id="{00000000-0008-0000-0000-00004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5" name="Text Box 59">
          <a:extLst>
            <a:ext uri="{FF2B5EF4-FFF2-40B4-BE49-F238E27FC236}">
              <a16:creationId xmlns="" xmlns:a16="http://schemas.microsoft.com/office/drawing/2014/main" id="{00000000-0008-0000-0000-00004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6" name="Text Box 60">
          <a:extLst>
            <a:ext uri="{FF2B5EF4-FFF2-40B4-BE49-F238E27FC236}">
              <a16:creationId xmlns="" xmlns:a16="http://schemas.microsoft.com/office/drawing/2014/main" id="{00000000-0008-0000-0000-00005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7" name="Text Box 61">
          <a:extLst>
            <a:ext uri="{FF2B5EF4-FFF2-40B4-BE49-F238E27FC236}">
              <a16:creationId xmlns="" xmlns:a16="http://schemas.microsoft.com/office/drawing/2014/main" id="{00000000-0008-0000-0000-00005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8" name="Text Box 62">
          <a:extLst>
            <a:ext uri="{FF2B5EF4-FFF2-40B4-BE49-F238E27FC236}">
              <a16:creationId xmlns="" xmlns:a16="http://schemas.microsoft.com/office/drawing/2014/main" id="{00000000-0008-0000-0000-00005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9" name="Text Box 63">
          <a:extLst>
            <a:ext uri="{FF2B5EF4-FFF2-40B4-BE49-F238E27FC236}">
              <a16:creationId xmlns="" xmlns:a16="http://schemas.microsoft.com/office/drawing/2014/main" id="{00000000-0008-0000-0000-00005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0" name="Text Box 64">
          <a:extLst>
            <a:ext uri="{FF2B5EF4-FFF2-40B4-BE49-F238E27FC236}">
              <a16:creationId xmlns="" xmlns:a16="http://schemas.microsoft.com/office/drawing/2014/main" id="{00000000-0008-0000-0000-00005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1" name="Text Box 65">
          <a:extLst>
            <a:ext uri="{FF2B5EF4-FFF2-40B4-BE49-F238E27FC236}">
              <a16:creationId xmlns="" xmlns:a16="http://schemas.microsoft.com/office/drawing/2014/main" id="{00000000-0008-0000-0000-00005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2" name="Text Box 66">
          <a:extLst>
            <a:ext uri="{FF2B5EF4-FFF2-40B4-BE49-F238E27FC236}">
              <a16:creationId xmlns="" xmlns:a16="http://schemas.microsoft.com/office/drawing/2014/main" id="{00000000-0008-0000-0000-00005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3" name="Text Box 67">
          <a:extLst>
            <a:ext uri="{FF2B5EF4-FFF2-40B4-BE49-F238E27FC236}">
              <a16:creationId xmlns="" xmlns:a16="http://schemas.microsoft.com/office/drawing/2014/main" id="{00000000-0008-0000-0000-00005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4" name="Text Box 68">
          <a:extLst>
            <a:ext uri="{FF2B5EF4-FFF2-40B4-BE49-F238E27FC236}">
              <a16:creationId xmlns="" xmlns:a16="http://schemas.microsoft.com/office/drawing/2014/main" id="{00000000-0008-0000-0000-00005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5" name="Text Box 69">
          <a:extLst>
            <a:ext uri="{FF2B5EF4-FFF2-40B4-BE49-F238E27FC236}">
              <a16:creationId xmlns="" xmlns:a16="http://schemas.microsoft.com/office/drawing/2014/main" id="{00000000-0008-0000-0000-00005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6" name="Text Box 70">
          <a:extLst>
            <a:ext uri="{FF2B5EF4-FFF2-40B4-BE49-F238E27FC236}">
              <a16:creationId xmlns="" xmlns:a16="http://schemas.microsoft.com/office/drawing/2014/main" id="{00000000-0008-0000-0000-00005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7" name="Text Box 71">
          <a:extLst>
            <a:ext uri="{FF2B5EF4-FFF2-40B4-BE49-F238E27FC236}">
              <a16:creationId xmlns="" xmlns:a16="http://schemas.microsoft.com/office/drawing/2014/main" id="{00000000-0008-0000-0000-00005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8" name="Text Box 72">
          <a:extLst>
            <a:ext uri="{FF2B5EF4-FFF2-40B4-BE49-F238E27FC236}">
              <a16:creationId xmlns="" xmlns:a16="http://schemas.microsoft.com/office/drawing/2014/main" id="{00000000-0008-0000-0000-00005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9" name="Text Box 73">
          <a:extLst>
            <a:ext uri="{FF2B5EF4-FFF2-40B4-BE49-F238E27FC236}">
              <a16:creationId xmlns="" xmlns:a16="http://schemas.microsoft.com/office/drawing/2014/main" id="{00000000-0008-0000-0000-00005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0" name="Text Box 74">
          <a:extLst>
            <a:ext uri="{FF2B5EF4-FFF2-40B4-BE49-F238E27FC236}">
              <a16:creationId xmlns="" xmlns:a16="http://schemas.microsoft.com/office/drawing/2014/main" id="{00000000-0008-0000-0000-00005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1" name="Text Box 75">
          <a:extLst>
            <a:ext uri="{FF2B5EF4-FFF2-40B4-BE49-F238E27FC236}">
              <a16:creationId xmlns="" xmlns:a16="http://schemas.microsoft.com/office/drawing/2014/main" id="{00000000-0008-0000-0000-00005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2" name="Text Box 76">
          <a:extLst>
            <a:ext uri="{FF2B5EF4-FFF2-40B4-BE49-F238E27FC236}">
              <a16:creationId xmlns="" xmlns:a16="http://schemas.microsoft.com/office/drawing/2014/main" id="{00000000-0008-0000-0000-00006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3" name="Text Box 77">
          <a:extLst>
            <a:ext uri="{FF2B5EF4-FFF2-40B4-BE49-F238E27FC236}">
              <a16:creationId xmlns="" xmlns:a16="http://schemas.microsoft.com/office/drawing/2014/main" id="{00000000-0008-0000-0000-00006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4" name="Text Box 78">
          <a:extLst>
            <a:ext uri="{FF2B5EF4-FFF2-40B4-BE49-F238E27FC236}">
              <a16:creationId xmlns="" xmlns:a16="http://schemas.microsoft.com/office/drawing/2014/main" id="{00000000-0008-0000-0000-00006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5" name="Text Box 79">
          <a:extLst>
            <a:ext uri="{FF2B5EF4-FFF2-40B4-BE49-F238E27FC236}">
              <a16:creationId xmlns="" xmlns:a16="http://schemas.microsoft.com/office/drawing/2014/main" id="{00000000-0008-0000-0000-00006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6" name="Text Box 80">
          <a:extLst>
            <a:ext uri="{FF2B5EF4-FFF2-40B4-BE49-F238E27FC236}">
              <a16:creationId xmlns="" xmlns:a16="http://schemas.microsoft.com/office/drawing/2014/main" id="{00000000-0008-0000-0000-00006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7" name="Text Box 81">
          <a:extLst>
            <a:ext uri="{FF2B5EF4-FFF2-40B4-BE49-F238E27FC236}">
              <a16:creationId xmlns="" xmlns:a16="http://schemas.microsoft.com/office/drawing/2014/main" id="{00000000-0008-0000-0000-00006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318" name="Text Box 82">
          <a:extLst>
            <a:ext uri="{FF2B5EF4-FFF2-40B4-BE49-F238E27FC236}">
              <a16:creationId xmlns="" xmlns:a16="http://schemas.microsoft.com/office/drawing/2014/main" id="{00000000-0008-0000-0000-00006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19" name="Text Box 3079">
          <a:extLst>
            <a:ext uri="{FF2B5EF4-FFF2-40B4-BE49-F238E27FC236}">
              <a16:creationId xmlns="" xmlns:a16="http://schemas.microsoft.com/office/drawing/2014/main" id="{00000000-0008-0000-0000-00006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0" name="Text Box 3080">
          <a:extLst>
            <a:ext uri="{FF2B5EF4-FFF2-40B4-BE49-F238E27FC236}">
              <a16:creationId xmlns="" xmlns:a16="http://schemas.microsoft.com/office/drawing/2014/main" id="{00000000-0008-0000-0000-00006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1" name="Text Box 3081">
          <a:extLst>
            <a:ext uri="{FF2B5EF4-FFF2-40B4-BE49-F238E27FC236}">
              <a16:creationId xmlns="" xmlns:a16="http://schemas.microsoft.com/office/drawing/2014/main" id="{00000000-0008-0000-0000-00006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2" name="Text Box 3082">
          <a:extLst>
            <a:ext uri="{FF2B5EF4-FFF2-40B4-BE49-F238E27FC236}">
              <a16:creationId xmlns="" xmlns:a16="http://schemas.microsoft.com/office/drawing/2014/main" id="{00000000-0008-0000-0000-00006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3" name="Text Box 3083">
          <a:extLst>
            <a:ext uri="{FF2B5EF4-FFF2-40B4-BE49-F238E27FC236}">
              <a16:creationId xmlns="" xmlns:a16="http://schemas.microsoft.com/office/drawing/2014/main" id="{00000000-0008-0000-0000-00006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4" name="Text Box 3084">
          <a:extLst>
            <a:ext uri="{FF2B5EF4-FFF2-40B4-BE49-F238E27FC236}">
              <a16:creationId xmlns="" xmlns:a16="http://schemas.microsoft.com/office/drawing/2014/main" id="{00000000-0008-0000-0000-00006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5" name="Text Box 3085">
          <a:extLst>
            <a:ext uri="{FF2B5EF4-FFF2-40B4-BE49-F238E27FC236}">
              <a16:creationId xmlns="" xmlns:a16="http://schemas.microsoft.com/office/drawing/2014/main" id="{00000000-0008-0000-0000-00006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6" name="Text Box 3086">
          <a:extLst>
            <a:ext uri="{FF2B5EF4-FFF2-40B4-BE49-F238E27FC236}">
              <a16:creationId xmlns="" xmlns:a16="http://schemas.microsoft.com/office/drawing/2014/main" id="{00000000-0008-0000-0000-00006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7" name="Text Box 3087">
          <a:extLst>
            <a:ext uri="{FF2B5EF4-FFF2-40B4-BE49-F238E27FC236}">
              <a16:creationId xmlns="" xmlns:a16="http://schemas.microsoft.com/office/drawing/2014/main" id="{00000000-0008-0000-0000-00006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8" name="Text Box 3088">
          <a:extLst>
            <a:ext uri="{FF2B5EF4-FFF2-40B4-BE49-F238E27FC236}">
              <a16:creationId xmlns="" xmlns:a16="http://schemas.microsoft.com/office/drawing/2014/main" id="{00000000-0008-0000-0000-00007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9" name="Text Box 3089">
          <a:extLst>
            <a:ext uri="{FF2B5EF4-FFF2-40B4-BE49-F238E27FC236}">
              <a16:creationId xmlns="" xmlns:a16="http://schemas.microsoft.com/office/drawing/2014/main" id="{00000000-0008-0000-0000-00007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0" name="Text Box 3090">
          <a:extLst>
            <a:ext uri="{FF2B5EF4-FFF2-40B4-BE49-F238E27FC236}">
              <a16:creationId xmlns="" xmlns:a16="http://schemas.microsoft.com/office/drawing/2014/main" id="{00000000-0008-0000-0000-00007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1" name="Text Box 3091">
          <a:extLst>
            <a:ext uri="{FF2B5EF4-FFF2-40B4-BE49-F238E27FC236}">
              <a16:creationId xmlns="" xmlns:a16="http://schemas.microsoft.com/office/drawing/2014/main" id="{00000000-0008-0000-0000-00007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2" name="Text Box 3092">
          <a:extLst>
            <a:ext uri="{FF2B5EF4-FFF2-40B4-BE49-F238E27FC236}">
              <a16:creationId xmlns="" xmlns:a16="http://schemas.microsoft.com/office/drawing/2014/main" id="{00000000-0008-0000-0000-00007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3" name="Text Box 3093">
          <a:extLst>
            <a:ext uri="{FF2B5EF4-FFF2-40B4-BE49-F238E27FC236}">
              <a16:creationId xmlns="" xmlns:a16="http://schemas.microsoft.com/office/drawing/2014/main" id="{00000000-0008-0000-0000-00007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4" name="Text Box 3094">
          <a:extLst>
            <a:ext uri="{FF2B5EF4-FFF2-40B4-BE49-F238E27FC236}">
              <a16:creationId xmlns="" xmlns:a16="http://schemas.microsoft.com/office/drawing/2014/main" id="{00000000-0008-0000-0000-00007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5" name="Text Box 3095">
          <a:extLst>
            <a:ext uri="{FF2B5EF4-FFF2-40B4-BE49-F238E27FC236}">
              <a16:creationId xmlns="" xmlns:a16="http://schemas.microsoft.com/office/drawing/2014/main" id="{00000000-0008-0000-0000-00007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6" name="Text Box 3096">
          <a:extLst>
            <a:ext uri="{FF2B5EF4-FFF2-40B4-BE49-F238E27FC236}">
              <a16:creationId xmlns="" xmlns:a16="http://schemas.microsoft.com/office/drawing/2014/main" id="{00000000-0008-0000-0000-00007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7" name="Text Box 3097">
          <a:extLst>
            <a:ext uri="{FF2B5EF4-FFF2-40B4-BE49-F238E27FC236}">
              <a16:creationId xmlns="" xmlns:a16="http://schemas.microsoft.com/office/drawing/2014/main" id="{00000000-0008-0000-0000-00007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8" name="Text Box 3098">
          <a:extLst>
            <a:ext uri="{FF2B5EF4-FFF2-40B4-BE49-F238E27FC236}">
              <a16:creationId xmlns="" xmlns:a16="http://schemas.microsoft.com/office/drawing/2014/main" id="{00000000-0008-0000-0000-00007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9" name="Text Box 3099">
          <a:extLst>
            <a:ext uri="{FF2B5EF4-FFF2-40B4-BE49-F238E27FC236}">
              <a16:creationId xmlns="" xmlns:a16="http://schemas.microsoft.com/office/drawing/2014/main" id="{00000000-0008-0000-0000-00007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40" name="Text Box 3100">
          <a:extLst>
            <a:ext uri="{FF2B5EF4-FFF2-40B4-BE49-F238E27FC236}">
              <a16:creationId xmlns="" xmlns:a16="http://schemas.microsoft.com/office/drawing/2014/main" id="{00000000-0008-0000-0000-00007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41" name="Text Box 3101">
          <a:extLst>
            <a:ext uri="{FF2B5EF4-FFF2-40B4-BE49-F238E27FC236}">
              <a16:creationId xmlns="" xmlns:a16="http://schemas.microsoft.com/office/drawing/2014/main" id="{00000000-0008-0000-0000-00007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342" name="Text Box 3102">
          <a:extLst>
            <a:ext uri="{FF2B5EF4-FFF2-40B4-BE49-F238E27FC236}">
              <a16:creationId xmlns="" xmlns:a16="http://schemas.microsoft.com/office/drawing/2014/main" id="{00000000-0008-0000-0000-00007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3" name="Text Box 59">
          <a:extLst>
            <a:ext uri="{FF2B5EF4-FFF2-40B4-BE49-F238E27FC236}">
              <a16:creationId xmlns="" xmlns:a16="http://schemas.microsoft.com/office/drawing/2014/main" id="{00000000-0008-0000-0000-00007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4" name="Text Box 60">
          <a:extLst>
            <a:ext uri="{FF2B5EF4-FFF2-40B4-BE49-F238E27FC236}">
              <a16:creationId xmlns="" xmlns:a16="http://schemas.microsoft.com/office/drawing/2014/main" id="{00000000-0008-0000-0000-00008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5" name="Text Box 61">
          <a:extLst>
            <a:ext uri="{FF2B5EF4-FFF2-40B4-BE49-F238E27FC236}">
              <a16:creationId xmlns="" xmlns:a16="http://schemas.microsoft.com/office/drawing/2014/main" id="{00000000-0008-0000-0000-00008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6" name="Text Box 62">
          <a:extLst>
            <a:ext uri="{FF2B5EF4-FFF2-40B4-BE49-F238E27FC236}">
              <a16:creationId xmlns="" xmlns:a16="http://schemas.microsoft.com/office/drawing/2014/main" id="{00000000-0008-0000-0000-00008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7" name="Text Box 63">
          <a:extLst>
            <a:ext uri="{FF2B5EF4-FFF2-40B4-BE49-F238E27FC236}">
              <a16:creationId xmlns="" xmlns:a16="http://schemas.microsoft.com/office/drawing/2014/main" id="{00000000-0008-0000-0000-00008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8" name="Text Box 64">
          <a:extLst>
            <a:ext uri="{FF2B5EF4-FFF2-40B4-BE49-F238E27FC236}">
              <a16:creationId xmlns="" xmlns:a16="http://schemas.microsoft.com/office/drawing/2014/main" id="{00000000-0008-0000-0000-00008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9" name="Text Box 65">
          <a:extLst>
            <a:ext uri="{FF2B5EF4-FFF2-40B4-BE49-F238E27FC236}">
              <a16:creationId xmlns="" xmlns:a16="http://schemas.microsoft.com/office/drawing/2014/main" id="{00000000-0008-0000-0000-00008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0" name="Text Box 66">
          <a:extLst>
            <a:ext uri="{FF2B5EF4-FFF2-40B4-BE49-F238E27FC236}">
              <a16:creationId xmlns="" xmlns:a16="http://schemas.microsoft.com/office/drawing/2014/main" id="{00000000-0008-0000-0000-00008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1" name="Text Box 67">
          <a:extLst>
            <a:ext uri="{FF2B5EF4-FFF2-40B4-BE49-F238E27FC236}">
              <a16:creationId xmlns="" xmlns:a16="http://schemas.microsoft.com/office/drawing/2014/main" id="{00000000-0008-0000-0000-00008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2" name="Text Box 68">
          <a:extLst>
            <a:ext uri="{FF2B5EF4-FFF2-40B4-BE49-F238E27FC236}">
              <a16:creationId xmlns="" xmlns:a16="http://schemas.microsoft.com/office/drawing/2014/main" id="{00000000-0008-0000-0000-00008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3" name="Text Box 69">
          <a:extLst>
            <a:ext uri="{FF2B5EF4-FFF2-40B4-BE49-F238E27FC236}">
              <a16:creationId xmlns="" xmlns:a16="http://schemas.microsoft.com/office/drawing/2014/main" id="{00000000-0008-0000-0000-00008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4" name="Text Box 70">
          <a:extLst>
            <a:ext uri="{FF2B5EF4-FFF2-40B4-BE49-F238E27FC236}">
              <a16:creationId xmlns="" xmlns:a16="http://schemas.microsoft.com/office/drawing/2014/main" id="{00000000-0008-0000-0000-00008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5" name="Text Box 71">
          <a:extLst>
            <a:ext uri="{FF2B5EF4-FFF2-40B4-BE49-F238E27FC236}">
              <a16:creationId xmlns="" xmlns:a16="http://schemas.microsoft.com/office/drawing/2014/main" id="{00000000-0008-0000-0000-00008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6" name="Text Box 72">
          <a:extLst>
            <a:ext uri="{FF2B5EF4-FFF2-40B4-BE49-F238E27FC236}">
              <a16:creationId xmlns="" xmlns:a16="http://schemas.microsoft.com/office/drawing/2014/main" id="{00000000-0008-0000-0000-00008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7" name="Text Box 73">
          <a:extLst>
            <a:ext uri="{FF2B5EF4-FFF2-40B4-BE49-F238E27FC236}">
              <a16:creationId xmlns="" xmlns:a16="http://schemas.microsoft.com/office/drawing/2014/main" id="{00000000-0008-0000-0000-00008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8" name="Text Box 74">
          <a:extLst>
            <a:ext uri="{FF2B5EF4-FFF2-40B4-BE49-F238E27FC236}">
              <a16:creationId xmlns="" xmlns:a16="http://schemas.microsoft.com/office/drawing/2014/main" id="{00000000-0008-0000-0000-00008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9" name="Text Box 75">
          <a:extLst>
            <a:ext uri="{FF2B5EF4-FFF2-40B4-BE49-F238E27FC236}">
              <a16:creationId xmlns="" xmlns:a16="http://schemas.microsoft.com/office/drawing/2014/main" id="{00000000-0008-0000-0000-00008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0" name="Text Box 76">
          <a:extLst>
            <a:ext uri="{FF2B5EF4-FFF2-40B4-BE49-F238E27FC236}">
              <a16:creationId xmlns="" xmlns:a16="http://schemas.microsoft.com/office/drawing/2014/main" id="{00000000-0008-0000-0000-00009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1" name="Text Box 77">
          <a:extLst>
            <a:ext uri="{FF2B5EF4-FFF2-40B4-BE49-F238E27FC236}">
              <a16:creationId xmlns="" xmlns:a16="http://schemas.microsoft.com/office/drawing/2014/main" id="{00000000-0008-0000-0000-00009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2" name="Text Box 78">
          <a:extLst>
            <a:ext uri="{FF2B5EF4-FFF2-40B4-BE49-F238E27FC236}">
              <a16:creationId xmlns="" xmlns:a16="http://schemas.microsoft.com/office/drawing/2014/main" id="{00000000-0008-0000-0000-00009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3" name="Text Box 79">
          <a:extLst>
            <a:ext uri="{FF2B5EF4-FFF2-40B4-BE49-F238E27FC236}">
              <a16:creationId xmlns="" xmlns:a16="http://schemas.microsoft.com/office/drawing/2014/main" id="{00000000-0008-0000-0000-00009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4" name="Text Box 80">
          <a:extLst>
            <a:ext uri="{FF2B5EF4-FFF2-40B4-BE49-F238E27FC236}">
              <a16:creationId xmlns="" xmlns:a16="http://schemas.microsoft.com/office/drawing/2014/main" id="{00000000-0008-0000-0000-00009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5" name="Text Box 81">
          <a:extLst>
            <a:ext uri="{FF2B5EF4-FFF2-40B4-BE49-F238E27FC236}">
              <a16:creationId xmlns="" xmlns:a16="http://schemas.microsoft.com/office/drawing/2014/main" id="{00000000-0008-0000-0000-00009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6" name="Text Box 3079">
          <a:extLst>
            <a:ext uri="{FF2B5EF4-FFF2-40B4-BE49-F238E27FC236}">
              <a16:creationId xmlns="" xmlns:a16="http://schemas.microsoft.com/office/drawing/2014/main" id="{00000000-0008-0000-0000-00009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7" name="Text Box 3080">
          <a:extLst>
            <a:ext uri="{FF2B5EF4-FFF2-40B4-BE49-F238E27FC236}">
              <a16:creationId xmlns="" xmlns:a16="http://schemas.microsoft.com/office/drawing/2014/main" id="{00000000-0008-0000-0000-00009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8" name="Text Box 3081">
          <a:extLst>
            <a:ext uri="{FF2B5EF4-FFF2-40B4-BE49-F238E27FC236}">
              <a16:creationId xmlns="" xmlns:a16="http://schemas.microsoft.com/office/drawing/2014/main" id="{00000000-0008-0000-0000-00009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9" name="Text Box 3082">
          <a:extLst>
            <a:ext uri="{FF2B5EF4-FFF2-40B4-BE49-F238E27FC236}">
              <a16:creationId xmlns="" xmlns:a16="http://schemas.microsoft.com/office/drawing/2014/main" id="{00000000-0008-0000-0000-00009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0" name="Text Box 3083">
          <a:extLst>
            <a:ext uri="{FF2B5EF4-FFF2-40B4-BE49-F238E27FC236}">
              <a16:creationId xmlns="" xmlns:a16="http://schemas.microsoft.com/office/drawing/2014/main" id="{00000000-0008-0000-0000-00009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1" name="Text Box 3084">
          <a:extLst>
            <a:ext uri="{FF2B5EF4-FFF2-40B4-BE49-F238E27FC236}">
              <a16:creationId xmlns="" xmlns:a16="http://schemas.microsoft.com/office/drawing/2014/main" id="{00000000-0008-0000-0000-00009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2" name="Text Box 3085">
          <a:extLst>
            <a:ext uri="{FF2B5EF4-FFF2-40B4-BE49-F238E27FC236}">
              <a16:creationId xmlns="" xmlns:a16="http://schemas.microsoft.com/office/drawing/2014/main" id="{00000000-0008-0000-0000-00009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3" name="Text Box 3086">
          <a:extLst>
            <a:ext uri="{FF2B5EF4-FFF2-40B4-BE49-F238E27FC236}">
              <a16:creationId xmlns="" xmlns:a16="http://schemas.microsoft.com/office/drawing/2014/main" id="{00000000-0008-0000-0000-00009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4" name="Text Box 3087">
          <a:extLst>
            <a:ext uri="{FF2B5EF4-FFF2-40B4-BE49-F238E27FC236}">
              <a16:creationId xmlns="" xmlns:a16="http://schemas.microsoft.com/office/drawing/2014/main" id="{00000000-0008-0000-0000-00009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5" name="Text Box 3088">
          <a:extLst>
            <a:ext uri="{FF2B5EF4-FFF2-40B4-BE49-F238E27FC236}">
              <a16:creationId xmlns="" xmlns:a16="http://schemas.microsoft.com/office/drawing/2014/main" id="{00000000-0008-0000-0000-00009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6" name="Text Box 3089">
          <a:extLst>
            <a:ext uri="{FF2B5EF4-FFF2-40B4-BE49-F238E27FC236}">
              <a16:creationId xmlns="" xmlns:a16="http://schemas.microsoft.com/office/drawing/2014/main" id="{00000000-0008-0000-0000-0000A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7" name="Text Box 3090">
          <a:extLst>
            <a:ext uri="{FF2B5EF4-FFF2-40B4-BE49-F238E27FC236}">
              <a16:creationId xmlns="" xmlns:a16="http://schemas.microsoft.com/office/drawing/2014/main" id="{00000000-0008-0000-0000-0000A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8" name="Text Box 3091">
          <a:extLst>
            <a:ext uri="{FF2B5EF4-FFF2-40B4-BE49-F238E27FC236}">
              <a16:creationId xmlns="" xmlns:a16="http://schemas.microsoft.com/office/drawing/2014/main" id="{00000000-0008-0000-0000-0000A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9" name="Text Box 3092">
          <a:extLst>
            <a:ext uri="{FF2B5EF4-FFF2-40B4-BE49-F238E27FC236}">
              <a16:creationId xmlns="" xmlns:a16="http://schemas.microsoft.com/office/drawing/2014/main" id="{00000000-0008-0000-0000-0000A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0" name="Text Box 3093">
          <a:extLst>
            <a:ext uri="{FF2B5EF4-FFF2-40B4-BE49-F238E27FC236}">
              <a16:creationId xmlns="" xmlns:a16="http://schemas.microsoft.com/office/drawing/2014/main" id="{00000000-0008-0000-0000-0000A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1" name="Text Box 3094">
          <a:extLst>
            <a:ext uri="{FF2B5EF4-FFF2-40B4-BE49-F238E27FC236}">
              <a16:creationId xmlns="" xmlns:a16="http://schemas.microsoft.com/office/drawing/2014/main" id="{00000000-0008-0000-0000-0000A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2" name="Text Box 3095">
          <a:extLst>
            <a:ext uri="{FF2B5EF4-FFF2-40B4-BE49-F238E27FC236}">
              <a16:creationId xmlns="" xmlns:a16="http://schemas.microsoft.com/office/drawing/2014/main" id="{00000000-0008-0000-0000-0000A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3" name="Text Box 3096">
          <a:extLst>
            <a:ext uri="{FF2B5EF4-FFF2-40B4-BE49-F238E27FC236}">
              <a16:creationId xmlns="" xmlns:a16="http://schemas.microsoft.com/office/drawing/2014/main" id="{00000000-0008-0000-0000-0000A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4" name="Text Box 3097">
          <a:extLst>
            <a:ext uri="{FF2B5EF4-FFF2-40B4-BE49-F238E27FC236}">
              <a16:creationId xmlns="" xmlns:a16="http://schemas.microsoft.com/office/drawing/2014/main" id="{00000000-0008-0000-0000-0000A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5" name="Text Box 3098">
          <a:extLst>
            <a:ext uri="{FF2B5EF4-FFF2-40B4-BE49-F238E27FC236}">
              <a16:creationId xmlns="" xmlns:a16="http://schemas.microsoft.com/office/drawing/2014/main" id="{00000000-0008-0000-0000-0000A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6" name="Text Box 3099">
          <a:extLst>
            <a:ext uri="{FF2B5EF4-FFF2-40B4-BE49-F238E27FC236}">
              <a16:creationId xmlns="" xmlns:a16="http://schemas.microsoft.com/office/drawing/2014/main" id="{00000000-0008-0000-0000-0000A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7" name="Text Box 3100">
          <a:extLst>
            <a:ext uri="{FF2B5EF4-FFF2-40B4-BE49-F238E27FC236}">
              <a16:creationId xmlns="" xmlns:a16="http://schemas.microsoft.com/office/drawing/2014/main" id="{00000000-0008-0000-0000-0000A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8" name="Text Box 3101">
          <a:extLst>
            <a:ext uri="{FF2B5EF4-FFF2-40B4-BE49-F238E27FC236}">
              <a16:creationId xmlns="" xmlns:a16="http://schemas.microsoft.com/office/drawing/2014/main" id="{00000000-0008-0000-0000-0000A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389" name="Text Box 3102">
          <a:extLst>
            <a:ext uri="{FF2B5EF4-FFF2-40B4-BE49-F238E27FC236}">
              <a16:creationId xmlns="" xmlns:a16="http://schemas.microsoft.com/office/drawing/2014/main" id="{00000000-0008-0000-0000-0000A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0" name="Text Box 59">
          <a:extLst>
            <a:ext uri="{FF2B5EF4-FFF2-40B4-BE49-F238E27FC236}">
              <a16:creationId xmlns="" xmlns:a16="http://schemas.microsoft.com/office/drawing/2014/main" id="{00000000-0008-0000-0000-0000A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1" name="Text Box 60">
          <a:extLst>
            <a:ext uri="{FF2B5EF4-FFF2-40B4-BE49-F238E27FC236}">
              <a16:creationId xmlns="" xmlns:a16="http://schemas.microsoft.com/office/drawing/2014/main" id="{00000000-0008-0000-0000-0000A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2" name="Text Box 61">
          <a:extLst>
            <a:ext uri="{FF2B5EF4-FFF2-40B4-BE49-F238E27FC236}">
              <a16:creationId xmlns="" xmlns:a16="http://schemas.microsoft.com/office/drawing/2014/main" id="{00000000-0008-0000-0000-0000B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3" name="Text Box 62">
          <a:extLst>
            <a:ext uri="{FF2B5EF4-FFF2-40B4-BE49-F238E27FC236}">
              <a16:creationId xmlns="" xmlns:a16="http://schemas.microsoft.com/office/drawing/2014/main" id="{00000000-0008-0000-0000-0000B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4" name="Text Box 63">
          <a:extLst>
            <a:ext uri="{FF2B5EF4-FFF2-40B4-BE49-F238E27FC236}">
              <a16:creationId xmlns="" xmlns:a16="http://schemas.microsoft.com/office/drawing/2014/main" id="{00000000-0008-0000-0000-0000B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5" name="Text Box 64">
          <a:extLst>
            <a:ext uri="{FF2B5EF4-FFF2-40B4-BE49-F238E27FC236}">
              <a16:creationId xmlns="" xmlns:a16="http://schemas.microsoft.com/office/drawing/2014/main" id="{00000000-0008-0000-0000-0000B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6" name="Text Box 65">
          <a:extLst>
            <a:ext uri="{FF2B5EF4-FFF2-40B4-BE49-F238E27FC236}">
              <a16:creationId xmlns="" xmlns:a16="http://schemas.microsoft.com/office/drawing/2014/main" id="{00000000-0008-0000-0000-0000B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7" name="Text Box 66">
          <a:extLst>
            <a:ext uri="{FF2B5EF4-FFF2-40B4-BE49-F238E27FC236}">
              <a16:creationId xmlns="" xmlns:a16="http://schemas.microsoft.com/office/drawing/2014/main" id="{00000000-0008-0000-0000-0000B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8" name="Text Box 67">
          <a:extLst>
            <a:ext uri="{FF2B5EF4-FFF2-40B4-BE49-F238E27FC236}">
              <a16:creationId xmlns="" xmlns:a16="http://schemas.microsoft.com/office/drawing/2014/main" id="{00000000-0008-0000-0000-0000B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9" name="Text Box 68">
          <a:extLst>
            <a:ext uri="{FF2B5EF4-FFF2-40B4-BE49-F238E27FC236}">
              <a16:creationId xmlns="" xmlns:a16="http://schemas.microsoft.com/office/drawing/2014/main" id="{00000000-0008-0000-0000-0000B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0" name="Text Box 69">
          <a:extLst>
            <a:ext uri="{FF2B5EF4-FFF2-40B4-BE49-F238E27FC236}">
              <a16:creationId xmlns="" xmlns:a16="http://schemas.microsoft.com/office/drawing/2014/main" id="{00000000-0008-0000-0000-0000B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1" name="Text Box 70">
          <a:extLst>
            <a:ext uri="{FF2B5EF4-FFF2-40B4-BE49-F238E27FC236}">
              <a16:creationId xmlns="" xmlns:a16="http://schemas.microsoft.com/office/drawing/2014/main" id="{00000000-0008-0000-0000-0000B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2" name="Text Box 71">
          <a:extLst>
            <a:ext uri="{FF2B5EF4-FFF2-40B4-BE49-F238E27FC236}">
              <a16:creationId xmlns="" xmlns:a16="http://schemas.microsoft.com/office/drawing/2014/main" id="{00000000-0008-0000-0000-0000B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3" name="Text Box 72">
          <a:extLst>
            <a:ext uri="{FF2B5EF4-FFF2-40B4-BE49-F238E27FC236}">
              <a16:creationId xmlns="" xmlns:a16="http://schemas.microsoft.com/office/drawing/2014/main" id="{00000000-0008-0000-0000-0000B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4" name="Text Box 73">
          <a:extLst>
            <a:ext uri="{FF2B5EF4-FFF2-40B4-BE49-F238E27FC236}">
              <a16:creationId xmlns="" xmlns:a16="http://schemas.microsoft.com/office/drawing/2014/main" id="{00000000-0008-0000-0000-0000B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5" name="Text Box 74">
          <a:extLst>
            <a:ext uri="{FF2B5EF4-FFF2-40B4-BE49-F238E27FC236}">
              <a16:creationId xmlns="" xmlns:a16="http://schemas.microsoft.com/office/drawing/2014/main" id="{00000000-0008-0000-0000-0000B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6" name="Text Box 75">
          <a:extLst>
            <a:ext uri="{FF2B5EF4-FFF2-40B4-BE49-F238E27FC236}">
              <a16:creationId xmlns="" xmlns:a16="http://schemas.microsoft.com/office/drawing/2014/main" id="{00000000-0008-0000-0000-0000B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7" name="Text Box 76">
          <a:extLst>
            <a:ext uri="{FF2B5EF4-FFF2-40B4-BE49-F238E27FC236}">
              <a16:creationId xmlns="" xmlns:a16="http://schemas.microsoft.com/office/drawing/2014/main" id="{00000000-0008-0000-0000-0000B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8" name="Text Box 77">
          <a:extLst>
            <a:ext uri="{FF2B5EF4-FFF2-40B4-BE49-F238E27FC236}">
              <a16:creationId xmlns="" xmlns:a16="http://schemas.microsoft.com/office/drawing/2014/main" id="{00000000-0008-0000-0000-0000C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9" name="Text Box 78">
          <a:extLst>
            <a:ext uri="{FF2B5EF4-FFF2-40B4-BE49-F238E27FC236}">
              <a16:creationId xmlns="" xmlns:a16="http://schemas.microsoft.com/office/drawing/2014/main" id="{00000000-0008-0000-0000-0000C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0" name="Text Box 79">
          <a:extLst>
            <a:ext uri="{FF2B5EF4-FFF2-40B4-BE49-F238E27FC236}">
              <a16:creationId xmlns="" xmlns:a16="http://schemas.microsoft.com/office/drawing/2014/main" id="{00000000-0008-0000-0000-0000C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1" name="Text Box 80">
          <a:extLst>
            <a:ext uri="{FF2B5EF4-FFF2-40B4-BE49-F238E27FC236}">
              <a16:creationId xmlns="" xmlns:a16="http://schemas.microsoft.com/office/drawing/2014/main" id="{00000000-0008-0000-0000-0000C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2" name="Text Box 81">
          <a:extLst>
            <a:ext uri="{FF2B5EF4-FFF2-40B4-BE49-F238E27FC236}">
              <a16:creationId xmlns="" xmlns:a16="http://schemas.microsoft.com/office/drawing/2014/main" id="{00000000-0008-0000-0000-0000C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413" name="Text Box 82">
          <a:extLst>
            <a:ext uri="{FF2B5EF4-FFF2-40B4-BE49-F238E27FC236}">
              <a16:creationId xmlns="" xmlns:a16="http://schemas.microsoft.com/office/drawing/2014/main" id="{00000000-0008-0000-0000-0000C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4" name="Text Box 3079">
          <a:extLst>
            <a:ext uri="{FF2B5EF4-FFF2-40B4-BE49-F238E27FC236}">
              <a16:creationId xmlns="" xmlns:a16="http://schemas.microsoft.com/office/drawing/2014/main" id="{00000000-0008-0000-0000-0000C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5" name="Text Box 3080">
          <a:extLst>
            <a:ext uri="{FF2B5EF4-FFF2-40B4-BE49-F238E27FC236}">
              <a16:creationId xmlns="" xmlns:a16="http://schemas.microsoft.com/office/drawing/2014/main" id="{00000000-0008-0000-0000-0000C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6" name="Text Box 3081">
          <a:extLst>
            <a:ext uri="{FF2B5EF4-FFF2-40B4-BE49-F238E27FC236}">
              <a16:creationId xmlns="" xmlns:a16="http://schemas.microsoft.com/office/drawing/2014/main" id="{00000000-0008-0000-0000-0000C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7" name="Text Box 3082">
          <a:extLst>
            <a:ext uri="{FF2B5EF4-FFF2-40B4-BE49-F238E27FC236}">
              <a16:creationId xmlns="" xmlns:a16="http://schemas.microsoft.com/office/drawing/2014/main" id="{00000000-0008-0000-0000-0000C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8" name="Text Box 3083">
          <a:extLst>
            <a:ext uri="{FF2B5EF4-FFF2-40B4-BE49-F238E27FC236}">
              <a16:creationId xmlns="" xmlns:a16="http://schemas.microsoft.com/office/drawing/2014/main" id="{00000000-0008-0000-0000-0000C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9" name="Text Box 3084">
          <a:extLst>
            <a:ext uri="{FF2B5EF4-FFF2-40B4-BE49-F238E27FC236}">
              <a16:creationId xmlns="" xmlns:a16="http://schemas.microsoft.com/office/drawing/2014/main" id="{00000000-0008-0000-0000-0000C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0" name="Text Box 3085">
          <a:extLst>
            <a:ext uri="{FF2B5EF4-FFF2-40B4-BE49-F238E27FC236}">
              <a16:creationId xmlns="" xmlns:a16="http://schemas.microsoft.com/office/drawing/2014/main" id="{00000000-0008-0000-0000-0000C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1" name="Text Box 3086">
          <a:extLst>
            <a:ext uri="{FF2B5EF4-FFF2-40B4-BE49-F238E27FC236}">
              <a16:creationId xmlns="" xmlns:a16="http://schemas.microsoft.com/office/drawing/2014/main" id="{00000000-0008-0000-0000-0000C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2" name="Text Box 3087">
          <a:extLst>
            <a:ext uri="{FF2B5EF4-FFF2-40B4-BE49-F238E27FC236}">
              <a16:creationId xmlns="" xmlns:a16="http://schemas.microsoft.com/office/drawing/2014/main" id="{00000000-0008-0000-0000-0000C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3" name="Text Box 3088">
          <a:extLst>
            <a:ext uri="{FF2B5EF4-FFF2-40B4-BE49-F238E27FC236}">
              <a16:creationId xmlns="" xmlns:a16="http://schemas.microsoft.com/office/drawing/2014/main" id="{00000000-0008-0000-0000-0000C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4" name="Text Box 3089">
          <a:extLst>
            <a:ext uri="{FF2B5EF4-FFF2-40B4-BE49-F238E27FC236}">
              <a16:creationId xmlns="" xmlns:a16="http://schemas.microsoft.com/office/drawing/2014/main" id="{00000000-0008-0000-0000-0000D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5" name="Text Box 3090">
          <a:extLst>
            <a:ext uri="{FF2B5EF4-FFF2-40B4-BE49-F238E27FC236}">
              <a16:creationId xmlns="" xmlns:a16="http://schemas.microsoft.com/office/drawing/2014/main" id="{00000000-0008-0000-0000-0000D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6" name="Text Box 3091">
          <a:extLst>
            <a:ext uri="{FF2B5EF4-FFF2-40B4-BE49-F238E27FC236}">
              <a16:creationId xmlns="" xmlns:a16="http://schemas.microsoft.com/office/drawing/2014/main" id="{00000000-0008-0000-0000-0000D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7" name="Text Box 3092">
          <a:extLst>
            <a:ext uri="{FF2B5EF4-FFF2-40B4-BE49-F238E27FC236}">
              <a16:creationId xmlns="" xmlns:a16="http://schemas.microsoft.com/office/drawing/2014/main" id="{00000000-0008-0000-0000-0000D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8" name="Text Box 3093">
          <a:extLst>
            <a:ext uri="{FF2B5EF4-FFF2-40B4-BE49-F238E27FC236}">
              <a16:creationId xmlns="" xmlns:a16="http://schemas.microsoft.com/office/drawing/2014/main" id="{00000000-0008-0000-0000-0000D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9" name="Text Box 3094">
          <a:extLst>
            <a:ext uri="{FF2B5EF4-FFF2-40B4-BE49-F238E27FC236}">
              <a16:creationId xmlns="" xmlns:a16="http://schemas.microsoft.com/office/drawing/2014/main" id="{00000000-0008-0000-0000-0000D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0" name="Text Box 3095">
          <a:extLst>
            <a:ext uri="{FF2B5EF4-FFF2-40B4-BE49-F238E27FC236}">
              <a16:creationId xmlns="" xmlns:a16="http://schemas.microsoft.com/office/drawing/2014/main" id="{00000000-0008-0000-0000-0000D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1" name="Text Box 3096">
          <a:extLst>
            <a:ext uri="{FF2B5EF4-FFF2-40B4-BE49-F238E27FC236}">
              <a16:creationId xmlns="" xmlns:a16="http://schemas.microsoft.com/office/drawing/2014/main" id="{00000000-0008-0000-0000-0000D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2" name="Text Box 3097">
          <a:extLst>
            <a:ext uri="{FF2B5EF4-FFF2-40B4-BE49-F238E27FC236}">
              <a16:creationId xmlns="" xmlns:a16="http://schemas.microsoft.com/office/drawing/2014/main" id="{00000000-0008-0000-0000-0000D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3" name="Text Box 3098">
          <a:extLst>
            <a:ext uri="{FF2B5EF4-FFF2-40B4-BE49-F238E27FC236}">
              <a16:creationId xmlns="" xmlns:a16="http://schemas.microsoft.com/office/drawing/2014/main" id="{00000000-0008-0000-0000-0000D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4" name="Text Box 3099">
          <a:extLst>
            <a:ext uri="{FF2B5EF4-FFF2-40B4-BE49-F238E27FC236}">
              <a16:creationId xmlns="" xmlns:a16="http://schemas.microsoft.com/office/drawing/2014/main" id="{00000000-0008-0000-0000-0000D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5" name="Text Box 3100">
          <a:extLst>
            <a:ext uri="{FF2B5EF4-FFF2-40B4-BE49-F238E27FC236}">
              <a16:creationId xmlns="" xmlns:a16="http://schemas.microsoft.com/office/drawing/2014/main" id="{00000000-0008-0000-0000-0000D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6" name="Text Box 3101">
          <a:extLst>
            <a:ext uri="{FF2B5EF4-FFF2-40B4-BE49-F238E27FC236}">
              <a16:creationId xmlns="" xmlns:a16="http://schemas.microsoft.com/office/drawing/2014/main" id="{00000000-0008-0000-0000-0000D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437" name="Text Box 3102">
          <a:extLst>
            <a:ext uri="{FF2B5EF4-FFF2-40B4-BE49-F238E27FC236}">
              <a16:creationId xmlns="" xmlns:a16="http://schemas.microsoft.com/office/drawing/2014/main" id="{00000000-0008-0000-0000-0000D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38" name="Text Box 59">
          <a:extLst>
            <a:ext uri="{FF2B5EF4-FFF2-40B4-BE49-F238E27FC236}">
              <a16:creationId xmlns="" xmlns:a16="http://schemas.microsoft.com/office/drawing/2014/main" id="{00000000-0008-0000-0000-0000D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39" name="Text Box 60">
          <a:extLst>
            <a:ext uri="{FF2B5EF4-FFF2-40B4-BE49-F238E27FC236}">
              <a16:creationId xmlns="" xmlns:a16="http://schemas.microsoft.com/office/drawing/2014/main" id="{00000000-0008-0000-0000-0000D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0" name="Text Box 61">
          <a:extLst>
            <a:ext uri="{FF2B5EF4-FFF2-40B4-BE49-F238E27FC236}">
              <a16:creationId xmlns="" xmlns:a16="http://schemas.microsoft.com/office/drawing/2014/main" id="{00000000-0008-0000-0000-0000E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1" name="Text Box 62">
          <a:extLst>
            <a:ext uri="{FF2B5EF4-FFF2-40B4-BE49-F238E27FC236}">
              <a16:creationId xmlns="" xmlns:a16="http://schemas.microsoft.com/office/drawing/2014/main" id="{00000000-0008-0000-0000-0000E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2" name="Text Box 63">
          <a:extLst>
            <a:ext uri="{FF2B5EF4-FFF2-40B4-BE49-F238E27FC236}">
              <a16:creationId xmlns="" xmlns:a16="http://schemas.microsoft.com/office/drawing/2014/main" id="{00000000-0008-0000-0000-0000E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3" name="Text Box 64">
          <a:extLst>
            <a:ext uri="{FF2B5EF4-FFF2-40B4-BE49-F238E27FC236}">
              <a16:creationId xmlns="" xmlns:a16="http://schemas.microsoft.com/office/drawing/2014/main" id="{00000000-0008-0000-0000-0000E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4" name="Text Box 65">
          <a:extLst>
            <a:ext uri="{FF2B5EF4-FFF2-40B4-BE49-F238E27FC236}">
              <a16:creationId xmlns="" xmlns:a16="http://schemas.microsoft.com/office/drawing/2014/main" id="{00000000-0008-0000-0000-0000E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5" name="Text Box 66">
          <a:extLst>
            <a:ext uri="{FF2B5EF4-FFF2-40B4-BE49-F238E27FC236}">
              <a16:creationId xmlns="" xmlns:a16="http://schemas.microsoft.com/office/drawing/2014/main" id="{00000000-0008-0000-0000-0000E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6" name="Text Box 67">
          <a:extLst>
            <a:ext uri="{FF2B5EF4-FFF2-40B4-BE49-F238E27FC236}">
              <a16:creationId xmlns="" xmlns:a16="http://schemas.microsoft.com/office/drawing/2014/main" id="{00000000-0008-0000-0000-0000E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7" name="Text Box 68">
          <a:extLst>
            <a:ext uri="{FF2B5EF4-FFF2-40B4-BE49-F238E27FC236}">
              <a16:creationId xmlns="" xmlns:a16="http://schemas.microsoft.com/office/drawing/2014/main" id="{00000000-0008-0000-0000-0000E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8" name="Text Box 69">
          <a:extLst>
            <a:ext uri="{FF2B5EF4-FFF2-40B4-BE49-F238E27FC236}">
              <a16:creationId xmlns="" xmlns:a16="http://schemas.microsoft.com/office/drawing/2014/main" id="{00000000-0008-0000-0000-0000E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9" name="Text Box 70">
          <a:extLst>
            <a:ext uri="{FF2B5EF4-FFF2-40B4-BE49-F238E27FC236}">
              <a16:creationId xmlns="" xmlns:a16="http://schemas.microsoft.com/office/drawing/2014/main" id="{00000000-0008-0000-0000-0000E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0" name="Text Box 71">
          <a:extLst>
            <a:ext uri="{FF2B5EF4-FFF2-40B4-BE49-F238E27FC236}">
              <a16:creationId xmlns="" xmlns:a16="http://schemas.microsoft.com/office/drawing/2014/main" id="{00000000-0008-0000-0000-0000E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1" name="Text Box 72">
          <a:extLst>
            <a:ext uri="{FF2B5EF4-FFF2-40B4-BE49-F238E27FC236}">
              <a16:creationId xmlns="" xmlns:a16="http://schemas.microsoft.com/office/drawing/2014/main" id="{00000000-0008-0000-0000-0000E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2" name="Text Box 73">
          <a:extLst>
            <a:ext uri="{FF2B5EF4-FFF2-40B4-BE49-F238E27FC236}">
              <a16:creationId xmlns="" xmlns:a16="http://schemas.microsoft.com/office/drawing/2014/main" id="{00000000-0008-0000-0000-0000E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3" name="Text Box 74">
          <a:extLst>
            <a:ext uri="{FF2B5EF4-FFF2-40B4-BE49-F238E27FC236}">
              <a16:creationId xmlns="" xmlns:a16="http://schemas.microsoft.com/office/drawing/2014/main" id="{00000000-0008-0000-0000-0000E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4" name="Text Box 75">
          <a:extLst>
            <a:ext uri="{FF2B5EF4-FFF2-40B4-BE49-F238E27FC236}">
              <a16:creationId xmlns="" xmlns:a16="http://schemas.microsoft.com/office/drawing/2014/main" id="{00000000-0008-0000-0000-0000E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5" name="Text Box 76">
          <a:extLst>
            <a:ext uri="{FF2B5EF4-FFF2-40B4-BE49-F238E27FC236}">
              <a16:creationId xmlns="" xmlns:a16="http://schemas.microsoft.com/office/drawing/2014/main" id="{00000000-0008-0000-0000-0000E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6" name="Text Box 77">
          <a:extLst>
            <a:ext uri="{FF2B5EF4-FFF2-40B4-BE49-F238E27FC236}">
              <a16:creationId xmlns="" xmlns:a16="http://schemas.microsoft.com/office/drawing/2014/main" id="{00000000-0008-0000-0000-0000F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7" name="Text Box 78">
          <a:extLst>
            <a:ext uri="{FF2B5EF4-FFF2-40B4-BE49-F238E27FC236}">
              <a16:creationId xmlns="" xmlns:a16="http://schemas.microsoft.com/office/drawing/2014/main" id="{00000000-0008-0000-0000-0000F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8" name="Text Box 79">
          <a:extLst>
            <a:ext uri="{FF2B5EF4-FFF2-40B4-BE49-F238E27FC236}">
              <a16:creationId xmlns="" xmlns:a16="http://schemas.microsoft.com/office/drawing/2014/main" id="{00000000-0008-0000-0000-0000F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9" name="Text Box 80">
          <a:extLst>
            <a:ext uri="{FF2B5EF4-FFF2-40B4-BE49-F238E27FC236}">
              <a16:creationId xmlns="" xmlns:a16="http://schemas.microsoft.com/office/drawing/2014/main" id="{00000000-0008-0000-0000-0000F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60" name="Text Box 81">
          <a:extLst>
            <a:ext uri="{FF2B5EF4-FFF2-40B4-BE49-F238E27FC236}">
              <a16:creationId xmlns="" xmlns:a16="http://schemas.microsoft.com/office/drawing/2014/main" id="{00000000-0008-0000-0000-0000F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1" name="Text Box 3079">
          <a:extLst>
            <a:ext uri="{FF2B5EF4-FFF2-40B4-BE49-F238E27FC236}">
              <a16:creationId xmlns="" xmlns:a16="http://schemas.microsoft.com/office/drawing/2014/main" id="{00000000-0008-0000-0000-0000F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2" name="Text Box 3080">
          <a:extLst>
            <a:ext uri="{FF2B5EF4-FFF2-40B4-BE49-F238E27FC236}">
              <a16:creationId xmlns="" xmlns:a16="http://schemas.microsoft.com/office/drawing/2014/main" id="{00000000-0008-0000-0000-0000F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3" name="Text Box 3081">
          <a:extLst>
            <a:ext uri="{FF2B5EF4-FFF2-40B4-BE49-F238E27FC236}">
              <a16:creationId xmlns="" xmlns:a16="http://schemas.microsoft.com/office/drawing/2014/main" id="{00000000-0008-0000-0000-0000F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4" name="Text Box 3082">
          <a:extLst>
            <a:ext uri="{FF2B5EF4-FFF2-40B4-BE49-F238E27FC236}">
              <a16:creationId xmlns="" xmlns:a16="http://schemas.microsoft.com/office/drawing/2014/main" id="{00000000-0008-0000-0000-0000F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5" name="Text Box 3083">
          <a:extLst>
            <a:ext uri="{FF2B5EF4-FFF2-40B4-BE49-F238E27FC236}">
              <a16:creationId xmlns="" xmlns:a16="http://schemas.microsoft.com/office/drawing/2014/main" id="{00000000-0008-0000-0000-0000F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6" name="Text Box 3084">
          <a:extLst>
            <a:ext uri="{FF2B5EF4-FFF2-40B4-BE49-F238E27FC236}">
              <a16:creationId xmlns="" xmlns:a16="http://schemas.microsoft.com/office/drawing/2014/main" id="{00000000-0008-0000-0000-0000F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7" name="Text Box 3085">
          <a:extLst>
            <a:ext uri="{FF2B5EF4-FFF2-40B4-BE49-F238E27FC236}">
              <a16:creationId xmlns="" xmlns:a16="http://schemas.microsoft.com/office/drawing/2014/main" id="{00000000-0008-0000-0000-0000F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8" name="Text Box 3086">
          <a:extLst>
            <a:ext uri="{FF2B5EF4-FFF2-40B4-BE49-F238E27FC236}">
              <a16:creationId xmlns="" xmlns:a16="http://schemas.microsoft.com/office/drawing/2014/main" id="{00000000-0008-0000-0000-0000F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9" name="Text Box 3087">
          <a:extLst>
            <a:ext uri="{FF2B5EF4-FFF2-40B4-BE49-F238E27FC236}">
              <a16:creationId xmlns="" xmlns:a16="http://schemas.microsoft.com/office/drawing/2014/main" id="{00000000-0008-0000-0000-0000F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0" name="Text Box 3088">
          <a:extLst>
            <a:ext uri="{FF2B5EF4-FFF2-40B4-BE49-F238E27FC236}">
              <a16:creationId xmlns="" xmlns:a16="http://schemas.microsoft.com/office/drawing/2014/main" id="{00000000-0008-0000-0000-0000F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1" name="Text Box 3089">
          <a:extLst>
            <a:ext uri="{FF2B5EF4-FFF2-40B4-BE49-F238E27FC236}">
              <a16:creationId xmlns="" xmlns:a16="http://schemas.microsoft.com/office/drawing/2014/main" id="{00000000-0008-0000-0000-0000F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2" name="Text Box 3090">
          <a:extLst>
            <a:ext uri="{FF2B5EF4-FFF2-40B4-BE49-F238E27FC236}">
              <a16:creationId xmlns="" xmlns:a16="http://schemas.microsoft.com/office/drawing/2014/main" id="{00000000-0008-0000-0000-00000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3" name="Text Box 3091">
          <a:extLst>
            <a:ext uri="{FF2B5EF4-FFF2-40B4-BE49-F238E27FC236}">
              <a16:creationId xmlns="" xmlns:a16="http://schemas.microsoft.com/office/drawing/2014/main" id="{00000000-0008-0000-0000-00000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4" name="Text Box 3092">
          <a:extLst>
            <a:ext uri="{FF2B5EF4-FFF2-40B4-BE49-F238E27FC236}">
              <a16:creationId xmlns="" xmlns:a16="http://schemas.microsoft.com/office/drawing/2014/main" id="{00000000-0008-0000-0000-00000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5" name="Text Box 3093">
          <a:extLst>
            <a:ext uri="{FF2B5EF4-FFF2-40B4-BE49-F238E27FC236}">
              <a16:creationId xmlns="" xmlns:a16="http://schemas.microsoft.com/office/drawing/2014/main" id="{00000000-0008-0000-0000-00000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6" name="Text Box 3094">
          <a:extLst>
            <a:ext uri="{FF2B5EF4-FFF2-40B4-BE49-F238E27FC236}">
              <a16:creationId xmlns="" xmlns:a16="http://schemas.microsoft.com/office/drawing/2014/main" id="{00000000-0008-0000-0000-00000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7" name="Text Box 3095">
          <a:extLst>
            <a:ext uri="{FF2B5EF4-FFF2-40B4-BE49-F238E27FC236}">
              <a16:creationId xmlns="" xmlns:a16="http://schemas.microsoft.com/office/drawing/2014/main" id="{00000000-0008-0000-0000-00000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8" name="Text Box 3096">
          <a:extLst>
            <a:ext uri="{FF2B5EF4-FFF2-40B4-BE49-F238E27FC236}">
              <a16:creationId xmlns="" xmlns:a16="http://schemas.microsoft.com/office/drawing/2014/main" id="{00000000-0008-0000-0000-00000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9" name="Text Box 3097">
          <a:extLst>
            <a:ext uri="{FF2B5EF4-FFF2-40B4-BE49-F238E27FC236}">
              <a16:creationId xmlns="" xmlns:a16="http://schemas.microsoft.com/office/drawing/2014/main" id="{00000000-0008-0000-0000-00000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0" name="Text Box 3098">
          <a:extLst>
            <a:ext uri="{FF2B5EF4-FFF2-40B4-BE49-F238E27FC236}">
              <a16:creationId xmlns="" xmlns:a16="http://schemas.microsoft.com/office/drawing/2014/main" id="{00000000-0008-0000-0000-00000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1" name="Text Box 3099">
          <a:extLst>
            <a:ext uri="{FF2B5EF4-FFF2-40B4-BE49-F238E27FC236}">
              <a16:creationId xmlns="" xmlns:a16="http://schemas.microsoft.com/office/drawing/2014/main" id="{00000000-0008-0000-0000-00000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2" name="Text Box 3100">
          <a:extLst>
            <a:ext uri="{FF2B5EF4-FFF2-40B4-BE49-F238E27FC236}">
              <a16:creationId xmlns="" xmlns:a16="http://schemas.microsoft.com/office/drawing/2014/main" id="{00000000-0008-0000-0000-00000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3" name="Text Box 3101">
          <a:extLst>
            <a:ext uri="{FF2B5EF4-FFF2-40B4-BE49-F238E27FC236}">
              <a16:creationId xmlns="" xmlns:a16="http://schemas.microsoft.com/office/drawing/2014/main" id="{00000000-0008-0000-0000-00000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484" name="Text Box 3102">
          <a:extLst>
            <a:ext uri="{FF2B5EF4-FFF2-40B4-BE49-F238E27FC236}">
              <a16:creationId xmlns="" xmlns:a16="http://schemas.microsoft.com/office/drawing/2014/main" id="{00000000-0008-0000-0000-00000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5" name="Text Box 59">
          <a:extLst>
            <a:ext uri="{FF2B5EF4-FFF2-40B4-BE49-F238E27FC236}">
              <a16:creationId xmlns="" xmlns:a16="http://schemas.microsoft.com/office/drawing/2014/main" id="{00000000-0008-0000-0000-00000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6" name="Text Box 60">
          <a:extLst>
            <a:ext uri="{FF2B5EF4-FFF2-40B4-BE49-F238E27FC236}">
              <a16:creationId xmlns="" xmlns:a16="http://schemas.microsoft.com/office/drawing/2014/main" id="{00000000-0008-0000-0000-00000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7" name="Text Box 61">
          <a:extLst>
            <a:ext uri="{FF2B5EF4-FFF2-40B4-BE49-F238E27FC236}">
              <a16:creationId xmlns="" xmlns:a16="http://schemas.microsoft.com/office/drawing/2014/main" id="{00000000-0008-0000-0000-00000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8" name="Text Box 62">
          <a:extLst>
            <a:ext uri="{FF2B5EF4-FFF2-40B4-BE49-F238E27FC236}">
              <a16:creationId xmlns="" xmlns:a16="http://schemas.microsoft.com/office/drawing/2014/main" id="{00000000-0008-0000-0000-00001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9" name="Text Box 63">
          <a:extLst>
            <a:ext uri="{FF2B5EF4-FFF2-40B4-BE49-F238E27FC236}">
              <a16:creationId xmlns="" xmlns:a16="http://schemas.microsoft.com/office/drawing/2014/main" id="{00000000-0008-0000-0000-00001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0" name="Text Box 64">
          <a:extLst>
            <a:ext uri="{FF2B5EF4-FFF2-40B4-BE49-F238E27FC236}">
              <a16:creationId xmlns="" xmlns:a16="http://schemas.microsoft.com/office/drawing/2014/main" id="{00000000-0008-0000-0000-00001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1" name="Text Box 65">
          <a:extLst>
            <a:ext uri="{FF2B5EF4-FFF2-40B4-BE49-F238E27FC236}">
              <a16:creationId xmlns="" xmlns:a16="http://schemas.microsoft.com/office/drawing/2014/main" id="{00000000-0008-0000-0000-00001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2" name="Text Box 66">
          <a:extLst>
            <a:ext uri="{FF2B5EF4-FFF2-40B4-BE49-F238E27FC236}">
              <a16:creationId xmlns="" xmlns:a16="http://schemas.microsoft.com/office/drawing/2014/main" id="{00000000-0008-0000-0000-00001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3" name="Text Box 67">
          <a:extLst>
            <a:ext uri="{FF2B5EF4-FFF2-40B4-BE49-F238E27FC236}">
              <a16:creationId xmlns="" xmlns:a16="http://schemas.microsoft.com/office/drawing/2014/main" id="{00000000-0008-0000-0000-00001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4" name="Text Box 68">
          <a:extLst>
            <a:ext uri="{FF2B5EF4-FFF2-40B4-BE49-F238E27FC236}">
              <a16:creationId xmlns="" xmlns:a16="http://schemas.microsoft.com/office/drawing/2014/main" id="{00000000-0008-0000-0000-00001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5" name="Text Box 69">
          <a:extLst>
            <a:ext uri="{FF2B5EF4-FFF2-40B4-BE49-F238E27FC236}">
              <a16:creationId xmlns="" xmlns:a16="http://schemas.microsoft.com/office/drawing/2014/main" id="{00000000-0008-0000-0000-00001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6" name="Text Box 70">
          <a:extLst>
            <a:ext uri="{FF2B5EF4-FFF2-40B4-BE49-F238E27FC236}">
              <a16:creationId xmlns="" xmlns:a16="http://schemas.microsoft.com/office/drawing/2014/main" id="{00000000-0008-0000-0000-00001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7" name="Text Box 71">
          <a:extLst>
            <a:ext uri="{FF2B5EF4-FFF2-40B4-BE49-F238E27FC236}">
              <a16:creationId xmlns="" xmlns:a16="http://schemas.microsoft.com/office/drawing/2014/main" id="{00000000-0008-0000-0000-00001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8" name="Text Box 72">
          <a:extLst>
            <a:ext uri="{FF2B5EF4-FFF2-40B4-BE49-F238E27FC236}">
              <a16:creationId xmlns="" xmlns:a16="http://schemas.microsoft.com/office/drawing/2014/main" id="{00000000-0008-0000-0000-00001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9" name="Text Box 73">
          <a:extLst>
            <a:ext uri="{FF2B5EF4-FFF2-40B4-BE49-F238E27FC236}">
              <a16:creationId xmlns="" xmlns:a16="http://schemas.microsoft.com/office/drawing/2014/main" id="{00000000-0008-0000-0000-00001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0" name="Text Box 74">
          <a:extLst>
            <a:ext uri="{FF2B5EF4-FFF2-40B4-BE49-F238E27FC236}">
              <a16:creationId xmlns="" xmlns:a16="http://schemas.microsoft.com/office/drawing/2014/main" id="{00000000-0008-0000-0000-00001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1" name="Text Box 75">
          <a:extLst>
            <a:ext uri="{FF2B5EF4-FFF2-40B4-BE49-F238E27FC236}">
              <a16:creationId xmlns="" xmlns:a16="http://schemas.microsoft.com/office/drawing/2014/main" id="{00000000-0008-0000-0000-00001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2" name="Text Box 76">
          <a:extLst>
            <a:ext uri="{FF2B5EF4-FFF2-40B4-BE49-F238E27FC236}">
              <a16:creationId xmlns="" xmlns:a16="http://schemas.microsoft.com/office/drawing/2014/main" id="{00000000-0008-0000-0000-00001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3" name="Text Box 77">
          <a:extLst>
            <a:ext uri="{FF2B5EF4-FFF2-40B4-BE49-F238E27FC236}">
              <a16:creationId xmlns="" xmlns:a16="http://schemas.microsoft.com/office/drawing/2014/main" id="{00000000-0008-0000-0000-00001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4" name="Text Box 78">
          <a:extLst>
            <a:ext uri="{FF2B5EF4-FFF2-40B4-BE49-F238E27FC236}">
              <a16:creationId xmlns="" xmlns:a16="http://schemas.microsoft.com/office/drawing/2014/main" id="{00000000-0008-0000-0000-00002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5" name="Text Box 79">
          <a:extLst>
            <a:ext uri="{FF2B5EF4-FFF2-40B4-BE49-F238E27FC236}">
              <a16:creationId xmlns="" xmlns:a16="http://schemas.microsoft.com/office/drawing/2014/main" id="{00000000-0008-0000-0000-00002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6" name="Text Box 80">
          <a:extLst>
            <a:ext uri="{FF2B5EF4-FFF2-40B4-BE49-F238E27FC236}">
              <a16:creationId xmlns="" xmlns:a16="http://schemas.microsoft.com/office/drawing/2014/main" id="{00000000-0008-0000-0000-00002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7" name="Text Box 81">
          <a:extLst>
            <a:ext uri="{FF2B5EF4-FFF2-40B4-BE49-F238E27FC236}">
              <a16:creationId xmlns="" xmlns:a16="http://schemas.microsoft.com/office/drawing/2014/main" id="{00000000-0008-0000-0000-00002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508" name="Text Box 82">
          <a:extLst>
            <a:ext uri="{FF2B5EF4-FFF2-40B4-BE49-F238E27FC236}">
              <a16:creationId xmlns="" xmlns:a16="http://schemas.microsoft.com/office/drawing/2014/main" id="{00000000-0008-0000-0000-00002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09" name="Text Box 3079">
          <a:extLst>
            <a:ext uri="{FF2B5EF4-FFF2-40B4-BE49-F238E27FC236}">
              <a16:creationId xmlns="" xmlns:a16="http://schemas.microsoft.com/office/drawing/2014/main" id="{00000000-0008-0000-0000-00002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0" name="Text Box 3080">
          <a:extLst>
            <a:ext uri="{FF2B5EF4-FFF2-40B4-BE49-F238E27FC236}">
              <a16:creationId xmlns="" xmlns:a16="http://schemas.microsoft.com/office/drawing/2014/main" id="{00000000-0008-0000-0000-00002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1" name="Text Box 3081">
          <a:extLst>
            <a:ext uri="{FF2B5EF4-FFF2-40B4-BE49-F238E27FC236}">
              <a16:creationId xmlns="" xmlns:a16="http://schemas.microsoft.com/office/drawing/2014/main" id="{00000000-0008-0000-0000-00002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2" name="Text Box 3082">
          <a:extLst>
            <a:ext uri="{FF2B5EF4-FFF2-40B4-BE49-F238E27FC236}">
              <a16:creationId xmlns="" xmlns:a16="http://schemas.microsoft.com/office/drawing/2014/main" id="{00000000-0008-0000-0000-00002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3" name="Text Box 3083">
          <a:extLst>
            <a:ext uri="{FF2B5EF4-FFF2-40B4-BE49-F238E27FC236}">
              <a16:creationId xmlns="" xmlns:a16="http://schemas.microsoft.com/office/drawing/2014/main" id="{00000000-0008-0000-0000-00002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4" name="Text Box 3084">
          <a:extLst>
            <a:ext uri="{FF2B5EF4-FFF2-40B4-BE49-F238E27FC236}">
              <a16:creationId xmlns="" xmlns:a16="http://schemas.microsoft.com/office/drawing/2014/main" id="{00000000-0008-0000-0000-00002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5" name="Text Box 3085">
          <a:extLst>
            <a:ext uri="{FF2B5EF4-FFF2-40B4-BE49-F238E27FC236}">
              <a16:creationId xmlns="" xmlns:a16="http://schemas.microsoft.com/office/drawing/2014/main" id="{00000000-0008-0000-0000-00002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6" name="Text Box 3086">
          <a:extLst>
            <a:ext uri="{FF2B5EF4-FFF2-40B4-BE49-F238E27FC236}">
              <a16:creationId xmlns="" xmlns:a16="http://schemas.microsoft.com/office/drawing/2014/main" id="{00000000-0008-0000-0000-00002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7" name="Text Box 3087">
          <a:extLst>
            <a:ext uri="{FF2B5EF4-FFF2-40B4-BE49-F238E27FC236}">
              <a16:creationId xmlns="" xmlns:a16="http://schemas.microsoft.com/office/drawing/2014/main" id="{00000000-0008-0000-0000-00002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8" name="Text Box 3088">
          <a:extLst>
            <a:ext uri="{FF2B5EF4-FFF2-40B4-BE49-F238E27FC236}">
              <a16:creationId xmlns="" xmlns:a16="http://schemas.microsoft.com/office/drawing/2014/main" id="{00000000-0008-0000-0000-00002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9" name="Text Box 3089">
          <a:extLst>
            <a:ext uri="{FF2B5EF4-FFF2-40B4-BE49-F238E27FC236}">
              <a16:creationId xmlns="" xmlns:a16="http://schemas.microsoft.com/office/drawing/2014/main" id="{00000000-0008-0000-0000-00002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0" name="Text Box 3090">
          <a:extLst>
            <a:ext uri="{FF2B5EF4-FFF2-40B4-BE49-F238E27FC236}">
              <a16:creationId xmlns="" xmlns:a16="http://schemas.microsoft.com/office/drawing/2014/main" id="{00000000-0008-0000-0000-00003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1" name="Text Box 3091">
          <a:extLst>
            <a:ext uri="{FF2B5EF4-FFF2-40B4-BE49-F238E27FC236}">
              <a16:creationId xmlns="" xmlns:a16="http://schemas.microsoft.com/office/drawing/2014/main" id="{00000000-0008-0000-0000-00003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2" name="Text Box 3092">
          <a:extLst>
            <a:ext uri="{FF2B5EF4-FFF2-40B4-BE49-F238E27FC236}">
              <a16:creationId xmlns="" xmlns:a16="http://schemas.microsoft.com/office/drawing/2014/main" id="{00000000-0008-0000-0000-00003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3" name="Text Box 3093">
          <a:extLst>
            <a:ext uri="{FF2B5EF4-FFF2-40B4-BE49-F238E27FC236}">
              <a16:creationId xmlns="" xmlns:a16="http://schemas.microsoft.com/office/drawing/2014/main" id="{00000000-0008-0000-0000-00003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4" name="Text Box 3094">
          <a:extLst>
            <a:ext uri="{FF2B5EF4-FFF2-40B4-BE49-F238E27FC236}">
              <a16:creationId xmlns="" xmlns:a16="http://schemas.microsoft.com/office/drawing/2014/main" id="{00000000-0008-0000-0000-00003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5" name="Text Box 3095">
          <a:extLst>
            <a:ext uri="{FF2B5EF4-FFF2-40B4-BE49-F238E27FC236}">
              <a16:creationId xmlns="" xmlns:a16="http://schemas.microsoft.com/office/drawing/2014/main" id="{00000000-0008-0000-0000-00003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6" name="Text Box 3096">
          <a:extLst>
            <a:ext uri="{FF2B5EF4-FFF2-40B4-BE49-F238E27FC236}">
              <a16:creationId xmlns="" xmlns:a16="http://schemas.microsoft.com/office/drawing/2014/main" id="{00000000-0008-0000-0000-00003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7" name="Text Box 3097">
          <a:extLst>
            <a:ext uri="{FF2B5EF4-FFF2-40B4-BE49-F238E27FC236}">
              <a16:creationId xmlns="" xmlns:a16="http://schemas.microsoft.com/office/drawing/2014/main" id="{00000000-0008-0000-0000-00003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8" name="Text Box 3098">
          <a:extLst>
            <a:ext uri="{FF2B5EF4-FFF2-40B4-BE49-F238E27FC236}">
              <a16:creationId xmlns="" xmlns:a16="http://schemas.microsoft.com/office/drawing/2014/main" id="{00000000-0008-0000-0000-00003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9" name="Text Box 3099">
          <a:extLst>
            <a:ext uri="{FF2B5EF4-FFF2-40B4-BE49-F238E27FC236}">
              <a16:creationId xmlns="" xmlns:a16="http://schemas.microsoft.com/office/drawing/2014/main" id="{00000000-0008-0000-0000-00003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30" name="Text Box 3100">
          <a:extLst>
            <a:ext uri="{FF2B5EF4-FFF2-40B4-BE49-F238E27FC236}">
              <a16:creationId xmlns="" xmlns:a16="http://schemas.microsoft.com/office/drawing/2014/main" id="{00000000-0008-0000-0000-00003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31" name="Text Box 3101">
          <a:extLst>
            <a:ext uri="{FF2B5EF4-FFF2-40B4-BE49-F238E27FC236}">
              <a16:creationId xmlns="" xmlns:a16="http://schemas.microsoft.com/office/drawing/2014/main" id="{00000000-0008-0000-0000-00003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532" name="Text Box 3102">
          <a:extLst>
            <a:ext uri="{FF2B5EF4-FFF2-40B4-BE49-F238E27FC236}">
              <a16:creationId xmlns="" xmlns:a16="http://schemas.microsoft.com/office/drawing/2014/main" id="{00000000-0008-0000-0000-00003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3" name="Text Box 59">
          <a:extLst>
            <a:ext uri="{FF2B5EF4-FFF2-40B4-BE49-F238E27FC236}">
              <a16:creationId xmlns="" xmlns:a16="http://schemas.microsoft.com/office/drawing/2014/main" id="{00000000-0008-0000-0000-00003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4" name="Text Box 60">
          <a:extLst>
            <a:ext uri="{FF2B5EF4-FFF2-40B4-BE49-F238E27FC236}">
              <a16:creationId xmlns="" xmlns:a16="http://schemas.microsoft.com/office/drawing/2014/main" id="{00000000-0008-0000-0000-00003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5" name="Text Box 61">
          <a:extLst>
            <a:ext uri="{FF2B5EF4-FFF2-40B4-BE49-F238E27FC236}">
              <a16:creationId xmlns="" xmlns:a16="http://schemas.microsoft.com/office/drawing/2014/main" id="{00000000-0008-0000-0000-00003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6" name="Text Box 62">
          <a:extLst>
            <a:ext uri="{FF2B5EF4-FFF2-40B4-BE49-F238E27FC236}">
              <a16:creationId xmlns="" xmlns:a16="http://schemas.microsoft.com/office/drawing/2014/main" id="{00000000-0008-0000-0000-00004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7" name="Text Box 63">
          <a:extLst>
            <a:ext uri="{FF2B5EF4-FFF2-40B4-BE49-F238E27FC236}">
              <a16:creationId xmlns="" xmlns:a16="http://schemas.microsoft.com/office/drawing/2014/main" id="{00000000-0008-0000-0000-00004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8" name="Text Box 64">
          <a:extLst>
            <a:ext uri="{FF2B5EF4-FFF2-40B4-BE49-F238E27FC236}">
              <a16:creationId xmlns="" xmlns:a16="http://schemas.microsoft.com/office/drawing/2014/main" id="{00000000-0008-0000-0000-00004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9" name="Text Box 65">
          <a:extLst>
            <a:ext uri="{FF2B5EF4-FFF2-40B4-BE49-F238E27FC236}">
              <a16:creationId xmlns="" xmlns:a16="http://schemas.microsoft.com/office/drawing/2014/main" id="{00000000-0008-0000-0000-00004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0" name="Text Box 66">
          <a:extLst>
            <a:ext uri="{FF2B5EF4-FFF2-40B4-BE49-F238E27FC236}">
              <a16:creationId xmlns="" xmlns:a16="http://schemas.microsoft.com/office/drawing/2014/main" id="{00000000-0008-0000-0000-00004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1" name="Text Box 67">
          <a:extLst>
            <a:ext uri="{FF2B5EF4-FFF2-40B4-BE49-F238E27FC236}">
              <a16:creationId xmlns="" xmlns:a16="http://schemas.microsoft.com/office/drawing/2014/main" id="{00000000-0008-0000-0000-00004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2" name="Text Box 68">
          <a:extLst>
            <a:ext uri="{FF2B5EF4-FFF2-40B4-BE49-F238E27FC236}">
              <a16:creationId xmlns="" xmlns:a16="http://schemas.microsoft.com/office/drawing/2014/main" id="{00000000-0008-0000-0000-00004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3" name="Text Box 69">
          <a:extLst>
            <a:ext uri="{FF2B5EF4-FFF2-40B4-BE49-F238E27FC236}">
              <a16:creationId xmlns="" xmlns:a16="http://schemas.microsoft.com/office/drawing/2014/main" id="{00000000-0008-0000-0000-00004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4" name="Text Box 70">
          <a:extLst>
            <a:ext uri="{FF2B5EF4-FFF2-40B4-BE49-F238E27FC236}">
              <a16:creationId xmlns="" xmlns:a16="http://schemas.microsoft.com/office/drawing/2014/main" id="{00000000-0008-0000-0000-00004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5" name="Text Box 71">
          <a:extLst>
            <a:ext uri="{FF2B5EF4-FFF2-40B4-BE49-F238E27FC236}">
              <a16:creationId xmlns="" xmlns:a16="http://schemas.microsoft.com/office/drawing/2014/main" id="{00000000-0008-0000-0000-00004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6" name="Text Box 72">
          <a:extLst>
            <a:ext uri="{FF2B5EF4-FFF2-40B4-BE49-F238E27FC236}">
              <a16:creationId xmlns="" xmlns:a16="http://schemas.microsoft.com/office/drawing/2014/main" id="{00000000-0008-0000-0000-00004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7" name="Text Box 73">
          <a:extLst>
            <a:ext uri="{FF2B5EF4-FFF2-40B4-BE49-F238E27FC236}">
              <a16:creationId xmlns="" xmlns:a16="http://schemas.microsoft.com/office/drawing/2014/main" id="{00000000-0008-0000-0000-00004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8" name="Text Box 74">
          <a:extLst>
            <a:ext uri="{FF2B5EF4-FFF2-40B4-BE49-F238E27FC236}">
              <a16:creationId xmlns="" xmlns:a16="http://schemas.microsoft.com/office/drawing/2014/main" id="{00000000-0008-0000-0000-00004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9" name="Text Box 75">
          <a:extLst>
            <a:ext uri="{FF2B5EF4-FFF2-40B4-BE49-F238E27FC236}">
              <a16:creationId xmlns="" xmlns:a16="http://schemas.microsoft.com/office/drawing/2014/main" id="{00000000-0008-0000-0000-00004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0" name="Text Box 76">
          <a:extLst>
            <a:ext uri="{FF2B5EF4-FFF2-40B4-BE49-F238E27FC236}">
              <a16:creationId xmlns="" xmlns:a16="http://schemas.microsoft.com/office/drawing/2014/main" id="{00000000-0008-0000-0000-00004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1" name="Text Box 77">
          <a:extLst>
            <a:ext uri="{FF2B5EF4-FFF2-40B4-BE49-F238E27FC236}">
              <a16:creationId xmlns="" xmlns:a16="http://schemas.microsoft.com/office/drawing/2014/main" id="{00000000-0008-0000-0000-00004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2" name="Text Box 78">
          <a:extLst>
            <a:ext uri="{FF2B5EF4-FFF2-40B4-BE49-F238E27FC236}">
              <a16:creationId xmlns="" xmlns:a16="http://schemas.microsoft.com/office/drawing/2014/main" id="{00000000-0008-0000-0000-00005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3" name="Text Box 79">
          <a:extLst>
            <a:ext uri="{FF2B5EF4-FFF2-40B4-BE49-F238E27FC236}">
              <a16:creationId xmlns="" xmlns:a16="http://schemas.microsoft.com/office/drawing/2014/main" id="{00000000-0008-0000-0000-00005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4" name="Text Box 80">
          <a:extLst>
            <a:ext uri="{FF2B5EF4-FFF2-40B4-BE49-F238E27FC236}">
              <a16:creationId xmlns="" xmlns:a16="http://schemas.microsoft.com/office/drawing/2014/main" id="{00000000-0008-0000-0000-00005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5" name="Text Box 81">
          <a:extLst>
            <a:ext uri="{FF2B5EF4-FFF2-40B4-BE49-F238E27FC236}">
              <a16:creationId xmlns="" xmlns:a16="http://schemas.microsoft.com/office/drawing/2014/main" id="{00000000-0008-0000-0000-00005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6" name="Text Box 3079">
          <a:extLst>
            <a:ext uri="{FF2B5EF4-FFF2-40B4-BE49-F238E27FC236}">
              <a16:creationId xmlns="" xmlns:a16="http://schemas.microsoft.com/office/drawing/2014/main" id="{00000000-0008-0000-0000-00005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7" name="Text Box 3080">
          <a:extLst>
            <a:ext uri="{FF2B5EF4-FFF2-40B4-BE49-F238E27FC236}">
              <a16:creationId xmlns="" xmlns:a16="http://schemas.microsoft.com/office/drawing/2014/main" id="{00000000-0008-0000-0000-00005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8" name="Text Box 3081">
          <a:extLst>
            <a:ext uri="{FF2B5EF4-FFF2-40B4-BE49-F238E27FC236}">
              <a16:creationId xmlns="" xmlns:a16="http://schemas.microsoft.com/office/drawing/2014/main" id="{00000000-0008-0000-0000-00005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9" name="Text Box 3082">
          <a:extLst>
            <a:ext uri="{FF2B5EF4-FFF2-40B4-BE49-F238E27FC236}">
              <a16:creationId xmlns="" xmlns:a16="http://schemas.microsoft.com/office/drawing/2014/main" id="{00000000-0008-0000-0000-00005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0" name="Text Box 3083">
          <a:extLst>
            <a:ext uri="{FF2B5EF4-FFF2-40B4-BE49-F238E27FC236}">
              <a16:creationId xmlns="" xmlns:a16="http://schemas.microsoft.com/office/drawing/2014/main" id="{00000000-0008-0000-0000-00005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1" name="Text Box 3084">
          <a:extLst>
            <a:ext uri="{FF2B5EF4-FFF2-40B4-BE49-F238E27FC236}">
              <a16:creationId xmlns="" xmlns:a16="http://schemas.microsoft.com/office/drawing/2014/main" id="{00000000-0008-0000-0000-00005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2" name="Text Box 3085">
          <a:extLst>
            <a:ext uri="{FF2B5EF4-FFF2-40B4-BE49-F238E27FC236}">
              <a16:creationId xmlns="" xmlns:a16="http://schemas.microsoft.com/office/drawing/2014/main" id="{00000000-0008-0000-0000-00005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3" name="Text Box 3086">
          <a:extLst>
            <a:ext uri="{FF2B5EF4-FFF2-40B4-BE49-F238E27FC236}">
              <a16:creationId xmlns="" xmlns:a16="http://schemas.microsoft.com/office/drawing/2014/main" id="{00000000-0008-0000-0000-00005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4" name="Text Box 3087">
          <a:extLst>
            <a:ext uri="{FF2B5EF4-FFF2-40B4-BE49-F238E27FC236}">
              <a16:creationId xmlns="" xmlns:a16="http://schemas.microsoft.com/office/drawing/2014/main" id="{00000000-0008-0000-0000-00005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5" name="Text Box 3088">
          <a:extLst>
            <a:ext uri="{FF2B5EF4-FFF2-40B4-BE49-F238E27FC236}">
              <a16:creationId xmlns="" xmlns:a16="http://schemas.microsoft.com/office/drawing/2014/main" id="{00000000-0008-0000-0000-00005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6" name="Text Box 3089">
          <a:extLst>
            <a:ext uri="{FF2B5EF4-FFF2-40B4-BE49-F238E27FC236}">
              <a16:creationId xmlns="" xmlns:a16="http://schemas.microsoft.com/office/drawing/2014/main" id="{00000000-0008-0000-0000-00005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7" name="Text Box 3090">
          <a:extLst>
            <a:ext uri="{FF2B5EF4-FFF2-40B4-BE49-F238E27FC236}">
              <a16:creationId xmlns="" xmlns:a16="http://schemas.microsoft.com/office/drawing/2014/main" id="{00000000-0008-0000-0000-00005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8" name="Text Box 3091">
          <a:extLst>
            <a:ext uri="{FF2B5EF4-FFF2-40B4-BE49-F238E27FC236}">
              <a16:creationId xmlns="" xmlns:a16="http://schemas.microsoft.com/office/drawing/2014/main" id="{00000000-0008-0000-0000-00006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9" name="Text Box 3092">
          <a:extLst>
            <a:ext uri="{FF2B5EF4-FFF2-40B4-BE49-F238E27FC236}">
              <a16:creationId xmlns="" xmlns:a16="http://schemas.microsoft.com/office/drawing/2014/main" id="{00000000-0008-0000-0000-00006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0" name="Text Box 3093">
          <a:extLst>
            <a:ext uri="{FF2B5EF4-FFF2-40B4-BE49-F238E27FC236}">
              <a16:creationId xmlns="" xmlns:a16="http://schemas.microsoft.com/office/drawing/2014/main" id="{00000000-0008-0000-0000-00006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1" name="Text Box 3094">
          <a:extLst>
            <a:ext uri="{FF2B5EF4-FFF2-40B4-BE49-F238E27FC236}">
              <a16:creationId xmlns="" xmlns:a16="http://schemas.microsoft.com/office/drawing/2014/main" id="{00000000-0008-0000-0000-00006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2" name="Text Box 3095">
          <a:extLst>
            <a:ext uri="{FF2B5EF4-FFF2-40B4-BE49-F238E27FC236}">
              <a16:creationId xmlns="" xmlns:a16="http://schemas.microsoft.com/office/drawing/2014/main" id="{00000000-0008-0000-0000-00006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3" name="Text Box 3096">
          <a:extLst>
            <a:ext uri="{FF2B5EF4-FFF2-40B4-BE49-F238E27FC236}">
              <a16:creationId xmlns="" xmlns:a16="http://schemas.microsoft.com/office/drawing/2014/main" id="{00000000-0008-0000-0000-00006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4" name="Text Box 3097">
          <a:extLst>
            <a:ext uri="{FF2B5EF4-FFF2-40B4-BE49-F238E27FC236}">
              <a16:creationId xmlns="" xmlns:a16="http://schemas.microsoft.com/office/drawing/2014/main" id="{00000000-0008-0000-0000-00006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5" name="Text Box 3098">
          <a:extLst>
            <a:ext uri="{FF2B5EF4-FFF2-40B4-BE49-F238E27FC236}">
              <a16:creationId xmlns="" xmlns:a16="http://schemas.microsoft.com/office/drawing/2014/main" id="{00000000-0008-0000-0000-00006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6" name="Text Box 3099">
          <a:extLst>
            <a:ext uri="{FF2B5EF4-FFF2-40B4-BE49-F238E27FC236}">
              <a16:creationId xmlns="" xmlns:a16="http://schemas.microsoft.com/office/drawing/2014/main" id="{00000000-0008-0000-0000-00006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7" name="Text Box 3100">
          <a:extLst>
            <a:ext uri="{FF2B5EF4-FFF2-40B4-BE49-F238E27FC236}">
              <a16:creationId xmlns="" xmlns:a16="http://schemas.microsoft.com/office/drawing/2014/main" id="{00000000-0008-0000-0000-00006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8" name="Text Box 3101">
          <a:extLst>
            <a:ext uri="{FF2B5EF4-FFF2-40B4-BE49-F238E27FC236}">
              <a16:creationId xmlns="" xmlns:a16="http://schemas.microsoft.com/office/drawing/2014/main" id="{00000000-0008-0000-0000-00006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579" name="Text Box 3102">
          <a:extLst>
            <a:ext uri="{FF2B5EF4-FFF2-40B4-BE49-F238E27FC236}">
              <a16:creationId xmlns="" xmlns:a16="http://schemas.microsoft.com/office/drawing/2014/main" id="{00000000-0008-0000-0000-00006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0" name="Text Box 59">
          <a:extLst>
            <a:ext uri="{FF2B5EF4-FFF2-40B4-BE49-F238E27FC236}">
              <a16:creationId xmlns="" xmlns:a16="http://schemas.microsoft.com/office/drawing/2014/main" id="{00000000-0008-0000-0000-00006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1" name="Text Box 60">
          <a:extLst>
            <a:ext uri="{FF2B5EF4-FFF2-40B4-BE49-F238E27FC236}">
              <a16:creationId xmlns="" xmlns:a16="http://schemas.microsoft.com/office/drawing/2014/main" id="{00000000-0008-0000-0000-00006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2" name="Text Box 61">
          <a:extLst>
            <a:ext uri="{FF2B5EF4-FFF2-40B4-BE49-F238E27FC236}">
              <a16:creationId xmlns="" xmlns:a16="http://schemas.microsoft.com/office/drawing/2014/main" id="{00000000-0008-0000-0000-00006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3" name="Text Box 62">
          <a:extLst>
            <a:ext uri="{FF2B5EF4-FFF2-40B4-BE49-F238E27FC236}">
              <a16:creationId xmlns="" xmlns:a16="http://schemas.microsoft.com/office/drawing/2014/main" id="{00000000-0008-0000-0000-00006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4" name="Text Box 63">
          <a:extLst>
            <a:ext uri="{FF2B5EF4-FFF2-40B4-BE49-F238E27FC236}">
              <a16:creationId xmlns="" xmlns:a16="http://schemas.microsoft.com/office/drawing/2014/main" id="{00000000-0008-0000-0000-00007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5" name="Text Box 64">
          <a:extLst>
            <a:ext uri="{FF2B5EF4-FFF2-40B4-BE49-F238E27FC236}">
              <a16:creationId xmlns="" xmlns:a16="http://schemas.microsoft.com/office/drawing/2014/main" id="{00000000-0008-0000-0000-00007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6" name="Text Box 65">
          <a:extLst>
            <a:ext uri="{FF2B5EF4-FFF2-40B4-BE49-F238E27FC236}">
              <a16:creationId xmlns="" xmlns:a16="http://schemas.microsoft.com/office/drawing/2014/main" id="{00000000-0008-0000-0000-00007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7" name="Text Box 66">
          <a:extLst>
            <a:ext uri="{FF2B5EF4-FFF2-40B4-BE49-F238E27FC236}">
              <a16:creationId xmlns="" xmlns:a16="http://schemas.microsoft.com/office/drawing/2014/main" id="{00000000-0008-0000-0000-00007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8" name="Text Box 67">
          <a:extLst>
            <a:ext uri="{FF2B5EF4-FFF2-40B4-BE49-F238E27FC236}">
              <a16:creationId xmlns="" xmlns:a16="http://schemas.microsoft.com/office/drawing/2014/main" id="{00000000-0008-0000-0000-00007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9" name="Text Box 68">
          <a:extLst>
            <a:ext uri="{FF2B5EF4-FFF2-40B4-BE49-F238E27FC236}">
              <a16:creationId xmlns="" xmlns:a16="http://schemas.microsoft.com/office/drawing/2014/main" id="{00000000-0008-0000-0000-00007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0" name="Text Box 69">
          <a:extLst>
            <a:ext uri="{FF2B5EF4-FFF2-40B4-BE49-F238E27FC236}">
              <a16:creationId xmlns="" xmlns:a16="http://schemas.microsoft.com/office/drawing/2014/main" id="{00000000-0008-0000-0000-00007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1" name="Text Box 70">
          <a:extLst>
            <a:ext uri="{FF2B5EF4-FFF2-40B4-BE49-F238E27FC236}">
              <a16:creationId xmlns="" xmlns:a16="http://schemas.microsoft.com/office/drawing/2014/main" id="{00000000-0008-0000-0000-00007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2" name="Text Box 71">
          <a:extLst>
            <a:ext uri="{FF2B5EF4-FFF2-40B4-BE49-F238E27FC236}">
              <a16:creationId xmlns="" xmlns:a16="http://schemas.microsoft.com/office/drawing/2014/main" id="{00000000-0008-0000-0000-00007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3" name="Text Box 72">
          <a:extLst>
            <a:ext uri="{FF2B5EF4-FFF2-40B4-BE49-F238E27FC236}">
              <a16:creationId xmlns="" xmlns:a16="http://schemas.microsoft.com/office/drawing/2014/main" id="{00000000-0008-0000-0000-00007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4" name="Text Box 73">
          <a:extLst>
            <a:ext uri="{FF2B5EF4-FFF2-40B4-BE49-F238E27FC236}">
              <a16:creationId xmlns="" xmlns:a16="http://schemas.microsoft.com/office/drawing/2014/main" id="{00000000-0008-0000-0000-00007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5" name="Text Box 74">
          <a:extLst>
            <a:ext uri="{FF2B5EF4-FFF2-40B4-BE49-F238E27FC236}">
              <a16:creationId xmlns="" xmlns:a16="http://schemas.microsoft.com/office/drawing/2014/main" id="{00000000-0008-0000-0000-00007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6" name="Text Box 75">
          <a:extLst>
            <a:ext uri="{FF2B5EF4-FFF2-40B4-BE49-F238E27FC236}">
              <a16:creationId xmlns="" xmlns:a16="http://schemas.microsoft.com/office/drawing/2014/main" id="{00000000-0008-0000-0000-00007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7" name="Text Box 76">
          <a:extLst>
            <a:ext uri="{FF2B5EF4-FFF2-40B4-BE49-F238E27FC236}">
              <a16:creationId xmlns="" xmlns:a16="http://schemas.microsoft.com/office/drawing/2014/main" id="{00000000-0008-0000-0000-00007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8" name="Text Box 77">
          <a:extLst>
            <a:ext uri="{FF2B5EF4-FFF2-40B4-BE49-F238E27FC236}">
              <a16:creationId xmlns="" xmlns:a16="http://schemas.microsoft.com/office/drawing/2014/main" id="{00000000-0008-0000-0000-00007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9" name="Text Box 78">
          <a:extLst>
            <a:ext uri="{FF2B5EF4-FFF2-40B4-BE49-F238E27FC236}">
              <a16:creationId xmlns="" xmlns:a16="http://schemas.microsoft.com/office/drawing/2014/main" id="{00000000-0008-0000-0000-00007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0" name="Text Box 79">
          <a:extLst>
            <a:ext uri="{FF2B5EF4-FFF2-40B4-BE49-F238E27FC236}">
              <a16:creationId xmlns="" xmlns:a16="http://schemas.microsoft.com/office/drawing/2014/main" id="{00000000-0008-0000-0000-00008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1" name="Text Box 80">
          <a:extLst>
            <a:ext uri="{FF2B5EF4-FFF2-40B4-BE49-F238E27FC236}">
              <a16:creationId xmlns="" xmlns:a16="http://schemas.microsoft.com/office/drawing/2014/main" id="{00000000-0008-0000-0000-00008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2" name="Text Box 81">
          <a:extLst>
            <a:ext uri="{FF2B5EF4-FFF2-40B4-BE49-F238E27FC236}">
              <a16:creationId xmlns="" xmlns:a16="http://schemas.microsoft.com/office/drawing/2014/main" id="{00000000-0008-0000-0000-00008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603" name="Text Box 82">
          <a:extLst>
            <a:ext uri="{FF2B5EF4-FFF2-40B4-BE49-F238E27FC236}">
              <a16:creationId xmlns="" xmlns:a16="http://schemas.microsoft.com/office/drawing/2014/main" id="{00000000-0008-0000-0000-00008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4" name="Text Box 3079">
          <a:extLst>
            <a:ext uri="{FF2B5EF4-FFF2-40B4-BE49-F238E27FC236}">
              <a16:creationId xmlns="" xmlns:a16="http://schemas.microsoft.com/office/drawing/2014/main" id="{00000000-0008-0000-0000-00008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5" name="Text Box 3080">
          <a:extLst>
            <a:ext uri="{FF2B5EF4-FFF2-40B4-BE49-F238E27FC236}">
              <a16:creationId xmlns="" xmlns:a16="http://schemas.microsoft.com/office/drawing/2014/main" id="{00000000-0008-0000-0000-00008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6" name="Text Box 3081">
          <a:extLst>
            <a:ext uri="{FF2B5EF4-FFF2-40B4-BE49-F238E27FC236}">
              <a16:creationId xmlns="" xmlns:a16="http://schemas.microsoft.com/office/drawing/2014/main" id="{00000000-0008-0000-0000-00008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7" name="Text Box 3082">
          <a:extLst>
            <a:ext uri="{FF2B5EF4-FFF2-40B4-BE49-F238E27FC236}">
              <a16:creationId xmlns="" xmlns:a16="http://schemas.microsoft.com/office/drawing/2014/main" id="{00000000-0008-0000-0000-00008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8" name="Text Box 3083">
          <a:extLst>
            <a:ext uri="{FF2B5EF4-FFF2-40B4-BE49-F238E27FC236}">
              <a16:creationId xmlns="" xmlns:a16="http://schemas.microsoft.com/office/drawing/2014/main" id="{00000000-0008-0000-0000-00008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9" name="Text Box 3084">
          <a:extLst>
            <a:ext uri="{FF2B5EF4-FFF2-40B4-BE49-F238E27FC236}">
              <a16:creationId xmlns="" xmlns:a16="http://schemas.microsoft.com/office/drawing/2014/main" id="{00000000-0008-0000-0000-00008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0" name="Text Box 3085">
          <a:extLst>
            <a:ext uri="{FF2B5EF4-FFF2-40B4-BE49-F238E27FC236}">
              <a16:creationId xmlns="" xmlns:a16="http://schemas.microsoft.com/office/drawing/2014/main" id="{00000000-0008-0000-0000-00008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1" name="Text Box 3086">
          <a:extLst>
            <a:ext uri="{FF2B5EF4-FFF2-40B4-BE49-F238E27FC236}">
              <a16:creationId xmlns="" xmlns:a16="http://schemas.microsoft.com/office/drawing/2014/main" id="{00000000-0008-0000-0000-00008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2" name="Text Box 3087">
          <a:extLst>
            <a:ext uri="{FF2B5EF4-FFF2-40B4-BE49-F238E27FC236}">
              <a16:creationId xmlns="" xmlns:a16="http://schemas.microsoft.com/office/drawing/2014/main" id="{00000000-0008-0000-0000-00008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3" name="Text Box 3088">
          <a:extLst>
            <a:ext uri="{FF2B5EF4-FFF2-40B4-BE49-F238E27FC236}">
              <a16:creationId xmlns="" xmlns:a16="http://schemas.microsoft.com/office/drawing/2014/main" id="{00000000-0008-0000-0000-00008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4" name="Text Box 3089">
          <a:extLst>
            <a:ext uri="{FF2B5EF4-FFF2-40B4-BE49-F238E27FC236}">
              <a16:creationId xmlns="" xmlns:a16="http://schemas.microsoft.com/office/drawing/2014/main" id="{00000000-0008-0000-0000-00008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5" name="Text Box 3090">
          <a:extLst>
            <a:ext uri="{FF2B5EF4-FFF2-40B4-BE49-F238E27FC236}">
              <a16:creationId xmlns="" xmlns:a16="http://schemas.microsoft.com/office/drawing/2014/main" id="{00000000-0008-0000-0000-00008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6" name="Text Box 3091">
          <a:extLst>
            <a:ext uri="{FF2B5EF4-FFF2-40B4-BE49-F238E27FC236}">
              <a16:creationId xmlns="" xmlns:a16="http://schemas.microsoft.com/office/drawing/2014/main" id="{00000000-0008-0000-0000-00009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7" name="Text Box 3092">
          <a:extLst>
            <a:ext uri="{FF2B5EF4-FFF2-40B4-BE49-F238E27FC236}">
              <a16:creationId xmlns="" xmlns:a16="http://schemas.microsoft.com/office/drawing/2014/main" id="{00000000-0008-0000-0000-00009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8" name="Text Box 3093">
          <a:extLst>
            <a:ext uri="{FF2B5EF4-FFF2-40B4-BE49-F238E27FC236}">
              <a16:creationId xmlns="" xmlns:a16="http://schemas.microsoft.com/office/drawing/2014/main" id="{00000000-0008-0000-0000-00009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9" name="Text Box 3094">
          <a:extLst>
            <a:ext uri="{FF2B5EF4-FFF2-40B4-BE49-F238E27FC236}">
              <a16:creationId xmlns="" xmlns:a16="http://schemas.microsoft.com/office/drawing/2014/main" id="{00000000-0008-0000-0000-00009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0" name="Text Box 3095">
          <a:extLst>
            <a:ext uri="{FF2B5EF4-FFF2-40B4-BE49-F238E27FC236}">
              <a16:creationId xmlns="" xmlns:a16="http://schemas.microsoft.com/office/drawing/2014/main" id="{00000000-0008-0000-0000-00009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1" name="Text Box 3096">
          <a:extLst>
            <a:ext uri="{FF2B5EF4-FFF2-40B4-BE49-F238E27FC236}">
              <a16:creationId xmlns="" xmlns:a16="http://schemas.microsoft.com/office/drawing/2014/main" id="{00000000-0008-0000-0000-00009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2" name="Text Box 3097">
          <a:extLst>
            <a:ext uri="{FF2B5EF4-FFF2-40B4-BE49-F238E27FC236}">
              <a16:creationId xmlns="" xmlns:a16="http://schemas.microsoft.com/office/drawing/2014/main" id="{00000000-0008-0000-0000-00009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3" name="Text Box 3098">
          <a:extLst>
            <a:ext uri="{FF2B5EF4-FFF2-40B4-BE49-F238E27FC236}">
              <a16:creationId xmlns="" xmlns:a16="http://schemas.microsoft.com/office/drawing/2014/main" id="{00000000-0008-0000-0000-00009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4" name="Text Box 3099">
          <a:extLst>
            <a:ext uri="{FF2B5EF4-FFF2-40B4-BE49-F238E27FC236}">
              <a16:creationId xmlns="" xmlns:a16="http://schemas.microsoft.com/office/drawing/2014/main" id="{00000000-0008-0000-0000-00009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5" name="Text Box 3100">
          <a:extLst>
            <a:ext uri="{FF2B5EF4-FFF2-40B4-BE49-F238E27FC236}">
              <a16:creationId xmlns="" xmlns:a16="http://schemas.microsoft.com/office/drawing/2014/main" id="{00000000-0008-0000-0000-00009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6" name="Text Box 3101">
          <a:extLst>
            <a:ext uri="{FF2B5EF4-FFF2-40B4-BE49-F238E27FC236}">
              <a16:creationId xmlns="" xmlns:a16="http://schemas.microsoft.com/office/drawing/2014/main" id="{00000000-0008-0000-0000-00009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627" name="Text Box 3102">
          <a:extLst>
            <a:ext uri="{FF2B5EF4-FFF2-40B4-BE49-F238E27FC236}">
              <a16:creationId xmlns="" xmlns:a16="http://schemas.microsoft.com/office/drawing/2014/main" id="{00000000-0008-0000-0000-00009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28" name="Text Box 59">
          <a:extLst>
            <a:ext uri="{FF2B5EF4-FFF2-40B4-BE49-F238E27FC236}">
              <a16:creationId xmlns="" xmlns:a16="http://schemas.microsoft.com/office/drawing/2014/main" id="{00000000-0008-0000-0000-00009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29" name="Text Box 60">
          <a:extLst>
            <a:ext uri="{FF2B5EF4-FFF2-40B4-BE49-F238E27FC236}">
              <a16:creationId xmlns="" xmlns:a16="http://schemas.microsoft.com/office/drawing/2014/main" id="{00000000-0008-0000-0000-00009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0" name="Text Box 61">
          <a:extLst>
            <a:ext uri="{FF2B5EF4-FFF2-40B4-BE49-F238E27FC236}">
              <a16:creationId xmlns="" xmlns:a16="http://schemas.microsoft.com/office/drawing/2014/main" id="{00000000-0008-0000-0000-00009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1" name="Text Box 62">
          <a:extLst>
            <a:ext uri="{FF2B5EF4-FFF2-40B4-BE49-F238E27FC236}">
              <a16:creationId xmlns="" xmlns:a16="http://schemas.microsoft.com/office/drawing/2014/main" id="{00000000-0008-0000-0000-00009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2" name="Text Box 63">
          <a:extLst>
            <a:ext uri="{FF2B5EF4-FFF2-40B4-BE49-F238E27FC236}">
              <a16:creationId xmlns="" xmlns:a16="http://schemas.microsoft.com/office/drawing/2014/main" id="{00000000-0008-0000-0000-0000A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3" name="Text Box 64">
          <a:extLst>
            <a:ext uri="{FF2B5EF4-FFF2-40B4-BE49-F238E27FC236}">
              <a16:creationId xmlns="" xmlns:a16="http://schemas.microsoft.com/office/drawing/2014/main" id="{00000000-0008-0000-0000-0000A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4" name="Text Box 65">
          <a:extLst>
            <a:ext uri="{FF2B5EF4-FFF2-40B4-BE49-F238E27FC236}">
              <a16:creationId xmlns="" xmlns:a16="http://schemas.microsoft.com/office/drawing/2014/main" id="{00000000-0008-0000-0000-0000A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5" name="Text Box 66">
          <a:extLst>
            <a:ext uri="{FF2B5EF4-FFF2-40B4-BE49-F238E27FC236}">
              <a16:creationId xmlns="" xmlns:a16="http://schemas.microsoft.com/office/drawing/2014/main" id="{00000000-0008-0000-0000-0000A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6" name="Text Box 67">
          <a:extLst>
            <a:ext uri="{FF2B5EF4-FFF2-40B4-BE49-F238E27FC236}">
              <a16:creationId xmlns="" xmlns:a16="http://schemas.microsoft.com/office/drawing/2014/main" id="{00000000-0008-0000-0000-0000A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7" name="Text Box 68">
          <a:extLst>
            <a:ext uri="{FF2B5EF4-FFF2-40B4-BE49-F238E27FC236}">
              <a16:creationId xmlns="" xmlns:a16="http://schemas.microsoft.com/office/drawing/2014/main" id="{00000000-0008-0000-0000-0000A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8" name="Text Box 69">
          <a:extLst>
            <a:ext uri="{FF2B5EF4-FFF2-40B4-BE49-F238E27FC236}">
              <a16:creationId xmlns="" xmlns:a16="http://schemas.microsoft.com/office/drawing/2014/main" id="{00000000-0008-0000-0000-0000A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9" name="Text Box 70">
          <a:extLst>
            <a:ext uri="{FF2B5EF4-FFF2-40B4-BE49-F238E27FC236}">
              <a16:creationId xmlns="" xmlns:a16="http://schemas.microsoft.com/office/drawing/2014/main" id="{00000000-0008-0000-0000-0000A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0" name="Text Box 71">
          <a:extLst>
            <a:ext uri="{FF2B5EF4-FFF2-40B4-BE49-F238E27FC236}">
              <a16:creationId xmlns="" xmlns:a16="http://schemas.microsoft.com/office/drawing/2014/main" id="{00000000-0008-0000-0000-0000A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1" name="Text Box 72">
          <a:extLst>
            <a:ext uri="{FF2B5EF4-FFF2-40B4-BE49-F238E27FC236}">
              <a16:creationId xmlns="" xmlns:a16="http://schemas.microsoft.com/office/drawing/2014/main" id="{00000000-0008-0000-0000-0000A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2" name="Text Box 73">
          <a:extLst>
            <a:ext uri="{FF2B5EF4-FFF2-40B4-BE49-F238E27FC236}">
              <a16:creationId xmlns="" xmlns:a16="http://schemas.microsoft.com/office/drawing/2014/main" id="{00000000-0008-0000-0000-0000A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3" name="Text Box 74">
          <a:extLst>
            <a:ext uri="{FF2B5EF4-FFF2-40B4-BE49-F238E27FC236}">
              <a16:creationId xmlns="" xmlns:a16="http://schemas.microsoft.com/office/drawing/2014/main" id="{00000000-0008-0000-0000-0000A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4" name="Text Box 75">
          <a:extLst>
            <a:ext uri="{FF2B5EF4-FFF2-40B4-BE49-F238E27FC236}">
              <a16:creationId xmlns="" xmlns:a16="http://schemas.microsoft.com/office/drawing/2014/main" id="{00000000-0008-0000-0000-0000A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5" name="Text Box 76">
          <a:extLst>
            <a:ext uri="{FF2B5EF4-FFF2-40B4-BE49-F238E27FC236}">
              <a16:creationId xmlns="" xmlns:a16="http://schemas.microsoft.com/office/drawing/2014/main" id="{00000000-0008-0000-0000-0000A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6" name="Text Box 77">
          <a:extLst>
            <a:ext uri="{FF2B5EF4-FFF2-40B4-BE49-F238E27FC236}">
              <a16:creationId xmlns="" xmlns:a16="http://schemas.microsoft.com/office/drawing/2014/main" id="{00000000-0008-0000-0000-0000A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7" name="Text Box 78">
          <a:extLst>
            <a:ext uri="{FF2B5EF4-FFF2-40B4-BE49-F238E27FC236}">
              <a16:creationId xmlns="" xmlns:a16="http://schemas.microsoft.com/office/drawing/2014/main" id="{00000000-0008-0000-0000-0000A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8" name="Text Box 79">
          <a:extLst>
            <a:ext uri="{FF2B5EF4-FFF2-40B4-BE49-F238E27FC236}">
              <a16:creationId xmlns="" xmlns:a16="http://schemas.microsoft.com/office/drawing/2014/main" id="{00000000-0008-0000-0000-0000B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9" name="Text Box 80">
          <a:extLst>
            <a:ext uri="{FF2B5EF4-FFF2-40B4-BE49-F238E27FC236}">
              <a16:creationId xmlns="" xmlns:a16="http://schemas.microsoft.com/office/drawing/2014/main" id="{00000000-0008-0000-0000-0000B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50" name="Text Box 81">
          <a:extLst>
            <a:ext uri="{FF2B5EF4-FFF2-40B4-BE49-F238E27FC236}">
              <a16:creationId xmlns="" xmlns:a16="http://schemas.microsoft.com/office/drawing/2014/main" id="{00000000-0008-0000-0000-0000B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1" name="Text Box 3079">
          <a:extLst>
            <a:ext uri="{FF2B5EF4-FFF2-40B4-BE49-F238E27FC236}">
              <a16:creationId xmlns="" xmlns:a16="http://schemas.microsoft.com/office/drawing/2014/main" id="{00000000-0008-0000-0000-0000B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2" name="Text Box 3080">
          <a:extLst>
            <a:ext uri="{FF2B5EF4-FFF2-40B4-BE49-F238E27FC236}">
              <a16:creationId xmlns="" xmlns:a16="http://schemas.microsoft.com/office/drawing/2014/main" id="{00000000-0008-0000-0000-0000B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3" name="Text Box 3081">
          <a:extLst>
            <a:ext uri="{FF2B5EF4-FFF2-40B4-BE49-F238E27FC236}">
              <a16:creationId xmlns="" xmlns:a16="http://schemas.microsoft.com/office/drawing/2014/main" id="{00000000-0008-0000-0000-0000B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4" name="Text Box 3082">
          <a:extLst>
            <a:ext uri="{FF2B5EF4-FFF2-40B4-BE49-F238E27FC236}">
              <a16:creationId xmlns="" xmlns:a16="http://schemas.microsoft.com/office/drawing/2014/main" id="{00000000-0008-0000-0000-0000B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5" name="Text Box 3083">
          <a:extLst>
            <a:ext uri="{FF2B5EF4-FFF2-40B4-BE49-F238E27FC236}">
              <a16:creationId xmlns="" xmlns:a16="http://schemas.microsoft.com/office/drawing/2014/main" id="{00000000-0008-0000-0000-0000B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6" name="Text Box 3084">
          <a:extLst>
            <a:ext uri="{FF2B5EF4-FFF2-40B4-BE49-F238E27FC236}">
              <a16:creationId xmlns="" xmlns:a16="http://schemas.microsoft.com/office/drawing/2014/main" id="{00000000-0008-0000-0000-0000B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7" name="Text Box 3085">
          <a:extLst>
            <a:ext uri="{FF2B5EF4-FFF2-40B4-BE49-F238E27FC236}">
              <a16:creationId xmlns="" xmlns:a16="http://schemas.microsoft.com/office/drawing/2014/main" id="{00000000-0008-0000-0000-0000B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8" name="Text Box 3086">
          <a:extLst>
            <a:ext uri="{FF2B5EF4-FFF2-40B4-BE49-F238E27FC236}">
              <a16:creationId xmlns="" xmlns:a16="http://schemas.microsoft.com/office/drawing/2014/main" id="{00000000-0008-0000-0000-0000B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9" name="Text Box 3087">
          <a:extLst>
            <a:ext uri="{FF2B5EF4-FFF2-40B4-BE49-F238E27FC236}">
              <a16:creationId xmlns="" xmlns:a16="http://schemas.microsoft.com/office/drawing/2014/main" id="{00000000-0008-0000-0000-0000B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0" name="Text Box 3088">
          <a:extLst>
            <a:ext uri="{FF2B5EF4-FFF2-40B4-BE49-F238E27FC236}">
              <a16:creationId xmlns="" xmlns:a16="http://schemas.microsoft.com/office/drawing/2014/main" id="{00000000-0008-0000-0000-0000B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1" name="Text Box 3089">
          <a:extLst>
            <a:ext uri="{FF2B5EF4-FFF2-40B4-BE49-F238E27FC236}">
              <a16:creationId xmlns="" xmlns:a16="http://schemas.microsoft.com/office/drawing/2014/main" id="{00000000-0008-0000-0000-0000B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2" name="Text Box 3090">
          <a:extLst>
            <a:ext uri="{FF2B5EF4-FFF2-40B4-BE49-F238E27FC236}">
              <a16:creationId xmlns="" xmlns:a16="http://schemas.microsoft.com/office/drawing/2014/main" id="{00000000-0008-0000-0000-0000B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3" name="Text Box 3091">
          <a:extLst>
            <a:ext uri="{FF2B5EF4-FFF2-40B4-BE49-F238E27FC236}">
              <a16:creationId xmlns="" xmlns:a16="http://schemas.microsoft.com/office/drawing/2014/main" id="{00000000-0008-0000-0000-0000B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4" name="Text Box 3092">
          <a:extLst>
            <a:ext uri="{FF2B5EF4-FFF2-40B4-BE49-F238E27FC236}">
              <a16:creationId xmlns="" xmlns:a16="http://schemas.microsoft.com/office/drawing/2014/main" id="{00000000-0008-0000-0000-0000C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5" name="Text Box 3093">
          <a:extLst>
            <a:ext uri="{FF2B5EF4-FFF2-40B4-BE49-F238E27FC236}">
              <a16:creationId xmlns="" xmlns:a16="http://schemas.microsoft.com/office/drawing/2014/main" id="{00000000-0008-0000-0000-0000C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6" name="Text Box 3094">
          <a:extLst>
            <a:ext uri="{FF2B5EF4-FFF2-40B4-BE49-F238E27FC236}">
              <a16:creationId xmlns="" xmlns:a16="http://schemas.microsoft.com/office/drawing/2014/main" id="{00000000-0008-0000-0000-0000C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7" name="Text Box 3095">
          <a:extLst>
            <a:ext uri="{FF2B5EF4-FFF2-40B4-BE49-F238E27FC236}">
              <a16:creationId xmlns="" xmlns:a16="http://schemas.microsoft.com/office/drawing/2014/main" id="{00000000-0008-0000-0000-0000C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8" name="Text Box 3096">
          <a:extLst>
            <a:ext uri="{FF2B5EF4-FFF2-40B4-BE49-F238E27FC236}">
              <a16:creationId xmlns="" xmlns:a16="http://schemas.microsoft.com/office/drawing/2014/main" id="{00000000-0008-0000-0000-0000C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9" name="Text Box 3097">
          <a:extLst>
            <a:ext uri="{FF2B5EF4-FFF2-40B4-BE49-F238E27FC236}">
              <a16:creationId xmlns="" xmlns:a16="http://schemas.microsoft.com/office/drawing/2014/main" id="{00000000-0008-0000-0000-0000C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0" name="Text Box 3098">
          <a:extLst>
            <a:ext uri="{FF2B5EF4-FFF2-40B4-BE49-F238E27FC236}">
              <a16:creationId xmlns="" xmlns:a16="http://schemas.microsoft.com/office/drawing/2014/main" id="{00000000-0008-0000-0000-0000C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1" name="Text Box 3099">
          <a:extLst>
            <a:ext uri="{FF2B5EF4-FFF2-40B4-BE49-F238E27FC236}">
              <a16:creationId xmlns="" xmlns:a16="http://schemas.microsoft.com/office/drawing/2014/main" id="{00000000-0008-0000-0000-0000C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2" name="Text Box 3100">
          <a:extLst>
            <a:ext uri="{FF2B5EF4-FFF2-40B4-BE49-F238E27FC236}">
              <a16:creationId xmlns="" xmlns:a16="http://schemas.microsoft.com/office/drawing/2014/main" id="{00000000-0008-0000-0000-0000C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3" name="Text Box 3101">
          <a:extLst>
            <a:ext uri="{FF2B5EF4-FFF2-40B4-BE49-F238E27FC236}">
              <a16:creationId xmlns="" xmlns:a16="http://schemas.microsoft.com/office/drawing/2014/main" id="{00000000-0008-0000-0000-0000C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674" name="Text Box 3102">
          <a:extLst>
            <a:ext uri="{FF2B5EF4-FFF2-40B4-BE49-F238E27FC236}">
              <a16:creationId xmlns="" xmlns:a16="http://schemas.microsoft.com/office/drawing/2014/main" id="{00000000-0008-0000-0000-0000C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5" name="Text Box 59">
          <a:extLst>
            <a:ext uri="{FF2B5EF4-FFF2-40B4-BE49-F238E27FC236}">
              <a16:creationId xmlns="" xmlns:a16="http://schemas.microsoft.com/office/drawing/2014/main" id="{00000000-0008-0000-0000-0000C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6" name="Text Box 60">
          <a:extLst>
            <a:ext uri="{FF2B5EF4-FFF2-40B4-BE49-F238E27FC236}">
              <a16:creationId xmlns="" xmlns:a16="http://schemas.microsoft.com/office/drawing/2014/main" id="{00000000-0008-0000-0000-0000C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7" name="Text Box 61">
          <a:extLst>
            <a:ext uri="{FF2B5EF4-FFF2-40B4-BE49-F238E27FC236}">
              <a16:creationId xmlns="" xmlns:a16="http://schemas.microsoft.com/office/drawing/2014/main" id="{00000000-0008-0000-0000-0000C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8" name="Text Box 62">
          <a:extLst>
            <a:ext uri="{FF2B5EF4-FFF2-40B4-BE49-F238E27FC236}">
              <a16:creationId xmlns="" xmlns:a16="http://schemas.microsoft.com/office/drawing/2014/main" id="{00000000-0008-0000-0000-0000C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9" name="Text Box 63">
          <a:extLst>
            <a:ext uri="{FF2B5EF4-FFF2-40B4-BE49-F238E27FC236}">
              <a16:creationId xmlns="" xmlns:a16="http://schemas.microsoft.com/office/drawing/2014/main" id="{00000000-0008-0000-0000-0000C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0" name="Text Box 64">
          <a:extLst>
            <a:ext uri="{FF2B5EF4-FFF2-40B4-BE49-F238E27FC236}">
              <a16:creationId xmlns="" xmlns:a16="http://schemas.microsoft.com/office/drawing/2014/main" id="{00000000-0008-0000-0000-0000D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1" name="Text Box 65">
          <a:extLst>
            <a:ext uri="{FF2B5EF4-FFF2-40B4-BE49-F238E27FC236}">
              <a16:creationId xmlns="" xmlns:a16="http://schemas.microsoft.com/office/drawing/2014/main" id="{00000000-0008-0000-0000-0000D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2" name="Text Box 66">
          <a:extLst>
            <a:ext uri="{FF2B5EF4-FFF2-40B4-BE49-F238E27FC236}">
              <a16:creationId xmlns="" xmlns:a16="http://schemas.microsoft.com/office/drawing/2014/main" id="{00000000-0008-0000-0000-0000D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3" name="Text Box 67">
          <a:extLst>
            <a:ext uri="{FF2B5EF4-FFF2-40B4-BE49-F238E27FC236}">
              <a16:creationId xmlns="" xmlns:a16="http://schemas.microsoft.com/office/drawing/2014/main" id="{00000000-0008-0000-0000-0000D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4" name="Text Box 68">
          <a:extLst>
            <a:ext uri="{FF2B5EF4-FFF2-40B4-BE49-F238E27FC236}">
              <a16:creationId xmlns="" xmlns:a16="http://schemas.microsoft.com/office/drawing/2014/main" id="{00000000-0008-0000-0000-0000D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5" name="Text Box 69">
          <a:extLst>
            <a:ext uri="{FF2B5EF4-FFF2-40B4-BE49-F238E27FC236}">
              <a16:creationId xmlns="" xmlns:a16="http://schemas.microsoft.com/office/drawing/2014/main" id="{00000000-0008-0000-0000-0000D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6" name="Text Box 70">
          <a:extLst>
            <a:ext uri="{FF2B5EF4-FFF2-40B4-BE49-F238E27FC236}">
              <a16:creationId xmlns="" xmlns:a16="http://schemas.microsoft.com/office/drawing/2014/main" id="{00000000-0008-0000-0000-0000D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7" name="Text Box 71">
          <a:extLst>
            <a:ext uri="{FF2B5EF4-FFF2-40B4-BE49-F238E27FC236}">
              <a16:creationId xmlns="" xmlns:a16="http://schemas.microsoft.com/office/drawing/2014/main" id="{00000000-0008-0000-0000-0000D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8" name="Text Box 72">
          <a:extLst>
            <a:ext uri="{FF2B5EF4-FFF2-40B4-BE49-F238E27FC236}">
              <a16:creationId xmlns="" xmlns:a16="http://schemas.microsoft.com/office/drawing/2014/main" id="{00000000-0008-0000-0000-0000D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9" name="Text Box 73">
          <a:extLst>
            <a:ext uri="{FF2B5EF4-FFF2-40B4-BE49-F238E27FC236}">
              <a16:creationId xmlns="" xmlns:a16="http://schemas.microsoft.com/office/drawing/2014/main" id="{00000000-0008-0000-0000-0000D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0" name="Text Box 74">
          <a:extLst>
            <a:ext uri="{FF2B5EF4-FFF2-40B4-BE49-F238E27FC236}">
              <a16:creationId xmlns="" xmlns:a16="http://schemas.microsoft.com/office/drawing/2014/main" id="{00000000-0008-0000-0000-0000D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1" name="Text Box 75">
          <a:extLst>
            <a:ext uri="{FF2B5EF4-FFF2-40B4-BE49-F238E27FC236}">
              <a16:creationId xmlns="" xmlns:a16="http://schemas.microsoft.com/office/drawing/2014/main" id="{00000000-0008-0000-0000-0000D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2" name="Text Box 76">
          <a:extLst>
            <a:ext uri="{FF2B5EF4-FFF2-40B4-BE49-F238E27FC236}">
              <a16:creationId xmlns="" xmlns:a16="http://schemas.microsoft.com/office/drawing/2014/main" id="{00000000-0008-0000-0000-0000D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3" name="Text Box 77">
          <a:extLst>
            <a:ext uri="{FF2B5EF4-FFF2-40B4-BE49-F238E27FC236}">
              <a16:creationId xmlns="" xmlns:a16="http://schemas.microsoft.com/office/drawing/2014/main" id="{00000000-0008-0000-0000-0000D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4" name="Text Box 78">
          <a:extLst>
            <a:ext uri="{FF2B5EF4-FFF2-40B4-BE49-F238E27FC236}">
              <a16:creationId xmlns="" xmlns:a16="http://schemas.microsoft.com/office/drawing/2014/main" id="{00000000-0008-0000-0000-0000D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5" name="Text Box 79">
          <a:extLst>
            <a:ext uri="{FF2B5EF4-FFF2-40B4-BE49-F238E27FC236}">
              <a16:creationId xmlns="" xmlns:a16="http://schemas.microsoft.com/office/drawing/2014/main" id="{00000000-0008-0000-0000-0000D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6" name="Text Box 80">
          <a:extLst>
            <a:ext uri="{FF2B5EF4-FFF2-40B4-BE49-F238E27FC236}">
              <a16:creationId xmlns="" xmlns:a16="http://schemas.microsoft.com/office/drawing/2014/main" id="{00000000-0008-0000-0000-0000E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7" name="Text Box 81">
          <a:extLst>
            <a:ext uri="{FF2B5EF4-FFF2-40B4-BE49-F238E27FC236}">
              <a16:creationId xmlns="" xmlns:a16="http://schemas.microsoft.com/office/drawing/2014/main" id="{00000000-0008-0000-0000-0000E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698" name="Text Box 82">
          <a:extLst>
            <a:ext uri="{FF2B5EF4-FFF2-40B4-BE49-F238E27FC236}">
              <a16:creationId xmlns="" xmlns:a16="http://schemas.microsoft.com/office/drawing/2014/main" id="{00000000-0008-0000-0000-0000E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99" name="Text Box 3079">
          <a:extLst>
            <a:ext uri="{FF2B5EF4-FFF2-40B4-BE49-F238E27FC236}">
              <a16:creationId xmlns="" xmlns:a16="http://schemas.microsoft.com/office/drawing/2014/main" id="{00000000-0008-0000-0000-0000E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0" name="Text Box 3080">
          <a:extLst>
            <a:ext uri="{FF2B5EF4-FFF2-40B4-BE49-F238E27FC236}">
              <a16:creationId xmlns="" xmlns:a16="http://schemas.microsoft.com/office/drawing/2014/main" id="{00000000-0008-0000-0000-0000E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1" name="Text Box 3081">
          <a:extLst>
            <a:ext uri="{FF2B5EF4-FFF2-40B4-BE49-F238E27FC236}">
              <a16:creationId xmlns="" xmlns:a16="http://schemas.microsoft.com/office/drawing/2014/main" id="{00000000-0008-0000-0000-0000E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2" name="Text Box 3082">
          <a:extLst>
            <a:ext uri="{FF2B5EF4-FFF2-40B4-BE49-F238E27FC236}">
              <a16:creationId xmlns="" xmlns:a16="http://schemas.microsoft.com/office/drawing/2014/main" id="{00000000-0008-0000-0000-0000E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3" name="Text Box 3083">
          <a:extLst>
            <a:ext uri="{FF2B5EF4-FFF2-40B4-BE49-F238E27FC236}">
              <a16:creationId xmlns="" xmlns:a16="http://schemas.microsoft.com/office/drawing/2014/main" id="{00000000-0008-0000-0000-0000E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4" name="Text Box 3084">
          <a:extLst>
            <a:ext uri="{FF2B5EF4-FFF2-40B4-BE49-F238E27FC236}">
              <a16:creationId xmlns="" xmlns:a16="http://schemas.microsoft.com/office/drawing/2014/main" id="{00000000-0008-0000-0000-0000E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5" name="Text Box 3085">
          <a:extLst>
            <a:ext uri="{FF2B5EF4-FFF2-40B4-BE49-F238E27FC236}">
              <a16:creationId xmlns="" xmlns:a16="http://schemas.microsoft.com/office/drawing/2014/main" id="{00000000-0008-0000-0000-0000E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6" name="Text Box 3086">
          <a:extLst>
            <a:ext uri="{FF2B5EF4-FFF2-40B4-BE49-F238E27FC236}">
              <a16:creationId xmlns="" xmlns:a16="http://schemas.microsoft.com/office/drawing/2014/main" id="{00000000-0008-0000-0000-0000E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7" name="Text Box 3087">
          <a:extLst>
            <a:ext uri="{FF2B5EF4-FFF2-40B4-BE49-F238E27FC236}">
              <a16:creationId xmlns="" xmlns:a16="http://schemas.microsoft.com/office/drawing/2014/main" id="{00000000-0008-0000-0000-0000E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8" name="Text Box 3088">
          <a:extLst>
            <a:ext uri="{FF2B5EF4-FFF2-40B4-BE49-F238E27FC236}">
              <a16:creationId xmlns="" xmlns:a16="http://schemas.microsoft.com/office/drawing/2014/main" id="{00000000-0008-0000-0000-0000E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9" name="Text Box 3089">
          <a:extLst>
            <a:ext uri="{FF2B5EF4-FFF2-40B4-BE49-F238E27FC236}">
              <a16:creationId xmlns="" xmlns:a16="http://schemas.microsoft.com/office/drawing/2014/main" id="{00000000-0008-0000-0000-0000E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0" name="Text Box 3090">
          <a:extLst>
            <a:ext uri="{FF2B5EF4-FFF2-40B4-BE49-F238E27FC236}">
              <a16:creationId xmlns="" xmlns:a16="http://schemas.microsoft.com/office/drawing/2014/main" id="{00000000-0008-0000-0000-0000E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1" name="Text Box 3091">
          <a:extLst>
            <a:ext uri="{FF2B5EF4-FFF2-40B4-BE49-F238E27FC236}">
              <a16:creationId xmlns="" xmlns:a16="http://schemas.microsoft.com/office/drawing/2014/main" id="{00000000-0008-0000-0000-0000E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2" name="Text Box 3092">
          <a:extLst>
            <a:ext uri="{FF2B5EF4-FFF2-40B4-BE49-F238E27FC236}">
              <a16:creationId xmlns="" xmlns:a16="http://schemas.microsoft.com/office/drawing/2014/main" id="{00000000-0008-0000-0000-0000F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3" name="Text Box 3093">
          <a:extLst>
            <a:ext uri="{FF2B5EF4-FFF2-40B4-BE49-F238E27FC236}">
              <a16:creationId xmlns="" xmlns:a16="http://schemas.microsoft.com/office/drawing/2014/main" id="{00000000-0008-0000-0000-0000F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4" name="Text Box 3094">
          <a:extLst>
            <a:ext uri="{FF2B5EF4-FFF2-40B4-BE49-F238E27FC236}">
              <a16:creationId xmlns="" xmlns:a16="http://schemas.microsoft.com/office/drawing/2014/main" id="{00000000-0008-0000-0000-0000F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5" name="Text Box 3095">
          <a:extLst>
            <a:ext uri="{FF2B5EF4-FFF2-40B4-BE49-F238E27FC236}">
              <a16:creationId xmlns="" xmlns:a16="http://schemas.microsoft.com/office/drawing/2014/main" id="{00000000-0008-0000-0000-0000F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6" name="Text Box 3096">
          <a:extLst>
            <a:ext uri="{FF2B5EF4-FFF2-40B4-BE49-F238E27FC236}">
              <a16:creationId xmlns="" xmlns:a16="http://schemas.microsoft.com/office/drawing/2014/main" id="{00000000-0008-0000-0000-0000F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7" name="Text Box 3097">
          <a:extLst>
            <a:ext uri="{FF2B5EF4-FFF2-40B4-BE49-F238E27FC236}">
              <a16:creationId xmlns="" xmlns:a16="http://schemas.microsoft.com/office/drawing/2014/main" id="{00000000-0008-0000-0000-0000F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8" name="Text Box 3098">
          <a:extLst>
            <a:ext uri="{FF2B5EF4-FFF2-40B4-BE49-F238E27FC236}">
              <a16:creationId xmlns="" xmlns:a16="http://schemas.microsoft.com/office/drawing/2014/main" id="{00000000-0008-0000-0000-0000F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9" name="Text Box 3099">
          <a:extLst>
            <a:ext uri="{FF2B5EF4-FFF2-40B4-BE49-F238E27FC236}">
              <a16:creationId xmlns="" xmlns:a16="http://schemas.microsoft.com/office/drawing/2014/main" id="{00000000-0008-0000-0000-0000F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20" name="Text Box 3100">
          <a:extLst>
            <a:ext uri="{FF2B5EF4-FFF2-40B4-BE49-F238E27FC236}">
              <a16:creationId xmlns="" xmlns:a16="http://schemas.microsoft.com/office/drawing/2014/main" id="{00000000-0008-0000-0000-0000F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21" name="Text Box 3101">
          <a:extLst>
            <a:ext uri="{FF2B5EF4-FFF2-40B4-BE49-F238E27FC236}">
              <a16:creationId xmlns="" xmlns:a16="http://schemas.microsoft.com/office/drawing/2014/main" id="{00000000-0008-0000-0000-0000F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722" name="Text Box 3102">
          <a:extLst>
            <a:ext uri="{FF2B5EF4-FFF2-40B4-BE49-F238E27FC236}">
              <a16:creationId xmlns="" xmlns:a16="http://schemas.microsoft.com/office/drawing/2014/main" id="{00000000-0008-0000-0000-0000F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3" name="Text Box 59">
          <a:extLst>
            <a:ext uri="{FF2B5EF4-FFF2-40B4-BE49-F238E27FC236}">
              <a16:creationId xmlns="" xmlns:a16="http://schemas.microsoft.com/office/drawing/2014/main" id="{00000000-0008-0000-0000-0000F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4" name="Text Box 60">
          <a:extLst>
            <a:ext uri="{FF2B5EF4-FFF2-40B4-BE49-F238E27FC236}">
              <a16:creationId xmlns="" xmlns:a16="http://schemas.microsoft.com/office/drawing/2014/main" id="{00000000-0008-0000-0000-0000F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5" name="Text Box 61">
          <a:extLst>
            <a:ext uri="{FF2B5EF4-FFF2-40B4-BE49-F238E27FC236}">
              <a16:creationId xmlns="" xmlns:a16="http://schemas.microsoft.com/office/drawing/2014/main" id="{00000000-0008-0000-0000-0000F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6" name="Text Box 62">
          <a:extLst>
            <a:ext uri="{FF2B5EF4-FFF2-40B4-BE49-F238E27FC236}">
              <a16:creationId xmlns="" xmlns:a16="http://schemas.microsoft.com/office/drawing/2014/main" id="{00000000-0008-0000-0000-0000F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7" name="Text Box 63">
          <a:extLst>
            <a:ext uri="{FF2B5EF4-FFF2-40B4-BE49-F238E27FC236}">
              <a16:creationId xmlns="" xmlns:a16="http://schemas.microsoft.com/office/drawing/2014/main" id="{00000000-0008-0000-0000-0000F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8" name="Text Box 64">
          <a:extLst>
            <a:ext uri="{FF2B5EF4-FFF2-40B4-BE49-F238E27FC236}">
              <a16:creationId xmlns="" xmlns:a16="http://schemas.microsoft.com/office/drawing/2014/main" id="{00000000-0008-0000-0000-00000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9" name="Text Box 65">
          <a:extLst>
            <a:ext uri="{FF2B5EF4-FFF2-40B4-BE49-F238E27FC236}">
              <a16:creationId xmlns="" xmlns:a16="http://schemas.microsoft.com/office/drawing/2014/main" id="{00000000-0008-0000-0000-00000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0" name="Text Box 66">
          <a:extLst>
            <a:ext uri="{FF2B5EF4-FFF2-40B4-BE49-F238E27FC236}">
              <a16:creationId xmlns="" xmlns:a16="http://schemas.microsoft.com/office/drawing/2014/main" id="{00000000-0008-0000-0000-00000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1" name="Text Box 67">
          <a:extLst>
            <a:ext uri="{FF2B5EF4-FFF2-40B4-BE49-F238E27FC236}">
              <a16:creationId xmlns="" xmlns:a16="http://schemas.microsoft.com/office/drawing/2014/main" id="{00000000-0008-0000-0000-00000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2" name="Text Box 68">
          <a:extLst>
            <a:ext uri="{FF2B5EF4-FFF2-40B4-BE49-F238E27FC236}">
              <a16:creationId xmlns="" xmlns:a16="http://schemas.microsoft.com/office/drawing/2014/main" id="{00000000-0008-0000-0000-00000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3" name="Text Box 69">
          <a:extLst>
            <a:ext uri="{FF2B5EF4-FFF2-40B4-BE49-F238E27FC236}">
              <a16:creationId xmlns="" xmlns:a16="http://schemas.microsoft.com/office/drawing/2014/main" id="{00000000-0008-0000-0000-00000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4" name="Text Box 70">
          <a:extLst>
            <a:ext uri="{FF2B5EF4-FFF2-40B4-BE49-F238E27FC236}">
              <a16:creationId xmlns="" xmlns:a16="http://schemas.microsoft.com/office/drawing/2014/main" id="{00000000-0008-0000-0000-00000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5" name="Text Box 71">
          <a:extLst>
            <a:ext uri="{FF2B5EF4-FFF2-40B4-BE49-F238E27FC236}">
              <a16:creationId xmlns="" xmlns:a16="http://schemas.microsoft.com/office/drawing/2014/main" id="{00000000-0008-0000-0000-00000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6" name="Text Box 72">
          <a:extLst>
            <a:ext uri="{FF2B5EF4-FFF2-40B4-BE49-F238E27FC236}">
              <a16:creationId xmlns="" xmlns:a16="http://schemas.microsoft.com/office/drawing/2014/main" id="{00000000-0008-0000-0000-00000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7" name="Text Box 73">
          <a:extLst>
            <a:ext uri="{FF2B5EF4-FFF2-40B4-BE49-F238E27FC236}">
              <a16:creationId xmlns="" xmlns:a16="http://schemas.microsoft.com/office/drawing/2014/main" id="{00000000-0008-0000-0000-00000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8" name="Text Box 74">
          <a:extLst>
            <a:ext uri="{FF2B5EF4-FFF2-40B4-BE49-F238E27FC236}">
              <a16:creationId xmlns="" xmlns:a16="http://schemas.microsoft.com/office/drawing/2014/main" id="{00000000-0008-0000-0000-00000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9" name="Text Box 75">
          <a:extLst>
            <a:ext uri="{FF2B5EF4-FFF2-40B4-BE49-F238E27FC236}">
              <a16:creationId xmlns="" xmlns:a16="http://schemas.microsoft.com/office/drawing/2014/main" id="{00000000-0008-0000-0000-00000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0" name="Text Box 76">
          <a:extLst>
            <a:ext uri="{FF2B5EF4-FFF2-40B4-BE49-F238E27FC236}">
              <a16:creationId xmlns="" xmlns:a16="http://schemas.microsoft.com/office/drawing/2014/main" id="{00000000-0008-0000-0000-00000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1" name="Text Box 77">
          <a:extLst>
            <a:ext uri="{FF2B5EF4-FFF2-40B4-BE49-F238E27FC236}">
              <a16:creationId xmlns="" xmlns:a16="http://schemas.microsoft.com/office/drawing/2014/main" id="{00000000-0008-0000-0000-00000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2" name="Text Box 78">
          <a:extLst>
            <a:ext uri="{FF2B5EF4-FFF2-40B4-BE49-F238E27FC236}">
              <a16:creationId xmlns="" xmlns:a16="http://schemas.microsoft.com/office/drawing/2014/main" id="{00000000-0008-0000-0000-00000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3" name="Text Box 79">
          <a:extLst>
            <a:ext uri="{FF2B5EF4-FFF2-40B4-BE49-F238E27FC236}">
              <a16:creationId xmlns="" xmlns:a16="http://schemas.microsoft.com/office/drawing/2014/main" id="{00000000-0008-0000-0000-00000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4" name="Text Box 80">
          <a:extLst>
            <a:ext uri="{FF2B5EF4-FFF2-40B4-BE49-F238E27FC236}">
              <a16:creationId xmlns="" xmlns:a16="http://schemas.microsoft.com/office/drawing/2014/main" id="{00000000-0008-0000-0000-00001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5" name="Text Box 81">
          <a:extLst>
            <a:ext uri="{FF2B5EF4-FFF2-40B4-BE49-F238E27FC236}">
              <a16:creationId xmlns="" xmlns:a16="http://schemas.microsoft.com/office/drawing/2014/main" id="{00000000-0008-0000-0000-00001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6" name="Text Box 3079">
          <a:extLst>
            <a:ext uri="{FF2B5EF4-FFF2-40B4-BE49-F238E27FC236}">
              <a16:creationId xmlns="" xmlns:a16="http://schemas.microsoft.com/office/drawing/2014/main" id="{00000000-0008-0000-0000-00001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7" name="Text Box 3080">
          <a:extLst>
            <a:ext uri="{FF2B5EF4-FFF2-40B4-BE49-F238E27FC236}">
              <a16:creationId xmlns="" xmlns:a16="http://schemas.microsoft.com/office/drawing/2014/main" id="{00000000-0008-0000-0000-00001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8" name="Text Box 3081">
          <a:extLst>
            <a:ext uri="{FF2B5EF4-FFF2-40B4-BE49-F238E27FC236}">
              <a16:creationId xmlns="" xmlns:a16="http://schemas.microsoft.com/office/drawing/2014/main" id="{00000000-0008-0000-0000-00001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9" name="Text Box 3082">
          <a:extLst>
            <a:ext uri="{FF2B5EF4-FFF2-40B4-BE49-F238E27FC236}">
              <a16:creationId xmlns="" xmlns:a16="http://schemas.microsoft.com/office/drawing/2014/main" id="{00000000-0008-0000-0000-00001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0" name="Text Box 3083">
          <a:extLst>
            <a:ext uri="{FF2B5EF4-FFF2-40B4-BE49-F238E27FC236}">
              <a16:creationId xmlns="" xmlns:a16="http://schemas.microsoft.com/office/drawing/2014/main" id="{00000000-0008-0000-0000-00001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1" name="Text Box 3084">
          <a:extLst>
            <a:ext uri="{FF2B5EF4-FFF2-40B4-BE49-F238E27FC236}">
              <a16:creationId xmlns="" xmlns:a16="http://schemas.microsoft.com/office/drawing/2014/main" id="{00000000-0008-0000-0000-00001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2" name="Text Box 3085">
          <a:extLst>
            <a:ext uri="{FF2B5EF4-FFF2-40B4-BE49-F238E27FC236}">
              <a16:creationId xmlns="" xmlns:a16="http://schemas.microsoft.com/office/drawing/2014/main" id="{00000000-0008-0000-0000-00001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3" name="Text Box 3086">
          <a:extLst>
            <a:ext uri="{FF2B5EF4-FFF2-40B4-BE49-F238E27FC236}">
              <a16:creationId xmlns="" xmlns:a16="http://schemas.microsoft.com/office/drawing/2014/main" id="{00000000-0008-0000-0000-00001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4" name="Text Box 3087">
          <a:extLst>
            <a:ext uri="{FF2B5EF4-FFF2-40B4-BE49-F238E27FC236}">
              <a16:creationId xmlns="" xmlns:a16="http://schemas.microsoft.com/office/drawing/2014/main" id="{00000000-0008-0000-0000-00001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5" name="Text Box 3088">
          <a:extLst>
            <a:ext uri="{FF2B5EF4-FFF2-40B4-BE49-F238E27FC236}">
              <a16:creationId xmlns="" xmlns:a16="http://schemas.microsoft.com/office/drawing/2014/main" id="{00000000-0008-0000-0000-00001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6" name="Text Box 3089">
          <a:extLst>
            <a:ext uri="{FF2B5EF4-FFF2-40B4-BE49-F238E27FC236}">
              <a16:creationId xmlns="" xmlns:a16="http://schemas.microsoft.com/office/drawing/2014/main" id="{00000000-0008-0000-0000-00001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7" name="Text Box 3090">
          <a:extLst>
            <a:ext uri="{FF2B5EF4-FFF2-40B4-BE49-F238E27FC236}">
              <a16:creationId xmlns="" xmlns:a16="http://schemas.microsoft.com/office/drawing/2014/main" id="{00000000-0008-0000-0000-00001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8" name="Text Box 3091">
          <a:extLst>
            <a:ext uri="{FF2B5EF4-FFF2-40B4-BE49-F238E27FC236}">
              <a16:creationId xmlns="" xmlns:a16="http://schemas.microsoft.com/office/drawing/2014/main" id="{00000000-0008-0000-0000-00001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9" name="Text Box 3092">
          <a:extLst>
            <a:ext uri="{FF2B5EF4-FFF2-40B4-BE49-F238E27FC236}">
              <a16:creationId xmlns="" xmlns:a16="http://schemas.microsoft.com/office/drawing/2014/main" id="{00000000-0008-0000-0000-00001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0" name="Text Box 3093">
          <a:extLst>
            <a:ext uri="{FF2B5EF4-FFF2-40B4-BE49-F238E27FC236}">
              <a16:creationId xmlns="" xmlns:a16="http://schemas.microsoft.com/office/drawing/2014/main" id="{00000000-0008-0000-0000-00002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1" name="Text Box 3094">
          <a:extLst>
            <a:ext uri="{FF2B5EF4-FFF2-40B4-BE49-F238E27FC236}">
              <a16:creationId xmlns="" xmlns:a16="http://schemas.microsoft.com/office/drawing/2014/main" id="{00000000-0008-0000-0000-00002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2" name="Text Box 3095">
          <a:extLst>
            <a:ext uri="{FF2B5EF4-FFF2-40B4-BE49-F238E27FC236}">
              <a16:creationId xmlns="" xmlns:a16="http://schemas.microsoft.com/office/drawing/2014/main" id="{00000000-0008-0000-0000-00002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3" name="Text Box 3096">
          <a:extLst>
            <a:ext uri="{FF2B5EF4-FFF2-40B4-BE49-F238E27FC236}">
              <a16:creationId xmlns="" xmlns:a16="http://schemas.microsoft.com/office/drawing/2014/main" id="{00000000-0008-0000-0000-00002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4" name="Text Box 3097">
          <a:extLst>
            <a:ext uri="{FF2B5EF4-FFF2-40B4-BE49-F238E27FC236}">
              <a16:creationId xmlns="" xmlns:a16="http://schemas.microsoft.com/office/drawing/2014/main" id="{00000000-0008-0000-0000-00002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5" name="Text Box 3098">
          <a:extLst>
            <a:ext uri="{FF2B5EF4-FFF2-40B4-BE49-F238E27FC236}">
              <a16:creationId xmlns="" xmlns:a16="http://schemas.microsoft.com/office/drawing/2014/main" id="{00000000-0008-0000-0000-00002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6" name="Text Box 3099">
          <a:extLst>
            <a:ext uri="{FF2B5EF4-FFF2-40B4-BE49-F238E27FC236}">
              <a16:creationId xmlns="" xmlns:a16="http://schemas.microsoft.com/office/drawing/2014/main" id="{00000000-0008-0000-0000-00002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7" name="Text Box 3100">
          <a:extLst>
            <a:ext uri="{FF2B5EF4-FFF2-40B4-BE49-F238E27FC236}">
              <a16:creationId xmlns="" xmlns:a16="http://schemas.microsoft.com/office/drawing/2014/main" id="{00000000-0008-0000-0000-00002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8" name="Text Box 3101">
          <a:extLst>
            <a:ext uri="{FF2B5EF4-FFF2-40B4-BE49-F238E27FC236}">
              <a16:creationId xmlns="" xmlns:a16="http://schemas.microsoft.com/office/drawing/2014/main" id="{00000000-0008-0000-0000-00002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769" name="Text Box 3102">
          <a:extLst>
            <a:ext uri="{FF2B5EF4-FFF2-40B4-BE49-F238E27FC236}">
              <a16:creationId xmlns="" xmlns:a16="http://schemas.microsoft.com/office/drawing/2014/main" id="{00000000-0008-0000-0000-00002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0" name="Text Box 59">
          <a:extLst>
            <a:ext uri="{FF2B5EF4-FFF2-40B4-BE49-F238E27FC236}">
              <a16:creationId xmlns="" xmlns:a16="http://schemas.microsoft.com/office/drawing/2014/main" id="{00000000-0008-0000-0000-00002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1" name="Text Box 60">
          <a:extLst>
            <a:ext uri="{FF2B5EF4-FFF2-40B4-BE49-F238E27FC236}">
              <a16:creationId xmlns="" xmlns:a16="http://schemas.microsoft.com/office/drawing/2014/main" id="{00000000-0008-0000-0000-00002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2" name="Text Box 61">
          <a:extLst>
            <a:ext uri="{FF2B5EF4-FFF2-40B4-BE49-F238E27FC236}">
              <a16:creationId xmlns="" xmlns:a16="http://schemas.microsoft.com/office/drawing/2014/main" id="{00000000-0008-0000-0000-00002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3" name="Text Box 62">
          <a:extLst>
            <a:ext uri="{FF2B5EF4-FFF2-40B4-BE49-F238E27FC236}">
              <a16:creationId xmlns="" xmlns:a16="http://schemas.microsoft.com/office/drawing/2014/main" id="{00000000-0008-0000-0000-00002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4" name="Text Box 63">
          <a:extLst>
            <a:ext uri="{FF2B5EF4-FFF2-40B4-BE49-F238E27FC236}">
              <a16:creationId xmlns="" xmlns:a16="http://schemas.microsoft.com/office/drawing/2014/main" id="{00000000-0008-0000-0000-00002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5" name="Text Box 64">
          <a:extLst>
            <a:ext uri="{FF2B5EF4-FFF2-40B4-BE49-F238E27FC236}">
              <a16:creationId xmlns="" xmlns:a16="http://schemas.microsoft.com/office/drawing/2014/main" id="{00000000-0008-0000-0000-00002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6" name="Text Box 65">
          <a:extLst>
            <a:ext uri="{FF2B5EF4-FFF2-40B4-BE49-F238E27FC236}">
              <a16:creationId xmlns="" xmlns:a16="http://schemas.microsoft.com/office/drawing/2014/main" id="{00000000-0008-0000-0000-00003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7" name="Text Box 66">
          <a:extLst>
            <a:ext uri="{FF2B5EF4-FFF2-40B4-BE49-F238E27FC236}">
              <a16:creationId xmlns="" xmlns:a16="http://schemas.microsoft.com/office/drawing/2014/main" id="{00000000-0008-0000-0000-00003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8" name="Text Box 67">
          <a:extLst>
            <a:ext uri="{FF2B5EF4-FFF2-40B4-BE49-F238E27FC236}">
              <a16:creationId xmlns="" xmlns:a16="http://schemas.microsoft.com/office/drawing/2014/main" id="{00000000-0008-0000-0000-00003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9" name="Text Box 68">
          <a:extLst>
            <a:ext uri="{FF2B5EF4-FFF2-40B4-BE49-F238E27FC236}">
              <a16:creationId xmlns="" xmlns:a16="http://schemas.microsoft.com/office/drawing/2014/main" id="{00000000-0008-0000-0000-00003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0" name="Text Box 69">
          <a:extLst>
            <a:ext uri="{FF2B5EF4-FFF2-40B4-BE49-F238E27FC236}">
              <a16:creationId xmlns="" xmlns:a16="http://schemas.microsoft.com/office/drawing/2014/main" id="{00000000-0008-0000-0000-00003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1" name="Text Box 70">
          <a:extLst>
            <a:ext uri="{FF2B5EF4-FFF2-40B4-BE49-F238E27FC236}">
              <a16:creationId xmlns="" xmlns:a16="http://schemas.microsoft.com/office/drawing/2014/main" id="{00000000-0008-0000-0000-00003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2" name="Text Box 71">
          <a:extLst>
            <a:ext uri="{FF2B5EF4-FFF2-40B4-BE49-F238E27FC236}">
              <a16:creationId xmlns="" xmlns:a16="http://schemas.microsoft.com/office/drawing/2014/main" id="{00000000-0008-0000-0000-00003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3" name="Text Box 72">
          <a:extLst>
            <a:ext uri="{FF2B5EF4-FFF2-40B4-BE49-F238E27FC236}">
              <a16:creationId xmlns="" xmlns:a16="http://schemas.microsoft.com/office/drawing/2014/main" id="{00000000-0008-0000-0000-00003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4" name="Text Box 73">
          <a:extLst>
            <a:ext uri="{FF2B5EF4-FFF2-40B4-BE49-F238E27FC236}">
              <a16:creationId xmlns="" xmlns:a16="http://schemas.microsoft.com/office/drawing/2014/main" id="{00000000-0008-0000-0000-00003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5" name="Text Box 74">
          <a:extLst>
            <a:ext uri="{FF2B5EF4-FFF2-40B4-BE49-F238E27FC236}">
              <a16:creationId xmlns="" xmlns:a16="http://schemas.microsoft.com/office/drawing/2014/main" id="{00000000-0008-0000-0000-00003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6" name="Text Box 75">
          <a:extLst>
            <a:ext uri="{FF2B5EF4-FFF2-40B4-BE49-F238E27FC236}">
              <a16:creationId xmlns="" xmlns:a16="http://schemas.microsoft.com/office/drawing/2014/main" id="{00000000-0008-0000-0000-00003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7" name="Text Box 76">
          <a:extLst>
            <a:ext uri="{FF2B5EF4-FFF2-40B4-BE49-F238E27FC236}">
              <a16:creationId xmlns="" xmlns:a16="http://schemas.microsoft.com/office/drawing/2014/main" id="{00000000-0008-0000-0000-00003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8" name="Text Box 77">
          <a:extLst>
            <a:ext uri="{FF2B5EF4-FFF2-40B4-BE49-F238E27FC236}">
              <a16:creationId xmlns="" xmlns:a16="http://schemas.microsoft.com/office/drawing/2014/main" id="{00000000-0008-0000-0000-00003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9" name="Text Box 78">
          <a:extLst>
            <a:ext uri="{FF2B5EF4-FFF2-40B4-BE49-F238E27FC236}">
              <a16:creationId xmlns="" xmlns:a16="http://schemas.microsoft.com/office/drawing/2014/main" id="{00000000-0008-0000-0000-00003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0" name="Text Box 79">
          <a:extLst>
            <a:ext uri="{FF2B5EF4-FFF2-40B4-BE49-F238E27FC236}">
              <a16:creationId xmlns="" xmlns:a16="http://schemas.microsoft.com/office/drawing/2014/main" id="{00000000-0008-0000-0000-00003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1" name="Text Box 80">
          <a:extLst>
            <a:ext uri="{FF2B5EF4-FFF2-40B4-BE49-F238E27FC236}">
              <a16:creationId xmlns="" xmlns:a16="http://schemas.microsoft.com/office/drawing/2014/main" id="{00000000-0008-0000-0000-00003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2" name="Text Box 81">
          <a:extLst>
            <a:ext uri="{FF2B5EF4-FFF2-40B4-BE49-F238E27FC236}">
              <a16:creationId xmlns="" xmlns:a16="http://schemas.microsoft.com/office/drawing/2014/main" id="{00000000-0008-0000-0000-00004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793" name="Text Box 82">
          <a:extLst>
            <a:ext uri="{FF2B5EF4-FFF2-40B4-BE49-F238E27FC236}">
              <a16:creationId xmlns="" xmlns:a16="http://schemas.microsoft.com/office/drawing/2014/main" id="{00000000-0008-0000-0000-00004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4" name="Text Box 3079">
          <a:extLst>
            <a:ext uri="{FF2B5EF4-FFF2-40B4-BE49-F238E27FC236}">
              <a16:creationId xmlns="" xmlns:a16="http://schemas.microsoft.com/office/drawing/2014/main" id="{00000000-0008-0000-0000-00004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5" name="Text Box 3080">
          <a:extLst>
            <a:ext uri="{FF2B5EF4-FFF2-40B4-BE49-F238E27FC236}">
              <a16:creationId xmlns="" xmlns:a16="http://schemas.microsoft.com/office/drawing/2014/main" id="{00000000-0008-0000-0000-00004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6" name="Text Box 3081">
          <a:extLst>
            <a:ext uri="{FF2B5EF4-FFF2-40B4-BE49-F238E27FC236}">
              <a16:creationId xmlns="" xmlns:a16="http://schemas.microsoft.com/office/drawing/2014/main" id="{00000000-0008-0000-0000-00004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7" name="Text Box 3082">
          <a:extLst>
            <a:ext uri="{FF2B5EF4-FFF2-40B4-BE49-F238E27FC236}">
              <a16:creationId xmlns="" xmlns:a16="http://schemas.microsoft.com/office/drawing/2014/main" id="{00000000-0008-0000-0000-00004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8" name="Text Box 3083">
          <a:extLst>
            <a:ext uri="{FF2B5EF4-FFF2-40B4-BE49-F238E27FC236}">
              <a16:creationId xmlns="" xmlns:a16="http://schemas.microsoft.com/office/drawing/2014/main" id="{00000000-0008-0000-0000-00004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9" name="Text Box 3084">
          <a:extLst>
            <a:ext uri="{FF2B5EF4-FFF2-40B4-BE49-F238E27FC236}">
              <a16:creationId xmlns="" xmlns:a16="http://schemas.microsoft.com/office/drawing/2014/main" id="{00000000-0008-0000-0000-00004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0" name="Text Box 3085">
          <a:extLst>
            <a:ext uri="{FF2B5EF4-FFF2-40B4-BE49-F238E27FC236}">
              <a16:creationId xmlns="" xmlns:a16="http://schemas.microsoft.com/office/drawing/2014/main" id="{00000000-0008-0000-0000-00004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1" name="Text Box 3086">
          <a:extLst>
            <a:ext uri="{FF2B5EF4-FFF2-40B4-BE49-F238E27FC236}">
              <a16:creationId xmlns="" xmlns:a16="http://schemas.microsoft.com/office/drawing/2014/main" id="{00000000-0008-0000-0000-00004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2" name="Text Box 3087">
          <a:extLst>
            <a:ext uri="{FF2B5EF4-FFF2-40B4-BE49-F238E27FC236}">
              <a16:creationId xmlns="" xmlns:a16="http://schemas.microsoft.com/office/drawing/2014/main" id="{00000000-0008-0000-0000-00004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3" name="Text Box 3088">
          <a:extLst>
            <a:ext uri="{FF2B5EF4-FFF2-40B4-BE49-F238E27FC236}">
              <a16:creationId xmlns="" xmlns:a16="http://schemas.microsoft.com/office/drawing/2014/main" id="{00000000-0008-0000-0000-00004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4" name="Text Box 3089">
          <a:extLst>
            <a:ext uri="{FF2B5EF4-FFF2-40B4-BE49-F238E27FC236}">
              <a16:creationId xmlns="" xmlns:a16="http://schemas.microsoft.com/office/drawing/2014/main" id="{00000000-0008-0000-0000-00004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5" name="Text Box 3090">
          <a:extLst>
            <a:ext uri="{FF2B5EF4-FFF2-40B4-BE49-F238E27FC236}">
              <a16:creationId xmlns="" xmlns:a16="http://schemas.microsoft.com/office/drawing/2014/main" id="{00000000-0008-0000-0000-00004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6" name="Text Box 3091">
          <a:extLst>
            <a:ext uri="{FF2B5EF4-FFF2-40B4-BE49-F238E27FC236}">
              <a16:creationId xmlns="" xmlns:a16="http://schemas.microsoft.com/office/drawing/2014/main" id="{00000000-0008-0000-0000-00004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7" name="Text Box 3092">
          <a:extLst>
            <a:ext uri="{FF2B5EF4-FFF2-40B4-BE49-F238E27FC236}">
              <a16:creationId xmlns="" xmlns:a16="http://schemas.microsoft.com/office/drawing/2014/main" id="{00000000-0008-0000-0000-00004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8" name="Text Box 3093">
          <a:extLst>
            <a:ext uri="{FF2B5EF4-FFF2-40B4-BE49-F238E27FC236}">
              <a16:creationId xmlns="" xmlns:a16="http://schemas.microsoft.com/office/drawing/2014/main" id="{00000000-0008-0000-0000-00005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9" name="Text Box 3094">
          <a:extLst>
            <a:ext uri="{FF2B5EF4-FFF2-40B4-BE49-F238E27FC236}">
              <a16:creationId xmlns="" xmlns:a16="http://schemas.microsoft.com/office/drawing/2014/main" id="{00000000-0008-0000-0000-00005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0" name="Text Box 3095">
          <a:extLst>
            <a:ext uri="{FF2B5EF4-FFF2-40B4-BE49-F238E27FC236}">
              <a16:creationId xmlns="" xmlns:a16="http://schemas.microsoft.com/office/drawing/2014/main" id="{00000000-0008-0000-0000-00005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1" name="Text Box 3096">
          <a:extLst>
            <a:ext uri="{FF2B5EF4-FFF2-40B4-BE49-F238E27FC236}">
              <a16:creationId xmlns="" xmlns:a16="http://schemas.microsoft.com/office/drawing/2014/main" id="{00000000-0008-0000-0000-00005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2" name="Text Box 3097">
          <a:extLst>
            <a:ext uri="{FF2B5EF4-FFF2-40B4-BE49-F238E27FC236}">
              <a16:creationId xmlns="" xmlns:a16="http://schemas.microsoft.com/office/drawing/2014/main" id="{00000000-0008-0000-0000-00005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3" name="Text Box 3098">
          <a:extLst>
            <a:ext uri="{FF2B5EF4-FFF2-40B4-BE49-F238E27FC236}">
              <a16:creationId xmlns="" xmlns:a16="http://schemas.microsoft.com/office/drawing/2014/main" id="{00000000-0008-0000-0000-00005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4" name="Text Box 3099">
          <a:extLst>
            <a:ext uri="{FF2B5EF4-FFF2-40B4-BE49-F238E27FC236}">
              <a16:creationId xmlns="" xmlns:a16="http://schemas.microsoft.com/office/drawing/2014/main" id="{00000000-0008-0000-0000-00005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5" name="Text Box 3100">
          <a:extLst>
            <a:ext uri="{FF2B5EF4-FFF2-40B4-BE49-F238E27FC236}">
              <a16:creationId xmlns="" xmlns:a16="http://schemas.microsoft.com/office/drawing/2014/main" id="{00000000-0008-0000-0000-00005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6" name="Text Box 3101">
          <a:extLst>
            <a:ext uri="{FF2B5EF4-FFF2-40B4-BE49-F238E27FC236}">
              <a16:creationId xmlns="" xmlns:a16="http://schemas.microsoft.com/office/drawing/2014/main" id="{00000000-0008-0000-0000-00005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817" name="Text Box 3102">
          <a:extLst>
            <a:ext uri="{FF2B5EF4-FFF2-40B4-BE49-F238E27FC236}">
              <a16:creationId xmlns="" xmlns:a16="http://schemas.microsoft.com/office/drawing/2014/main" id="{00000000-0008-0000-0000-00005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18" name="Text Box 59">
          <a:extLst>
            <a:ext uri="{FF2B5EF4-FFF2-40B4-BE49-F238E27FC236}">
              <a16:creationId xmlns="" xmlns:a16="http://schemas.microsoft.com/office/drawing/2014/main" id="{00000000-0008-0000-0000-00005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19" name="Text Box 60">
          <a:extLst>
            <a:ext uri="{FF2B5EF4-FFF2-40B4-BE49-F238E27FC236}">
              <a16:creationId xmlns="" xmlns:a16="http://schemas.microsoft.com/office/drawing/2014/main" id="{00000000-0008-0000-0000-00005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0" name="Text Box 61">
          <a:extLst>
            <a:ext uri="{FF2B5EF4-FFF2-40B4-BE49-F238E27FC236}">
              <a16:creationId xmlns="" xmlns:a16="http://schemas.microsoft.com/office/drawing/2014/main" id="{00000000-0008-0000-0000-00005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1" name="Text Box 62">
          <a:extLst>
            <a:ext uri="{FF2B5EF4-FFF2-40B4-BE49-F238E27FC236}">
              <a16:creationId xmlns="" xmlns:a16="http://schemas.microsoft.com/office/drawing/2014/main" id="{00000000-0008-0000-0000-00005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2" name="Text Box 63">
          <a:extLst>
            <a:ext uri="{FF2B5EF4-FFF2-40B4-BE49-F238E27FC236}">
              <a16:creationId xmlns="" xmlns:a16="http://schemas.microsoft.com/office/drawing/2014/main" id="{00000000-0008-0000-0000-00005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3" name="Text Box 64">
          <a:extLst>
            <a:ext uri="{FF2B5EF4-FFF2-40B4-BE49-F238E27FC236}">
              <a16:creationId xmlns="" xmlns:a16="http://schemas.microsoft.com/office/drawing/2014/main" id="{00000000-0008-0000-0000-00005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4" name="Text Box 65">
          <a:extLst>
            <a:ext uri="{FF2B5EF4-FFF2-40B4-BE49-F238E27FC236}">
              <a16:creationId xmlns="" xmlns:a16="http://schemas.microsoft.com/office/drawing/2014/main" id="{00000000-0008-0000-0000-00006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5" name="Text Box 66">
          <a:extLst>
            <a:ext uri="{FF2B5EF4-FFF2-40B4-BE49-F238E27FC236}">
              <a16:creationId xmlns="" xmlns:a16="http://schemas.microsoft.com/office/drawing/2014/main" id="{00000000-0008-0000-0000-00006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6" name="Text Box 67">
          <a:extLst>
            <a:ext uri="{FF2B5EF4-FFF2-40B4-BE49-F238E27FC236}">
              <a16:creationId xmlns="" xmlns:a16="http://schemas.microsoft.com/office/drawing/2014/main" id="{00000000-0008-0000-0000-00006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7" name="Text Box 68">
          <a:extLst>
            <a:ext uri="{FF2B5EF4-FFF2-40B4-BE49-F238E27FC236}">
              <a16:creationId xmlns="" xmlns:a16="http://schemas.microsoft.com/office/drawing/2014/main" id="{00000000-0008-0000-0000-00006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8" name="Text Box 69">
          <a:extLst>
            <a:ext uri="{FF2B5EF4-FFF2-40B4-BE49-F238E27FC236}">
              <a16:creationId xmlns="" xmlns:a16="http://schemas.microsoft.com/office/drawing/2014/main" id="{00000000-0008-0000-0000-00006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9" name="Text Box 70">
          <a:extLst>
            <a:ext uri="{FF2B5EF4-FFF2-40B4-BE49-F238E27FC236}">
              <a16:creationId xmlns="" xmlns:a16="http://schemas.microsoft.com/office/drawing/2014/main" id="{00000000-0008-0000-0000-00006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0" name="Text Box 71">
          <a:extLst>
            <a:ext uri="{FF2B5EF4-FFF2-40B4-BE49-F238E27FC236}">
              <a16:creationId xmlns="" xmlns:a16="http://schemas.microsoft.com/office/drawing/2014/main" id="{00000000-0008-0000-0000-00006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1" name="Text Box 72">
          <a:extLst>
            <a:ext uri="{FF2B5EF4-FFF2-40B4-BE49-F238E27FC236}">
              <a16:creationId xmlns="" xmlns:a16="http://schemas.microsoft.com/office/drawing/2014/main" id="{00000000-0008-0000-0000-00006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2" name="Text Box 73">
          <a:extLst>
            <a:ext uri="{FF2B5EF4-FFF2-40B4-BE49-F238E27FC236}">
              <a16:creationId xmlns="" xmlns:a16="http://schemas.microsoft.com/office/drawing/2014/main" id="{00000000-0008-0000-0000-00006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3" name="Text Box 74">
          <a:extLst>
            <a:ext uri="{FF2B5EF4-FFF2-40B4-BE49-F238E27FC236}">
              <a16:creationId xmlns="" xmlns:a16="http://schemas.microsoft.com/office/drawing/2014/main" id="{00000000-0008-0000-0000-00006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4" name="Text Box 75">
          <a:extLst>
            <a:ext uri="{FF2B5EF4-FFF2-40B4-BE49-F238E27FC236}">
              <a16:creationId xmlns="" xmlns:a16="http://schemas.microsoft.com/office/drawing/2014/main" id="{00000000-0008-0000-0000-00006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5" name="Text Box 76">
          <a:extLst>
            <a:ext uri="{FF2B5EF4-FFF2-40B4-BE49-F238E27FC236}">
              <a16:creationId xmlns="" xmlns:a16="http://schemas.microsoft.com/office/drawing/2014/main" id="{00000000-0008-0000-0000-00006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6" name="Text Box 77">
          <a:extLst>
            <a:ext uri="{FF2B5EF4-FFF2-40B4-BE49-F238E27FC236}">
              <a16:creationId xmlns="" xmlns:a16="http://schemas.microsoft.com/office/drawing/2014/main" id="{00000000-0008-0000-0000-00006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7" name="Text Box 78">
          <a:extLst>
            <a:ext uri="{FF2B5EF4-FFF2-40B4-BE49-F238E27FC236}">
              <a16:creationId xmlns="" xmlns:a16="http://schemas.microsoft.com/office/drawing/2014/main" id="{00000000-0008-0000-0000-00006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8" name="Text Box 79">
          <a:extLst>
            <a:ext uri="{FF2B5EF4-FFF2-40B4-BE49-F238E27FC236}">
              <a16:creationId xmlns="" xmlns:a16="http://schemas.microsoft.com/office/drawing/2014/main" id="{00000000-0008-0000-0000-00006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9" name="Text Box 80">
          <a:extLst>
            <a:ext uri="{FF2B5EF4-FFF2-40B4-BE49-F238E27FC236}">
              <a16:creationId xmlns="" xmlns:a16="http://schemas.microsoft.com/office/drawing/2014/main" id="{00000000-0008-0000-0000-00006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40" name="Text Box 81">
          <a:extLst>
            <a:ext uri="{FF2B5EF4-FFF2-40B4-BE49-F238E27FC236}">
              <a16:creationId xmlns="" xmlns:a16="http://schemas.microsoft.com/office/drawing/2014/main" id="{00000000-0008-0000-0000-00007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1" name="Text Box 3079">
          <a:extLst>
            <a:ext uri="{FF2B5EF4-FFF2-40B4-BE49-F238E27FC236}">
              <a16:creationId xmlns="" xmlns:a16="http://schemas.microsoft.com/office/drawing/2014/main" id="{00000000-0008-0000-0000-00007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2" name="Text Box 3080">
          <a:extLst>
            <a:ext uri="{FF2B5EF4-FFF2-40B4-BE49-F238E27FC236}">
              <a16:creationId xmlns="" xmlns:a16="http://schemas.microsoft.com/office/drawing/2014/main" id="{00000000-0008-0000-0000-00007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3" name="Text Box 3081">
          <a:extLst>
            <a:ext uri="{FF2B5EF4-FFF2-40B4-BE49-F238E27FC236}">
              <a16:creationId xmlns="" xmlns:a16="http://schemas.microsoft.com/office/drawing/2014/main" id="{00000000-0008-0000-0000-00007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4" name="Text Box 3082">
          <a:extLst>
            <a:ext uri="{FF2B5EF4-FFF2-40B4-BE49-F238E27FC236}">
              <a16:creationId xmlns="" xmlns:a16="http://schemas.microsoft.com/office/drawing/2014/main" id="{00000000-0008-0000-0000-00007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5" name="Text Box 3083">
          <a:extLst>
            <a:ext uri="{FF2B5EF4-FFF2-40B4-BE49-F238E27FC236}">
              <a16:creationId xmlns="" xmlns:a16="http://schemas.microsoft.com/office/drawing/2014/main" id="{00000000-0008-0000-0000-00007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6" name="Text Box 3084">
          <a:extLst>
            <a:ext uri="{FF2B5EF4-FFF2-40B4-BE49-F238E27FC236}">
              <a16:creationId xmlns="" xmlns:a16="http://schemas.microsoft.com/office/drawing/2014/main" id="{00000000-0008-0000-0000-00007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7" name="Text Box 3085">
          <a:extLst>
            <a:ext uri="{FF2B5EF4-FFF2-40B4-BE49-F238E27FC236}">
              <a16:creationId xmlns="" xmlns:a16="http://schemas.microsoft.com/office/drawing/2014/main" id="{00000000-0008-0000-0000-00007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8" name="Text Box 3086">
          <a:extLst>
            <a:ext uri="{FF2B5EF4-FFF2-40B4-BE49-F238E27FC236}">
              <a16:creationId xmlns="" xmlns:a16="http://schemas.microsoft.com/office/drawing/2014/main" id="{00000000-0008-0000-0000-00007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9" name="Text Box 3087">
          <a:extLst>
            <a:ext uri="{FF2B5EF4-FFF2-40B4-BE49-F238E27FC236}">
              <a16:creationId xmlns="" xmlns:a16="http://schemas.microsoft.com/office/drawing/2014/main" id="{00000000-0008-0000-0000-00007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0" name="Text Box 3088">
          <a:extLst>
            <a:ext uri="{FF2B5EF4-FFF2-40B4-BE49-F238E27FC236}">
              <a16:creationId xmlns="" xmlns:a16="http://schemas.microsoft.com/office/drawing/2014/main" id="{00000000-0008-0000-0000-00007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1" name="Text Box 3089">
          <a:extLst>
            <a:ext uri="{FF2B5EF4-FFF2-40B4-BE49-F238E27FC236}">
              <a16:creationId xmlns="" xmlns:a16="http://schemas.microsoft.com/office/drawing/2014/main" id="{00000000-0008-0000-0000-00007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2" name="Text Box 3090">
          <a:extLst>
            <a:ext uri="{FF2B5EF4-FFF2-40B4-BE49-F238E27FC236}">
              <a16:creationId xmlns="" xmlns:a16="http://schemas.microsoft.com/office/drawing/2014/main" id="{00000000-0008-0000-0000-00007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3" name="Text Box 3091">
          <a:extLst>
            <a:ext uri="{FF2B5EF4-FFF2-40B4-BE49-F238E27FC236}">
              <a16:creationId xmlns="" xmlns:a16="http://schemas.microsoft.com/office/drawing/2014/main" id="{00000000-0008-0000-0000-00007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4" name="Text Box 3092">
          <a:extLst>
            <a:ext uri="{FF2B5EF4-FFF2-40B4-BE49-F238E27FC236}">
              <a16:creationId xmlns="" xmlns:a16="http://schemas.microsoft.com/office/drawing/2014/main" id="{00000000-0008-0000-0000-00007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5" name="Text Box 3093">
          <a:extLst>
            <a:ext uri="{FF2B5EF4-FFF2-40B4-BE49-F238E27FC236}">
              <a16:creationId xmlns="" xmlns:a16="http://schemas.microsoft.com/office/drawing/2014/main" id="{00000000-0008-0000-0000-00007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6" name="Text Box 3094">
          <a:extLst>
            <a:ext uri="{FF2B5EF4-FFF2-40B4-BE49-F238E27FC236}">
              <a16:creationId xmlns="" xmlns:a16="http://schemas.microsoft.com/office/drawing/2014/main" id="{00000000-0008-0000-0000-00008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7" name="Text Box 3095">
          <a:extLst>
            <a:ext uri="{FF2B5EF4-FFF2-40B4-BE49-F238E27FC236}">
              <a16:creationId xmlns="" xmlns:a16="http://schemas.microsoft.com/office/drawing/2014/main" id="{00000000-0008-0000-0000-00008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8" name="Text Box 3096">
          <a:extLst>
            <a:ext uri="{FF2B5EF4-FFF2-40B4-BE49-F238E27FC236}">
              <a16:creationId xmlns="" xmlns:a16="http://schemas.microsoft.com/office/drawing/2014/main" id="{00000000-0008-0000-0000-00008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9" name="Text Box 3097">
          <a:extLst>
            <a:ext uri="{FF2B5EF4-FFF2-40B4-BE49-F238E27FC236}">
              <a16:creationId xmlns="" xmlns:a16="http://schemas.microsoft.com/office/drawing/2014/main" id="{00000000-0008-0000-0000-00008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0" name="Text Box 3098">
          <a:extLst>
            <a:ext uri="{FF2B5EF4-FFF2-40B4-BE49-F238E27FC236}">
              <a16:creationId xmlns="" xmlns:a16="http://schemas.microsoft.com/office/drawing/2014/main" id="{00000000-0008-0000-0000-00008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1" name="Text Box 3099">
          <a:extLst>
            <a:ext uri="{FF2B5EF4-FFF2-40B4-BE49-F238E27FC236}">
              <a16:creationId xmlns="" xmlns:a16="http://schemas.microsoft.com/office/drawing/2014/main" id="{00000000-0008-0000-0000-00008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2" name="Text Box 3100">
          <a:extLst>
            <a:ext uri="{FF2B5EF4-FFF2-40B4-BE49-F238E27FC236}">
              <a16:creationId xmlns="" xmlns:a16="http://schemas.microsoft.com/office/drawing/2014/main" id="{00000000-0008-0000-0000-00008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3" name="Text Box 3101">
          <a:extLst>
            <a:ext uri="{FF2B5EF4-FFF2-40B4-BE49-F238E27FC236}">
              <a16:creationId xmlns="" xmlns:a16="http://schemas.microsoft.com/office/drawing/2014/main" id="{00000000-0008-0000-0000-00008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864" name="Text Box 3102">
          <a:extLst>
            <a:ext uri="{FF2B5EF4-FFF2-40B4-BE49-F238E27FC236}">
              <a16:creationId xmlns="" xmlns:a16="http://schemas.microsoft.com/office/drawing/2014/main" id="{00000000-0008-0000-0000-00008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5" name="Text Box 59">
          <a:extLst>
            <a:ext uri="{FF2B5EF4-FFF2-40B4-BE49-F238E27FC236}">
              <a16:creationId xmlns="" xmlns:a16="http://schemas.microsoft.com/office/drawing/2014/main" id="{00000000-0008-0000-0000-00008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6" name="Text Box 60">
          <a:extLst>
            <a:ext uri="{FF2B5EF4-FFF2-40B4-BE49-F238E27FC236}">
              <a16:creationId xmlns="" xmlns:a16="http://schemas.microsoft.com/office/drawing/2014/main" id="{00000000-0008-0000-0000-00008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7" name="Text Box 61">
          <a:extLst>
            <a:ext uri="{FF2B5EF4-FFF2-40B4-BE49-F238E27FC236}">
              <a16:creationId xmlns="" xmlns:a16="http://schemas.microsoft.com/office/drawing/2014/main" id="{00000000-0008-0000-0000-00008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8" name="Text Box 62">
          <a:extLst>
            <a:ext uri="{FF2B5EF4-FFF2-40B4-BE49-F238E27FC236}">
              <a16:creationId xmlns="" xmlns:a16="http://schemas.microsoft.com/office/drawing/2014/main" id="{00000000-0008-0000-0000-00008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9" name="Text Box 63">
          <a:extLst>
            <a:ext uri="{FF2B5EF4-FFF2-40B4-BE49-F238E27FC236}">
              <a16:creationId xmlns="" xmlns:a16="http://schemas.microsoft.com/office/drawing/2014/main" id="{00000000-0008-0000-0000-00008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0" name="Text Box 64">
          <a:extLst>
            <a:ext uri="{FF2B5EF4-FFF2-40B4-BE49-F238E27FC236}">
              <a16:creationId xmlns="" xmlns:a16="http://schemas.microsoft.com/office/drawing/2014/main" id="{00000000-0008-0000-0000-00008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1" name="Text Box 65">
          <a:extLst>
            <a:ext uri="{FF2B5EF4-FFF2-40B4-BE49-F238E27FC236}">
              <a16:creationId xmlns="" xmlns:a16="http://schemas.microsoft.com/office/drawing/2014/main" id="{00000000-0008-0000-0000-00008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2" name="Text Box 66">
          <a:extLst>
            <a:ext uri="{FF2B5EF4-FFF2-40B4-BE49-F238E27FC236}">
              <a16:creationId xmlns="" xmlns:a16="http://schemas.microsoft.com/office/drawing/2014/main" id="{00000000-0008-0000-0000-00009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3" name="Text Box 67">
          <a:extLst>
            <a:ext uri="{FF2B5EF4-FFF2-40B4-BE49-F238E27FC236}">
              <a16:creationId xmlns="" xmlns:a16="http://schemas.microsoft.com/office/drawing/2014/main" id="{00000000-0008-0000-0000-00009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4" name="Text Box 68">
          <a:extLst>
            <a:ext uri="{FF2B5EF4-FFF2-40B4-BE49-F238E27FC236}">
              <a16:creationId xmlns="" xmlns:a16="http://schemas.microsoft.com/office/drawing/2014/main" id="{00000000-0008-0000-0000-00009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5" name="Text Box 69">
          <a:extLst>
            <a:ext uri="{FF2B5EF4-FFF2-40B4-BE49-F238E27FC236}">
              <a16:creationId xmlns="" xmlns:a16="http://schemas.microsoft.com/office/drawing/2014/main" id="{00000000-0008-0000-0000-00009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6" name="Text Box 70">
          <a:extLst>
            <a:ext uri="{FF2B5EF4-FFF2-40B4-BE49-F238E27FC236}">
              <a16:creationId xmlns="" xmlns:a16="http://schemas.microsoft.com/office/drawing/2014/main" id="{00000000-0008-0000-0000-00009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7" name="Text Box 71">
          <a:extLst>
            <a:ext uri="{FF2B5EF4-FFF2-40B4-BE49-F238E27FC236}">
              <a16:creationId xmlns="" xmlns:a16="http://schemas.microsoft.com/office/drawing/2014/main" id="{00000000-0008-0000-0000-00009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8" name="Text Box 72">
          <a:extLst>
            <a:ext uri="{FF2B5EF4-FFF2-40B4-BE49-F238E27FC236}">
              <a16:creationId xmlns="" xmlns:a16="http://schemas.microsoft.com/office/drawing/2014/main" id="{00000000-0008-0000-0000-00009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9" name="Text Box 73">
          <a:extLst>
            <a:ext uri="{FF2B5EF4-FFF2-40B4-BE49-F238E27FC236}">
              <a16:creationId xmlns="" xmlns:a16="http://schemas.microsoft.com/office/drawing/2014/main" id="{00000000-0008-0000-0000-00009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0" name="Text Box 74">
          <a:extLst>
            <a:ext uri="{FF2B5EF4-FFF2-40B4-BE49-F238E27FC236}">
              <a16:creationId xmlns="" xmlns:a16="http://schemas.microsoft.com/office/drawing/2014/main" id="{00000000-0008-0000-0000-00009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1" name="Text Box 75">
          <a:extLst>
            <a:ext uri="{FF2B5EF4-FFF2-40B4-BE49-F238E27FC236}">
              <a16:creationId xmlns="" xmlns:a16="http://schemas.microsoft.com/office/drawing/2014/main" id="{00000000-0008-0000-0000-00009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2" name="Text Box 76">
          <a:extLst>
            <a:ext uri="{FF2B5EF4-FFF2-40B4-BE49-F238E27FC236}">
              <a16:creationId xmlns="" xmlns:a16="http://schemas.microsoft.com/office/drawing/2014/main" id="{00000000-0008-0000-0000-00009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3" name="Text Box 77">
          <a:extLst>
            <a:ext uri="{FF2B5EF4-FFF2-40B4-BE49-F238E27FC236}">
              <a16:creationId xmlns="" xmlns:a16="http://schemas.microsoft.com/office/drawing/2014/main" id="{00000000-0008-0000-0000-00009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4" name="Text Box 78">
          <a:extLst>
            <a:ext uri="{FF2B5EF4-FFF2-40B4-BE49-F238E27FC236}">
              <a16:creationId xmlns="" xmlns:a16="http://schemas.microsoft.com/office/drawing/2014/main" id="{00000000-0008-0000-0000-00009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5" name="Text Box 79">
          <a:extLst>
            <a:ext uri="{FF2B5EF4-FFF2-40B4-BE49-F238E27FC236}">
              <a16:creationId xmlns="" xmlns:a16="http://schemas.microsoft.com/office/drawing/2014/main" id="{00000000-0008-0000-0000-00009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6" name="Text Box 80">
          <a:extLst>
            <a:ext uri="{FF2B5EF4-FFF2-40B4-BE49-F238E27FC236}">
              <a16:creationId xmlns="" xmlns:a16="http://schemas.microsoft.com/office/drawing/2014/main" id="{00000000-0008-0000-0000-00009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7" name="Text Box 81">
          <a:extLst>
            <a:ext uri="{FF2B5EF4-FFF2-40B4-BE49-F238E27FC236}">
              <a16:creationId xmlns="" xmlns:a16="http://schemas.microsoft.com/office/drawing/2014/main" id="{00000000-0008-0000-0000-00009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888" name="Text Box 82">
          <a:extLst>
            <a:ext uri="{FF2B5EF4-FFF2-40B4-BE49-F238E27FC236}">
              <a16:creationId xmlns="" xmlns:a16="http://schemas.microsoft.com/office/drawing/2014/main" id="{00000000-0008-0000-0000-0000A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89" name="Text Box 3079">
          <a:extLst>
            <a:ext uri="{FF2B5EF4-FFF2-40B4-BE49-F238E27FC236}">
              <a16:creationId xmlns="" xmlns:a16="http://schemas.microsoft.com/office/drawing/2014/main" id="{00000000-0008-0000-0000-0000A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0" name="Text Box 3080">
          <a:extLst>
            <a:ext uri="{FF2B5EF4-FFF2-40B4-BE49-F238E27FC236}">
              <a16:creationId xmlns="" xmlns:a16="http://schemas.microsoft.com/office/drawing/2014/main" id="{00000000-0008-0000-0000-0000A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1" name="Text Box 3081">
          <a:extLst>
            <a:ext uri="{FF2B5EF4-FFF2-40B4-BE49-F238E27FC236}">
              <a16:creationId xmlns="" xmlns:a16="http://schemas.microsoft.com/office/drawing/2014/main" id="{00000000-0008-0000-0000-0000A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2" name="Text Box 3082">
          <a:extLst>
            <a:ext uri="{FF2B5EF4-FFF2-40B4-BE49-F238E27FC236}">
              <a16:creationId xmlns="" xmlns:a16="http://schemas.microsoft.com/office/drawing/2014/main" id="{00000000-0008-0000-0000-0000A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3" name="Text Box 3083">
          <a:extLst>
            <a:ext uri="{FF2B5EF4-FFF2-40B4-BE49-F238E27FC236}">
              <a16:creationId xmlns="" xmlns:a16="http://schemas.microsoft.com/office/drawing/2014/main" id="{00000000-0008-0000-0000-0000A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4" name="Text Box 3084">
          <a:extLst>
            <a:ext uri="{FF2B5EF4-FFF2-40B4-BE49-F238E27FC236}">
              <a16:creationId xmlns="" xmlns:a16="http://schemas.microsoft.com/office/drawing/2014/main" id="{00000000-0008-0000-0000-0000A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5" name="Text Box 3085">
          <a:extLst>
            <a:ext uri="{FF2B5EF4-FFF2-40B4-BE49-F238E27FC236}">
              <a16:creationId xmlns="" xmlns:a16="http://schemas.microsoft.com/office/drawing/2014/main" id="{00000000-0008-0000-0000-0000A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6" name="Text Box 3086">
          <a:extLst>
            <a:ext uri="{FF2B5EF4-FFF2-40B4-BE49-F238E27FC236}">
              <a16:creationId xmlns="" xmlns:a16="http://schemas.microsoft.com/office/drawing/2014/main" id="{00000000-0008-0000-0000-0000A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7" name="Text Box 3087">
          <a:extLst>
            <a:ext uri="{FF2B5EF4-FFF2-40B4-BE49-F238E27FC236}">
              <a16:creationId xmlns="" xmlns:a16="http://schemas.microsoft.com/office/drawing/2014/main" id="{00000000-0008-0000-0000-0000A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8" name="Text Box 3088">
          <a:extLst>
            <a:ext uri="{FF2B5EF4-FFF2-40B4-BE49-F238E27FC236}">
              <a16:creationId xmlns="" xmlns:a16="http://schemas.microsoft.com/office/drawing/2014/main" id="{00000000-0008-0000-0000-0000A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9" name="Text Box 3089">
          <a:extLst>
            <a:ext uri="{FF2B5EF4-FFF2-40B4-BE49-F238E27FC236}">
              <a16:creationId xmlns="" xmlns:a16="http://schemas.microsoft.com/office/drawing/2014/main" id="{00000000-0008-0000-0000-0000A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0" name="Text Box 3090">
          <a:extLst>
            <a:ext uri="{FF2B5EF4-FFF2-40B4-BE49-F238E27FC236}">
              <a16:creationId xmlns="" xmlns:a16="http://schemas.microsoft.com/office/drawing/2014/main" id="{00000000-0008-0000-0000-0000A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1" name="Text Box 3091">
          <a:extLst>
            <a:ext uri="{FF2B5EF4-FFF2-40B4-BE49-F238E27FC236}">
              <a16:creationId xmlns="" xmlns:a16="http://schemas.microsoft.com/office/drawing/2014/main" id="{00000000-0008-0000-0000-0000A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2" name="Text Box 3092">
          <a:extLst>
            <a:ext uri="{FF2B5EF4-FFF2-40B4-BE49-F238E27FC236}">
              <a16:creationId xmlns="" xmlns:a16="http://schemas.microsoft.com/office/drawing/2014/main" id="{00000000-0008-0000-0000-0000A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3" name="Text Box 3093">
          <a:extLst>
            <a:ext uri="{FF2B5EF4-FFF2-40B4-BE49-F238E27FC236}">
              <a16:creationId xmlns="" xmlns:a16="http://schemas.microsoft.com/office/drawing/2014/main" id="{00000000-0008-0000-0000-0000A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4" name="Text Box 3094">
          <a:extLst>
            <a:ext uri="{FF2B5EF4-FFF2-40B4-BE49-F238E27FC236}">
              <a16:creationId xmlns="" xmlns:a16="http://schemas.microsoft.com/office/drawing/2014/main" id="{00000000-0008-0000-0000-0000B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5" name="Text Box 3095">
          <a:extLst>
            <a:ext uri="{FF2B5EF4-FFF2-40B4-BE49-F238E27FC236}">
              <a16:creationId xmlns="" xmlns:a16="http://schemas.microsoft.com/office/drawing/2014/main" id="{00000000-0008-0000-0000-0000B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6" name="Text Box 3096">
          <a:extLst>
            <a:ext uri="{FF2B5EF4-FFF2-40B4-BE49-F238E27FC236}">
              <a16:creationId xmlns="" xmlns:a16="http://schemas.microsoft.com/office/drawing/2014/main" id="{00000000-0008-0000-0000-0000B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7" name="Text Box 3097">
          <a:extLst>
            <a:ext uri="{FF2B5EF4-FFF2-40B4-BE49-F238E27FC236}">
              <a16:creationId xmlns="" xmlns:a16="http://schemas.microsoft.com/office/drawing/2014/main" id="{00000000-0008-0000-0000-0000B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8" name="Text Box 3098">
          <a:extLst>
            <a:ext uri="{FF2B5EF4-FFF2-40B4-BE49-F238E27FC236}">
              <a16:creationId xmlns="" xmlns:a16="http://schemas.microsoft.com/office/drawing/2014/main" id="{00000000-0008-0000-0000-0000B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9" name="Text Box 3099">
          <a:extLst>
            <a:ext uri="{FF2B5EF4-FFF2-40B4-BE49-F238E27FC236}">
              <a16:creationId xmlns="" xmlns:a16="http://schemas.microsoft.com/office/drawing/2014/main" id="{00000000-0008-0000-0000-0000B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10" name="Text Box 3100">
          <a:extLst>
            <a:ext uri="{FF2B5EF4-FFF2-40B4-BE49-F238E27FC236}">
              <a16:creationId xmlns="" xmlns:a16="http://schemas.microsoft.com/office/drawing/2014/main" id="{00000000-0008-0000-0000-0000B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11" name="Text Box 3101">
          <a:extLst>
            <a:ext uri="{FF2B5EF4-FFF2-40B4-BE49-F238E27FC236}">
              <a16:creationId xmlns="" xmlns:a16="http://schemas.microsoft.com/office/drawing/2014/main" id="{00000000-0008-0000-0000-0000B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912" name="Text Box 3102">
          <a:extLst>
            <a:ext uri="{FF2B5EF4-FFF2-40B4-BE49-F238E27FC236}">
              <a16:creationId xmlns="" xmlns:a16="http://schemas.microsoft.com/office/drawing/2014/main" id="{00000000-0008-0000-0000-0000B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3" name="Text Box 59">
          <a:extLst>
            <a:ext uri="{FF2B5EF4-FFF2-40B4-BE49-F238E27FC236}">
              <a16:creationId xmlns="" xmlns:a16="http://schemas.microsoft.com/office/drawing/2014/main" id="{00000000-0008-0000-0000-0000B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4" name="Text Box 60">
          <a:extLst>
            <a:ext uri="{FF2B5EF4-FFF2-40B4-BE49-F238E27FC236}">
              <a16:creationId xmlns="" xmlns:a16="http://schemas.microsoft.com/office/drawing/2014/main" id="{00000000-0008-0000-0000-0000B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5" name="Text Box 61">
          <a:extLst>
            <a:ext uri="{FF2B5EF4-FFF2-40B4-BE49-F238E27FC236}">
              <a16:creationId xmlns="" xmlns:a16="http://schemas.microsoft.com/office/drawing/2014/main" id="{00000000-0008-0000-0000-0000B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6" name="Text Box 62">
          <a:extLst>
            <a:ext uri="{FF2B5EF4-FFF2-40B4-BE49-F238E27FC236}">
              <a16:creationId xmlns="" xmlns:a16="http://schemas.microsoft.com/office/drawing/2014/main" id="{00000000-0008-0000-0000-0000B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7" name="Text Box 63">
          <a:extLst>
            <a:ext uri="{FF2B5EF4-FFF2-40B4-BE49-F238E27FC236}">
              <a16:creationId xmlns="" xmlns:a16="http://schemas.microsoft.com/office/drawing/2014/main" id="{00000000-0008-0000-0000-0000B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8" name="Text Box 64">
          <a:extLst>
            <a:ext uri="{FF2B5EF4-FFF2-40B4-BE49-F238E27FC236}">
              <a16:creationId xmlns="" xmlns:a16="http://schemas.microsoft.com/office/drawing/2014/main" id="{00000000-0008-0000-0000-0000B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9" name="Text Box 65">
          <a:extLst>
            <a:ext uri="{FF2B5EF4-FFF2-40B4-BE49-F238E27FC236}">
              <a16:creationId xmlns="" xmlns:a16="http://schemas.microsoft.com/office/drawing/2014/main" id="{00000000-0008-0000-0000-0000B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0" name="Text Box 66">
          <a:extLst>
            <a:ext uri="{FF2B5EF4-FFF2-40B4-BE49-F238E27FC236}">
              <a16:creationId xmlns="" xmlns:a16="http://schemas.microsoft.com/office/drawing/2014/main" id="{00000000-0008-0000-0000-0000C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1" name="Text Box 67">
          <a:extLst>
            <a:ext uri="{FF2B5EF4-FFF2-40B4-BE49-F238E27FC236}">
              <a16:creationId xmlns="" xmlns:a16="http://schemas.microsoft.com/office/drawing/2014/main" id="{00000000-0008-0000-0000-0000C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2" name="Text Box 68">
          <a:extLst>
            <a:ext uri="{FF2B5EF4-FFF2-40B4-BE49-F238E27FC236}">
              <a16:creationId xmlns="" xmlns:a16="http://schemas.microsoft.com/office/drawing/2014/main" id="{00000000-0008-0000-0000-0000C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3" name="Text Box 69">
          <a:extLst>
            <a:ext uri="{FF2B5EF4-FFF2-40B4-BE49-F238E27FC236}">
              <a16:creationId xmlns="" xmlns:a16="http://schemas.microsoft.com/office/drawing/2014/main" id="{00000000-0008-0000-0000-0000C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4" name="Text Box 70">
          <a:extLst>
            <a:ext uri="{FF2B5EF4-FFF2-40B4-BE49-F238E27FC236}">
              <a16:creationId xmlns="" xmlns:a16="http://schemas.microsoft.com/office/drawing/2014/main" id="{00000000-0008-0000-0000-0000C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5" name="Text Box 71">
          <a:extLst>
            <a:ext uri="{FF2B5EF4-FFF2-40B4-BE49-F238E27FC236}">
              <a16:creationId xmlns="" xmlns:a16="http://schemas.microsoft.com/office/drawing/2014/main" id="{00000000-0008-0000-0000-0000C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6" name="Text Box 72">
          <a:extLst>
            <a:ext uri="{FF2B5EF4-FFF2-40B4-BE49-F238E27FC236}">
              <a16:creationId xmlns="" xmlns:a16="http://schemas.microsoft.com/office/drawing/2014/main" id="{00000000-0008-0000-0000-0000C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7" name="Text Box 73">
          <a:extLst>
            <a:ext uri="{FF2B5EF4-FFF2-40B4-BE49-F238E27FC236}">
              <a16:creationId xmlns="" xmlns:a16="http://schemas.microsoft.com/office/drawing/2014/main" id="{00000000-0008-0000-0000-0000C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8" name="Text Box 74">
          <a:extLst>
            <a:ext uri="{FF2B5EF4-FFF2-40B4-BE49-F238E27FC236}">
              <a16:creationId xmlns="" xmlns:a16="http://schemas.microsoft.com/office/drawing/2014/main" id="{00000000-0008-0000-0000-0000C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9" name="Text Box 75">
          <a:extLst>
            <a:ext uri="{FF2B5EF4-FFF2-40B4-BE49-F238E27FC236}">
              <a16:creationId xmlns="" xmlns:a16="http://schemas.microsoft.com/office/drawing/2014/main" id="{00000000-0008-0000-0000-0000C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0" name="Text Box 76">
          <a:extLst>
            <a:ext uri="{FF2B5EF4-FFF2-40B4-BE49-F238E27FC236}">
              <a16:creationId xmlns="" xmlns:a16="http://schemas.microsoft.com/office/drawing/2014/main" id="{00000000-0008-0000-0000-0000C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1" name="Text Box 77">
          <a:extLst>
            <a:ext uri="{FF2B5EF4-FFF2-40B4-BE49-F238E27FC236}">
              <a16:creationId xmlns="" xmlns:a16="http://schemas.microsoft.com/office/drawing/2014/main" id="{00000000-0008-0000-0000-0000C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2" name="Text Box 78">
          <a:extLst>
            <a:ext uri="{FF2B5EF4-FFF2-40B4-BE49-F238E27FC236}">
              <a16:creationId xmlns="" xmlns:a16="http://schemas.microsoft.com/office/drawing/2014/main" id="{00000000-0008-0000-0000-0000C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3" name="Text Box 79">
          <a:extLst>
            <a:ext uri="{FF2B5EF4-FFF2-40B4-BE49-F238E27FC236}">
              <a16:creationId xmlns="" xmlns:a16="http://schemas.microsoft.com/office/drawing/2014/main" id="{00000000-0008-0000-0000-0000C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4" name="Text Box 80">
          <a:extLst>
            <a:ext uri="{FF2B5EF4-FFF2-40B4-BE49-F238E27FC236}">
              <a16:creationId xmlns="" xmlns:a16="http://schemas.microsoft.com/office/drawing/2014/main" id="{00000000-0008-0000-0000-0000C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5" name="Text Box 81">
          <a:extLst>
            <a:ext uri="{FF2B5EF4-FFF2-40B4-BE49-F238E27FC236}">
              <a16:creationId xmlns="" xmlns:a16="http://schemas.microsoft.com/office/drawing/2014/main" id="{00000000-0008-0000-0000-0000C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6" name="Text Box 3079">
          <a:extLst>
            <a:ext uri="{FF2B5EF4-FFF2-40B4-BE49-F238E27FC236}">
              <a16:creationId xmlns="" xmlns:a16="http://schemas.microsoft.com/office/drawing/2014/main" id="{00000000-0008-0000-0000-0000D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7" name="Text Box 3080">
          <a:extLst>
            <a:ext uri="{FF2B5EF4-FFF2-40B4-BE49-F238E27FC236}">
              <a16:creationId xmlns="" xmlns:a16="http://schemas.microsoft.com/office/drawing/2014/main" id="{00000000-0008-0000-0000-0000D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8" name="Text Box 3081">
          <a:extLst>
            <a:ext uri="{FF2B5EF4-FFF2-40B4-BE49-F238E27FC236}">
              <a16:creationId xmlns="" xmlns:a16="http://schemas.microsoft.com/office/drawing/2014/main" id="{00000000-0008-0000-0000-0000D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9" name="Text Box 3082">
          <a:extLst>
            <a:ext uri="{FF2B5EF4-FFF2-40B4-BE49-F238E27FC236}">
              <a16:creationId xmlns="" xmlns:a16="http://schemas.microsoft.com/office/drawing/2014/main" id="{00000000-0008-0000-0000-0000D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0" name="Text Box 3083">
          <a:extLst>
            <a:ext uri="{FF2B5EF4-FFF2-40B4-BE49-F238E27FC236}">
              <a16:creationId xmlns="" xmlns:a16="http://schemas.microsoft.com/office/drawing/2014/main" id="{00000000-0008-0000-0000-0000D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1" name="Text Box 3084">
          <a:extLst>
            <a:ext uri="{FF2B5EF4-FFF2-40B4-BE49-F238E27FC236}">
              <a16:creationId xmlns="" xmlns:a16="http://schemas.microsoft.com/office/drawing/2014/main" id="{00000000-0008-0000-0000-0000D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2" name="Text Box 3085">
          <a:extLst>
            <a:ext uri="{FF2B5EF4-FFF2-40B4-BE49-F238E27FC236}">
              <a16:creationId xmlns="" xmlns:a16="http://schemas.microsoft.com/office/drawing/2014/main" id="{00000000-0008-0000-0000-0000D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3" name="Text Box 3086">
          <a:extLst>
            <a:ext uri="{FF2B5EF4-FFF2-40B4-BE49-F238E27FC236}">
              <a16:creationId xmlns="" xmlns:a16="http://schemas.microsoft.com/office/drawing/2014/main" id="{00000000-0008-0000-0000-0000D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4" name="Text Box 3087">
          <a:extLst>
            <a:ext uri="{FF2B5EF4-FFF2-40B4-BE49-F238E27FC236}">
              <a16:creationId xmlns="" xmlns:a16="http://schemas.microsoft.com/office/drawing/2014/main" id="{00000000-0008-0000-0000-0000D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5" name="Text Box 3088">
          <a:extLst>
            <a:ext uri="{FF2B5EF4-FFF2-40B4-BE49-F238E27FC236}">
              <a16:creationId xmlns="" xmlns:a16="http://schemas.microsoft.com/office/drawing/2014/main" id="{00000000-0008-0000-0000-0000D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6" name="Text Box 3089">
          <a:extLst>
            <a:ext uri="{FF2B5EF4-FFF2-40B4-BE49-F238E27FC236}">
              <a16:creationId xmlns="" xmlns:a16="http://schemas.microsoft.com/office/drawing/2014/main" id="{00000000-0008-0000-0000-0000D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7" name="Text Box 3090">
          <a:extLst>
            <a:ext uri="{FF2B5EF4-FFF2-40B4-BE49-F238E27FC236}">
              <a16:creationId xmlns="" xmlns:a16="http://schemas.microsoft.com/office/drawing/2014/main" id="{00000000-0008-0000-0000-0000D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8" name="Text Box 3091">
          <a:extLst>
            <a:ext uri="{FF2B5EF4-FFF2-40B4-BE49-F238E27FC236}">
              <a16:creationId xmlns="" xmlns:a16="http://schemas.microsoft.com/office/drawing/2014/main" id="{00000000-0008-0000-0000-0000D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9" name="Text Box 3092">
          <a:extLst>
            <a:ext uri="{FF2B5EF4-FFF2-40B4-BE49-F238E27FC236}">
              <a16:creationId xmlns="" xmlns:a16="http://schemas.microsoft.com/office/drawing/2014/main" id="{00000000-0008-0000-0000-0000D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0" name="Text Box 3093">
          <a:extLst>
            <a:ext uri="{FF2B5EF4-FFF2-40B4-BE49-F238E27FC236}">
              <a16:creationId xmlns="" xmlns:a16="http://schemas.microsoft.com/office/drawing/2014/main" id="{00000000-0008-0000-0000-0000D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1" name="Text Box 3094">
          <a:extLst>
            <a:ext uri="{FF2B5EF4-FFF2-40B4-BE49-F238E27FC236}">
              <a16:creationId xmlns="" xmlns:a16="http://schemas.microsoft.com/office/drawing/2014/main" id="{00000000-0008-0000-0000-0000D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2" name="Text Box 3095">
          <a:extLst>
            <a:ext uri="{FF2B5EF4-FFF2-40B4-BE49-F238E27FC236}">
              <a16:creationId xmlns="" xmlns:a16="http://schemas.microsoft.com/office/drawing/2014/main" id="{00000000-0008-0000-0000-0000E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3" name="Text Box 3096">
          <a:extLst>
            <a:ext uri="{FF2B5EF4-FFF2-40B4-BE49-F238E27FC236}">
              <a16:creationId xmlns="" xmlns:a16="http://schemas.microsoft.com/office/drawing/2014/main" id="{00000000-0008-0000-0000-0000E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4" name="Text Box 3097">
          <a:extLst>
            <a:ext uri="{FF2B5EF4-FFF2-40B4-BE49-F238E27FC236}">
              <a16:creationId xmlns="" xmlns:a16="http://schemas.microsoft.com/office/drawing/2014/main" id="{00000000-0008-0000-0000-0000E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5" name="Text Box 3098">
          <a:extLst>
            <a:ext uri="{FF2B5EF4-FFF2-40B4-BE49-F238E27FC236}">
              <a16:creationId xmlns="" xmlns:a16="http://schemas.microsoft.com/office/drawing/2014/main" id="{00000000-0008-0000-0000-0000E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6" name="Text Box 3099">
          <a:extLst>
            <a:ext uri="{FF2B5EF4-FFF2-40B4-BE49-F238E27FC236}">
              <a16:creationId xmlns="" xmlns:a16="http://schemas.microsoft.com/office/drawing/2014/main" id="{00000000-0008-0000-0000-0000E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7" name="Text Box 3100">
          <a:extLst>
            <a:ext uri="{FF2B5EF4-FFF2-40B4-BE49-F238E27FC236}">
              <a16:creationId xmlns="" xmlns:a16="http://schemas.microsoft.com/office/drawing/2014/main" id="{00000000-0008-0000-0000-0000E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8" name="Text Box 3101">
          <a:extLst>
            <a:ext uri="{FF2B5EF4-FFF2-40B4-BE49-F238E27FC236}">
              <a16:creationId xmlns="" xmlns:a16="http://schemas.microsoft.com/office/drawing/2014/main" id="{00000000-0008-0000-0000-0000E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959" name="Text Box 3102">
          <a:extLst>
            <a:ext uri="{FF2B5EF4-FFF2-40B4-BE49-F238E27FC236}">
              <a16:creationId xmlns="" xmlns:a16="http://schemas.microsoft.com/office/drawing/2014/main" id="{00000000-0008-0000-0000-0000E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0" name="Text Box 59">
          <a:extLst>
            <a:ext uri="{FF2B5EF4-FFF2-40B4-BE49-F238E27FC236}">
              <a16:creationId xmlns="" xmlns:a16="http://schemas.microsoft.com/office/drawing/2014/main" id="{00000000-0008-0000-0000-0000E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1" name="Text Box 60">
          <a:extLst>
            <a:ext uri="{FF2B5EF4-FFF2-40B4-BE49-F238E27FC236}">
              <a16:creationId xmlns="" xmlns:a16="http://schemas.microsoft.com/office/drawing/2014/main" id="{00000000-0008-0000-0000-0000E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2" name="Text Box 61">
          <a:extLst>
            <a:ext uri="{FF2B5EF4-FFF2-40B4-BE49-F238E27FC236}">
              <a16:creationId xmlns="" xmlns:a16="http://schemas.microsoft.com/office/drawing/2014/main" id="{00000000-0008-0000-0000-0000E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3" name="Text Box 62">
          <a:extLst>
            <a:ext uri="{FF2B5EF4-FFF2-40B4-BE49-F238E27FC236}">
              <a16:creationId xmlns="" xmlns:a16="http://schemas.microsoft.com/office/drawing/2014/main" id="{00000000-0008-0000-0000-0000E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4" name="Text Box 63">
          <a:extLst>
            <a:ext uri="{FF2B5EF4-FFF2-40B4-BE49-F238E27FC236}">
              <a16:creationId xmlns="" xmlns:a16="http://schemas.microsoft.com/office/drawing/2014/main" id="{00000000-0008-0000-0000-0000E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5" name="Text Box 64">
          <a:extLst>
            <a:ext uri="{FF2B5EF4-FFF2-40B4-BE49-F238E27FC236}">
              <a16:creationId xmlns="" xmlns:a16="http://schemas.microsoft.com/office/drawing/2014/main" id="{00000000-0008-0000-0000-0000E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6" name="Text Box 65">
          <a:extLst>
            <a:ext uri="{FF2B5EF4-FFF2-40B4-BE49-F238E27FC236}">
              <a16:creationId xmlns="" xmlns:a16="http://schemas.microsoft.com/office/drawing/2014/main" id="{00000000-0008-0000-0000-0000E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7" name="Text Box 66">
          <a:extLst>
            <a:ext uri="{FF2B5EF4-FFF2-40B4-BE49-F238E27FC236}">
              <a16:creationId xmlns="" xmlns:a16="http://schemas.microsoft.com/office/drawing/2014/main" id="{00000000-0008-0000-0000-0000E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8" name="Text Box 67">
          <a:extLst>
            <a:ext uri="{FF2B5EF4-FFF2-40B4-BE49-F238E27FC236}">
              <a16:creationId xmlns="" xmlns:a16="http://schemas.microsoft.com/office/drawing/2014/main" id="{00000000-0008-0000-0000-0000F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9" name="Text Box 68">
          <a:extLst>
            <a:ext uri="{FF2B5EF4-FFF2-40B4-BE49-F238E27FC236}">
              <a16:creationId xmlns="" xmlns:a16="http://schemas.microsoft.com/office/drawing/2014/main" id="{00000000-0008-0000-0000-0000F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0" name="Text Box 69">
          <a:extLst>
            <a:ext uri="{FF2B5EF4-FFF2-40B4-BE49-F238E27FC236}">
              <a16:creationId xmlns="" xmlns:a16="http://schemas.microsoft.com/office/drawing/2014/main" id="{00000000-0008-0000-0000-0000F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1" name="Text Box 70">
          <a:extLst>
            <a:ext uri="{FF2B5EF4-FFF2-40B4-BE49-F238E27FC236}">
              <a16:creationId xmlns="" xmlns:a16="http://schemas.microsoft.com/office/drawing/2014/main" id="{00000000-0008-0000-0000-0000F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2" name="Text Box 71">
          <a:extLst>
            <a:ext uri="{FF2B5EF4-FFF2-40B4-BE49-F238E27FC236}">
              <a16:creationId xmlns="" xmlns:a16="http://schemas.microsoft.com/office/drawing/2014/main" id="{00000000-0008-0000-0000-0000F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3" name="Text Box 72">
          <a:extLst>
            <a:ext uri="{FF2B5EF4-FFF2-40B4-BE49-F238E27FC236}">
              <a16:creationId xmlns="" xmlns:a16="http://schemas.microsoft.com/office/drawing/2014/main" id="{00000000-0008-0000-0000-0000F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4" name="Text Box 73">
          <a:extLst>
            <a:ext uri="{FF2B5EF4-FFF2-40B4-BE49-F238E27FC236}">
              <a16:creationId xmlns="" xmlns:a16="http://schemas.microsoft.com/office/drawing/2014/main" id="{00000000-0008-0000-0000-0000F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5" name="Text Box 74">
          <a:extLst>
            <a:ext uri="{FF2B5EF4-FFF2-40B4-BE49-F238E27FC236}">
              <a16:creationId xmlns="" xmlns:a16="http://schemas.microsoft.com/office/drawing/2014/main" id="{00000000-0008-0000-0000-0000F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6" name="Text Box 75">
          <a:extLst>
            <a:ext uri="{FF2B5EF4-FFF2-40B4-BE49-F238E27FC236}">
              <a16:creationId xmlns="" xmlns:a16="http://schemas.microsoft.com/office/drawing/2014/main" id="{00000000-0008-0000-0000-0000F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7" name="Text Box 76">
          <a:extLst>
            <a:ext uri="{FF2B5EF4-FFF2-40B4-BE49-F238E27FC236}">
              <a16:creationId xmlns="" xmlns:a16="http://schemas.microsoft.com/office/drawing/2014/main" id="{00000000-0008-0000-0000-0000F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8" name="Text Box 77">
          <a:extLst>
            <a:ext uri="{FF2B5EF4-FFF2-40B4-BE49-F238E27FC236}">
              <a16:creationId xmlns="" xmlns:a16="http://schemas.microsoft.com/office/drawing/2014/main" id="{00000000-0008-0000-0000-0000F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9" name="Text Box 78">
          <a:extLst>
            <a:ext uri="{FF2B5EF4-FFF2-40B4-BE49-F238E27FC236}">
              <a16:creationId xmlns="" xmlns:a16="http://schemas.microsoft.com/office/drawing/2014/main" id="{00000000-0008-0000-0000-0000F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0" name="Text Box 79">
          <a:extLst>
            <a:ext uri="{FF2B5EF4-FFF2-40B4-BE49-F238E27FC236}">
              <a16:creationId xmlns="" xmlns:a16="http://schemas.microsoft.com/office/drawing/2014/main" id="{00000000-0008-0000-0000-0000F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1" name="Text Box 80">
          <a:extLst>
            <a:ext uri="{FF2B5EF4-FFF2-40B4-BE49-F238E27FC236}">
              <a16:creationId xmlns="" xmlns:a16="http://schemas.microsoft.com/office/drawing/2014/main" id="{00000000-0008-0000-0000-0000F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2" name="Text Box 81">
          <a:extLst>
            <a:ext uri="{FF2B5EF4-FFF2-40B4-BE49-F238E27FC236}">
              <a16:creationId xmlns="" xmlns:a16="http://schemas.microsoft.com/office/drawing/2014/main" id="{00000000-0008-0000-0000-0000F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983" name="Text Box 82">
          <a:extLst>
            <a:ext uri="{FF2B5EF4-FFF2-40B4-BE49-F238E27FC236}">
              <a16:creationId xmlns="" xmlns:a16="http://schemas.microsoft.com/office/drawing/2014/main" id="{00000000-0008-0000-0000-0000F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4" name="Text Box 3079">
          <a:extLst>
            <a:ext uri="{FF2B5EF4-FFF2-40B4-BE49-F238E27FC236}">
              <a16:creationId xmlns="" xmlns:a16="http://schemas.microsoft.com/office/drawing/2014/main" id="{00000000-0008-0000-0000-00000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5" name="Text Box 3080">
          <a:extLst>
            <a:ext uri="{FF2B5EF4-FFF2-40B4-BE49-F238E27FC236}">
              <a16:creationId xmlns="" xmlns:a16="http://schemas.microsoft.com/office/drawing/2014/main" id="{00000000-0008-0000-0000-00000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6" name="Text Box 3081">
          <a:extLst>
            <a:ext uri="{FF2B5EF4-FFF2-40B4-BE49-F238E27FC236}">
              <a16:creationId xmlns="" xmlns:a16="http://schemas.microsoft.com/office/drawing/2014/main" id="{00000000-0008-0000-0000-00000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7" name="Text Box 3082">
          <a:extLst>
            <a:ext uri="{FF2B5EF4-FFF2-40B4-BE49-F238E27FC236}">
              <a16:creationId xmlns="" xmlns:a16="http://schemas.microsoft.com/office/drawing/2014/main" id="{00000000-0008-0000-0000-00000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8" name="Text Box 3083">
          <a:extLst>
            <a:ext uri="{FF2B5EF4-FFF2-40B4-BE49-F238E27FC236}">
              <a16:creationId xmlns="" xmlns:a16="http://schemas.microsoft.com/office/drawing/2014/main" id="{00000000-0008-0000-0000-00000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9" name="Text Box 3084">
          <a:extLst>
            <a:ext uri="{FF2B5EF4-FFF2-40B4-BE49-F238E27FC236}">
              <a16:creationId xmlns="" xmlns:a16="http://schemas.microsoft.com/office/drawing/2014/main" id="{00000000-0008-0000-0000-00000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0" name="Text Box 3085">
          <a:extLst>
            <a:ext uri="{FF2B5EF4-FFF2-40B4-BE49-F238E27FC236}">
              <a16:creationId xmlns="" xmlns:a16="http://schemas.microsoft.com/office/drawing/2014/main" id="{00000000-0008-0000-0000-00000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1" name="Text Box 3086">
          <a:extLst>
            <a:ext uri="{FF2B5EF4-FFF2-40B4-BE49-F238E27FC236}">
              <a16:creationId xmlns="" xmlns:a16="http://schemas.microsoft.com/office/drawing/2014/main" id="{00000000-0008-0000-0000-00000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2" name="Text Box 3087">
          <a:extLst>
            <a:ext uri="{FF2B5EF4-FFF2-40B4-BE49-F238E27FC236}">
              <a16:creationId xmlns="" xmlns:a16="http://schemas.microsoft.com/office/drawing/2014/main" id="{00000000-0008-0000-0000-00000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3" name="Text Box 3088">
          <a:extLst>
            <a:ext uri="{FF2B5EF4-FFF2-40B4-BE49-F238E27FC236}">
              <a16:creationId xmlns="" xmlns:a16="http://schemas.microsoft.com/office/drawing/2014/main" id="{00000000-0008-0000-0000-00000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4" name="Text Box 3089">
          <a:extLst>
            <a:ext uri="{FF2B5EF4-FFF2-40B4-BE49-F238E27FC236}">
              <a16:creationId xmlns="" xmlns:a16="http://schemas.microsoft.com/office/drawing/2014/main" id="{00000000-0008-0000-0000-00000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5" name="Text Box 3090">
          <a:extLst>
            <a:ext uri="{FF2B5EF4-FFF2-40B4-BE49-F238E27FC236}">
              <a16:creationId xmlns="" xmlns:a16="http://schemas.microsoft.com/office/drawing/2014/main" id="{00000000-0008-0000-0000-00000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6" name="Text Box 3091">
          <a:extLst>
            <a:ext uri="{FF2B5EF4-FFF2-40B4-BE49-F238E27FC236}">
              <a16:creationId xmlns="" xmlns:a16="http://schemas.microsoft.com/office/drawing/2014/main" id="{00000000-0008-0000-0000-00000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7" name="Text Box 3092">
          <a:extLst>
            <a:ext uri="{FF2B5EF4-FFF2-40B4-BE49-F238E27FC236}">
              <a16:creationId xmlns="" xmlns:a16="http://schemas.microsoft.com/office/drawing/2014/main" id="{00000000-0008-0000-0000-00000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8" name="Text Box 3093">
          <a:extLst>
            <a:ext uri="{FF2B5EF4-FFF2-40B4-BE49-F238E27FC236}">
              <a16:creationId xmlns="" xmlns:a16="http://schemas.microsoft.com/office/drawing/2014/main" id="{00000000-0008-0000-0000-00000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9" name="Text Box 3094">
          <a:extLst>
            <a:ext uri="{FF2B5EF4-FFF2-40B4-BE49-F238E27FC236}">
              <a16:creationId xmlns="" xmlns:a16="http://schemas.microsoft.com/office/drawing/2014/main" id="{00000000-0008-0000-0000-00000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0" name="Text Box 3095">
          <a:extLst>
            <a:ext uri="{FF2B5EF4-FFF2-40B4-BE49-F238E27FC236}">
              <a16:creationId xmlns="" xmlns:a16="http://schemas.microsoft.com/office/drawing/2014/main" id="{00000000-0008-0000-0000-00001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1" name="Text Box 3096">
          <a:extLst>
            <a:ext uri="{FF2B5EF4-FFF2-40B4-BE49-F238E27FC236}">
              <a16:creationId xmlns="" xmlns:a16="http://schemas.microsoft.com/office/drawing/2014/main" id="{00000000-0008-0000-0000-00001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2" name="Text Box 3097">
          <a:extLst>
            <a:ext uri="{FF2B5EF4-FFF2-40B4-BE49-F238E27FC236}">
              <a16:creationId xmlns="" xmlns:a16="http://schemas.microsoft.com/office/drawing/2014/main" id="{00000000-0008-0000-0000-00001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3" name="Text Box 3098">
          <a:extLst>
            <a:ext uri="{FF2B5EF4-FFF2-40B4-BE49-F238E27FC236}">
              <a16:creationId xmlns="" xmlns:a16="http://schemas.microsoft.com/office/drawing/2014/main" id="{00000000-0008-0000-0000-00001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4" name="Text Box 3099">
          <a:extLst>
            <a:ext uri="{FF2B5EF4-FFF2-40B4-BE49-F238E27FC236}">
              <a16:creationId xmlns="" xmlns:a16="http://schemas.microsoft.com/office/drawing/2014/main" id="{00000000-0008-0000-0000-00001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5" name="Text Box 3100">
          <a:extLst>
            <a:ext uri="{FF2B5EF4-FFF2-40B4-BE49-F238E27FC236}">
              <a16:creationId xmlns="" xmlns:a16="http://schemas.microsoft.com/office/drawing/2014/main" id="{00000000-0008-0000-0000-00001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6" name="Text Box 3101">
          <a:extLst>
            <a:ext uri="{FF2B5EF4-FFF2-40B4-BE49-F238E27FC236}">
              <a16:creationId xmlns="" xmlns:a16="http://schemas.microsoft.com/office/drawing/2014/main" id="{00000000-0008-0000-0000-00001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007" name="Text Box 3102">
          <a:extLst>
            <a:ext uri="{FF2B5EF4-FFF2-40B4-BE49-F238E27FC236}">
              <a16:creationId xmlns="" xmlns:a16="http://schemas.microsoft.com/office/drawing/2014/main" id="{00000000-0008-0000-0000-00001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08" name="Text Box 59">
          <a:extLst>
            <a:ext uri="{FF2B5EF4-FFF2-40B4-BE49-F238E27FC236}">
              <a16:creationId xmlns="" xmlns:a16="http://schemas.microsoft.com/office/drawing/2014/main" id="{00000000-0008-0000-0000-00001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09" name="Text Box 60">
          <a:extLst>
            <a:ext uri="{FF2B5EF4-FFF2-40B4-BE49-F238E27FC236}">
              <a16:creationId xmlns="" xmlns:a16="http://schemas.microsoft.com/office/drawing/2014/main" id="{00000000-0008-0000-0000-00001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0" name="Text Box 61">
          <a:extLst>
            <a:ext uri="{FF2B5EF4-FFF2-40B4-BE49-F238E27FC236}">
              <a16:creationId xmlns="" xmlns:a16="http://schemas.microsoft.com/office/drawing/2014/main" id="{00000000-0008-0000-0000-00001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1" name="Text Box 62">
          <a:extLst>
            <a:ext uri="{FF2B5EF4-FFF2-40B4-BE49-F238E27FC236}">
              <a16:creationId xmlns="" xmlns:a16="http://schemas.microsoft.com/office/drawing/2014/main" id="{00000000-0008-0000-0000-00001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2" name="Text Box 63">
          <a:extLst>
            <a:ext uri="{FF2B5EF4-FFF2-40B4-BE49-F238E27FC236}">
              <a16:creationId xmlns="" xmlns:a16="http://schemas.microsoft.com/office/drawing/2014/main" id="{00000000-0008-0000-0000-00001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3" name="Text Box 64">
          <a:extLst>
            <a:ext uri="{FF2B5EF4-FFF2-40B4-BE49-F238E27FC236}">
              <a16:creationId xmlns="" xmlns:a16="http://schemas.microsoft.com/office/drawing/2014/main" id="{00000000-0008-0000-0000-00001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4" name="Text Box 65">
          <a:extLst>
            <a:ext uri="{FF2B5EF4-FFF2-40B4-BE49-F238E27FC236}">
              <a16:creationId xmlns="" xmlns:a16="http://schemas.microsoft.com/office/drawing/2014/main" id="{00000000-0008-0000-0000-00001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5" name="Text Box 66">
          <a:extLst>
            <a:ext uri="{FF2B5EF4-FFF2-40B4-BE49-F238E27FC236}">
              <a16:creationId xmlns="" xmlns:a16="http://schemas.microsoft.com/office/drawing/2014/main" id="{00000000-0008-0000-0000-00001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6" name="Text Box 67">
          <a:extLst>
            <a:ext uri="{FF2B5EF4-FFF2-40B4-BE49-F238E27FC236}">
              <a16:creationId xmlns="" xmlns:a16="http://schemas.microsoft.com/office/drawing/2014/main" id="{00000000-0008-0000-0000-00002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7" name="Text Box 68">
          <a:extLst>
            <a:ext uri="{FF2B5EF4-FFF2-40B4-BE49-F238E27FC236}">
              <a16:creationId xmlns="" xmlns:a16="http://schemas.microsoft.com/office/drawing/2014/main" id="{00000000-0008-0000-0000-00002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8" name="Text Box 69">
          <a:extLst>
            <a:ext uri="{FF2B5EF4-FFF2-40B4-BE49-F238E27FC236}">
              <a16:creationId xmlns="" xmlns:a16="http://schemas.microsoft.com/office/drawing/2014/main" id="{00000000-0008-0000-0000-00002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9" name="Text Box 70">
          <a:extLst>
            <a:ext uri="{FF2B5EF4-FFF2-40B4-BE49-F238E27FC236}">
              <a16:creationId xmlns="" xmlns:a16="http://schemas.microsoft.com/office/drawing/2014/main" id="{00000000-0008-0000-0000-00002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0" name="Text Box 71">
          <a:extLst>
            <a:ext uri="{FF2B5EF4-FFF2-40B4-BE49-F238E27FC236}">
              <a16:creationId xmlns="" xmlns:a16="http://schemas.microsoft.com/office/drawing/2014/main" id="{00000000-0008-0000-0000-00002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1" name="Text Box 72">
          <a:extLst>
            <a:ext uri="{FF2B5EF4-FFF2-40B4-BE49-F238E27FC236}">
              <a16:creationId xmlns="" xmlns:a16="http://schemas.microsoft.com/office/drawing/2014/main" id="{00000000-0008-0000-0000-00002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2" name="Text Box 73">
          <a:extLst>
            <a:ext uri="{FF2B5EF4-FFF2-40B4-BE49-F238E27FC236}">
              <a16:creationId xmlns="" xmlns:a16="http://schemas.microsoft.com/office/drawing/2014/main" id="{00000000-0008-0000-0000-00002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3" name="Text Box 74">
          <a:extLst>
            <a:ext uri="{FF2B5EF4-FFF2-40B4-BE49-F238E27FC236}">
              <a16:creationId xmlns="" xmlns:a16="http://schemas.microsoft.com/office/drawing/2014/main" id="{00000000-0008-0000-0000-00002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4" name="Text Box 75">
          <a:extLst>
            <a:ext uri="{FF2B5EF4-FFF2-40B4-BE49-F238E27FC236}">
              <a16:creationId xmlns="" xmlns:a16="http://schemas.microsoft.com/office/drawing/2014/main" id="{00000000-0008-0000-0000-00002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5" name="Text Box 76">
          <a:extLst>
            <a:ext uri="{FF2B5EF4-FFF2-40B4-BE49-F238E27FC236}">
              <a16:creationId xmlns="" xmlns:a16="http://schemas.microsoft.com/office/drawing/2014/main" id="{00000000-0008-0000-0000-00002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6" name="Text Box 77">
          <a:extLst>
            <a:ext uri="{FF2B5EF4-FFF2-40B4-BE49-F238E27FC236}">
              <a16:creationId xmlns="" xmlns:a16="http://schemas.microsoft.com/office/drawing/2014/main" id="{00000000-0008-0000-0000-00002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7" name="Text Box 78">
          <a:extLst>
            <a:ext uri="{FF2B5EF4-FFF2-40B4-BE49-F238E27FC236}">
              <a16:creationId xmlns="" xmlns:a16="http://schemas.microsoft.com/office/drawing/2014/main" id="{00000000-0008-0000-0000-00002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8" name="Text Box 79">
          <a:extLst>
            <a:ext uri="{FF2B5EF4-FFF2-40B4-BE49-F238E27FC236}">
              <a16:creationId xmlns="" xmlns:a16="http://schemas.microsoft.com/office/drawing/2014/main" id="{00000000-0008-0000-0000-00002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9" name="Text Box 80">
          <a:extLst>
            <a:ext uri="{FF2B5EF4-FFF2-40B4-BE49-F238E27FC236}">
              <a16:creationId xmlns="" xmlns:a16="http://schemas.microsoft.com/office/drawing/2014/main" id="{00000000-0008-0000-0000-00002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30" name="Text Box 81">
          <a:extLst>
            <a:ext uri="{FF2B5EF4-FFF2-40B4-BE49-F238E27FC236}">
              <a16:creationId xmlns="" xmlns:a16="http://schemas.microsoft.com/office/drawing/2014/main" id="{00000000-0008-0000-0000-00002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1" name="Text Box 3079">
          <a:extLst>
            <a:ext uri="{FF2B5EF4-FFF2-40B4-BE49-F238E27FC236}">
              <a16:creationId xmlns="" xmlns:a16="http://schemas.microsoft.com/office/drawing/2014/main" id="{00000000-0008-0000-0000-00002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2" name="Text Box 3080">
          <a:extLst>
            <a:ext uri="{FF2B5EF4-FFF2-40B4-BE49-F238E27FC236}">
              <a16:creationId xmlns="" xmlns:a16="http://schemas.microsoft.com/office/drawing/2014/main" id="{00000000-0008-0000-0000-00003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3" name="Text Box 3081">
          <a:extLst>
            <a:ext uri="{FF2B5EF4-FFF2-40B4-BE49-F238E27FC236}">
              <a16:creationId xmlns="" xmlns:a16="http://schemas.microsoft.com/office/drawing/2014/main" id="{00000000-0008-0000-0000-00003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4" name="Text Box 3082">
          <a:extLst>
            <a:ext uri="{FF2B5EF4-FFF2-40B4-BE49-F238E27FC236}">
              <a16:creationId xmlns="" xmlns:a16="http://schemas.microsoft.com/office/drawing/2014/main" id="{00000000-0008-0000-0000-00003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5" name="Text Box 3083">
          <a:extLst>
            <a:ext uri="{FF2B5EF4-FFF2-40B4-BE49-F238E27FC236}">
              <a16:creationId xmlns="" xmlns:a16="http://schemas.microsoft.com/office/drawing/2014/main" id="{00000000-0008-0000-0000-00003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6" name="Text Box 3084">
          <a:extLst>
            <a:ext uri="{FF2B5EF4-FFF2-40B4-BE49-F238E27FC236}">
              <a16:creationId xmlns="" xmlns:a16="http://schemas.microsoft.com/office/drawing/2014/main" id="{00000000-0008-0000-0000-00003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7" name="Text Box 3085">
          <a:extLst>
            <a:ext uri="{FF2B5EF4-FFF2-40B4-BE49-F238E27FC236}">
              <a16:creationId xmlns="" xmlns:a16="http://schemas.microsoft.com/office/drawing/2014/main" id="{00000000-0008-0000-0000-00003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8" name="Text Box 3086">
          <a:extLst>
            <a:ext uri="{FF2B5EF4-FFF2-40B4-BE49-F238E27FC236}">
              <a16:creationId xmlns="" xmlns:a16="http://schemas.microsoft.com/office/drawing/2014/main" id="{00000000-0008-0000-0000-00003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9" name="Text Box 3087">
          <a:extLst>
            <a:ext uri="{FF2B5EF4-FFF2-40B4-BE49-F238E27FC236}">
              <a16:creationId xmlns="" xmlns:a16="http://schemas.microsoft.com/office/drawing/2014/main" id="{00000000-0008-0000-0000-00003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0" name="Text Box 3088">
          <a:extLst>
            <a:ext uri="{FF2B5EF4-FFF2-40B4-BE49-F238E27FC236}">
              <a16:creationId xmlns="" xmlns:a16="http://schemas.microsoft.com/office/drawing/2014/main" id="{00000000-0008-0000-0000-00003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1" name="Text Box 3089">
          <a:extLst>
            <a:ext uri="{FF2B5EF4-FFF2-40B4-BE49-F238E27FC236}">
              <a16:creationId xmlns="" xmlns:a16="http://schemas.microsoft.com/office/drawing/2014/main" id="{00000000-0008-0000-0000-00003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2" name="Text Box 3090">
          <a:extLst>
            <a:ext uri="{FF2B5EF4-FFF2-40B4-BE49-F238E27FC236}">
              <a16:creationId xmlns="" xmlns:a16="http://schemas.microsoft.com/office/drawing/2014/main" id="{00000000-0008-0000-0000-00003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3" name="Text Box 3091">
          <a:extLst>
            <a:ext uri="{FF2B5EF4-FFF2-40B4-BE49-F238E27FC236}">
              <a16:creationId xmlns="" xmlns:a16="http://schemas.microsoft.com/office/drawing/2014/main" id="{00000000-0008-0000-0000-00003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4" name="Text Box 3092">
          <a:extLst>
            <a:ext uri="{FF2B5EF4-FFF2-40B4-BE49-F238E27FC236}">
              <a16:creationId xmlns="" xmlns:a16="http://schemas.microsoft.com/office/drawing/2014/main" id="{00000000-0008-0000-0000-00003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5" name="Text Box 3093">
          <a:extLst>
            <a:ext uri="{FF2B5EF4-FFF2-40B4-BE49-F238E27FC236}">
              <a16:creationId xmlns="" xmlns:a16="http://schemas.microsoft.com/office/drawing/2014/main" id="{00000000-0008-0000-0000-00003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6" name="Text Box 3094">
          <a:extLst>
            <a:ext uri="{FF2B5EF4-FFF2-40B4-BE49-F238E27FC236}">
              <a16:creationId xmlns="" xmlns:a16="http://schemas.microsoft.com/office/drawing/2014/main" id="{00000000-0008-0000-0000-00003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7" name="Text Box 3095">
          <a:extLst>
            <a:ext uri="{FF2B5EF4-FFF2-40B4-BE49-F238E27FC236}">
              <a16:creationId xmlns="" xmlns:a16="http://schemas.microsoft.com/office/drawing/2014/main" id="{00000000-0008-0000-0000-00003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8" name="Text Box 3096">
          <a:extLst>
            <a:ext uri="{FF2B5EF4-FFF2-40B4-BE49-F238E27FC236}">
              <a16:creationId xmlns="" xmlns:a16="http://schemas.microsoft.com/office/drawing/2014/main" id="{00000000-0008-0000-0000-00004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9" name="Text Box 3097">
          <a:extLst>
            <a:ext uri="{FF2B5EF4-FFF2-40B4-BE49-F238E27FC236}">
              <a16:creationId xmlns="" xmlns:a16="http://schemas.microsoft.com/office/drawing/2014/main" id="{00000000-0008-0000-0000-00004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0" name="Text Box 3098">
          <a:extLst>
            <a:ext uri="{FF2B5EF4-FFF2-40B4-BE49-F238E27FC236}">
              <a16:creationId xmlns="" xmlns:a16="http://schemas.microsoft.com/office/drawing/2014/main" id="{00000000-0008-0000-0000-00004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1" name="Text Box 3099">
          <a:extLst>
            <a:ext uri="{FF2B5EF4-FFF2-40B4-BE49-F238E27FC236}">
              <a16:creationId xmlns="" xmlns:a16="http://schemas.microsoft.com/office/drawing/2014/main" id="{00000000-0008-0000-0000-00004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2" name="Text Box 3100">
          <a:extLst>
            <a:ext uri="{FF2B5EF4-FFF2-40B4-BE49-F238E27FC236}">
              <a16:creationId xmlns="" xmlns:a16="http://schemas.microsoft.com/office/drawing/2014/main" id="{00000000-0008-0000-0000-00004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3" name="Text Box 3101">
          <a:extLst>
            <a:ext uri="{FF2B5EF4-FFF2-40B4-BE49-F238E27FC236}">
              <a16:creationId xmlns="" xmlns:a16="http://schemas.microsoft.com/office/drawing/2014/main" id="{00000000-0008-0000-0000-00004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054" name="Text Box 3102">
          <a:extLst>
            <a:ext uri="{FF2B5EF4-FFF2-40B4-BE49-F238E27FC236}">
              <a16:creationId xmlns="" xmlns:a16="http://schemas.microsoft.com/office/drawing/2014/main" id="{00000000-0008-0000-0000-00004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5" name="Text Box 59">
          <a:extLst>
            <a:ext uri="{FF2B5EF4-FFF2-40B4-BE49-F238E27FC236}">
              <a16:creationId xmlns="" xmlns:a16="http://schemas.microsoft.com/office/drawing/2014/main" id="{00000000-0008-0000-0000-00004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6" name="Text Box 60">
          <a:extLst>
            <a:ext uri="{FF2B5EF4-FFF2-40B4-BE49-F238E27FC236}">
              <a16:creationId xmlns="" xmlns:a16="http://schemas.microsoft.com/office/drawing/2014/main" id="{00000000-0008-0000-0000-00004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7" name="Text Box 61">
          <a:extLst>
            <a:ext uri="{FF2B5EF4-FFF2-40B4-BE49-F238E27FC236}">
              <a16:creationId xmlns="" xmlns:a16="http://schemas.microsoft.com/office/drawing/2014/main" id="{00000000-0008-0000-0000-00004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8" name="Text Box 62">
          <a:extLst>
            <a:ext uri="{FF2B5EF4-FFF2-40B4-BE49-F238E27FC236}">
              <a16:creationId xmlns="" xmlns:a16="http://schemas.microsoft.com/office/drawing/2014/main" id="{00000000-0008-0000-0000-00004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9" name="Text Box 63">
          <a:extLst>
            <a:ext uri="{FF2B5EF4-FFF2-40B4-BE49-F238E27FC236}">
              <a16:creationId xmlns="" xmlns:a16="http://schemas.microsoft.com/office/drawing/2014/main" id="{00000000-0008-0000-0000-00004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0" name="Text Box 64">
          <a:extLst>
            <a:ext uri="{FF2B5EF4-FFF2-40B4-BE49-F238E27FC236}">
              <a16:creationId xmlns="" xmlns:a16="http://schemas.microsoft.com/office/drawing/2014/main" id="{00000000-0008-0000-0000-00004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1" name="Text Box 65">
          <a:extLst>
            <a:ext uri="{FF2B5EF4-FFF2-40B4-BE49-F238E27FC236}">
              <a16:creationId xmlns="" xmlns:a16="http://schemas.microsoft.com/office/drawing/2014/main" id="{00000000-0008-0000-0000-00004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2" name="Text Box 66">
          <a:extLst>
            <a:ext uri="{FF2B5EF4-FFF2-40B4-BE49-F238E27FC236}">
              <a16:creationId xmlns="" xmlns:a16="http://schemas.microsoft.com/office/drawing/2014/main" id="{00000000-0008-0000-0000-00004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3" name="Text Box 67">
          <a:extLst>
            <a:ext uri="{FF2B5EF4-FFF2-40B4-BE49-F238E27FC236}">
              <a16:creationId xmlns="" xmlns:a16="http://schemas.microsoft.com/office/drawing/2014/main" id="{00000000-0008-0000-0000-00004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4" name="Text Box 68">
          <a:extLst>
            <a:ext uri="{FF2B5EF4-FFF2-40B4-BE49-F238E27FC236}">
              <a16:creationId xmlns="" xmlns:a16="http://schemas.microsoft.com/office/drawing/2014/main" id="{00000000-0008-0000-0000-00005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5" name="Text Box 69">
          <a:extLst>
            <a:ext uri="{FF2B5EF4-FFF2-40B4-BE49-F238E27FC236}">
              <a16:creationId xmlns="" xmlns:a16="http://schemas.microsoft.com/office/drawing/2014/main" id="{00000000-0008-0000-0000-00005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6" name="Text Box 70">
          <a:extLst>
            <a:ext uri="{FF2B5EF4-FFF2-40B4-BE49-F238E27FC236}">
              <a16:creationId xmlns="" xmlns:a16="http://schemas.microsoft.com/office/drawing/2014/main" id="{00000000-0008-0000-0000-00005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7" name="Text Box 71">
          <a:extLst>
            <a:ext uri="{FF2B5EF4-FFF2-40B4-BE49-F238E27FC236}">
              <a16:creationId xmlns="" xmlns:a16="http://schemas.microsoft.com/office/drawing/2014/main" id="{00000000-0008-0000-0000-00005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8" name="Text Box 72">
          <a:extLst>
            <a:ext uri="{FF2B5EF4-FFF2-40B4-BE49-F238E27FC236}">
              <a16:creationId xmlns="" xmlns:a16="http://schemas.microsoft.com/office/drawing/2014/main" id="{00000000-0008-0000-0000-00005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9" name="Text Box 73">
          <a:extLst>
            <a:ext uri="{FF2B5EF4-FFF2-40B4-BE49-F238E27FC236}">
              <a16:creationId xmlns="" xmlns:a16="http://schemas.microsoft.com/office/drawing/2014/main" id="{00000000-0008-0000-0000-00005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0" name="Text Box 74">
          <a:extLst>
            <a:ext uri="{FF2B5EF4-FFF2-40B4-BE49-F238E27FC236}">
              <a16:creationId xmlns="" xmlns:a16="http://schemas.microsoft.com/office/drawing/2014/main" id="{00000000-0008-0000-0000-00005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1" name="Text Box 75">
          <a:extLst>
            <a:ext uri="{FF2B5EF4-FFF2-40B4-BE49-F238E27FC236}">
              <a16:creationId xmlns="" xmlns:a16="http://schemas.microsoft.com/office/drawing/2014/main" id="{00000000-0008-0000-0000-00005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2" name="Text Box 76">
          <a:extLst>
            <a:ext uri="{FF2B5EF4-FFF2-40B4-BE49-F238E27FC236}">
              <a16:creationId xmlns="" xmlns:a16="http://schemas.microsoft.com/office/drawing/2014/main" id="{00000000-0008-0000-0000-00005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3" name="Text Box 77">
          <a:extLst>
            <a:ext uri="{FF2B5EF4-FFF2-40B4-BE49-F238E27FC236}">
              <a16:creationId xmlns="" xmlns:a16="http://schemas.microsoft.com/office/drawing/2014/main" id="{00000000-0008-0000-0000-00005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4" name="Text Box 78">
          <a:extLst>
            <a:ext uri="{FF2B5EF4-FFF2-40B4-BE49-F238E27FC236}">
              <a16:creationId xmlns="" xmlns:a16="http://schemas.microsoft.com/office/drawing/2014/main" id="{00000000-0008-0000-0000-00005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5" name="Text Box 79">
          <a:extLst>
            <a:ext uri="{FF2B5EF4-FFF2-40B4-BE49-F238E27FC236}">
              <a16:creationId xmlns="" xmlns:a16="http://schemas.microsoft.com/office/drawing/2014/main" id="{00000000-0008-0000-0000-00005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6" name="Text Box 80">
          <a:extLst>
            <a:ext uri="{FF2B5EF4-FFF2-40B4-BE49-F238E27FC236}">
              <a16:creationId xmlns="" xmlns:a16="http://schemas.microsoft.com/office/drawing/2014/main" id="{00000000-0008-0000-0000-00005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7" name="Text Box 81">
          <a:extLst>
            <a:ext uri="{FF2B5EF4-FFF2-40B4-BE49-F238E27FC236}">
              <a16:creationId xmlns="" xmlns:a16="http://schemas.microsoft.com/office/drawing/2014/main" id="{00000000-0008-0000-0000-00005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078" name="Text Box 82">
          <a:extLst>
            <a:ext uri="{FF2B5EF4-FFF2-40B4-BE49-F238E27FC236}">
              <a16:creationId xmlns="" xmlns:a16="http://schemas.microsoft.com/office/drawing/2014/main" id="{00000000-0008-0000-0000-00005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79" name="Text Box 3079">
          <a:extLst>
            <a:ext uri="{FF2B5EF4-FFF2-40B4-BE49-F238E27FC236}">
              <a16:creationId xmlns="" xmlns:a16="http://schemas.microsoft.com/office/drawing/2014/main" id="{00000000-0008-0000-0000-00005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0" name="Text Box 3080">
          <a:extLst>
            <a:ext uri="{FF2B5EF4-FFF2-40B4-BE49-F238E27FC236}">
              <a16:creationId xmlns="" xmlns:a16="http://schemas.microsoft.com/office/drawing/2014/main" id="{00000000-0008-0000-0000-00006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1" name="Text Box 3081">
          <a:extLst>
            <a:ext uri="{FF2B5EF4-FFF2-40B4-BE49-F238E27FC236}">
              <a16:creationId xmlns="" xmlns:a16="http://schemas.microsoft.com/office/drawing/2014/main" id="{00000000-0008-0000-0000-00006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2" name="Text Box 3082">
          <a:extLst>
            <a:ext uri="{FF2B5EF4-FFF2-40B4-BE49-F238E27FC236}">
              <a16:creationId xmlns="" xmlns:a16="http://schemas.microsoft.com/office/drawing/2014/main" id="{00000000-0008-0000-0000-00006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3" name="Text Box 3083">
          <a:extLst>
            <a:ext uri="{FF2B5EF4-FFF2-40B4-BE49-F238E27FC236}">
              <a16:creationId xmlns="" xmlns:a16="http://schemas.microsoft.com/office/drawing/2014/main" id="{00000000-0008-0000-0000-00006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4" name="Text Box 3084">
          <a:extLst>
            <a:ext uri="{FF2B5EF4-FFF2-40B4-BE49-F238E27FC236}">
              <a16:creationId xmlns="" xmlns:a16="http://schemas.microsoft.com/office/drawing/2014/main" id="{00000000-0008-0000-0000-00006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5" name="Text Box 3085">
          <a:extLst>
            <a:ext uri="{FF2B5EF4-FFF2-40B4-BE49-F238E27FC236}">
              <a16:creationId xmlns="" xmlns:a16="http://schemas.microsoft.com/office/drawing/2014/main" id="{00000000-0008-0000-0000-00006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6" name="Text Box 3086">
          <a:extLst>
            <a:ext uri="{FF2B5EF4-FFF2-40B4-BE49-F238E27FC236}">
              <a16:creationId xmlns="" xmlns:a16="http://schemas.microsoft.com/office/drawing/2014/main" id="{00000000-0008-0000-0000-00006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7" name="Text Box 3087">
          <a:extLst>
            <a:ext uri="{FF2B5EF4-FFF2-40B4-BE49-F238E27FC236}">
              <a16:creationId xmlns="" xmlns:a16="http://schemas.microsoft.com/office/drawing/2014/main" id="{00000000-0008-0000-0000-00006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8" name="Text Box 3088">
          <a:extLst>
            <a:ext uri="{FF2B5EF4-FFF2-40B4-BE49-F238E27FC236}">
              <a16:creationId xmlns="" xmlns:a16="http://schemas.microsoft.com/office/drawing/2014/main" id="{00000000-0008-0000-0000-00006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9" name="Text Box 3089">
          <a:extLst>
            <a:ext uri="{FF2B5EF4-FFF2-40B4-BE49-F238E27FC236}">
              <a16:creationId xmlns="" xmlns:a16="http://schemas.microsoft.com/office/drawing/2014/main" id="{00000000-0008-0000-0000-00006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0" name="Text Box 3090">
          <a:extLst>
            <a:ext uri="{FF2B5EF4-FFF2-40B4-BE49-F238E27FC236}">
              <a16:creationId xmlns="" xmlns:a16="http://schemas.microsoft.com/office/drawing/2014/main" id="{00000000-0008-0000-0000-00006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1" name="Text Box 3091">
          <a:extLst>
            <a:ext uri="{FF2B5EF4-FFF2-40B4-BE49-F238E27FC236}">
              <a16:creationId xmlns="" xmlns:a16="http://schemas.microsoft.com/office/drawing/2014/main" id="{00000000-0008-0000-0000-00006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2" name="Text Box 3092">
          <a:extLst>
            <a:ext uri="{FF2B5EF4-FFF2-40B4-BE49-F238E27FC236}">
              <a16:creationId xmlns="" xmlns:a16="http://schemas.microsoft.com/office/drawing/2014/main" id="{00000000-0008-0000-0000-00006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3" name="Text Box 3093">
          <a:extLst>
            <a:ext uri="{FF2B5EF4-FFF2-40B4-BE49-F238E27FC236}">
              <a16:creationId xmlns="" xmlns:a16="http://schemas.microsoft.com/office/drawing/2014/main" id="{00000000-0008-0000-0000-00006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4" name="Text Box 3094">
          <a:extLst>
            <a:ext uri="{FF2B5EF4-FFF2-40B4-BE49-F238E27FC236}">
              <a16:creationId xmlns="" xmlns:a16="http://schemas.microsoft.com/office/drawing/2014/main" id="{00000000-0008-0000-0000-00006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5" name="Text Box 3095">
          <a:extLst>
            <a:ext uri="{FF2B5EF4-FFF2-40B4-BE49-F238E27FC236}">
              <a16:creationId xmlns="" xmlns:a16="http://schemas.microsoft.com/office/drawing/2014/main" id="{00000000-0008-0000-0000-00006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6" name="Text Box 3096">
          <a:extLst>
            <a:ext uri="{FF2B5EF4-FFF2-40B4-BE49-F238E27FC236}">
              <a16:creationId xmlns="" xmlns:a16="http://schemas.microsoft.com/office/drawing/2014/main" id="{00000000-0008-0000-0000-00007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7" name="Text Box 3097">
          <a:extLst>
            <a:ext uri="{FF2B5EF4-FFF2-40B4-BE49-F238E27FC236}">
              <a16:creationId xmlns="" xmlns:a16="http://schemas.microsoft.com/office/drawing/2014/main" id="{00000000-0008-0000-0000-00007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8" name="Text Box 3098">
          <a:extLst>
            <a:ext uri="{FF2B5EF4-FFF2-40B4-BE49-F238E27FC236}">
              <a16:creationId xmlns="" xmlns:a16="http://schemas.microsoft.com/office/drawing/2014/main" id="{00000000-0008-0000-0000-00007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9" name="Text Box 3099">
          <a:extLst>
            <a:ext uri="{FF2B5EF4-FFF2-40B4-BE49-F238E27FC236}">
              <a16:creationId xmlns="" xmlns:a16="http://schemas.microsoft.com/office/drawing/2014/main" id="{00000000-0008-0000-0000-00007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00" name="Text Box 3100">
          <a:extLst>
            <a:ext uri="{FF2B5EF4-FFF2-40B4-BE49-F238E27FC236}">
              <a16:creationId xmlns="" xmlns:a16="http://schemas.microsoft.com/office/drawing/2014/main" id="{00000000-0008-0000-0000-00007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01" name="Text Box 3101">
          <a:extLst>
            <a:ext uri="{FF2B5EF4-FFF2-40B4-BE49-F238E27FC236}">
              <a16:creationId xmlns="" xmlns:a16="http://schemas.microsoft.com/office/drawing/2014/main" id="{00000000-0008-0000-0000-00007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02" name="Text Box 3102">
          <a:extLst>
            <a:ext uri="{FF2B5EF4-FFF2-40B4-BE49-F238E27FC236}">
              <a16:creationId xmlns="" xmlns:a16="http://schemas.microsoft.com/office/drawing/2014/main" id="{00000000-0008-0000-0000-00007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3" name="Text Box 59">
          <a:extLst>
            <a:ext uri="{FF2B5EF4-FFF2-40B4-BE49-F238E27FC236}">
              <a16:creationId xmlns="" xmlns:a16="http://schemas.microsoft.com/office/drawing/2014/main" id="{00000000-0008-0000-0000-00007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4" name="Text Box 60">
          <a:extLst>
            <a:ext uri="{FF2B5EF4-FFF2-40B4-BE49-F238E27FC236}">
              <a16:creationId xmlns="" xmlns:a16="http://schemas.microsoft.com/office/drawing/2014/main" id="{00000000-0008-0000-0000-00007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5" name="Text Box 61">
          <a:extLst>
            <a:ext uri="{FF2B5EF4-FFF2-40B4-BE49-F238E27FC236}">
              <a16:creationId xmlns="" xmlns:a16="http://schemas.microsoft.com/office/drawing/2014/main" id="{00000000-0008-0000-0000-00007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6" name="Text Box 62">
          <a:extLst>
            <a:ext uri="{FF2B5EF4-FFF2-40B4-BE49-F238E27FC236}">
              <a16:creationId xmlns="" xmlns:a16="http://schemas.microsoft.com/office/drawing/2014/main" id="{00000000-0008-0000-0000-00007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7" name="Text Box 63">
          <a:extLst>
            <a:ext uri="{FF2B5EF4-FFF2-40B4-BE49-F238E27FC236}">
              <a16:creationId xmlns="" xmlns:a16="http://schemas.microsoft.com/office/drawing/2014/main" id="{00000000-0008-0000-0000-00007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8" name="Text Box 64">
          <a:extLst>
            <a:ext uri="{FF2B5EF4-FFF2-40B4-BE49-F238E27FC236}">
              <a16:creationId xmlns="" xmlns:a16="http://schemas.microsoft.com/office/drawing/2014/main" id="{00000000-0008-0000-0000-00007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9" name="Text Box 65">
          <a:extLst>
            <a:ext uri="{FF2B5EF4-FFF2-40B4-BE49-F238E27FC236}">
              <a16:creationId xmlns="" xmlns:a16="http://schemas.microsoft.com/office/drawing/2014/main" id="{00000000-0008-0000-0000-00007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0" name="Text Box 66">
          <a:extLst>
            <a:ext uri="{FF2B5EF4-FFF2-40B4-BE49-F238E27FC236}">
              <a16:creationId xmlns="" xmlns:a16="http://schemas.microsoft.com/office/drawing/2014/main" id="{00000000-0008-0000-0000-00007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1" name="Text Box 67">
          <a:extLst>
            <a:ext uri="{FF2B5EF4-FFF2-40B4-BE49-F238E27FC236}">
              <a16:creationId xmlns="" xmlns:a16="http://schemas.microsoft.com/office/drawing/2014/main" id="{00000000-0008-0000-0000-00007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2" name="Text Box 68">
          <a:extLst>
            <a:ext uri="{FF2B5EF4-FFF2-40B4-BE49-F238E27FC236}">
              <a16:creationId xmlns="" xmlns:a16="http://schemas.microsoft.com/office/drawing/2014/main" id="{00000000-0008-0000-0000-00008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3" name="Text Box 69">
          <a:extLst>
            <a:ext uri="{FF2B5EF4-FFF2-40B4-BE49-F238E27FC236}">
              <a16:creationId xmlns="" xmlns:a16="http://schemas.microsoft.com/office/drawing/2014/main" id="{00000000-0008-0000-0000-00008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4" name="Text Box 70">
          <a:extLst>
            <a:ext uri="{FF2B5EF4-FFF2-40B4-BE49-F238E27FC236}">
              <a16:creationId xmlns="" xmlns:a16="http://schemas.microsoft.com/office/drawing/2014/main" id="{00000000-0008-0000-0000-00008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5" name="Text Box 71">
          <a:extLst>
            <a:ext uri="{FF2B5EF4-FFF2-40B4-BE49-F238E27FC236}">
              <a16:creationId xmlns="" xmlns:a16="http://schemas.microsoft.com/office/drawing/2014/main" id="{00000000-0008-0000-0000-00008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6" name="Text Box 72">
          <a:extLst>
            <a:ext uri="{FF2B5EF4-FFF2-40B4-BE49-F238E27FC236}">
              <a16:creationId xmlns="" xmlns:a16="http://schemas.microsoft.com/office/drawing/2014/main" id="{00000000-0008-0000-0000-00008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7" name="Text Box 73">
          <a:extLst>
            <a:ext uri="{FF2B5EF4-FFF2-40B4-BE49-F238E27FC236}">
              <a16:creationId xmlns="" xmlns:a16="http://schemas.microsoft.com/office/drawing/2014/main" id="{00000000-0008-0000-0000-00008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8" name="Text Box 74">
          <a:extLst>
            <a:ext uri="{FF2B5EF4-FFF2-40B4-BE49-F238E27FC236}">
              <a16:creationId xmlns="" xmlns:a16="http://schemas.microsoft.com/office/drawing/2014/main" id="{00000000-0008-0000-0000-00008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9" name="Text Box 75">
          <a:extLst>
            <a:ext uri="{FF2B5EF4-FFF2-40B4-BE49-F238E27FC236}">
              <a16:creationId xmlns="" xmlns:a16="http://schemas.microsoft.com/office/drawing/2014/main" id="{00000000-0008-0000-0000-00008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0" name="Text Box 76">
          <a:extLst>
            <a:ext uri="{FF2B5EF4-FFF2-40B4-BE49-F238E27FC236}">
              <a16:creationId xmlns="" xmlns:a16="http://schemas.microsoft.com/office/drawing/2014/main" id="{00000000-0008-0000-0000-00008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1" name="Text Box 77">
          <a:extLst>
            <a:ext uri="{FF2B5EF4-FFF2-40B4-BE49-F238E27FC236}">
              <a16:creationId xmlns="" xmlns:a16="http://schemas.microsoft.com/office/drawing/2014/main" id="{00000000-0008-0000-0000-00008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2" name="Text Box 78">
          <a:extLst>
            <a:ext uri="{FF2B5EF4-FFF2-40B4-BE49-F238E27FC236}">
              <a16:creationId xmlns="" xmlns:a16="http://schemas.microsoft.com/office/drawing/2014/main" id="{00000000-0008-0000-0000-00008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3" name="Text Box 79">
          <a:extLst>
            <a:ext uri="{FF2B5EF4-FFF2-40B4-BE49-F238E27FC236}">
              <a16:creationId xmlns="" xmlns:a16="http://schemas.microsoft.com/office/drawing/2014/main" id="{00000000-0008-0000-0000-00008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4" name="Text Box 80">
          <a:extLst>
            <a:ext uri="{FF2B5EF4-FFF2-40B4-BE49-F238E27FC236}">
              <a16:creationId xmlns="" xmlns:a16="http://schemas.microsoft.com/office/drawing/2014/main" id="{00000000-0008-0000-0000-00008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5" name="Text Box 81">
          <a:extLst>
            <a:ext uri="{FF2B5EF4-FFF2-40B4-BE49-F238E27FC236}">
              <a16:creationId xmlns="" xmlns:a16="http://schemas.microsoft.com/office/drawing/2014/main" id="{00000000-0008-0000-0000-00008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6" name="Text Box 3079">
          <a:extLst>
            <a:ext uri="{FF2B5EF4-FFF2-40B4-BE49-F238E27FC236}">
              <a16:creationId xmlns="" xmlns:a16="http://schemas.microsoft.com/office/drawing/2014/main" id="{00000000-0008-0000-0000-00008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7" name="Text Box 3080">
          <a:extLst>
            <a:ext uri="{FF2B5EF4-FFF2-40B4-BE49-F238E27FC236}">
              <a16:creationId xmlns="" xmlns:a16="http://schemas.microsoft.com/office/drawing/2014/main" id="{00000000-0008-0000-0000-00008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8" name="Text Box 3081">
          <a:extLst>
            <a:ext uri="{FF2B5EF4-FFF2-40B4-BE49-F238E27FC236}">
              <a16:creationId xmlns="" xmlns:a16="http://schemas.microsoft.com/office/drawing/2014/main" id="{00000000-0008-0000-0000-00009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9" name="Text Box 3082">
          <a:extLst>
            <a:ext uri="{FF2B5EF4-FFF2-40B4-BE49-F238E27FC236}">
              <a16:creationId xmlns="" xmlns:a16="http://schemas.microsoft.com/office/drawing/2014/main" id="{00000000-0008-0000-0000-00009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0" name="Text Box 3083">
          <a:extLst>
            <a:ext uri="{FF2B5EF4-FFF2-40B4-BE49-F238E27FC236}">
              <a16:creationId xmlns="" xmlns:a16="http://schemas.microsoft.com/office/drawing/2014/main" id="{00000000-0008-0000-0000-00009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1" name="Text Box 3084">
          <a:extLst>
            <a:ext uri="{FF2B5EF4-FFF2-40B4-BE49-F238E27FC236}">
              <a16:creationId xmlns="" xmlns:a16="http://schemas.microsoft.com/office/drawing/2014/main" id="{00000000-0008-0000-0000-00009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2" name="Text Box 3085">
          <a:extLst>
            <a:ext uri="{FF2B5EF4-FFF2-40B4-BE49-F238E27FC236}">
              <a16:creationId xmlns="" xmlns:a16="http://schemas.microsoft.com/office/drawing/2014/main" id="{00000000-0008-0000-0000-00009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3" name="Text Box 3086">
          <a:extLst>
            <a:ext uri="{FF2B5EF4-FFF2-40B4-BE49-F238E27FC236}">
              <a16:creationId xmlns="" xmlns:a16="http://schemas.microsoft.com/office/drawing/2014/main" id="{00000000-0008-0000-0000-00009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4" name="Text Box 3087">
          <a:extLst>
            <a:ext uri="{FF2B5EF4-FFF2-40B4-BE49-F238E27FC236}">
              <a16:creationId xmlns="" xmlns:a16="http://schemas.microsoft.com/office/drawing/2014/main" id="{00000000-0008-0000-0000-00009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5" name="Text Box 3088">
          <a:extLst>
            <a:ext uri="{FF2B5EF4-FFF2-40B4-BE49-F238E27FC236}">
              <a16:creationId xmlns="" xmlns:a16="http://schemas.microsoft.com/office/drawing/2014/main" id="{00000000-0008-0000-0000-00009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6" name="Text Box 3089">
          <a:extLst>
            <a:ext uri="{FF2B5EF4-FFF2-40B4-BE49-F238E27FC236}">
              <a16:creationId xmlns="" xmlns:a16="http://schemas.microsoft.com/office/drawing/2014/main" id="{00000000-0008-0000-0000-00009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7" name="Text Box 3090">
          <a:extLst>
            <a:ext uri="{FF2B5EF4-FFF2-40B4-BE49-F238E27FC236}">
              <a16:creationId xmlns="" xmlns:a16="http://schemas.microsoft.com/office/drawing/2014/main" id="{00000000-0008-0000-0000-00009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8" name="Text Box 3091">
          <a:extLst>
            <a:ext uri="{FF2B5EF4-FFF2-40B4-BE49-F238E27FC236}">
              <a16:creationId xmlns="" xmlns:a16="http://schemas.microsoft.com/office/drawing/2014/main" id="{00000000-0008-0000-0000-00009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9" name="Text Box 3092">
          <a:extLst>
            <a:ext uri="{FF2B5EF4-FFF2-40B4-BE49-F238E27FC236}">
              <a16:creationId xmlns="" xmlns:a16="http://schemas.microsoft.com/office/drawing/2014/main" id="{00000000-0008-0000-0000-00009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0" name="Text Box 3093">
          <a:extLst>
            <a:ext uri="{FF2B5EF4-FFF2-40B4-BE49-F238E27FC236}">
              <a16:creationId xmlns="" xmlns:a16="http://schemas.microsoft.com/office/drawing/2014/main" id="{00000000-0008-0000-0000-00009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1" name="Text Box 3094">
          <a:extLst>
            <a:ext uri="{FF2B5EF4-FFF2-40B4-BE49-F238E27FC236}">
              <a16:creationId xmlns="" xmlns:a16="http://schemas.microsoft.com/office/drawing/2014/main" id="{00000000-0008-0000-0000-00009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2" name="Text Box 3095">
          <a:extLst>
            <a:ext uri="{FF2B5EF4-FFF2-40B4-BE49-F238E27FC236}">
              <a16:creationId xmlns="" xmlns:a16="http://schemas.microsoft.com/office/drawing/2014/main" id="{00000000-0008-0000-0000-00009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3" name="Text Box 3096">
          <a:extLst>
            <a:ext uri="{FF2B5EF4-FFF2-40B4-BE49-F238E27FC236}">
              <a16:creationId xmlns="" xmlns:a16="http://schemas.microsoft.com/office/drawing/2014/main" id="{00000000-0008-0000-0000-00009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4" name="Text Box 3097">
          <a:extLst>
            <a:ext uri="{FF2B5EF4-FFF2-40B4-BE49-F238E27FC236}">
              <a16:creationId xmlns="" xmlns:a16="http://schemas.microsoft.com/office/drawing/2014/main" id="{00000000-0008-0000-0000-0000A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5" name="Text Box 3098">
          <a:extLst>
            <a:ext uri="{FF2B5EF4-FFF2-40B4-BE49-F238E27FC236}">
              <a16:creationId xmlns="" xmlns:a16="http://schemas.microsoft.com/office/drawing/2014/main" id="{00000000-0008-0000-0000-0000A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6" name="Text Box 3099">
          <a:extLst>
            <a:ext uri="{FF2B5EF4-FFF2-40B4-BE49-F238E27FC236}">
              <a16:creationId xmlns="" xmlns:a16="http://schemas.microsoft.com/office/drawing/2014/main" id="{00000000-0008-0000-0000-0000A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7" name="Text Box 3100">
          <a:extLst>
            <a:ext uri="{FF2B5EF4-FFF2-40B4-BE49-F238E27FC236}">
              <a16:creationId xmlns="" xmlns:a16="http://schemas.microsoft.com/office/drawing/2014/main" id="{00000000-0008-0000-0000-0000A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8" name="Text Box 3101">
          <a:extLst>
            <a:ext uri="{FF2B5EF4-FFF2-40B4-BE49-F238E27FC236}">
              <a16:creationId xmlns="" xmlns:a16="http://schemas.microsoft.com/office/drawing/2014/main" id="{00000000-0008-0000-0000-0000A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49" name="Text Box 3102">
          <a:extLst>
            <a:ext uri="{FF2B5EF4-FFF2-40B4-BE49-F238E27FC236}">
              <a16:creationId xmlns="" xmlns:a16="http://schemas.microsoft.com/office/drawing/2014/main" id="{00000000-0008-0000-0000-0000A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0" name="Text Box 59">
          <a:extLst>
            <a:ext uri="{FF2B5EF4-FFF2-40B4-BE49-F238E27FC236}">
              <a16:creationId xmlns="" xmlns:a16="http://schemas.microsoft.com/office/drawing/2014/main" id="{00000000-0008-0000-0000-0000A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1" name="Text Box 60">
          <a:extLst>
            <a:ext uri="{FF2B5EF4-FFF2-40B4-BE49-F238E27FC236}">
              <a16:creationId xmlns="" xmlns:a16="http://schemas.microsoft.com/office/drawing/2014/main" id="{00000000-0008-0000-0000-0000A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2" name="Text Box 61">
          <a:extLst>
            <a:ext uri="{FF2B5EF4-FFF2-40B4-BE49-F238E27FC236}">
              <a16:creationId xmlns="" xmlns:a16="http://schemas.microsoft.com/office/drawing/2014/main" id="{00000000-0008-0000-0000-0000A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3" name="Text Box 62">
          <a:extLst>
            <a:ext uri="{FF2B5EF4-FFF2-40B4-BE49-F238E27FC236}">
              <a16:creationId xmlns="" xmlns:a16="http://schemas.microsoft.com/office/drawing/2014/main" id="{00000000-0008-0000-0000-0000A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4" name="Text Box 63">
          <a:extLst>
            <a:ext uri="{FF2B5EF4-FFF2-40B4-BE49-F238E27FC236}">
              <a16:creationId xmlns="" xmlns:a16="http://schemas.microsoft.com/office/drawing/2014/main" id="{00000000-0008-0000-0000-0000A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5" name="Text Box 64">
          <a:extLst>
            <a:ext uri="{FF2B5EF4-FFF2-40B4-BE49-F238E27FC236}">
              <a16:creationId xmlns="" xmlns:a16="http://schemas.microsoft.com/office/drawing/2014/main" id="{00000000-0008-0000-0000-0000A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6" name="Text Box 65">
          <a:extLst>
            <a:ext uri="{FF2B5EF4-FFF2-40B4-BE49-F238E27FC236}">
              <a16:creationId xmlns="" xmlns:a16="http://schemas.microsoft.com/office/drawing/2014/main" id="{00000000-0008-0000-0000-0000A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7" name="Text Box 66">
          <a:extLst>
            <a:ext uri="{FF2B5EF4-FFF2-40B4-BE49-F238E27FC236}">
              <a16:creationId xmlns="" xmlns:a16="http://schemas.microsoft.com/office/drawing/2014/main" id="{00000000-0008-0000-0000-0000A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8" name="Text Box 67">
          <a:extLst>
            <a:ext uri="{FF2B5EF4-FFF2-40B4-BE49-F238E27FC236}">
              <a16:creationId xmlns="" xmlns:a16="http://schemas.microsoft.com/office/drawing/2014/main" id="{00000000-0008-0000-0000-0000A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9" name="Text Box 68">
          <a:extLst>
            <a:ext uri="{FF2B5EF4-FFF2-40B4-BE49-F238E27FC236}">
              <a16:creationId xmlns="" xmlns:a16="http://schemas.microsoft.com/office/drawing/2014/main" id="{00000000-0008-0000-0000-0000A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0" name="Text Box 69">
          <a:extLst>
            <a:ext uri="{FF2B5EF4-FFF2-40B4-BE49-F238E27FC236}">
              <a16:creationId xmlns="" xmlns:a16="http://schemas.microsoft.com/office/drawing/2014/main" id="{00000000-0008-0000-0000-0000B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1" name="Text Box 70">
          <a:extLst>
            <a:ext uri="{FF2B5EF4-FFF2-40B4-BE49-F238E27FC236}">
              <a16:creationId xmlns="" xmlns:a16="http://schemas.microsoft.com/office/drawing/2014/main" id="{00000000-0008-0000-0000-0000B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2" name="Text Box 71">
          <a:extLst>
            <a:ext uri="{FF2B5EF4-FFF2-40B4-BE49-F238E27FC236}">
              <a16:creationId xmlns="" xmlns:a16="http://schemas.microsoft.com/office/drawing/2014/main" id="{00000000-0008-0000-0000-0000B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3" name="Text Box 72">
          <a:extLst>
            <a:ext uri="{FF2B5EF4-FFF2-40B4-BE49-F238E27FC236}">
              <a16:creationId xmlns="" xmlns:a16="http://schemas.microsoft.com/office/drawing/2014/main" id="{00000000-0008-0000-0000-0000B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4" name="Text Box 73">
          <a:extLst>
            <a:ext uri="{FF2B5EF4-FFF2-40B4-BE49-F238E27FC236}">
              <a16:creationId xmlns="" xmlns:a16="http://schemas.microsoft.com/office/drawing/2014/main" id="{00000000-0008-0000-0000-0000B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5" name="Text Box 74">
          <a:extLst>
            <a:ext uri="{FF2B5EF4-FFF2-40B4-BE49-F238E27FC236}">
              <a16:creationId xmlns="" xmlns:a16="http://schemas.microsoft.com/office/drawing/2014/main" id="{00000000-0008-0000-0000-0000B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6" name="Text Box 75">
          <a:extLst>
            <a:ext uri="{FF2B5EF4-FFF2-40B4-BE49-F238E27FC236}">
              <a16:creationId xmlns="" xmlns:a16="http://schemas.microsoft.com/office/drawing/2014/main" id="{00000000-0008-0000-0000-0000B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7" name="Text Box 76">
          <a:extLst>
            <a:ext uri="{FF2B5EF4-FFF2-40B4-BE49-F238E27FC236}">
              <a16:creationId xmlns="" xmlns:a16="http://schemas.microsoft.com/office/drawing/2014/main" id="{00000000-0008-0000-0000-0000B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8" name="Text Box 77">
          <a:extLst>
            <a:ext uri="{FF2B5EF4-FFF2-40B4-BE49-F238E27FC236}">
              <a16:creationId xmlns="" xmlns:a16="http://schemas.microsoft.com/office/drawing/2014/main" id="{00000000-0008-0000-0000-0000B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9" name="Text Box 78">
          <a:extLst>
            <a:ext uri="{FF2B5EF4-FFF2-40B4-BE49-F238E27FC236}">
              <a16:creationId xmlns="" xmlns:a16="http://schemas.microsoft.com/office/drawing/2014/main" id="{00000000-0008-0000-0000-0000B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0" name="Text Box 79">
          <a:extLst>
            <a:ext uri="{FF2B5EF4-FFF2-40B4-BE49-F238E27FC236}">
              <a16:creationId xmlns="" xmlns:a16="http://schemas.microsoft.com/office/drawing/2014/main" id="{00000000-0008-0000-0000-0000B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1" name="Text Box 80">
          <a:extLst>
            <a:ext uri="{FF2B5EF4-FFF2-40B4-BE49-F238E27FC236}">
              <a16:creationId xmlns="" xmlns:a16="http://schemas.microsoft.com/office/drawing/2014/main" id="{00000000-0008-0000-0000-0000B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2" name="Text Box 81">
          <a:extLst>
            <a:ext uri="{FF2B5EF4-FFF2-40B4-BE49-F238E27FC236}">
              <a16:creationId xmlns="" xmlns:a16="http://schemas.microsoft.com/office/drawing/2014/main" id="{00000000-0008-0000-0000-0000B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173" name="Text Box 82">
          <a:extLst>
            <a:ext uri="{FF2B5EF4-FFF2-40B4-BE49-F238E27FC236}">
              <a16:creationId xmlns="" xmlns:a16="http://schemas.microsoft.com/office/drawing/2014/main" id="{00000000-0008-0000-0000-0000B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4" name="Text Box 3079">
          <a:extLst>
            <a:ext uri="{FF2B5EF4-FFF2-40B4-BE49-F238E27FC236}">
              <a16:creationId xmlns="" xmlns:a16="http://schemas.microsoft.com/office/drawing/2014/main" id="{00000000-0008-0000-0000-0000B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5" name="Text Box 3080">
          <a:extLst>
            <a:ext uri="{FF2B5EF4-FFF2-40B4-BE49-F238E27FC236}">
              <a16:creationId xmlns="" xmlns:a16="http://schemas.microsoft.com/office/drawing/2014/main" id="{00000000-0008-0000-0000-0000B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6" name="Text Box 3081">
          <a:extLst>
            <a:ext uri="{FF2B5EF4-FFF2-40B4-BE49-F238E27FC236}">
              <a16:creationId xmlns="" xmlns:a16="http://schemas.microsoft.com/office/drawing/2014/main" id="{00000000-0008-0000-0000-0000C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7" name="Text Box 3082">
          <a:extLst>
            <a:ext uri="{FF2B5EF4-FFF2-40B4-BE49-F238E27FC236}">
              <a16:creationId xmlns="" xmlns:a16="http://schemas.microsoft.com/office/drawing/2014/main" id="{00000000-0008-0000-0000-0000C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8" name="Text Box 3083">
          <a:extLst>
            <a:ext uri="{FF2B5EF4-FFF2-40B4-BE49-F238E27FC236}">
              <a16:creationId xmlns="" xmlns:a16="http://schemas.microsoft.com/office/drawing/2014/main" id="{00000000-0008-0000-0000-0000C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9" name="Text Box 3084">
          <a:extLst>
            <a:ext uri="{FF2B5EF4-FFF2-40B4-BE49-F238E27FC236}">
              <a16:creationId xmlns="" xmlns:a16="http://schemas.microsoft.com/office/drawing/2014/main" id="{00000000-0008-0000-0000-0000C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0" name="Text Box 3085">
          <a:extLst>
            <a:ext uri="{FF2B5EF4-FFF2-40B4-BE49-F238E27FC236}">
              <a16:creationId xmlns="" xmlns:a16="http://schemas.microsoft.com/office/drawing/2014/main" id="{00000000-0008-0000-0000-0000C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1" name="Text Box 3086">
          <a:extLst>
            <a:ext uri="{FF2B5EF4-FFF2-40B4-BE49-F238E27FC236}">
              <a16:creationId xmlns="" xmlns:a16="http://schemas.microsoft.com/office/drawing/2014/main" id="{00000000-0008-0000-0000-0000C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2" name="Text Box 3087">
          <a:extLst>
            <a:ext uri="{FF2B5EF4-FFF2-40B4-BE49-F238E27FC236}">
              <a16:creationId xmlns="" xmlns:a16="http://schemas.microsoft.com/office/drawing/2014/main" id="{00000000-0008-0000-0000-0000C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3" name="Text Box 3088">
          <a:extLst>
            <a:ext uri="{FF2B5EF4-FFF2-40B4-BE49-F238E27FC236}">
              <a16:creationId xmlns="" xmlns:a16="http://schemas.microsoft.com/office/drawing/2014/main" id="{00000000-0008-0000-0000-0000C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4" name="Text Box 3089">
          <a:extLst>
            <a:ext uri="{FF2B5EF4-FFF2-40B4-BE49-F238E27FC236}">
              <a16:creationId xmlns="" xmlns:a16="http://schemas.microsoft.com/office/drawing/2014/main" id="{00000000-0008-0000-0000-0000C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5" name="Text Box 3090">
          <a:extLst>
            <a:ext uri="{FF2B5EF4-FFF2-40B4-BE49-F238E27FC236}">
              <a16:creationId xmlns="" xmlns:a16="http://schemas.microsoft.com/office/drawing/2014/main" id="{00000000-0008-0000-0000-0000C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6" name="Text Box 3091">
          <a:extLst>
            <a:ext uri="{FF2B5EF4-FFF2-40B4-BE49-F238E27FC236}">
              <a16:creationId xmlns="" xmlns:a16="http://schemas.microsoft.com/office/drawing/2014/main" id="{00000000-0008-0000-0000-0000C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7" name="Text Box 3092">
          <a:extLst>
            <a:ext uri="{FF2B5EF4-FFF2-40B4-BE49-F238E27FC236}">
              <a16:creationId xmlns="" xmlns:a16="http://schemas.microsoft.com/office/drawing/2014/main" id="{00000000-0008-0000-0000-0000C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8" name="Text Box 3093">
          <a:extLst>
            <a:ext uri="{FF2B5EF4-FFF2-40B4-BE49-F238E27FC236}">
              <a16:creationId xmlns="" xmlns:a16="http://schemas.microsoft.com/office/drawing/2014/main" id="{00000000-0008-0000-0000-0000C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9" name="Text Box 3094">
          <a:extLst>
            <a:ext uri="{FF2B5EF4-FFF2-40B4-BE49-F238E27FC236}">
              <a16:creationId xmlns="" xmlns:a16="http://schemas.microsoft.com/office/drawing/2014/main" id="{00000000-0008-0000-0000-0000C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0" name="Text Box 3095">
          <a:extLst>
            <a:ext uri="{FF2B5EF4-FFF2-40B4-BE49-F238E27FC236}">
              <a16:creationId xmlns="" xmlns:a16="http://schemas.microsoft.com/office/drawing/2014/main" id="{00000000-0008-0000-0000-0000C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1" name="Text Box 3096">
          <a:extLst>
            <a:ext uri="{FF2B5EF4-FFF2-40B4-BE49-F238E27FC236}">
              <a16:creationId xmlns="" xmlns:a16="http://schemas.microsoft.com/office/drawing/2014/main" id="{00000000-0008-0000-0000-0000C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2" name="Text Box 3097">
          <a:extLst>
            <a:ext uri="{FF2B5EF4-FFF2-40B4-BE49-F238E27FC236}">
              <a16:creationId xmlns="" xmlns:a16="http://schemas.microsoft.com/office/drawing/2014/main" id="{00000000-0008-0000-0000-0000D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3" name="Text Box 3098">
          <a:extLst>
            <a:ext uri="{FF2B5EF4-FFF2-40B4-BE49-F238E27FC236}">
              <a16:creationId xmlns="" xmlns:a16="http://schemas.microsoft.com/office/drawing/2014/main" id="{00000000-0008-0000-0000-0000D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4" name="Text Box 3099">
          <a:extLst>
            <a:ext uri="{FF2B5EF4-FFF2-40B4-BE49-F238E27FC236}">
              <a16:creationId xmlns="" xmlns:a16="http://schemas.microsoft.com/office/drawing/2014/main" id="{00000000-0008-0000-0000-0000D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5" name="Text Box 3100">
          <a:extLst>
            <a:ext uri="{FF2B5EF4-FFF2-40B4-BE49-F238E27FC236}">
              <a16:creationId xmlns="" xmlns:a16="http://schemas.microsoft.com/office/drawing/2014/main" id="{00000000-0008-0000-0000-0000D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6" name="Text Box 3101">
          <a:extLst>
            <a:ext uri="{FF2B5EF4-FFF2-40B4-BE49-F238E27FC236}">
              <a16:creationId xmlns="" xmlns:a16="http://schemas.microsoft.com/office/drawing/2014/main" id="{00000000-0008-0000-0000-0000D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97" name="Text Box 3102">
          <a:extLst>
            <a:ext uri="{FF2B5EF4-FFF2-40B4-BE49-F238E27FC236}">
              <a16:creationId xmlns="" xmlns:a16="http://schemas.microsoft.com/office/drawing/2014/main" id="{00000000-0008-0000-0000-0000D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98" name="Text Box 59">
          <a:extLst>
            <a:ext uri="{FF2B5EF4-FFF2-40B4-BE49-F238E27FC236}">
              <a16:creationId xmlns="" xmlns:a16="http://schemas.microsoft.com/office/drawing/2014/main" id="{00000000-0008-0000-0000-0000D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99" name="Text Box 60">
          <a:extLst>
            <a:ext uri="{FF2B5EF4-FFF2-40B4-BE49-F238E27FC236}">
              <a16:creationId xmlns="" xmlns:a16="http://schemas.microsoft.com/office/drawing/2014/main" id="{00000000-0008-0000-0000-0000D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0" name="Text Box 61">
          <a:extLst>
            <a:ext uri="{FF2B5EF4-FFF2-40B4-BE49-F238E27FC236}">
              <a16:creationId xmlns="" xmlns:a16="http://schemas.microsoft.com/office/drawing/2014/main" id="{00000000-0008-0000-0000-0000D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1" name="Text Box 62">
          <a:extLst>
            <a:ext uri="{FF2B5EF4-FFF2-40B4-BE49-F238E27FC236}">
              <a16:creationId xmlns="" xmlns:a16="http://schemas.microsoft.com/office/drawing/2014/main" id="{00000000-0008-0000-0000-0000D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2" name="Text Box 63">
          <a:extLst>
            <a:ext uri="{FF2B5EF4-FFF2-40B4-BE49-F238E27FC236}">
              <a16:creationId xmlns="" xmlns:a16="http://schemas.microsoft.com/office/drawing/2014/main" id="{00000000-0008-0000-0000-0000D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3" name="Text Box 64">
          <a:extLst>
            <a:ext uri="{FF2B5EF4-FFF2-40B4-BE49-F238E27FC236}">
              <a16:creationId xmlns="" xmlns:a16="http://schemas.microsoft.com/office/drawing/2014/main" id="{00000000-0008-0000-0000-0000D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4" name="Text Box 65">
          <a:extLst>
            <a:ext uri="{FF2B5EF4-FFF2-40B4-BE49-F238E27FC236}">
              <a16:creationId xmlns="" xmlns:a16="http://schemas.microsoft.com/office/drawing/2014/main" id="{00000000-0008-0000-0000-0000D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5" name="Text Box 66">
          <a:extLst>
            <a:ext uri="{FF2B5EF4-FFF2-40B4-BE49-F238E27FC236}">
              <a16:creationId xmlns="" xmlns:a16="http://schemas.microsoft.com/office/drawing/2014/main" id="{00000000-0008-0000-0000-0000D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6" name="Text Box 67">
          <a:extLst>
            <a:ext uri="{FF2B5EF4-FFF2-40B4-BE49-F238E27FC236}">
              <a16:creationId xmlns="" xmlns:a16="http://schemas.microsoft.com/office/drawing/2014/main" id="{00000000-0008-0000-0000-0000D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7" name="Text Box 68">
          <a:extLst>
            <a:ext uri="{FF2B5EF4-FFF2-40B4-BE49-F238E27FC236}">
              <a16:creationId xmlns="" xmlns:a16="http://schemas.microsoft.com/office/drawing/2014/main" id="{00000000-0008-0000-0000-0000D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8" name="Text Box 69">
          <a:extLst>
            <a:ext uri="{FF2B5EF4-FFF2-40B4-BE49-F238E27FC236}">
              <a16:creationId xmlns="" xmlns:a16="http://schemas.microsoft.com/office/drawing/2014/main" id="{00000000-0008-0000-0000-0000E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9" name="Text Box 70">
          <a:extLst>
            <a:ext uri="{FF2B5EF4-FFF2-40B4-BE49-F238E27FC236}">
              <a16:creationId xmlns="" xmlns:a16="http://schemas.microsoft.com/office/drawing/2014/main" id="{00000000-0008-0000-0000-0000E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0" name="Text Box 71">
          <a:extLst>
            <a:ext uri="{FF2B5EF4-FFF2-40B4-BE49-F238E27FC236}">
              <a16:creationId xmlns="" xmlns:a16="http://schemas.microsoft.com/office/drawing/2014/main" id="{00000000-0008-0000-0000-0000E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1" name="Text Box 72">
          <a:extLst>
            <a:ext uri="{FF2B5EF4-FFF2-40B4-BE49-F238E27FC236}">
              <a16:creationId xmlns="" xmlns:a16="http://schemas.microsoft.com/office/drawing/2014/main" id="{00000000-0008-0000-0000-0000E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2" name="Text Box 73">
          <a:extLst>
            <a:ext uri="{FF2B5EF4-FFF2-40B4-BE49-F238E27FC236}">
              <a16:creationId xmlns="" xmlns:a16="http://schemas.microsoft.com/office/drawing/2014/main" id="{00000000-0008-0000-0000-0000E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3" name="Text Box 74">
          <a:extLst>
            <a:ext uri="{FF2B5EF4-FFF2-40B4-BE49-F238E27FC236}">
              <a16:creationId xmlns="" xmlns:a16="http://schemas.microsoft.com/office/drawing/2014/main" id="{00000000-0008-0000-0000-0000E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4" name="Text Box 75">
          <a:extLst>
            <a:ext uri="{FF2B5EF4-FFF2-40B4-BE49-F238E27FC236}">
              <a16:creationId xmlns="" xmlns:a16="http://schemas.microsoft.com/office/drawing/2014/main" id="{00000000-0008-0000-0000-0000E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5" name="Text Box 76">
          <a:extLst>
            <a:ext uri="{FF2B5EF4-FFF2-40B4-BE49-F238E27FC236}">
              <a16:creationId xmlns="" xmlns:a16="http://schemas.microsoft.com/office/drawing/2014/main" id="{00000000-0008-0000-0000-0000E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6" name="Text Box 77">
          <a:extLst>
            <a:ext uri="{FF2B5EF4-FFF2-40B4-BE49-F238E27FC236}">
              <a16:creationId xmlns="" xmlns:a16="http://schemas.microsoft.com/office/drawing/2014/main" id="{00000000-0008-0000-0000-0000E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7" name="Text Box 78">
          <a:extLst>
            <a:ext uri="{FF2B5EF4-FFF2-40B4-BE49-F238E27FC236}">
              <a16:creationId xmlns="" xmlns:a16="http://schemas.microsoft.com/office/drawing/2014/main" id="{00000000-0008-0000-0000-0000E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8" name="Text Box 79">
          <a:extLst>
            <a:ext uri="{FF2B5EF4-FFF2-40B4-BE49-F238E27FC236}">
              <a16:creationId xmlns="" xmlns:a16="http://schemas.microsoft.com/office/drawing/2014/main" id="{00000000-0008-0000-0000-0000E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9" name="Text Box 80">
          <a:extLst>
            <a:ext uri="{FF2B5EF4-FFF2-40B4-BE49-F238E27FC236}">
              <a16:creationId xmlns="" xmlns:a16="http://schemas.microsoft.com/office/drawing/2014/main" id="{00000000-0008-0000-0000-0000E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20" name="Text Box 81">
          <a:extLst>
            <a:ext uri="{FF2B5EF4-FFF2-40B4-BE49-F238E27FC236}">
              <a16:creationId xmlns="" xmlns:a16="http://schemas.microsoft.com/office/drawing/2014/main" id="{00000000-0008-0000-0000-0000E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1" name="Text Box 3079">
          <a:extLst>
            <a:ext uri="{FF2B5EF4-FFF2-40B4-BE49-F238E27FC236}">
              <a16:creationId xmlns="" xmlns:a16="http://schemas.microsoft.com/office/drawing/2014/main" id="{00000000-0008-0000-0000-0000E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2" name="Text Box 3080">
          <a:extLst>
            <a:ext uri="{FF2B5EF4-FFF2-40B4-BE49-F238E27FC236}">
              <a16:creationId xmlns="" xmlns:a16="http://schemas.microsoft.com/office/drawing/2014/main" id="{00000000-0008-0000-0000-0000E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3" name="Text Box 3081">
          <a:extLst>
            <a:ext uri="{FF2B5EF4-FFF2-40B4-BE49-F238E27FC236}">
              <a16:creationId xmlns="" xmlns:a16="http://schemas.microsoft.com/office/drawing/2014/main" id="{00000000-0008-0000-0000-0000E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4" name="Text Box 3082">
          <a:extLst>
            <a:ext uri="{FF2B5EF4-FFF2-40B4-BE49-F238E27FC236}">
              <a16:creationId xmlns="" xmlns:a16="http://schemas.microsoft.com/office/drawing/2014/main" id="{00000000-0008-0000-0000-0000F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5" name="Text Box 3083">
          <a:extLst>
            <a:ext uri="{FF2B5EF4-FFF2-40B4-BE49-F238E27FC236}">
              <a16:creationId xmlns="" xmlns:a16="http://schemas.microsoft.com/office/drawing/2014/main" id="{00000000-0008-0000-0000-0000F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6" name="Text Box 3084">
          <a:extLst>
            <a:ext uri="{FF2B5EF4-FFF2-40B4-BE49-F238E27FC236}">
              <a16:creationId xmlns="" xmlns:a16="http://schemas.microsoft.com/office/drawing/2014/main" id="{00000000-0008-0000-0000-0000F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7" name="Text Box 3085">
          <a:extLst>
            <a:ext uri="{FF2B5EF4-FFF2-40B4-BE49-F238E27FC236}">
              <a16:creationId xmlns="" xmlns:a16="http://schemas.microsoft.com/office/drawing/2014/main" id="{00000000-0008-0000-0000-0000F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8" name="Text Box 3086">
          <a:extLst>
            <a:ext uri="{FF2B5EF4-FFF2-40B4-BE49-F238E27FC236}">
              <a16:creationId xmlns="" xmlns:a16="http://schemas.microsoft.com/office/drawing/2014/main" id="{00000000-0008-0000-0000-0000F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9" name="Text Box 3087">
          <a:extLst>
            <a:ext uri="{FF2B5EF4-FFF2-40B4-BE49-F238E27FC236}">
              <a16:creationId xmlns="" xmlns:a16="http://schemas.microsoft.com/office/drawing/2014/main" id="{00000000-0008-0000-0000-0000F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0" name="Text Box 3088">
          <a:extLst>
            <a:ext uri="{FF2B5EF4-FFF2-40B4-BE49-F238E27FC236}">
              <a16:creationId xmlns="" xmlns:a16="http://schemas.microsoft.com/office/drawing/2014/main" id="{00000000-0008-0000-0000-0000F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1" name="Text Box 3089">
          <a:extLst>
            <a:ext uri="{FF2B5EF4-FFF2-40B4-BE49-F238E27FC236}">
              <a16:creationId xmlns="" xmlns:a16="http://schemas.microsoft.com/office/drawing/2014/main" id="{00000000-0008-0000-0000-0000F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2" name="Text Box 3090">
          <a:extLst>
            <a:ext uri="{FF2B5EF4-FFF2-40B4-BE49-F238E27FC236}">
              <a16:creationId xmlns="" xmlns:a16="http://schemas.microsoft.com/office/drawing/2014/main" id="{00000000-0008-0000-0000-0000F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3" name="Text Box 3091">
          <a:extLst>
            <a:ext uri="{FF2B5EF4-FFF2-40B4-BE49-F238E27FC236}">
              <a16:creationId xmlns="" xmlns:a16="http://schemas.microsoft.com/office/drawing/2014/main" id="{00000000-0008-0000-0000-0000F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4" name="Text Box 3092">
          <a:extLst>
            <a:ext uri="{FF2B5EF4-FFF2-40B4-BE49-F238E27FC236}">
              <a16:creationId xmlns="" xmlns:a16="http://schemas.microsoft.com/office/drawing/2014/main" id="{00000000-0008-0000-0000-0000F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5" name="Text Box 3093">
          <a:extLst>
            <a:ext uri="{FF2B5EF4-FFF2-40B4-BE49-F238E27FC236}">
              <a16:creationId xmlns="" xmlns:a16="http://schemas.microsoft.com/office/drawing/2014/main" id="{00000000-0008-0000-0000-0000F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6" name="Text Box 3094">
          <a:extLst>
            <a:ext uri="{FF2B5EF4-FFF2-40B4-BE49-F238E27FC236}">
              <a16:creationId xmlns="" xmlns:a16="http://schemas.microsoft.com/office/drawing/2014/main" id="{00000000-0008-0000-0000-0000F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7" name="Text Box 3095">
          <a:extLst>
            <a:ext uri="{FF2B5EF4-FFF2-40B4-BE49-F238E27FC236}">
              <a16:creationId xmlns="" xmlns:a16="http://schemas.microsoft.com/office/drawing/2014/main" id="{00000000-0008-0000-0000-0000F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8" name="Text Box 3096">
          <a:extLst>
            <a:ext uri="{FF2B5EF4-FFF2-40B4-BE49-F238E27FC236}">
              <a16:creationId xmlns="" xmlns:a16="http://schemas.microsoft.com/office/drawing/2014/main" id="{00000000-0008-0000-0000-0000F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9" name="Text Box 3097">
          <a:extLst>
            <a:ext uri="{FF2B5EF4-FFF2-40B4-BE49-F238E27FC236}">
              <a16:creationId xmlns="" xmlns:a16="http://schemas.microsoft.com/office/drawing/2014/main" id="{00000000-0008-0000-0000-0000F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0" name="Text Box 3098">
          <a:extLst>
            <a:ext uri="{FF2B5EF4-FFF2-40B4-BE49-F238E27FC236}">
              <a16:creationId xmlns="" xmlns:a16="http://schemas.microsoft.com/office/drawing/2014/main" id="{00000000-0008-0000-0000-00000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1" name="Text Box 3099">
          <a:extLst>
            <a:ext uri="{FF2B5EF4-FFF2-40B4-BE49-F238E27FC236}">
              <a16:creationId xmlns="" xmlns:a16="http://schemas.microsoft.com/office/drawing/2014/main" id="{00000000-0008-0000-0000-00000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2" name="Text Box 3100">
          <a:extLst>
            <a:ext uri="{FF2B5EF4-FFF2-40B4-BE49-F238E27FC236}">
              <a16:creationId xmlns="" xmlns:a16="http://schemas.microsoft.com/office/drawing/2014/main" id="{00000000-0008-0000-0000-00000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3" name="Text Box 3101">
          <a:extLst>
            <a:ext uri="{FF2B5EF4-FFF2-40B4-BE49-F238E27FC236}">
              <a16:creationId xmlns="" xmlns:a16="http://schemas.microsoft.com/office/drawing/2014/main" id="{00000000-0008-0000-0000-00000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244" name="Text Box 3102">
          <a:extLst>
            <a:ext uri="{FF2B5EF4-FFF2-40B4-BE49-F238E27FC236}">
              <a16:creationId xmlns="" xmlns:a16="http://schemas.microsoft.com/office/drawing/2014/main" id="{00000000-0008-0000-0000-00000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5" name="Text Box 59">
          <a:extLst>
            <a:ext uri="{FF2B5EF4-FFF2-40B4-BE49-F238E27FC236}">
              <a16:creationId xmlns="" xmlns:a16="http://schemas.microsoft.com/office/drawing/2014/main" id="{00000000-0008-0000-0000-00000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6" name="Text Box 60">
          <a:extLst>
            <a:ext uri="{FF2B5EF4-FFF2-40B4-BE49-F238E27FC236}">
              <a16:creationId xmlns="" xmlns:a16="http://schemas.microsoft.com/office/drawing/2014/main" id="{00000000-0008-0000-0000-00000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7" name="Text Box 61">
          <a:extLst>
            <a:ext uri="{FF2B5EF4-FFF2-40B4-BE49-F238E27FC236}">
              <a16:creationId xmlns="" xmlns:a16="http://schemas.microsoft.com/office/drawing/2014/main" id="{00000000-0008-0000-0000-00000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8" name="Text Box 62">
          <a:extLst>
            <a:ext uri="{FF2B5EF4-FFF2-40B4-BE49-F238E27FC236}">
              <a16:creationId xmlns="" xmlns:a16="http://schemas.microsoft.com/office/drawing/2014/main" id="{00000000-0008-0000-0000-00000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9" name="Text Box 63">
          <a:extLst>
            <a:ext uri="{FF2B5EF4-FFF2-40B4-BE49-F238E27FC236}">
              <a16:creationId xmlns="" xmlns:a16="http://schemas.microsoft.com/office/drawing/2014/main" id="{00000000-0008-0000-0000-00000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0" name="Text Box 64">
          <a:extLst>
            <a:ext uri="{FF2B5EF4-FFF2-40B4-BE49-F238E27FC236}">
              <a16:creationId xmlns="" xmlns:a16="http://schemas.microsoft.com/office/drawing/2014/main" id="{00000000-0008-0000-0000-00000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1" name="Text Box 65">
          <a:extLst>
            <a:ext uri="{FF2B5EF4-FFF2-40B4-BE49-F238E27FC236}">
              <a16:creationId xmlns="" xmlns:a16="http://schemas.microsoft.com/office/drawing/2014/main" id="{00000000-0008-0000-0000-00000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2" name="Text Box 66">
          <a:extLst>
            <a:ext uri="{FF2B5EF4-FFF2-40B4-BE49-F238E27FC236}">
              <a16:creationId xmlns="" xmlns:a16="http://schemas.microsoft.com/office/drawing/2014/main" id="{00000000-0008-0000-0000-00000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3" name="Text Box 67">
          <a:extLst>
            <a:ext uri="{FF2B5EF4-FFF2-40B4-BE49-F238E27FC236}">
              <a16:creationId xmlns="" xmlns:a16="http://schemas.microsoft.com/office/drawing/2014/main" id="{00000000-0008-0000-0000-00000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4" name="Text Box 68">
          <a:extLst>
            <a:ext uri="{FF2B5EF4-FFF2-40B4-BE49-F238E27FC236}">
              <a16:creationId xmlns="" xmlns:a16="http://schemas.microsoft.com/office/drawing/2014/main" id="{00000000-0008-0000-0000-00000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5" name="Text Box 69">
          <a:extLst>
            <a:ext uri="{FF2B5EF4-FFF2-40B4-BE49-F238E27FC236}">
              <a16:creationId xmlns="" xmlns:a16="http://schemas.microsoft.com/office/drawing/2014/main" id="{00000000-0008-0000-0000-00000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6" name="Text Box 70">
          <a:extLst>
            <a:ext uri="{FF2B5EF4-FFF2-40B4-BE49-F238E27FC236}">
              <a16:creationId xmlns="" xmlns:a16="http://schemas.microsoft.com/office/drawing/2014/main" id="{00000000-0008-0000-0000-00001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7" name="Text Box 71">
          <a:extLst>
            <a:ext uri="{FF2B5EF4-FFF2-40B4-BE49-F238E27FC236}">
              <a16:creationId xmlns="" xmlns:a16="http://schemas.microsoft.com/office/drawing/2014/main" id="{00000000-0008-0000-0000-00001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8" name="Text Box 72">
          <a:extLst>
            <a:ext uri="{FF2B5EF4-FFF2-40B4-BE49-F238E27FC236}">
              <a16:creationId xmlns="" xmlns:a16="http://schemas.microsoft.com/office/drawing/2014/main" id="{00000000-0008-0000-0000-00001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9" name="Text Box 73">
          <a:extLst>
            <a:ext uri="{FF2B5EF4-FFF2-40B4-BE49-F238E27FC236}">
              <a16:creationId xmlns="" xmlns:a16="http://schemas.microsoft.com/office/drawing/2014/main" id="{00000000-0008-0000-0000-00001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0" name="Text Box 74">
          <a:extLst>
            <a:ext uri="{FF2B5EF4-FFF2-40B4-BE49-F238E27FC236}">
              <a16:creationId xmlns="" xmlns:a16="http://schemas.microsoft.com/office/drawing/2014/main" id="{00000000-0008-0000-0000-00001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1" name="Text Box 75">
          <a:extLst>
            <a:ext uri="{FF2B5EF4-FFF2-40B4-BE49-F238E27FC236}">
              <a16:creationId xmlns="" xmlns:a16="http://schemas.microsoft.com/office/drawing/2014/main" id="{00000000-0008-0000-0000-00001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2" name="Text Box 76">
          <a:extLst>
            <a:ext uri="{FF2B5EF4-FFF2-40B4-BE49-F238E27FC236}">
              <a16:creationId xmlns="" xmlns:a16="http://schemas.microsoft.com/office/drawing/2014/main" id="{00000000-0008-0000-0000-00001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3" name="Text Box 77">
          <a:extLst>
            <a:ext uri="{FF2B5EF4-FFF2-40B4-BE49-F238E27FC236}">
              <a16:creationId xmlns="" xmlns:a16="http://schemas.microsoft.com/office/drawing/2014/main" id="{00000000-0008-0000-0000-00001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4" name="Text Box 78">
          <a:extLst>
            <a:ext uri="{FF2B5EF4-FFF2-40B4-BE49-F238E27FC236}">
              <a16:creationId xmlns="" xmlns:a16="http://schemas.microsoft.com/office/drawing/2014/main" id="{00000000-0008-0000-0000-00001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5" name="Text Box 79">
          <a:extLst>
            <a:ext uri="{FF2B5EF4-FFF2-40B4-BE49-F238E27FC236}">
              <a16:creationId xmlns="" xmlns:a16="http://schemas.microsoft.com/office/drawing/2014/main" id="{00000000-0008-0000-0000-00001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6" name="Text Box 80">
          <a:extLst>
            <a:ext uri="{FF2B5EF4-FFF2-40B4-BE49-F238E27FC236}">
              <a16:creationId xmlns="" xmlns:a16="http://schemas.microsoft.com/office/drawing/2014/main" id="{00000000-0008-0000-0000-00001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7" name="Text Box 81">
          <a:extLst>
            <a:ext uri="{FF2B5EF4-FFF2-40B4-BE49-F238E27FC236}">
              <a16:creationId xmlns="" xmlns:a16="http://schemas.microsoft.com/office/drawing/2014/main" id="{00000000-0008-0000-0000-00001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268" name="Text Box 82">
          <a:extLst>
            <a:ext uri="{FF2B5EF4-FFF2-40B4-BE49-F238E27FC236}">
              <a16:creationId xmlns="" xmlns:a16="http://schemas.microsoft.com/office/drawing/2014/main" id="{00000000-0008-0000-0000-00001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69" name="Text Box 3079">
          <a:extLst>
            <a:ext uri="{FF2B5EF4-FFF2-40B4-BE49-F238E27FC236}">
              <a16:creationId xmlns="" xmlns:a16="http://schemas.microsoft.com/office/drawing/2014/main" id="{00000000-0008-0000-0000-00001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0" name="Text Box 3080">
          <a:extLst>
            <a:ext uri="{FF2B5EF4-FFF2-40B4-BE49-F238E27FC236}">
              <a16:creationId xmlns="" xmlns:a16="http://schemas.microsoft.com/office/drawing/2014/main" id="{00000000-0008-0000-0000-00001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1" name="Text Box 3081">
          <a:extLst>
            <a:ext uri="{FF2B5EF4-FFF2-40B4-BE49-F238E27FC236}">
              <a16:creationId xmlns="" xmlns:a16="http://schemas.microsoft.com/office/drawing/2014/main" id="{00000000-0008-0000-0000-00001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2" name="Text Box 3082">
          <a:extLst>
            <a:ext uri="{FF2B5EF4-FFF2-40B4-BE49-F238E27FC236}">
              <a16:creationId xmlns="" xmlns:a16="http://schemas.microsoft.com/office/drawing/2014/main" id="{00000000-0008-0000-0000-00002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3" name="Text Box 3083">
          <a:extLst>
            <a:ext uri="{FF2B5EF4-FFF2-40B4-BE49-F238E27FC236}">
              <a16:creationId xmlns="" xmlns:a16="http://schemas.microsoft.com/office/drawing/2014/main" id="{00000000-0008-0000-0000-00002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4" name="Text Box 3084">
          <a:extLst>
            <a:ext uri="{FF2B5EF4-FFF2-40B4-BE49-F238E27FC236}">
              <a16:creationId xmlns="" xmlns:a16="http://schemas.microsoft.com/office/drawing/2014/main" id="{00000000-0008-0000-0000-00002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5" name="Text Box 3085">
          <a:extLst>
            <a:ext uri="{FF2B5EF4-FFF2-40B4-BE49-F238E27FC236}">
              <a16:creationId xmlns="" xmlns:a16="http://schemas.microsoft.com/office/drawing/2014/main" id="{00000000-0008-0000-0000-00002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6" name="Text Box 3086">
          <a:extLst>
            <a:ext uri="{FF2B5EF4-FFF2-40B4-BE49-F238E27FC236}">
              <a16:creationId xmlns="" xmlns:a16="http://schemas.microsoft.com/office/drawing/2014/main" id="{00000000-0008-0000-0000-00002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7" name="Text Box 3087">
          <a:extLst>
            <a:ext uri="{FF2B5EF4-FFF2-40B4-BE49-F238E27FC236}">
              <a16:creationId xmlns="" xmlns:a16="http://schemas.microsoft.com/office/drawing/2014/main" id="{00000000-0008-0000-0000-00002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8" name="Text Box 3088">
          <a:extLst>
            <a:ext uri="{FF2B5EF4-FFF2-40B4-BE49-F238E27FC236}">
              <a16:creationId xmlns="" xmlns:a16="http://schemas.microsoft.com/office/drawing/2014/main" id="{00000000-0008-0000-0000-00002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9" name="Text Box 3089">
          <a:extLst>
            <a:ext uri="{FF2B5EF4-FFF2-40B4-BE49-F238E27FC236}">
              <a16:creationId xmlns="" xmlns:a16="http://schemas.microsoft.com/office/drawing/2014/main" id="{00000000-0008-0000-0000-00002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0" name="Text Box 3090">
          <a:extLst>
            <a:ext uri="{FF2B5EF4-FFF2-40B4-BE49-F238E27FC236}">
              <a16:creationId xmlns="" xmlns:a16="http://schemas.microsoft.com/office/drawing/2014/main" id="{00000000-0008-0000-0000-00002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1" name="Text Box 3091">
          <a:extLst>
            <a:ext uri="{FF2B5EF4-FFF2-40B4-BE49-F238E27FC236}">
              <a16:creationId xmlns="" xmlns:a16="http://schemas.microsoft.com/office/drawing/2014/main" id="{00000000-0008-0000-0000-00002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2" name="Text Box 3092">
          <a:extLst>
            <a:ext uri="{FF2B5EF4-FFF2-40B4-BE49-F238E27FC236}">
              <a16:creationId xmlns="" xmlns:a16="http://schemas.microsoft.com/office/drawing/2014/main" id="{00000000-0008-0000-0000-00002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3" name="Text Box 3093">
          <a:extLst>
            <a:ext uri="{FF2B5EF4-FFF2-40B4-BE49-F238E27FC236}">
              <a16:creationId xmlns="" xmlns:a16="http://schemas.microsoft.com/office/drawing/2014/main" id="{00000000-0008-0000-0000-00002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4" name="Text Box 3094">
          <a:extLst>
            <a:ext uri="{FF2B5EF4-FFF2-40B4-BE49-F238E27FC236}">
              <a16:creationId xmlns="" xmlns:a16="http://schemas.microsoft.com/office/drawing/2014/main" id="{00000000-0008-0000-0000-00002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5" name="Text Box 3095">
          <a:extLst>
            <a:ext uri="{FF2B5EF4-FFF2-40B4-BE49-F238E27FC236}">
              <a16:creationId xmlns="" xmlns:a16="http://schemas.microsoft.com/office/drawing/2014/main" id="{00000000-0008-0000-0000-00002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6" name="Text Box 3096">
          <a:extLst>
            <a:ext uri="{FF2B5EF4-FFF2-40B4-BE49-F238E27FC236}">
              <a16:creationId xmlns="" xmlns:a16="http://schemas.microsoft.com/office/drawing/2014/main" id="{00000000-0008-0000-0000-00002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7" name="Text Box 3097">
          <a:extLst>
            <a:ext uri="{FF2B5EF4-FFF2-40B4-BE49-F238E27FC236}">
              <a16:creationId xmlns="" xmlns:a16="http://schemas.microsoft.com/office/drawing/2014/main" id="{00000000-0008-0000-0000-00002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8" name="Text Box 3098">
          <a:extLst>
            <a:ext uri="{FF2B5EF4-FFF2-40B4-BE49-F238E27FC236}">
              <a16:creationId xmlns="" xmlns:a16="http://schemas.microsoft.com/office/drawing/2014/main" id="{00000000-0008-0000-0000-00003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9" name="Text Box 3099">
          <a:extLst>
            <a:ext uri="{FF2B5EF4-FFF2-40B4-BE49-F238E27FC236}">
              <a16:creationId xmlns="" xmlns:a16="http://schemas.microsoft.com/office/drawing/2014/main" id="{00000000-0008-0000-0000-00003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90" name="Text Box 3100">
          <a:extLst>
            <a:ext uri="{FF2B5EF4-FFF2-40B4-BE49-F238E27FC236}">
              <a16:creationId xmlns="" xmlns:a16="http://schemas.microsoft.com/office/drawing/2014/main" id="{00000000-0008-0000-0000-00003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91" name="Text Box 3101">
          <a:extLst>
            <a:ext uri="{FF2B5EF4-FFF2-40B4-BE49-F238E27FC236}">
              <a16:creationId xmlns="" xmlns:a16="http://schemas.microsoft.com/office/drawing/2014/main" id="{00000000-0008-0000-0000-00003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292" name="Text Box 3102">
          <a:extLst>
            <a:ext uri="{FF2B5EF4-FFF2-40B4-BE49-F238E27FC236}">
              <a16:creationId xmlns="" xmlns:a16="http://schemas.microsoft.com/office/drawing/2014/main" id="{00000000-0008-0000-0000-00003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3" name="Text Box 59">
          <a:extLst>
            <a:ext uri="{FF2B5EF4-FFF2-40B4-BE49-F238E27FC236}">
              <a16:creationId xmlns="" xmlns:a16="http://schemas.microsoft.com/office/drawing/2014/main" id="{00000000-0008-0000-0000-00003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4" name="Text Box 60">
          <a:extLst>
            <a:ext uri="{FF2B5EF4-FFF2-40B4-BE49-F238E27FC236}">
              <a16:creationId xmlns="" xmlns:a16="http://schemas.microsoft.com/office/drawing/2014/main" id="{00000000-0008-0000-0000-00003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5" name="Text Box 61">
          <a:extLst>
            <a:ext uri="{FF2B5EF4-FFF2-40B4-BE49-F238E27FC236}">
              <a16:creationId xmlns="" xmlns:a16="http://schemas.microsoft.com/office/drawing/2014/main" id="{00000000-0008-0000-0000-00003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6" name="Text Box 62">
          <a:extLst>
            <a:ext uri="{FF2B5EF4-FFF2-40B4-BE49-F238E27FC236}">
              <a16:creationId xmlns="" xmlns:a16="http://schemas.microsoft.com/office/drawing/2014/main" id="{00000000-0008-0000-0000-00003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7" name="Text Box 63">
          <a:extLst>
            <a:ext uri="{FF2B5EF4-FFF2-40B4-BE49-F238E27FC236}">
              <a16:creationId xmlns="" xmlns:a16="http://schemas.microsoft.com/office/drawing/2014/main" id="{00000000-0008-0000-0000-00003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8" name="Text Box 64">
          <a:extLst>
            <a:ext uri="{FF2B5EF4-FFF2-40B4-BE49-F238E27FC236}">
              <a16:creationId xmlns="" xmlns:a16="http://schemas.microsoft.com/office/drawing/2014/main" id="{00000000-0008-0000-0000-00003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9" name="Text Box 65">
          <a:extLst>
            <a:ext uri="{FF2B5EF4-FFF2-40B4-BE49-F238E27FC236}">
              <a16:creationId xmlns="" xmlns:a16="http://schemas.microsoft.com/office/drawing/2014/main" id="{00000000-0008-0000-0000-00003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0" name="Text Box 66">
          <a:extLst>
            <a:ext uri="{FF2B5EF4-FFF2-40B4-BE49-F238E27FC236}">
              <a16:creationId xmlns="" xmlns:a16="http://schemas.microsoft.com/office/drawing/2014/main" id="{00000000-0008-0000-0000-00003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1" name="Text Box 67">
          <a:extLst>
            <a:ext uri="{FF2B5EF4-FFF2-40B4-BE49-F238E27FC236}">
              <a16:creationId xmlns="" xmlns:a16="http://schemas.microsoft.com/office/drawing/2014/main" id="{00000000-0008-0000-0000-00003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2" name="Text Box 68">
          <a:extLst>
            <a:ext uri="{FF2B5EF4-FFF2-40B4-BE49-F238E27FC236}">
              <a16:creationId xmlns="" xmlns:a16="http://schemas.microsoft.com/office/drawing/2014/main" id="{00000000-0008-0000-0000-00003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3" name="Text Box 69">
          <a:extLst>
            <a:ext uri="{FF2B5EF4-FFF2-40B4-BE49-F238E27FC236}">
              <a16:creationId xmlns="" xmlns:a16="http://schemas.microsoft.com/office/drawing/2014/main" id="{00000000-0008-0000-0000-00003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4" name="Text Box 70">
          <a:extLst>
            <a:ext uri="{FF2B5EF4-FFF2-40B4-BE49-F238E27FC236}">
              <a16:creationId xmlns="" xmlns:a16="http://schemas.microsoft.com/office/drawing/2014/main" id="{00000000-0008-0000-0000-00004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5" name="Text Box 71">
          <a:extLst>
            <a:ext uri="{FF2B5EF4-FFF2-40B4-BE49-F238E27FC236}">
              <a16:creationId xmlns="" xmlns:a16="http://schemas.microsoft.com/office/drawing/2014/main" id="{00000000-0008-0000-0000-00004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6" name="Text Box 72">
          <a:extLst>
            <a:ext uri="{FF2B5EF4-FFF2-40B4-BE49-F238E27FC236}">
              <a16:creationId xmlns="" xmlns:a16="http://schemas.microsoft.com/office/drawing/2014/main" id="{00000000-0008-0000-0000-00004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7" name="Text Box 73">
          <a:extLst>
            <a:ext uri="{FF2B5EF4-FFF2-40B4-BE49-F238E27FC236}">
              <a16:creationId xmlns="" xmlns:a16="http://schemas.microsoft.com/office/drawing/2014/main" id="{00000000-0008-0000-0000-00004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8" name="Text Box 74">
          <a:extLst>
            <a:ext uri="{FF2B5EF4-FFF2-40B4-BE49-F238E27FC236}">
              <a16:creationId xmlns="" xmlns:a16="http://schemas.microsoft.com/office/drawing/2014/main" id="{00000000-0008-0000-0000-00004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9" name="Text Box 75">
          <a:extLst>
            <a:ext uri="{FF2B5EF4-FFF2-40B4-BE49-F238E27FC236}">
              <a16:creationId xmlns="" xmlns:a16="http://schemas.microsoft.com/office/drawing/2014/main" id="{00000000-0008-0000-0000-00004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0" name="Text Box 76">
          <a:extLst>
            <a:ext uri="{FF2B5EF4-FFF2-40B4-BE49-F238E27FC236}">
              <a16:creationId xmlns="" xmlns:a16="http://schemas.microsoft.com/office/drawing/2014/main" id="{00000000-0008-0000-0000-00004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1" name="Text Box 77">
          <a:extLst>
            <a:ext uri="{FF2B5EF4-FFF2-40B4-BE49-F238E27FC236}">
              <a16:creationId xmlns="" xmlns:a16="http://schemas.microsoft.com/office/drawing/2014/main" id="{00000000-0008-0000-0000-00004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2" name="Text Box 78">
          <a:extLst>
            <a:ext uri="{FF2B5EF4-FFF2-40B4-BE49-F238E27FC236}">
              <a16:creationId xmlns="" xmlns:a16="http://schemas.microsoft.com/office/drawing/2014/main" id="{00000000-0008-0000-0000-00004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3" name="Text Box 79">
          <a:extLst>
            <a:ext uri="{FF2B5EF4-FFF2-40B4-BE49-F238E27FC236}">
              <a16:creationId xmlns="" xmlns:a16="http://schemas.microsoft.com/office/drawing/2014/main" id="{00000000-0008-0000-0000-00004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4" name="Text Box 80">
          <a:extLst>
            <a:ext uri="{FF2B5EF4-FFF2-40B4-BE49-F238E27FC236}">
              <a16:creationId xmlns="" xmlns:a16="http://schemas.microsoft.com/office/drawing/2014/main" id="{00000000-0008-0000-0000-00004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5" name="Text Box 81">
          <a:extLst>
            <a:ext uri="{FF2B5EF4-FFF2-40B4-BE49-F238E27FC236}">
              <a16:creationId xmlns="" xmlns:a16="http://schemas.microsoft.com/office/drawing/2014/main" id="{00000000-0008-0000-0000-00004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6" name="Text Box 3079">
          <a:extLst>
            <a:ext uri="{FF2B5EF4-FFF2-40B4-BE49-F238E27FC236}">
              <a16:creationId xmlns="" xmlns:a16="http://schemas.microsoft.com/office/drawing/2014/main" id="{00000000-0008-0000-0000-00004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7" name="Text Box 3080">
          <a:extLst>
            <a:ext uri="{FF2B5EF4-FFF2-40B4-BE49-F238E27FC236}">
              <a16:creationId xmlns="" xmlns:a16="http://schemas.microsoft.com/office/drawing/2014/main" id="{00000000-0008-0000-0000-00004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8" name="Text Box 3081">
          <a:extLst>
            <a:ext uri="{FF2B5EF4-FFF2-40B4-BE49-F238E27FC236}">
              <a16:creationId xmlns="" xmlns:a16="http://schemas.microsoft.com/office/drawing/2014/main" id="{00000000-0008-0000-0000-00004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9" name="Text Box 3082">
          <a:extLst>
            <a:ext uri="{FF2B5EF4-FFF2-40B4-BE49-F238E27FC236}">
              <a16:creationId xmlns="" xmlns:a16="http://schemas.microsoft.com/office/drawing/2014/main" id="{00000000-0008-0000-0000-00004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0" name="Text Box 3083">
          <a:extLst>
            <a:ext uri="{FF2B5EF4-FFF2-40B4-BE49-F238E27FC236}">
              <a16:creationId xmlns="" xmlns:a16="http://schemas.microsoft.com/office/drawing/2014/main" id="{00000000-0008-0000-0000-00005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1" name="Text Box 3084">
          <a:extLst>
            <a:ext uri="{FF2B5EF4-FFF2-40B4-BE49-F238E27FC236}">
              <a16:creationId xmlns="" xmlns:a16="http://schemas.microsoft.com/office/drawing/2014/main" id="{00000000-0008-0000-0000-00005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2" name="Text Box 3085">
          <a:extLst>
            <a:ext uri="{FF2B5EF4-FFF2-40B4-BE49-F238E27FC236}">
              <a16:creationId xmlns="" xmlns:a16="http://schemas.microsoft.com/office/drawing/2014/main" id="{00000000-0008-0000-0000-00005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3" name="Text Box 3086">
          <a:extLst>
            <a:ext uri="{FF2B5EF4-FFF2-40B4-BE49-F238E27FC236}">
              <a16:creationId xmlns="" xmlns:a16="http://schemas.microsoft.com/office/drawing/2014/main" id="{00000000-0008-0000-0000-00005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4" name="Text Box 3087">
          <a:extLst>
            <a:ext uri="{FF2B5EF4-FFF2-40B4-BE49-F238E27FC236}">
              <a16:creationId xmlns="" xmlns:a16="http://schemas.microsoft.com/office/drawing/2014/main" id="{00000000-0008-0000-0000-00005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5" name="Text Box 3088">
          <a:extLst>
            <a:ext uri="{FF2B5EF4-FFF2-40B4-BE49-F238E27FC236}">
              <a16:creationId xmlns="" xmlns:a16="http://schemas.microsoft.com/office/drawing/2014/main" id="{00000000-0008-0000-0000-00005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6" name="Text Box 3089">
          <a:extLst>
            <a:ext uri="{FF2B5EF4-FFF2-40B4-BE49-F238E27FC236}">
              <a16:creationId xmlns="" xmlns:a16="http://schemas.microsoft.com/office/drawing/2014/main" id="{00000000-0008-0000-0000-00005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7" name="Text Box 3090">
          <a:extLst>
            <a:ext uri="{FF2B5EF4-FFF2-40B4-BE49-F238E27FC236}">
              <a16:creationId xmlns="" xmlns:a16="http://schemas.microsoft.com/office/drawing/2014/main" id="{00000000-0008-0000-0000-00005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8" name="Text Box 3091">
          <a:extLst>
            <a:ext uri="{FF2B5EF4-FFF2-40B4-BE49-F238E27FC236}">
              <a16:creationId xmlns="" xmlns:a16="http://schemas.microsoft.com/office/drawing/2014/main" id="{00000000-0008-0000-0000-00005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9" name="Text Box 3092">
          <a:extLst>
            <a:ext uri="{FF2B5EF4-FFF2-40B4-BE49-F238E27FC236}">
              <a16:creationId xmlns="" xmlns:a16="http://schemas.microsoft.com/office/drawing/2014/main" id="{00000000-0008-0000-0000-00005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0" name="Text Box 3093">
          <a:extLst>
            <a:ext uri="{FF2B5EF4-FFF2-40B4-BE49-F238E27FC236}">
              <a16:creationId xmlns="" xmlns:a16="http://schemas.microsoft.com/office/drawing/2014/main" id="{00000000-0008-0000-0000-00005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1" name="Text Box 3094">
          <a:extLst>
            <a:ext uri="{FF2B5EF4-FFF2-40B4-BE49-F238E27FC236}">
              <a16:creationId xmlns="" xmlns:a16="http://schemas.microsoft.com/office/drawing/2014/main" id="{00000000-0008-0000-0000-00005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2" name="Text Box 3095">
          <a:extLst>
            <a:ext uri="{FF2B5EF4-FFF2-40B4-BE49-F238E27FC236}">
              <a16:creationId xmlns="" xmlns:a16="http://schemas.microsoft.com/office/drawing/2014/main" id="{00000000-0008-0000-0000-00005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3" name="Text Box 3096">
          <a:extLst>
            <a:ext uri="{FF2B5EF4-FFF2-40B4-BE49-F238E27FC236}">
              <a16:creationId xmlns="" xmlns:a16="http://schemas.microsoft.com/office/drawing/2014/main" id="{00000000-0008-0000-0000-00005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4" name="Text Box 3097">
          <a:extLst>
            <a:ext uri="{FF2B5EF4-FFF2-40B4-BE49-F238E27FC236}">
              <a16:creationId xmlns="" xmlns:a16="http://schemas.microsoft.com/office/drawing/2014/main" id="{00000000-0008-0000-0000-00005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5" name="Text Box 3098">
          <a:extLst>
            <a:ext uri="{FF2B5EF4-FFF2-40B4-BE49-F238E27FC236}">
              <a16:creationId xmlns="" xmlns:a16="http://schemas.microsoft.com/office/drawing/2014/main" id="{00000000-0008-0000-0000-00005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6" name="Text Box 3099">
          <a:extLst>
            <a:ext uri="{FF2B5EF4-FFF2-40B4-BE49-F238E27FC236}">
              <a16:creationId xmlns="" xmlns:a16="http://schemas.microsoft.com/office/drawing/2014/main" id="{00000000-0008-0000-0000-00006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7" name="Text Box 3100">
          <a:extLst>
            <a:ext uri="{FF2B5EF4-FFF2-40B4-BE49-F238E27FC236}">
              <a16:creationId xmlns="" xmlns:a16="http://schemas.microsoft.com/office/drawing/2014/main" id="{00000000-0008-0000-0000-00006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8" name="Text Box 3101">
          <a:extLst>
            <a:ext uri="{FF2B5EF4-FFF2-40B4-BE49-F238E27FC236}">
              <a16:creationId xmlns="" xmlns:a16="http://schemas.microsoft.com/office/drawing/2014/main" id="{00000000-0008-0000-0000-00006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339" name="Text Box 3102">
          <a:extLst>
            <a:ext uri="{FF2B5EF4-FFF2-40B4-BE49-F238E27FC236}">
              <a16:creationId xmlns="" xmlns:a16="http://schemas.microsoft.com/office/drawing/2014/main" id="{00000000-0008-0000-0000-00006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0" name="Text Box 59">
          <a:extLst>
            <a:ext uri="{FF2B5EF4-FFF2-40B4-BE49-F238E27FC236}">
              <a16:creationId xmlns="" xmlns:a16="http://schemas.microsoft.com/office/drawing/2014/main" id="{00000000-0008-0000-0000-00006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1" name="Text Box 60">
          <a:extLst>
            <a:ext uri="{FF2B5EF4-FFF2-40B4-BE49-F238E27FC236}">
              <a16:creationId xmlns="" xmlns:a16="http://schemas.microsoft.com/office/drawing/2014/main" id="{00000000-0008-0000-0000-00006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2" name="Text Box 61">
          <a:extLst>
            <a:ext uri="{FF2B5EF4-FFF2-40B4-BE49-F238E27FC236}">
              <a16:creationId xmlns="" xmlns:a16="http://schemas.microsoft.com/office/drawing/2014/main" id="{00000000-0008-0000-0000-00006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3" name="Text Box 62">
          <a:extLst>
            <a:ext uri="{FF2B5EF4-FFF2-40B4-BE49-F238E27FC236}">
              <a16:creationId xmlns="" xmlns:a16="http://schemas.microsoft.com/office/drawing/2014/main" id="{00000000-0008-0000-0000-00006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4" name="Text Box 63">
          <a:extLst>
            <a:ext uri="{FF2B5EF4-FFF2-40B4-BE49-F238E27FC236}">
              <a16:creationId xmlns="" xmlns:a16="http://schemas.microsoft.com/office/drawing/2014/main" id="{00000000-0008-0000-0000-00006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5" name="Text Box 64">
          <a:extLst>
            <a:ext uri="{FF2B5EF4-FFF2-40B4-BE49-F238E27FC236}">
              <a16:creationId xmlns="" xmlns:a16="http://schemas.microsoft.com/office/drawing/2014/main" id="{00000000-0008-0000-0000-00006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6" name="Text Box 65">
          <a:extLst>
            <a:ext uri="{FF2B5EF4-FFF2-40B4-BE49-F238E27FC236}">
              <a16:creationId xmlns="" xmlns:a16="http://schemas.microsoft.com/office/drawing/2014/main" id="{00000000-0008-0000-0000-00006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7" name="Text Box 66">
          <a:extLst>
            <a:ext uri="{FF2B5EF4-FFF2-40B4-BE49-F238E27FC236}">
              <a16:creationId xmlns="" xmlns:a16="http://schemas.microsoft.com/office/drawing/2014/main" id="{00000000-0008-0000-0000-00006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8" name="Text Box 67">
          <a:extLst>
            <a:ext uri="{FF2B5EF4-FFF2-40B4-BE49-F238E27FC236}">
              <a16:creationId xmlns="" xmlns:a16="http://schemas.microsoft.com/office/drawing/2014/main" id="{00000000-0008-0000-0000-00006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9" name="Text Box 68">
          <a:extLst>
            <a:ext uri="{FF2B5EF4-FFF2-40B4-BE49-F238E27FC236}">
              <a16:creationId xmlns="" xmlns:a16="http://schemas.microsoft.com/office/drawing/2014/main" id="{00000000-0008-0000-0000-00006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0" name="Text Box 69">
          <a:extLst>
            <a:ext uri="{FF2B5EF4-FFF2-40B4-BE49-F238E27FC236}">
              <a16:creationId xmlns="" xmlns:a16="http://schemas.microsoft.com/office/drawing/2014/main" id="{00000000-0008-0000-0000-00006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1" name="Text Box 70">
          <a:extLst>
            <a:ext uri="{FF2B5EF4-FFF2-40B4-BE49-F238E27FC236}">
              <a16:creationId xmlns="" xmlns:a16="http://schemas.microsoft.com/office/drawing/2014/main" id="{00000000-0008-0000-0000-00006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2" name="Text Box 71">
          <a:extLst>
            <a:ext uri="{FF2B5EF4-FFF2-40B4-BE49-F238E27FC236}">
              <a16:creationId xmlns="" xmlns:a16="http://schemas.microsoft.com/office/drawing/2014/main" id="{00000000-0008-0000-0000-00007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3" name="Text Box 72">
          <a:extLst>
            <a:ext uri="{FF2B5EF4-FFF2-40B4-BE49-F238E27FC236}">
              <a16:creationId xmlns="" xmlns:a16="http://schemas.microsoft.com/office/drawing/2014/main" id="{00000000-0008-0000-0000-00007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4" name="Text Box 73">
          <a:extLst>
            <a:ext uri="{FF2B5EF4-FFF2-40B4-BE49-F238E27FC236}">
              <a16:creationId xmlns="" xmlns:a16="http://schemas.microsoft.com/office/drawing/2014/main" id="{00000000-0008-0000-0000-00007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5" name="Text Box 74">
          <a:extLst>
            <a:ext uri="{FF2B5EF4-FFF2-40B4-BE49-F238E27FC236}">
              <a16:creationId xmlns="" xmlns:a16="http://schemas.microsoft.com/office/drawing/2014/main" id="{00000000-0008-0000-0000-00007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6" name="Text Box 75">
          <a:extLst>
            <a:ext uri="{FF2B5EF4-FFF2-40B4-BE49-F238E27FC236}">
              <a16:creationId xmlns="" xmlns:a16="http://schemas.microsoft.com/office/drawing/2014/main" id="{00000000-0008-0000-0000-00007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7" name="Text Box 76">
          <a:extLst>
            <a:ext uri="{FF2B5EF4-FFF2-40B4-BE49-F238E27FC236}">
              <a16:creationId xmlns="" xmlns:a16="http://schemas.microsoft.com/office/drawing/2014/main" id="{00000000-0008-0000-0000-00007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8" name="Text Box 77">
          <a:extLst>
            <a:ext uri="{FF2B5EF4-FFF2-40B4-BE49-F238E27FC236}">
              <a16:creationId xmlns="" xmlns:a16="http://schemas.microsoft.com/office/drawing/2014/main" id="{00000000-0008-0000-0000-00007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9" name="Text Box 78">
          <a:extLst>
            <a:ext uri="{FF2B5EF4-FFF2-40B4-BE49-F238E27FC236}">
              <a16:creationId xmlns="" xmlns:a16="http://schemas.microsoft.com/office/drawing/2014/main" id="{00000000-0008-0000-0000-00007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0" name="Text Box 79">
          <a:extLst>
            <a:ext uri="{FF2B5EF4-FFF2-40B4-BE49-F238E27FC236}">
              <a16:creationId xmlns="" xmlns:a16="http://schemas.microsoft.com/office/drawing/2014/main" id="{00000000-0008-0000-0000-00007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1" name="Text Box 80">
          <a:extLst>
            <a:ext uri="{FF2B5EF4-FFF2-40B4-BE49-F238E27FC236}">
              <a16:creationId xmlns="" xmlns:a16="http://schemas.microsoft.com/office/drawing/2014/main" id="{00000000-0008-0000-0000-00007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2" name="Text Box 81">
          <a:extLst>
            <a:ext uri="{FF2B5EF4-FFF2-40B4-BE49-F238E27FC236}">
              <a16:creationId xmlns="" xmlns:a16="http://schemas.microsoft.com/office/drawing/2014/main" id="{00000000-0008-0000-0000-00007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363" name="Text Box 82">
          <a:extLst>
            <a:ext uri="{FF2B5EF4-FFF2-40B4-BE49-F238E27FC236}">
              <a16:creationId xmlns="" xmlns:a16="http://schemas.microsoft.com/office/drawing/2014/main" id="{00000000-0008-0000-0000-00007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4" name="Text Box 3079">
          <a:extLst>
            <a:ext uri="{FF2B5EF4-FFF2-40B4-BE49-F238E27FC236}">
              <a16:creationId xmlns="" xmlns:a16="http://schemas.microsoft.com/office/drawing/2014/main" id="{00000000-0008-0000-0000-00007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5" name="Text Box 3080">
          <a:extLst>
            <a:ext uri="{FF2B5EF4-FFF2-40B4-BE49-F238E27FC236}">
              <a16:creationId xmlns="" xmlns:a16="http://schemas.microsoft.com/office/drawing/2014/main" id="{00000000-0008-0000-0000-00007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6" name="Text Box 3081">
          <a:extLst>
            <a:ext uri="{FF2B5EF4-FFF2-40B4-BE49-F238E27FC236}">
              <a16:creationId xmlns="" xmlns:a16="http://schemas.microsoft.com/office/drawing/2014/main" id="{00000000-0008-0000-0000-00007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7" name="Text Box 3082">
          <a:extLst>
            <a:ext uri="{FF2B5EF4-FFF2-40B4-BE49-F238E27FC236}">
              <a16:creationId xmlns="" xmlns:a16="http://schemas.microsoft.com/office/drawing/2014/main" id="{00000000-0008-0000-0000-00007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8" name="Text Box 3083">
          <a:extLst>
            <a:ext uri="{FF2B5EF4-FFF2-40B4-BE49-F238E27FC236}">
              <a16:creationId xmlns="" xmlns:a16="http://schemas.microsoft.com/office/drawing/2014/main" id="{00000000-0008-0000-0000-00008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zoomScaleNormal="100" workbookViewId="0">
      <selection activeCell="AL15" sqref="AL15"/>
    </sheetView>
  </sheetViews>
  <sheetFormatPr defaultColWidth="9.109375" defaultRowHeight="15.6" x14ac:dyDescent="0.3"/>
  <cols>
    <col min="1" max="1" width="6.5546875" style="14" bestFit="1" customWidth="1"/>
    <col min="2" max="2" width="11.88671875" style="15" bestFit="1" customWidth="1"/>
    <col min="3" max="3" width="69" style="16" bestFit="1" customWidth="1"/>
    <col min="4" max="4" width="10" style="14" bestFit="1" customWidth="1"/>
    <col min="5" max="5" width="26.44140625" style="14" bestFit="1" customWidth="1"/>
    <col min="6" max="6" width="31.33203125" style="14" bestFit="1" customWidth="1"/>
    <col min="7" max="7" width="23.44140625" style="14" bestFit="1" customWidth="1"/>
    <col min="8" max="8" width="13.109375" style="17" customWidth="1"/>
    <col min="9" max="10" width="13.33203125" style="14" bestFit="1" customWidth="1"/>
    <col min="11" max="11" width="19.88671875" style="20" bestFit="1" customWidth="1"/>
    <col min="12" max="12" width="16.44140625" style="14" bestFit="1" customWidth="1"/>
    <col min="13" max="13" width="13.44140625" style="14" bestFit="1" customWidth="1"/>
    <col min="14" max="14" width="16.33203125" style="14" bestFit="1" customWidth="1"/>
    <col min="15" max="15" width="11.6640625" style="18" bestFit="1" customWidth="1"/>
    <col min="16" max="16" width="27" style="19" bestFit="1" customWidth="1"/>
    <col min="17" max="17" width="17.109375" style="19" bestFit="1" customWidth="1"/>
    <col min="18" max="18" width="16" style="14" bestFit="1" customWidth="1"/>
    <col min="19" max="19" width="22" style="14" bestFit="1" customWidth="1"/>
    <col min="20" max="20" width="18.88671875" style="14" bestFit="1" customWidth="1"/>
    <col min="21" max="21" width="32.33203125" style="19" bestFit="1" customWidth="1"/>
    <col min="22" max="22" width="22.6640625" style="14" bestFit="1" customWidth="1"/>
    <col min="23" max="23" width="16.6640625" style="14" bestFit="1" customWidth="1"/>
    <col min="24" max="24" width="23.33203125" style="14" bestFit="1" customWidth="1"/>
    <col min="25" max="25" width="15.33203125" style="14" bestFit="1" customWidth="1"/>
    <col min="26" max="27" width="13.88671875" style="14" bestFit="1" customWidth="1"/>
    <col min="28" max="28" width="13.44140625" style="14" bestFit="1" customWidth="1"/>
    <col min="29" max="29" width="12.33203125" style="14" bestFit="1" customWidth="1"/>
    <col min="30" max="30" width="12.88671875" style="14" bestFit="1" customWidth="1"/>
    <col min="31" max="31" width="5" style="14" bestFit="1" customWidth="1"/>
    <col min="32" max="32" width="7.6640625" style="14" bestFit="1" customWidth="1"/>
    <col min="33" max="33" width="12.88671875" style="14" bestFit="1" customWidth="1"/>
    <col min="34" max="34" width="13.44140625" style="14" bestFit="1" customWidth="1"/>
    <col min="35" max="35" width="8" style="14" customWidth="1"/>
    <col min="36" max="36" width="9.109375" style="14" customWidth="1"/>
    <col min="37" max="37" width="14.5546875" style="14" customWidth="1"/>
    <col min="38" max="38" width="13.88671875" style="14" customWidth="1"/>
    <col min="39" max="42" width="9.109375" style="14" customWidth="1"/>
    <col min="43" max="43" width="1.6640625" style="34" customWidth="1"/>
    <col min="44" max="55" width="8.109375" style="14" customWidth="1"/>
    <col min="56" max="16384" width="9.109375" style="14"/>
  </cols>
  <sheetData>
    <row r="1" spans="1:55" s="11" customFormat="1" ht="55.2" x14ac:dyDescent="0.3">
      <c r="A1" s="42" t="s">
        <v>2</v>
      </c>
      <c r="B1" s="43" t="s">
        <v>3</v>
      </c>
      <c r="C1" s="43" t="s">
        <v>4</v>
      </c>
      <c r="D1" s="42" t="s">
        <v>5</v>
      </c>
      <c r="E1" s="42" t="s">
        <v>6</v>
      </c>
      <c r="F1" s="42" t="s">
        <v>7</v>
      </c>
      <c r="G1" s="42" t="s">
        <v>8</v>
      </c>
      <c r="H1" s="44" t="s">
        <v>9</v>
      </c>
      <c r="I1" s="44" t="s">
        <v>10</v>
      </c>
      <c r="J1" s="44" t="s">
        <v>11</v>
      </c>
      <c r="K1" s="45" t="s">
        <v>12</v>
      </c>
      <c r="L1" s="42" t="s">
        <v>13</v>
      </c>
      <c r="M1" s="42" t="s">
        <v>14</v>
      </c>
      <c r="N1" s="42" t="s">
        <v>15</v>
      </c>
      <c r="O1" s="46" t="s">
        <v>16</v>
      </c>
      <c r="P1" s="42" t="s">
        <v>17</v>
      </c>
      <c r="Q1" s="42" t="s">
        <v>18</v>
      </c>
      <c r="R1" s="42" t="s">
        <v>19</v>
      </c>
      <c r="S1" s="47" t="s">
        <v>20</v>
      </c>
      <c r="T1" s="42" t="s">
        <v>21</v>
      </c>
      <c r="U1" s="42" t="s">
        <v>22</v>
      </c>
      <c r="V1" s="42" t="s">
        <v>23</v>
      </c>
      <c r="W1" s="42" t="s">
        <v>24</v>
      </c>
      <c r="X1" s="42" t="s">
        <v>25</v>
      </c>
      <c r="Y1" s="42" t="s">
        <v>26</v>
      </c>
      <c r="Z1" s="48" t="s">
        <v>27</v>
      </c>
      <c r="AA1" s="48" t="s">
        <v>28</v>
      </c>
      <c r="AB1" s="42" t="s">
        <v>29</v>
      </c>
      <c r="AC1" s="42" t="s">
        <v>30</v>
      </c>
      <c r="AD1" s="42" t="s">
        <v>31</v>
      </c>
      <c r="AE1" s="42" t="s">
        <v>32</v>
      </c>
      <c r="AF1" s="49" t="s">
        <v>33</v>
      </c>
      <c r="AG1" s="42" t="s">
        <v>34</v>
      </c>
      <c r="AH1" s="42" t="s">
        <v>35</v>
      </c>
      <c r="AI1" s="50" t="s">
        <v>190</v>
      </c>
      <c r="AJ1" s="35" t="s">
        <v>178</v>
      </c>
      <c r="AK1" s="35" t="s">
        <v>192</v>
      </c>
      <c r="AL1" s="35" t="s">
        <v>179</v>
      </c>
      <c r="AM1" s="36" t="s">
        <v>180</v>
      </c>
      <c r="AN1" s="37" t="s">
        <v>181</v>
      </c>
      <c r="AO1" s="37" t="s">
        <v>182</v>
      </c>
      <c r="AP1" s="37" t="s">
        <v>183</v>
      </c>
      <c r="AQ1" s="31"/>
      <c r="AR1" s="41" t="s">
        <v>154</v>
      </c>
      <c r="AS1" s="41" t="s">
        <v>155</v>
      </c>
      <c r="AT1" s="41" t="s">
        <v>156</v>
      </c>
      <c r="AU1" s="41" t="s">
        <v>157</v>
      </c>
      <c r="AV1" s="41" t="s">
        <v>158</v>
      </c>
      <c r="AW1" s="41" t="s">
        <v>159</v>
      </c>
      <c r="AX1" s="41" t="s">
        <v>160</v>
      </c>
      <c r="AY1" s="41" t="s">
        <v>161</v>
      </c>
      <c r="AZ1" s="41" t="s">
        <v>162</v>
      </c>
      <c r="BA1" s="41" t="s">
        <v>163</v>
      </c>
      <c r="BB1" s="41" t="s">
        <v>164</v>
      </c>
      <c r="BC1" s="41" t="s">
        <v>165</v>
      </c>
    </row>
    <row r="2" spans="1:55" s="12" customFormat="1" ht="129.6" x14ac:dyDescent="0.3">
      <c r="A2" s="51" t="s">
        <v>36</v>
      </c>
      <c r="B2" s="52" t="s">
        <v>37</v>
      </c>
      <c r="C2" s="52" t="s">
        <v>38</v>
      </c>
      <c r="D2" s="51" t="s">
        <v>39</v>
      </c>
      <c r="E2" s="51" t="s">
        <v>40</v>
      </c>
      <c r="F2" s="51" t="s">
        <v>41</v>
      </c>
      <c r="G2" s="51" t="s">
        <v>42</v>
      </c>
      <c r="H2" s="53"/>
      <c r="I2" s="53"/>
      <c r="J2" s="53"/>
      <c r="K2" s="51" t="s">
        <v>43</v>
      </c>
      <c r="L2" s="51" t="s">
        <v>44</v>
      </c>
      <c r="M2" s="51" t="s">
        <v>45</v>
      </c>
      <c r="N2" s="51" t="s">
        <v>46</v>
      </c>
      <c r="O2" s="54" t="s">
        <v>47</v>
      </c>
      <c r="P2" s="51" t="s">
        <v>48</v>
      </c>
      <c r="Q2" s="51" t="s">
        <v>49</v>
      </c>
      <c r="R2" s="51" t="s">
        <v>50</v>
      </c>
      <c r="S2" s="51" t="s">
        <v>51</v>
      </c>
      <c r="T2" s="51" t="s">
        <v>52</v>
      </c>
      <c r="U2" s="51" t="s">
        <v>53</v>
      </c>
      <c r="V2" s="51" t="s">
        <v>54</v>
      </c>
      <c r="W2" s="51" t="s">
        <v>55</v>
      </c>
      <c r="X2" s="51" t="s">
        <v>56</v>
      </c>
      <c r="Y2" s="51" t="s">
        <v>57</v>
      </c>
      <c r="Z2" s="55" t="s">
        <v>58</v>
      </c>
      <c r="AA2" s="55" t="s">
        <v>59</v>
      </c>
      <c r="AB2" s="51" t="s">
        <v>60</v>
      </c>
      <c r="AC2" s="51" t="s">
        <v>61</v>
      </c>
      <c r="AD2" s="51" t="s">
        <v>62</v>
      </c>
      <c r="AE2" s="51"/>
      <c r="AF2" s="56"/>
      <c r="AG2" s="51" t="s">
        <v>63</v>
      </c>
      <c r="AH2" s="51" t="s">
        <v>64</v>
      </c>
      <c r="AI2" s="51" t="s">
        <v>191</v>
      </c>
      <c r="AJ2" s="38" t="s">
        <v>184</v>
      </c>
      <c r="AK2" s="38" t="s">
        <v>193</v>
      </c>
      <c r="AL2" s="38" t="s">
        <v>185</v>
      </c>
      <c r="AM2" s="39" t="s">
        <v>186</v>
      </c>
      <c r="AN2" s="39" t="s">
        <v>187</v>
      </c>
      <c r="AO2" s="39" t="s">
        <v>188</v>
      </c>
      <c r="AP2" s="40" t="s">
        <v>189</v>
      </c>
      <c r="AQ2" s="32"/>
      <c r="AR2" s="30" t="s">
        <v>166</v>
      </c>
      <c r="AS2" s="30" t="s">
        <v>167</v>
      </c>
      <c r="AT2" s="30" t="s">
        <v>168</v>
      </c>
      <c r="AU2" s="30" t="s">
        <v>169</v>
      </c>
      <c r="AV2" s="30" t="s">
        <v>170</v>
      </c>
      <c r="AW2" s="30" t="s">
        <v>171</v>
      </c>
      <c r="AX2" s="30" t="s">
        <v>172</v>
      </c>
      <c r="AY2" s="30" t="s">
        <v>173</v>
      </c>
      <c r="AZ2" s="30" t="s">
        <v>174</v>
      </c>
      <c r="BA2" s="30" t="s">
        <v>175</v>
      </c>
      <c r="BB2" s="30" t="s">
        <v>176</v>
      </c>
      <c r="BC2" s="30" t="s">
        <v>177</v>
      </c>
    </row>
    <row r="3" spans="1:55" s="13" customFormat="1" ht="31.2" x14ac:dyDescent="0.3">
      <c r="A3" s="8">
        <v>1</v>
      </c>
      <c r="B3" s="7" t="s">
        <v>202</v>
      </c>
      <c r="C3" s="3" t="s">
        <v>203</v>
      </c>
      <c r="D3" s="2" t="s">
        <v>76</v>
      </c>
      <c r="E3" s="3" t="s">
        <v>204</v>
      </c>
      <c r="F3" s="21" t="s">
        <v>205</v>
      </c>
      <c r="G3" s="22" t="s">
        <v>205</v>
      </c>
      <c r="H3" s="23" t="s">
        <v>77</v>
      </c>
      <c r="I3" s="8" t="s">
        <v>70</v>
      </c>
      <c r="J3" s="8" t="s">
        <v>71</v>
      </c>
      <c r="K3" s="9">
        <v>12</v>
      </c>
      <c r="L3" s="8">
        <v>12</v>
      </c>
      <c r="M3" s="4">
        <v>900</v>
      </c>
      <c r="N3" s="5">
        <v>21</v>
      </c>
      <c r="O3" s="10">
        <v>100</v>
      </c>
      <c r="P3" s="2" t="s">
        <v>194</v>
      </c>
      <c r="Q3" s="2" t="s">
        <v>195</v>
      </c>
      <c r="R3" s="8" t="s">
        <v>206</v>
      </c>
      <c r="S3" s="4" t="s">
        <v>207</v>
      </c>
      <c r="T3" s="4">
        <v>3</v>
      </c>
      <c r="U3" s="2" t="s">
        <v>196</v>
      </c>
      <c r="V3" s="1" t="s">
        <v>72</v>
      </c>
      <c r="W3" s="5" t="s">
        <v>208</v>
      </c>
      <c r="X3" s="4" t="s">
        <v>107</v>
      </c>
      <c r="Y3" s="6" t="s">
        <v>0</v>
      </c>
      <c r="Z3" s="5">
        <v>6</v>
      </c>
      <c r="AA3" s="8">
        <v>10</v>
      </c>
      <c r="AB3" s="8" t="s">
        <v>66</v>
      </c>
      <c r="AC3" s="2">
        <v>2</v>
      </c>
      <c r="AD3" s="8" t="s">
        <v>66</v>
      </c>
      <c r="AE3" s="8" t="s">
        <v>67</v>
      </c>
      <c r="AF3" s="8"/>
      <c r="AG3" s="2">
        <v>8</v>
      </c>
      <c r="AH3" s="8">
        <v>21</v>
      </c>
      <c r="AI3" s="24">
        <v>13</v>
      </c>
      <c r="AJ3" s="57">
        <v>1</v>
      </c>
      <c r="AK3" s="57" t="str">
        <f>ConcateNTimes(N3,"/",T3)</f>
        <v>21/21/21</v>
      </c>
      <c r="AL3" s="58" t="str">
        <f>ConcateMultiple($AX3:$BC3,"/",T3)</f>
        <v>79,62/79,62/79,62</v>
      </c>
      <c r="AM3" s="58" t="b">
        <v>1</v>
      </c>
      <c r="AN3" s="58" t="b">
        <f>L3=0</f>
        <v>0</v>
      </c>
      <c r="AO3" s="58" t="b">
        <v>1</v>
      </c>
      <c r="AP3" s="58"/>
      <c r="AQ3" s="33"/>
      <c r="AR3" s="13">
        <f>IF(T3&gt;=1,MID(Y3,1,IFERROR(FIND("~",SUBSTITUTE(Y3,"/","~",1))-1,LEN(Y3))),"0")*1</f>
        <v>2</v>
      </c>
      <c r="AS3" s="13">
        <f>IF(T3&gt;=2,MID(Y3,FIND("~",SUBSTITUTE(Y3,"/","~",1))+1,IFERROR(FIND("~",SUBSTITUTE(Y3,"/","~",2))-1,LEN(Y3))- FIND("~",SUBSTITUTE(Y3,"/","~",1))),"0")*1</f>
        <v>2</v>
      </c>
      <c r="AT3" s="13">
        <f>IF(T3&gt;=3,MID(Y3,FIND("~",SUBSTITUTE(Y3,"/","~",2))+1,IFERROR(FIND("~",SUBSTITUTE(Y3,"/","~",3))-1,LEN(Y3))- FIND("~",SUBSTITUTE(Y3,"/","~",2))),"0")*1</f>
        <v>2</v>
      </c>
      <c r="AU3" s="13">
        <f>IF(T3&gt;=4,MID(Y3,FIND("~",SUBSTITUTE(Y3,"/","~",3))+1,IFERROR(FIND("~",SUBSTITUTE(Y3,"/","~",4))-1,LEN(Y3))- FIND("~",SUBSTITUTE(Y3,"/","~",3))),"0")*1</f>
        <v>0</v>
      </c>
      <c r="AV3" s="13">
        <f>IF(T3&gt;=5,MID(Y3,FIND("~",SUBSTITUTE(Y3,"/","~",4))+1,IFERROR(FIND("~",SUBSTITUTE(Y3,"/","~",5))-1,LEN(Y3))- FIND("~",SUBSTITUTE(Y3,"/","~",4))),"0")*1</f>
        <v>0</v>
      </c>
      <c r="AW3" s="13">
        <f t="shared" ref="AW3:AW10" si="0">IF(T3&gt;=6,MID(Y3,FIND("~",SUBSTITUTE(Y3,"/","~",5))+1,IFERROR(FIND("~",SUBSTITUTE(Y3,"/","~",6))-1,LEN(Y3))- FIND("~",SUBSTITUTE(Y3,"/","~",5))),"0")*1</f>
        <v>0</v>
      </c>
      <c r="AX3" s="13">
        <f>GetEquPower(BTS!$F$1,Sheet1!$X3,Sheet1!AR3,Sheet1!$M3)</f>
        <v>79.62</v>
      </c>
      <c r="AY3" s="13">
        <f>GetEquPower(BTS!$F$1,Sheet1!$X3,Sheet1!AS3,Sheet1!$M3)</f>
        <v>79.62</v>
      </c>
      <c r="AZ3" s="13">
        <f>GetEquPower(BTS!$F$1,Sheet1!$X3,Sheet1!AT3,Sheet1!$M3)</f>
        <v>79.62</v>
      </c>
      <c r="BA3" s="13">
        <f>GetEquPower(BTS!$F$1,Sheet1!$X3,Sheet1!AU3,Sheet1!$M3)</f>
        <v>0</v>
      </c>
      <c r="BB3" s="13">
        <f>GetEquPower(BTS!$F$1,Sheet1!$X3,Sheet1!AV3,Sheet1!$M3)</f>
        <v>0</v>
      </c>
      <c r="BC3" s="13">
        <f>GetEquPower(BTS!$F$1,Sheet1!$X3,Sheet1!AW3,Sheet1!$M3)</f>
        <v>0</v>
      </c>
    </row>
    <row r="4" spans="1:55" s="13" customFormat="1" ht="31.2" x14ac:dyDescent="0.3">
      <c r="A4" s="8"/>
      <c r="B4" s="7"/>
      <c r="C4" s="3"/>
      <c r="D4" s="2"/>
      <c r="E4" s="3"/>
      <c r="F4" s="21"/>
      <c r="G4" s="22"/>
      <c r="H4" s="23"/>
      <c r="I4" s="8" t="s">
        <v>70</v>
      </c>
      <c r="J4" s="8" t="s">
        <v>71</v>
      </c>
      <c r="K4" s="9"/>
      <c r="L4" s="8"/>
      <c r="M4" s="4">
        <v>2100</v>
      </c>
      <c r="N4" s="5">
        <v>21</v>
      </c>
      <c r="O4" s="10"/>
      <c r="P4" s="2"/>
      <c r="Q4" s="2"/>
      <c r="R4" s="8" t="s">
        <v>209</v>
      </c>
      <c r="S4" s="4" t="s">
        <v>207</v>
      </c>
      <c r="T4" s="4">
        <v>3</v>
      </c>
      <c r="U4" s="2" t="s">
        <v>197</v>
      </c>
      <c r="V4" s="1" t="s">
        <v>72</v>
      </c>
      <c r="W4" s="5" t="s">
        <v>0</v>
      </c>
      <c r="X4" s="4" t="s">
        <v>139</v>
      </c>
      <c r="Y4" s="6" t="s">
        <v>0</v>
      </c>
      <c r="Z4" s="5">
        <v>3</v>
      </c>
      <c r="AA4" s="8">
        <v>0</v>
      </c>
      <c r="AB4" s="8" t="s">
        <v>66</v>
      </c>
      <c r="AC4" s="2"/>
      <c r="AD4" s="8"/>
      <c r="AE4" s="8"/>
      <c r="AF4" s="8"/>
      <c r="AG4" s="2"/>
      <c r="AH4" s="8"/>
      <c r="AI4" s="24">
        <v>0</v>
      </c>
      <c r="AJ4" s="57">
        <v>2</v>
      </c>
      <c r="AK4" s="57" t="str">
        <f t="shared" ref="AK4:AK10" si="1">ConcateNTimes(N4,"/",T4)</f>
        <v>21/21/21</v>
      </c>
      <c r="AL4" s="58" t="str">
        <f t="shared" ref="AL4:AL10" si="2">ConcateMultiple($AX4:$BC4,"/",T4)</f>
        <v>20/20/20</v>
      </c>
      <c r="AM4" s="58" t="b">
        <v>1</v>
      </c>
      <c r="AN4" s="58" t="b">
        <f t="shared" ref="AN4:AN10" si="3">L4=0</f>
        <v>1</v>
      </c>
      <c r="AO4" s="58" t="b">
        <v>1</v>
      </c>
      <c r="AP4" s="58"/>
      <c r="AQ4" s="33"/>
      <c r="AR4" s="13">
        <f t="shared" ref="AR4:AR10" si="4">IF(T4&gt;=1,MID(Y4,1,IFERROR(FIND("~",SUBSTITUTE(Y4,"/","~",1))-1,LEN(Y4))),"0")*1</f>
        <v>2</v>
      </c>
      <c r="AS4" s="13">
        <f t="shared" ref="AS4:AS10" si="5">IF(T4&gt;=2,MID(Y4,FIND("~",SUBSTITUTE(Y4,"/","~",1))+1,IFERROR(FIND("~",SUBSTITUTE(Y4,"/","~",2))-1,LEN(Y4))- FIND("~",SUBSTITUTE(Y4,"/","~",1))),"0")*1</f>
        <v>2</v>
      </c>
      <c r="AT4" s="13">
        <f t="shared" ref="AT4:AT10" si="6">IF(T4&gt;=3,MID(Y4,FIND("~",SUBSTITUTE(Y4,"/","~",2))+1,IFERROR(FIND("~",SUBSTITUTE(Y4,"/","~",3))-1,LEN(Y4))- FIND("~",SUBSTITUTE(Y4,"/","~",2))),"0")*1</f>
        <v>2</v>
      </c>
      <c r="AU4" s="13">
        <f t="shared" ref="AU4:AU10" si="7">IF(T4&gt;=4,MID(Y4,FIND("~",SUBSTITUTE(Y4,"/","~",3))+1,IFERROR(FIND("~",SUBSTITUTE(Y4,"/","~",4))-1,LEN(Y4))- FIND("~",SUBSTITUTE(Y4,"/","~",3))),"0")*1</f>
        <v>0</v>
      </c>
      <c r="AV4" s="13">
        <f t="shared" ref="AV4:AV10" si="8">IF(T4&gt;=5,MID(Y4,FIND("~",SUBSTITUTE(Y4,"/","~",4))+1,IFERROR(FIND("~",SUBSTITUTE(Y4,"/","~",5))-1,LEN(Y4))- FIND("~",SUBSTITUTE(Y4,"/","~",4))),"0")*1</f>
        <v>0</v>
      </c>
      <c r="AW4" s="13">
        <f t="shared" si="0"/>
        <v>0</v>
      </c>
      <c r="AX4" s="13">
        <f>GetEquPower(BTS!$F$1,Sheet1!$X4,Sheet1!AR4,Sheet1!$M4)</f>
        <v>20</v>
      </c>
      <c r="AY4" s="13">
        <f>GetEquPower(BTS!$F$1,Sheet1!$X4,Sheet1!AS4,Sheet1!$M4)</f>
        <v>20</v>
      </c>
      <c r="AZ4" s="13">
        <f>GetEquPower(BTS!$F$1,Sheet1!$X4,Sheet1!AT4,Sheet1!$M4)</f>
        <v>20</v>
      </c>
      <c r="BA4" s="13">
        <f>GetEquPower(BTS!$F$1,Sheet1!$X4,Sheet1!AU4,Sheet1!$M4)</f>
        <v>0</v>
      </c>
      <c r="BB4" s="13">
        <f>GetEquPower(BTS!$F$1,Sheet1!$X4,Sheet1!AV4,Sheet1!$M4)</f>
        <v>0</v>
      </c>
      <c r="BC4" s="13">
        <f>GetEquPower(BTS!$F$1,Sheet1!$X4,Sheet1!AW4,Sheet1!$M4)</f>
        <v>0</v>
      </c>
    </row>
    <row r="5" spans="1:55" s="13" customFormat="1" ht="31.2" x14ac:dyDescent="0.3">
      <c r="A5" s="8"/>
      <c r="B5" s="7"/>
      <c r="C5" s="3"/>
      <c r="D5" s="2"/>
      <c r="E5" s="3" t="s">
        <v>198</v>
      </c>
      <c r="F5" s="21"/>
      <c r="G5" s="22"/>
      <c r="H5" s="23"/>
      <c r="I5" s="8" t="s">
        <v>70</v>
      </c>
      <c r="J5" s="8" t="s">
        <v>71</v>
      </c>
      <c r="K5" s="9"/>
      <c r="L5" s="8"/>
      <c r="M5" s="4">
        <v>1800</v>
      </c>
      <c r="N5" s="5">
        <v>21</v>
      </c>
      <c r="O5" s="10"/>
      <c r="P5" s="2"/>
      <c r="Q5" s="2"/>
      <c r="R5" s="8" t="s">
        <v>210</v>
      </c>
      <c r="S5" s="4" t="s">
        <v>207</v>
      </c>
      <c r="T5" s="4">
        <v>3</v>
      </c>
      <c r="U5" s="2" t="s">
        <v>211</v>
      </c>
      <c r="V5" s="1" t="s">
        <v>72</v>
      </c>
      <c r="W5" s="5" t="s">
        <v>0</v>
      </c>
      <c r="X5" s="4" t="s">
        <v>136</v>
      </c>
      <c r="Y5" s="6" t="s">
        <v>1</v>
      </c>
      <c r="Z5" s="5">
        <v>3</v>
      </c>
      <c r="AA5" s="8">
        <v>0</v>
      </c>
      <c r="AB5" s="8" t="s">
        <v>66</v>
      </c>
      <c r="AC5" s="2"/>
      <c r="AD5" s="8"/>
      <c r="AE5" s="8"/>
      <c r="AF5" s="8"/>
      <c r="AG5" s="2"/>
      <c r="AH5" s="8"/>
      <c r="AI5" s="24">
        <v>0</v>
      </c>
      <c r="AJ5" s="57">
        <v>3</v>
      </c>
      <c r="AK5" s="57" t="str">
        <f t="shared" si="1"/>
        <v>21/21/21</v>
      </c>
      <c r="AL5" s="58" t="str">
        <f t="shared" si="2"/>
        <v>20/20/20</v>
      </c>
      <c r="AM5" s="58" t="b">
        <v>1</v>
      </c>
      <c r="AN5" s="58" t="b">
        <f t="shared" si="3"/>
        <v>1</v>
      </c>
      <c r="AO5" s="58" t="b">
        <v>1</v>
      </c>
      <c r="AP5" s="58"/>
      <c r="AQ5" s="33"/>
      <c r="AR5" s="13">
        <f t="shared" si="4"/>
        <v>1</v>
      </c>
      <c r="AS5" s="13">
        <f t="shared" si="5"/>
        <v>1</v>
      </c>
      <c r="AT5" s="13">
        <f t="shared" si="6"/>
        <v>1</v>
      </c>
      <c r="AU5" s="13">
        <f t="shared" si="7"/>
        <v>0</v>
      </c>
      <c r="AV5" s="13">
        <f t="shared" si="8"/>
        <v>0</v>
      </c>
      <c r="AW5" s="13">
        <f t="shared" si="0"/>
        <v>0</v>
      </c>
      <c r="AX5" s="13">
        <f>GetEquPower(BTS!$F$1,Sheet1!$X5,Sheet1!AR5,Sheet1!$M5)</f>
        <v>20</v>
      </c>
      <c r="AY5" s="13">
        <f>GetEquPower(BTS!$F$1,Sheet1!$X5,Sheet1!AS5,Sheet1!$M5)</f>
        <v>20</v>
      </c>
      <c r="AZ5" s="13">
        <f>GetEquPower(BTS!$F$1,Sheet1!$X5,Sheet1!AT5,Sheet1!$M5)</f>
        <v>20</v>
      </c>
      <c r="BA5" s="13">
        <f>GetEquPower(BTS!$F$1,Sheet1!$X5,Sheet1!AU5,Sheet1!$M5)</f>
        <v>0</v>
      </c>
      <c r="BB5" s="13">
        <f>GetEquPower(BTS!$F$1,Sheet1!$X5,Sheet1!AV5,Sheet1!$M5)</f>
        <v>0</v>
      </c>
      <c r="BC5" s="13">
        <f>GetEquPower(BTS!$F$1,Sheet1!$X5,Sheet1!AW5,Sheet1!$M5)</f>
        <v>0</v>
      </c>
    </row>
    <row r="6" spans="1:55" s="13" customFormat="1" x14ac:dyDescent="0.3">
      <c r="A6" s="8">
        <v>2</v>
      </c>
      <c r="B6" s="7" t="s">
        <v>212</v>
      </c>
      <c r="C6" s="3" t="s">
        <v>213</v>
      </c>
      <c r="D6" s="2" t="s">
        <v>76</v>
      </c>
      <c r="E6" s="3" t="s">
        <v>214</v>
      </c>
      <c r="F6" s="21" t="s">
        <v>215</v>
      </c>
      <c r="G6" s="22" t="s">
        <v>215</v>
      </c>
      <c r="H6" s="23" t="s">
        <v>77</v>
      </c>
      <c r="I6" s="8" t="s">
        <v>70</v>
      </c>
      <c r="J6" s="8" t="s">
        <v>71</v>
      </c>
      <c r="K6" s="9">
        <v>45</v>
      </c>
      <c r="L6" s="8">
        <v>0</v>
      </c>
      <c r="M6" s="4">
        <v>900</v>
      </c>
      <c r="N6" s="5">
        <v>42</v>
      </c>
      <c r="O6" s="10">
        <v>-160</v>
      </c>
      <c r="P6" s="2" t="s">
        <v>194</v>
      </c>
      <c r="Q6" s="2" t="s">
        <v>195</v>
      </c>
      <c r="R6" s="8" t="s">
        <v>216</v>
      </c>
      <c r="S6" s="4" t="s">
        <v>207</v>
      </c>
      <c r="T6" s="4">
        <v>3</v>
      </c>
      <c r="U6" s="2" t="s">
        <v>196</v>
      </c>
      <c r="V6" s="1" t="s">
        <v>72</v>
      </c>
      <c r="W6" s="5" t="s">
        <v>217</v>
      </c>
      <c r="X6" s="4" t="s">
        <v>107</v>
      </c>
      <c r="Y6" s="6" t="s">
        <v>218</v>
      </c>
      <c r="Z6" s="5">
        <v>6</v>
      </c>
      <c r="AA6" s="8">
        <v>37</v>
      </c>
      <c r="AB6" s="8" t="s">
        <v>66</v>
      </c>
      <c r="AC6" s="2">
        <v>2</v>
      </c>
      <c r="AD6" s="8" t="s">
        <v>69</v>
      </c>
      <c r="AE6" s="8" t="s">
        <v>219</v>
      </c>
      <c r="AF6" s="8"/>
      <c r="AG6" s="2">
        <v>12</v>
      </c>
      <c r="AH6" s="8">
        <v>39</v>
      </c>
      <c r="AI6" s="24">
        <v>27</v>
      </c>
      <c r="AJ6" s="57">
        <v>4</v>
      </c>
      <c r="AK6" s="57" t="str">
        <f t="shared" si="1"/>
        <v>42/42/42</v>
      </c>
      <c r="AL6" s="58" t="str">
        <f t="shared" si="2"/>
        <v>71,12/71,12/71,12</v>
      </c>
      <c r="AM6" s="58" t="b">
        <v>1</v>
      </c>
      <c r="AN6" s="58" t="b">
        <f t="shared" si="3"/>
        <v>1</v>
      </c>
      <c r="AO6" s="58" t="b">
        <v>1</v>
      </c>
      <c r="AP6" s="58"/>
      <c r="AQ6" s="33"/>
      <c r="AR6" s="13">
        <f t="shared" si="4"/>
        <v>4</v>
      </c>
      <c r="AS6" s="13">
        <f t="shared" si="5"/>
        <v>4</v>
      </c>
      <c r="AT6" s="13">
        <f t="shared" si="6"/>
        <v>4</v>
      </c>
      <c r="AU6" s="13">
        <f t="shared" si="7"/>
        <v>0</v>
      </c>
      <c r="AV6" s="13">
        <f t="shared" si="8"/>
        <v>0</v>
      </c>
      <c r="AW6" s="13">
        <f t="shared" si="0"/>
        <v>0</v>
      </c>
      <c r="AX6" s="13">
        <f>GetEquPower(BTS!$F$1,Sheet1!$X6,Sheet1!AR6,Sheet1!$M6)</f>
        <v>71.12</v>
      </c>
      <c r="AY6" s="13">
        <f>GetEquPower(BTS!$F$1,Sheet1!$X6,Sheet1!AS6,Sheet1!$M6)</f>
        <v>71.12</v>
      </c>
      <c r="AZ6" s="13">
        <f>GetEquPower(BTS!$F$1,Sheet1!$X6,Sheet1!AT6,Sheet1!$M6)</f>
        <v>71.12</v>
      </c>
      <c r="BA6" s="13">
        <f>GetEquPower(BTS!$F$1,Sheet1!$X6,Sheet1!AU6,Sheet1!$M6)</f>
        <v>0</v>
      </c>
      <c r="BB6" s="13">
        <f>GetEquPower(BTS!$F$1,Sheet1!$X6,Sheet1!AV6,Sheet1!$M6)</f>
        <v>0</v>
      </c>
      <c r="BC6" s="13">
        <f>GetEquPower(BTS!$F$1,Sheet1!$X6,Sheet1!AW6,Sheet1!$M6)</f>
        <v>0</v>
      </c>
    </row>
    <row r="7" spans="1:55" s="13" customFormat="1" ht="31.2" x14ac:dyDescent="0.3">
      <c r="A7" s="8"/>
      <c r="B7" s="7"/>
      <c r="C7" s="3"/>
      <c r="D7" s="2"/>
      <c r="E7" s="3" t="s">
        <v>198</v>
      </c>
      <c r="F7" s="21"/>
      <c r="G7" s="22"/>
      <c r="H7" s="23"/>
      <c r="I7" s="8" t="s">
        <v>70</v>
      </c>
      <c r="J7" s="8" t="s">
        <v>71</v>
      </c>
      <c r="K7" s="9"/>
      <c r="L7" s="8"/>
      <c r="M7" s="4">
        <v>2100</v>
      </c>
      <c r="N7" s="5">
        <v>42</v>
      </c>
      <c r="O7" s="10"/>
      <c r="P7" s="2"/>
      <c r="Q7" s="2"/>
      <c r="R7" s="8" t="s">
        <v>220</v>
      </c>
      <c r="S7" s="4" t="s">
        <v>207</v>
      </c>
      <c r="T7" s="4">
        <v>3</v>
      </c>
      <c r="U7" s="2" t="s">
        <v>197</v>
      </c>
      <c r="V7" s="1" t="s">
        <v>72</v>
      </c>
      <c r="W7" s="5" t="s">
        <v>221</v>
      </c>
      <c r="X7" s="4" t="s">
        <v>139</v>
      </c>
      <c r="Y7" s="6" t="s">
        <v>0</v>
      </c>
      <c r="Z7" s="5">
        <v>3</v>
      </c>
      <c r="AA7" s="8">
        <v>0</v>
      </c>
      <c r="AB7" s="8" t="s">
        <v>66</v>
      </c>
      <c r="AC7" s="2"/>
      <c r="AD7" s="8"/>
      <c r="AE7" s="8"/>
      <c r="AF7" s="8"/>
      <c r="AG7" s="2"/>
      <c r="AH7" s="8"/>
      <c r="AI7" s="24">
        <v>0</v>
      </c>
      <c r="AJ7" s="57">
        <v>5</v>
      </c>
      <c r="AK7" s="57" t="str">
        <f t="shared" si="1"/>
        <v>42/42/42</v>
      </c>
      <c r="AL7" s="58" t="str">
        <f t="shared" si="2"/>
        <v>20/20/20</v>
      </c>
      <c r="AM7" s="58" t="b">
        <v>1</v>
      </c>
      <c r="AN7" s="58" t="b">
        <f t="shared" si="3"/>
        <v>1</v>
      </c>
      <c r="AO7" s="58" t="b">
        <v>1</v>
      </c>
      <c r="AP7" s="58"/>
      <c r="AQ7" s="33"/>
      <c r="AR7" s="13">
        <f t="shared" si="4"/>
        <v>2</v>
      </c>
      <c r="AS7" s="13">
        <f t="shared" si="5"/>
        <v>2</v>
      </c>
      <c r="AT7" s="13">
        <f t="shared" si="6"/>
        <v>2</v>
      </c>
      <c r="AU7" s="13">
        <f t="shared" si="7"/>
        <v>0</v>
      </c>
      <c r="AV7" s="13">
        <f t="shared" si="8"/>
        <v>0</v>
      </c>
      <c r="AW7" s="13">
        <f t="shared" si="0"/>
        <v>0</v>
      </c>
      <c r="AX7" s="13">
        <f>GetEquPower(BTS!$F$1,Sheet1!$X7,Sheet1!AR7,Sheet1!$M7)</f>
        <v>20</v>
      </c>
      <c r="AY7" s="13">
        <f>GetEquPower(BTS!$F$1,Sheet1!$X7,Sheet1!AS7,Sheet1!$M7)</f>
        <v>20</v>
      </c>
      <c r="AZ7" s="13">
        <f>GetEquPower(BTS!$F$1,Sheet1!$X7,Sheet1!AT7,Sheet1!$M7)</f>
        <v>20</v>
      </c>
      <c r="BA7" s="13">
        <f>GetEquPower(BTS!$F$1,Sheet1!$X7,Sheet1!AU7,Sheet1!$M7)</f>
        <v>0</v>
      </c>
      <c r="BB7" s="13">
        <f>GetEquPower(BTS!$F$1,Sheet1!$X7,Sheet1!AV7,Sheet1!$M7)</f>
        <v>0</v>
      </c>
      <c r="BC7" s="13">
        <f>GetEquPower(BTS!$F$1,Sheet1!$X7,Sheet1!AW7,Sheet1!$M7)</f>
        <v>0</v>
      </c>
    </row>
    <row r="8" spans="1:55" s="13" customFormat="1" ht="31.2" x14ac:dyDescent="0.3">
      <c r="A8" s="8"/>
      <c r="B8" s="7"/>
      <c r="C8" s="3"/>
      <c r="D8" s="2"/>
      <c r="E8" s="3" t="s">
        <v>198</v>
      </c>
      <c r="F8" s="21"/>
      <c r="G8" s="22"/>
      <c r="H8" s="23"/>
      <c r="I8" s="8" t="s">
        <v>70</v>
      </c>
      <c r="J8" s="8" t="s">
        <v>71</v>
      </c>
      <c r="K8" s="9"/>
      <c r="L8" s="8"/>
      <c r="M8" s="4">
        <v>1800</v>
      </c>
      <c r="N8" s="5">
        <v>39</v>
      </c>
      <c r="O8" s="10"/>
      <c r="P8" s="2"/>
      <c r="Q8" s="2"/>
      <c r="R8" s="8" t="s">
        <v>222</v>
      </c>
      <c r="S8" s="4" t="s">
        <v>207</v>
      </c>
      <c r="T8" s="4">
        <v>3</v>
      </c>
      <c r="U8" s="2" t="s">
        <v>211</v>
      </c>
      <c r="V8" s="1" t="s">
        <v>72</v>
      </c>
      <c r="W8" s="5" t="s">
        <v>223</v>
      </c>
      <c r="X8" s="4" t="s">
        <v>136</v>
      </c>
      <c r="Y8" s="6" t="s">
        <v>1</v>
      </c>
      <c r="Z8" s="5">
        <v>3</v>
      </c>
      <c r="AA8" s="8">
        <v>0</v>
      </c>
      <c r="AB8" s="8" t="s">
        <v>66</v>
      </c>
      <c r="AC8" s="2"/>
      <c r="AD8" s="8"/>
      <c r="AE8" s="8"/>
      <c r="AF8" s="8"/>
      <c r="AG8" s="2"/>
      <c r="AH8" s="8"/>
      <c r="AI8" s="24">
        <v>0</v>
      </c>
      <c r="AJ8" s="57">
        <v>6</v>
      </c>
      <c r="AK8" s="57" t="str">
        <f t="shared" si="1"/>
        <v>39/39/39</v>
      </c>
      <c r="AL8" s="58" t="str">
        <f t="shared" si="2"/>
        <v>20/20/20</v>
      </c>
      <c r="AM8" s="58" t="b">
        <v>1</v>
      </c>
      <c r="AN8" s="58" t="b">
        <f t="shared" si="3"/>
        <v>1</v>
      </c>
      <c r="AO8" s="58" t="b">
        <v>1</v>
      </c>
      <c r="AP8" s="58"/>
      <c r="AQ8" s="33"/>
      <c r="AR8" s="13">
        <f t="shared" si="4"/>
        <v>1</v>
      </c>
      <c r="AS8" s="13">
        <f t="shared" si="5"/>
        <v>1</v>
      </c>
      <c r="AT8" s="13">
        <f t="shared" si="6"/>
        <v>1</v>
      </c>
      <c r="AU8" s="13">
        <f t="shared" si="7"/>
        <v>0</v>
      </c>
      <c r="AV8" s="13">
        <f t="shared" si="8"/>
        <v>0</v>
      </c>
      <c r="AW8" s="13">
        <f t="shared" si="0"/>
        <v>0</v>
      </c>
      <c r="AX8" s="13">
        <f>GetEquPower(BTS!$F$1,Sheet1!$X8,Sheet1!AR8,Sheet1!$M8)</f>
        <v>20</v>
      </c>
      <c r="AY8" s="13">
        <f>GetEquPower(BTS!$F$1,Sheet1!$X8,Sheet1!AS8,Sheet1!$M8)</f>
        <v>20</v>
      </c>
      <c r="AZ8" s="13">
        <f>GetEquPower(BTS!$F$1,Sheet1!$X8,Sheet1!AT8,Sheet1!$M8)</f>
        <v>20</v>
      </c>
      <c r="BA8" s="13">
        <f>GetEquPower(BTS!$F$1,Sheet1!$X8,Sheet1!AU8,Sheet1!$M8)</f>
        <v>0</v>
      </c>
      <c r="BB8" s="13">
        <f>GetEquPower(BTS!$F$1,Sheet1!$X8,Sheet1!AV8,Sheet1!$M8)</f>
        <v>0</v>
      </c>
      <c r="BC8" s="13">
        <f>GetEquPower(BTS!$F$1,Sheet1!$X8,Sheet1!AW8,Sheet1!$M8)</f>
        <v>0</v>
      </c>
    </row>
    <row r="9" spans="1:55" s="13" customFormat="1" ht="31.2" x14ac:dyDescent="0.3">
      <c r="A9" s="8">
        <v>3</v>
      </c>
      <c r="B9" s="7" t="s">
        <v>224</v>
      </c>
      <c r="C9" s="3" t="s">
        <v>225</v>
      </c>
      <c r="D9" s="2" t="s">
        <v>76</v>
      </c>
      <c r="E9" s="3" t="s">
        <v>226</v>
      </c>
      <c r="F9" s="21" t="s">
        <v>227</v>
      </c>
      <c r="G9" s="22" t="s">
        <v>227</v>
      </c>
      <c r="H9" s="23" t="s">
        <v>77</v>
      </c>
      <c r="I9" s="8" t="s">
        <v>70</v>
      </c>
      <c r="J9" s="8" t="s">
        <v>71</v>
      </c>
      <c r="K9" s="9">
        <v>15</v>
      </c>
      <c r="L9" s="8">
        <v>12</v>
      </c>
      <c r="M9" s="4">
        <v>900</v>
      </c>
      <c r="N9" s="5">
        <v>24</v>
      </c>
      <c r="O9" s="10">
        <v>-160</v>
      </c>
      <c r="P9" s="2" t="s">
        <v>194</v>
      </c>
      <c r="Q9" s="2" t="s">
        <v>195</v>
      </c>
      <c r="R9" s="8" t="s">
        <v>228</v>
      </c>
      <c r="S9" s="4" t="s">
        <v>207</v>
      </c>
      <c r="T9" s="4">
        <v>3</v>
      </c>
      <c r="U9" s="2" t="s">
        <v>196</v>
      </c>
      <c r="V9" s="1" t="s">
        <v>72</v>
      </c>
      <c r="W9" s="5" t="s">
        <v>229</v>
      </c>
      <c r="X9" s="4" t="s">
        <v>107</v>
      </c>
      <c r="Y9" s="6" t="s">
        <v>218</v>
      </c>
      <c r="Z9" s="5">
        <v>6</v>
      </c>
      <c r="AA9" s="8">
        <v>10</v>
      </c>
      <c r="AB9" s="8" t="s">
        <v>66</v>
      </c>
      <c r="AC9" s="2">
        <v>2</v>
      </c>
      <c r="AD9" s="8" t="s">
        <v>66</v>
      </c>
      <c r="AE9" s="8" t="s">
        <v>67</v>
      </c>
      <c r="AF9" s="8"/>
      <c r="AG9" s="2">
        <v>8</v>
      </c>
      <c r="AH9" s="8">
        <v>22.5</v>
      </c>
      <c r="AI9" s="24">
        <v>14.5</v>
      </c>
      <c r="AJ9" s="57">
        <v>7</v>
      </c>
      <c r="AK9" s="57" t="str">
        <f t="shared" si="1"/>
        <v>24/24/24</v>
      </c>
      <c r="AL9" s="58" t="str">
        <f t="shared" si="2"/>
        <v>71,12/71,12/71,12</v>
      </c>
      <c r="AM9" s="58" t="b">
        <v>1</v>
      </c>
      <c r="AN9" s="58" t="b">
        <f t="shared" si="3"/>
        <v>0</v>
      </c>
      <c r="AO9" s="58" t="b">
        <v>1</v>
      </c>
      <c r="AP9" s="58"/>
      <c r="AQ9" s="33"/>
      <c r="AR9" s="13">
        <f t="shared" si="4"/>
        <v>4</v>
      </c>
      <c r="AS9" s="13">
        <f t="shared" si="5"/>
        <v>4</v>
      </c>
      <c r="AT9" s="13">
        <f t="shared" si="6"/>
        <v>4</v>
      </c>
      <c r="AU9" s="13">
        <f t="shared" si="7"/>
        <v>0</v>
      </c>
      <c r="AV9" s="13">
        <f t="shared" si="8"/>
        <v>0</v>
      </c>
      <c r="AW9" s="13">
        <f t="shared" si="0"/>
        <v>0</v>
      </c>
      <c r="AX9" s="13">
        <f>GetEquPower(BTS!$F$1,Sheet1!$X9,Sheet1!AR9,Sheet1!$M9)</f>
        <v>71.12</v>
      </c>
      <c r="AY9" s="13">
        <f>GetEquPower(BTS!$F$1,Sheet1!$X9,Sheet1!AS9,Sheet1!$M9)</f>
        <v>71.12</v>
      </c>
      <c r="AZ9" s="13">
        <f>GetEquPower(BTS!$F$1,Sheet1!$X9,Sheet1!AT9,Sheet1!$M9)</f>
        <v>71.12</v>
      </c>
      <c r="BA9" s="13">
        <f>GetEquPower(BTS!$F$1,Sheet1!$X9,Sheet1!AU9,Sheet1!$M9)</f>
        <v>0</v>
      </c>
      <c r="BB9" s="13">
        <f>GetEquPower(BTS!$F$1,Sheet1!$X9,Sheet1!AV9,Sheet1!$M9)</f>
        <v>0</v>
      </c>
      <c r="BC9" s="13">
        <f>GetEquPower(BTS!$F$1,Sheet1!$X9,Sheet1!AW9,Sheet1!$M9)</f>
        <v>0</v>
      </c>
    </row>
    <row r="10" spans="1:55" s="13" customFormat="1" ht="31.2" x14ac:dyDescent="0.3">
      <c r="A10" s="8"/>
      <c r="B10" s="7"/>
      <c r="C10" s="3"/>
      <c r="D10" s="2"/>
      <c r="E10" s="3" t="s">
        <v>198</v>
      </c>
      <c r="F10" s="21"/>
      <c r="G10" s="22"/>
      <c r="H10" s="23"/>
      <c r="I10" s="8" t="s">
        <v>70</v>
      </c>
      <c r="J10" s="8" t="s">
        <v>71</v>
      </c>
      <c r="K10" s="9"/>
      <c r="L10" s="8"/>
      <c r="M10" s="4">
        <v>2100</v>
      </c>
      <c r="N10" s="5">
        <v>22.5</v>
      </c>
      <c r="O10" s="10"/>
      <c r="P10" s="2"/>
      <c r="Q10" s="2"/>
      <c r="R10" s="8" t="s">
        <v>230</v>
      </c>
      <c r="S10" s="4" t="s">
        <v>207</v>
      </c>
      <c r="T10" s="4">
        <v>3</v>
      </c>
      <c r="U10" s="2" t="s">
        <v>197</v>
      </c>
      <c r="V10" s="1" t="s">
        <v>72</v>
      </c>
      <c r="W10" s="5" t="s">
        <v>231</v>
      </c>
      <c r="X10" s="4" t="s">
        <v>139</v>
      </c>
      <c r="Y10" s="6" t="s">
        <v>199</v>
      </c>
      <c r="Z10" s="5">
        <v>3</v>
      </c>
      <c r="AA10" s="8">
        <v>0</v>
      </c>
      <c r="AB10" s="8" t="s">
        <v>66</v>
      </c>
      <c r="AC10" s="2"/>
      <c r="AD10" s="8"/>
      <c r="AE10" s="8"/>
      <c r="AF10" s="8"/>
      <c r="AG10" s="2"/>
      <c r="AH10" s="8"/>
      <c r="AI10" s="24">
        <v>0</v>
      </c>
      <c r="AJ10" s="57">
        <v>8</v>
      </c>
      <c r="AK10" s="57" t="str">
        <f t="shared" si="1"/>
        <v>22,5/22,5/22,5</v>
      </c>
      <c r="AL10" s="58" t="str">
        <f t="shared" si="2"/>
        <v>20/20/20</v>
      </c>
      <c r="AM10" s="58" t="b">
        <v>1</v>
      </c>
      <c r="AN10" s="58" t="b">
        <f t="shared" si="3"/>
        <v>1</v>
      </c>
      <c r="AO10" s="58" t="b">
        <v>1</v>
      </c>
      <c r="AP10" s="58"/>
      <c r="AQ10" s="33"/>
      <c r="AR10" s="13">
        <f t="shared" si="4"/>
        <v>3</v>
      </c>
      <c r="AS10" s="13">
        <f t="shared" si="5"/>
        <v>3</v>
      </c>
      <c r="AT10" s="13">
        <f t="shared" si="6"/>
        <v>2</v>
      </c>
      <c r="AU10" s="13">
        <f t="shared" si="7"/>
        <v>0</v>
      </c>
      <c r="AV10" s="13">
        <f t="shared" si="8"/>
        <v>0</v>
      </c>
      <c r="AW10" s="13">
        <f t="shared" si="0"/>
        <v>0</v>
      </c>
      <c r="AX10" s="13">
        <f>GetEquPower(BTS!$F$1,Sheet1!$X10,Sheet1!AR10,Sheet1!$M10)</f>
        <v>20</v>
      </c>
      <c r="AY10" s="13">
        <f>GetEquPower(BTS!$F$1,Sheet1!$X10,Sheet1!AS10,Sheet1!$M10)</f>
        <v>20</v>
      </c>
      <c r="AZ10" s="13">
        <f>GetEquPower(BTS!$F$1,Sheet1!$X10,Sheet1!AT10,Sheet1!$M10)</f>
        <v>20</v>
      </c>
      <c r="BA10" s="13">
        <f>GetEquPower(BTS!$F$1,Sheet1!$X10,Sheet1!AU10,Sheet1!$M10)</f>
        <v>0</v>
      </c>
      <c r="BB10" s="13">
        <f>GetEquPower(BTS!$F$1,Sheet1!$X10,Sheet1!AV10,Sheet1!$M10)</f>
        <v>0</v>
      </c>
      <c r="BC10" s="13">
        <f>GetEquPower(BTS!$F$1,Sheet1!$X10,Sheet1!AW10,Sheet1!$M10)</f>
        <v>0</v>
      </c>
    </row>
    <row r="11" spans="1:55" s="13" customFormat="1" ht="31.2" x14ac:dyDescent="0.3">
      <c r="A11" s="8">
        <v>4</v>
      </c>
      <c r="B11" s="7" t="s">
        <v>232</v>
      </c>
      <c r="C11" s="3" t="s">
        <v>233</v>
      </c>
      <c r="D11" s="2" t="s">
        <v>200</v>
      </c>
      <c r="E11" s="3" t="s">
        <v>234</v>
      </c>
      <c r="F11" s="21" t="s">
        <v>235</v>
      </c>
      <c r="G11" s="22" t="s">
        <v>235</v>
      </c>
      <c r="H11" s="23" t="s">
        <v>236</v>
      </c>
      <c r="I11" s="8" t="s">
        <v>70</v>
      </c>
      <c r="J11" s="8" t="s">
        <v>71</v>
      </c>
      <c r="K11" s="9">
        <v>42</v>
      </c>
      <c r="L11" s="8">
        <v>0</v>
      </c>
      <c r="M11" s="4">
        <v>900</v>
      </c>
      <c r="N11" s="5">
        <v>39</v>
      </c>
      <c r="O11" s="10">
        <v>50</v>
      </c>
      <c r="P11" s="2" t="s">
        <v>194</v>
      </c>
      <c r="Q11" s="2" t="s">
        <v>195</v>
      </c>
      <c r="R11" s="8" t="s">
        <v>237</v>
      </c>
      <c r="S11" s="4" t="s">
        <v>207</v>
      </c>
      <c r="T11" s="4">
        <v>3</v>
      </c>
      <c r="U11" s="2" t="s">
        <v>238</v>
      </c>
      <c r="V11" s="1" t="s">
        <v>72</v>
      </c>
      <c r="W11" s="5" t="s">
        <v>239</v>
      </c>
      <c r="X11" s="4" t="s">
        <v>86</v>
      </c>
      <c r="Y11" s="6" t="s">
        <v>0</v>
      </c>
      <c r="Z11" s="5">
        <v>6</v>
      </c>
      <c r="AA11" s="8">
        <v>35</v>
      </c>
      <c r="AB11" s="8" t="s">
        <v>66</v>
      </c>
      <c r="AC11" s="2">
        <v>2</v>
      </c>
      <c r="AD11" s="8" t="s">
        <v>69</v>
      </c>
      <c r="AE11" s="8" t="s">
        <v>67</v>
      </c>
      <c r="AF11" s="8"/>
      <c r="AG11" s="2">
        <v>8</v>
      </c>
      <c r="AH11" s="8">
        <v>39</v>
      </c>
      <c r="AI11" s="24">
        <v>31</v>
      </c>
      <c r="AJ11" s="57">
        <v>9</v>
      </c>
      <c r="AK11" s="57" t="str">
        <f t="shared" ref="AK11:AK46" si="9">ConcateNTimes(N11,"/",T11)</f>
        <v>39/39/39</v>
      </c>
      <c r="AL11" s="58" t="str">
        <f t="shared" ref="AL11:AL46" si="10">ConcateMultiple($AX11:$BC11,"/",T11)</f>
        <v>71,45/71,45/71,45</v>
      </c>
      <c r="AM11" s="58" t="b">
        <v>1</v>
      </c>
      <c r="AN11" s="58" t="b">
        <f t="shared" ref="AN11:AN46" si="11">L11=0</f>
        <v>1</v>
      </c>
      <c r="AO11" s="58" t="b">
        <v>1</v>
      </c>
      <c r="AP11" s="58"/>
      <c r="AQ11" s="33"/>
      <c r="AR11" s="13">
        <f t="shared" ref="AR11:AR46" si="12">IF(T11&gt;=1,MID(Y11,1,IFERROR(FIND("~",SUBSTITUTE(Y11,"/","~",1))-1,LEN(Y11))),"0")*1</f>
        <v>2</v>
      </c>
      <c r="AS11" s="13">
        <f t="shared" ref="AS11:AS46" si="13">IF(T11&gt;=2,MID(Y11,FIND("~",SUBSTITUTE(Y11,"/","~",1))+1,IFERROR(FIND("~",SUBSTITUTE(Y11,"/","~",2))-1,LEN(Y11))- FIND("~",SUBSTITUTE(Y11,"/","~",1))),"0")*1</f>
        <v>2</v>
      </c>
      <c r="AT11" s="13">
        <f t="shared" ref="AT11:AT46" si="14">IF(T11&gt;=3,MID(Y11,FIND("~",SUBSTITUTE(Y11,"/","~",2))+1,IFERROR(FIND("~",SUBSTITUTE(Y11,"/","~",3))-1,LEN(Y11))- FIND("~",SUBSTITUTE(Y11,"/","~",2))),"0")*1</f>
        <v>2</v>
      </c>
      <c r="AU11" s="13">
        <f t="shared" ref="AU11:AU46" si="15">IF(T11&gt;=4,MID(Y11,FIND("~",SUBSTITUTE(Y11,"/","~",3))+1,IFERROR(FIND("~",SUBSTITUTE(Y11,"/","~",4))-1,LEN(Y11))- FIND("~",SUBSTITUTE(Y11,"/","~",3))),"0")*1</f>
        <v>0</v>
      </c>
      <c r="AV11" s="13">
        <f t="shared" ref="AV11:AV46" si="16">IF(T11&gt;=5,MID(Y11,FIND("~",SUBSTITUTE(Y11,"/","~",4))+1,IFERROR(FIND("~",SUBSTITUTE(Y11,"/","~",5))-1,LEN(Y11))- FIND("~",SUBSTITUTE(Y11,"/","~",4))),"0")*1</f>
        <v>0</v>
      </c>
      <c r="AW11" s="13">
        <f t="shared" ref="AW11:AW46" si="17">IF(T11&gt;=6,MID(Y11,FIND("~",SUBSTITUTE(Y11,"/","~",5))+1,IFERROR(FIND("~",SUBSTITUTE(Y11,"/","~",6))-1,LEN(Y11))- FIND("~",SUBSTITUTE(Y11,"/","~",5))),"0")*1</f>
        <v>0</v>
      </c>
      <c r="AX11" s="13">
        <f>GetEquPower(BTS!$F$1,Sheet1!$X11,Sheet1!AR11,Sheet1!$M11)</f>
        <v>71.45</v>
      </c>
      <c r="AY11" s="13">
        <f>GetEquPower(BTS!$F$1,Sheet1!$X11,Sheet1!AS11,Sheet1!$M11)</f>
        <v>71.45</v>
      </c>
      <c r="AZ11" s="13">
        <f>GetEquPower(BTS!$F$1,Sheet1!$X11,Sheet1!AT11,Sheet1!$M11)</f>
        <v>71.45</v>
      </c>
      <c r="BA11" s="13">
        <f>GetEquPower(BTS!$F$1,Sheet1!$X11,Sheet1!AU11,Sheet1!$M11)</f>
        <v>0</v>
      </c>
      <c r="BB11" s="13">
        <f>GetEquPower(BTS!$F$1,Sheet1!$X11,Sheet1!AV11,Sheet1!$M11)</f>
        <v>0</v>
      </c>
      <c r="BC11" s="13">
        <f>GetEquPower(BTS!$F$1,Sheet1!$X11,Sheet1!AW11,Sheet1!$M11)</f>
        <v>0</v>
      </c>
    </row>
    <row r="12" spans="1:55" s="13" customFormat="1" ht="31.2" x14ac:dyDescent="0.3">
      <c r="A12" s="8"/>
      <c r="B12" s="7"/>
      <c r="C12" s="3"/>
      <c r="D12" s="2"/>
      <c r="E12" s="3" t="s">
        <v>198</v>
      </c>
      <c r="F12" s="21"/>
      <c r="G12" s="22"/>
      <c r="H12" s="23"/>
      <c r="I12" s="8" t="s">
        <v>70</v>
      </c>
      <c r="J12" s="8" t="s">
        <v>71</v>
      </c>
      <c r="K12" s="9"/>
      <c r="L12" s="8"/>
      <c r="M12" s="4">
        <v>2100</v>
      </c>
      <c r="N12" s="5">
        <v>39</v>
      </c>
      <c r="O12" s="10"/>
      <c r="P12" s="2"/>
      <c r="Q12" s="2"/>
      <c r="R12" s="8" t="s">
        <v>240</v>
      </c>
      <c r="S12" s="4" t="s">
        <v>207</v>
      </c>
      <c r="T12" s="4">
        <v>3</v>
      </c>
      <c r="U12" s="2" t="s">
        <v>197</v>
      </c>
      <c r="V12" s="1" t="s">
        <v>72</v>
      </c>
      <c r="W12" s="5" t="s">
        <v>241</v>
      </c>
      <c r="X12" s="4" t="s">
        <v>139</v>
      </c>
      <c r="Y12" s="6" t="s">
        <v>242</v>
      </c>
      <c r="Z12" s="5">
        <v>3</v>
      </c>
      <c r="AA12" s="8">
        <v>0</v>
      </c>
      <c r="AB12" s="8" t="s">
        <v>66</v>
      </c>
      <c r="AC12" s="2"/>
      <c r="AD12" s="8"/>
      <c r="AE12" s="8"/>
      <c r="AF12" s="8"/>
      <c r="AG12" s="2"/>
      <c r="AH12" s="8"/>
      <c r="AI12" s="24">
        <v>0</v>
      </c>
      <c r="AJ12" s="57">
        <v>10</v>
      </c>
      <c r="AK12" s="57" t="str">
        <f t="shared" si="9"/>
        <v>39/39/39</v>
      </c>
      <c r="AL12" s="58" t="str">
        <f t="shared" si="10"/>
        <v>20/20/20</v>
      </c>
      <c r="AM12" s="58" t="b">
        <v>1</v>
      </c>
      <c r="AN12" s="58" t="b">
        <f t="shared" si="11"/>
        <v>1</v>
      </c>
      <c r="AO12" s="58" t="b">
        <v>1</v>
      </c>
      <c r="AP12" s="58"/>
      <c r="AQ12" s="33"/>
      <c r="AR12" s="13">
        <f t="shared" si="12"/>
        <v>3</v>
      </c>
      <c r="AS12" s="13">
        <f t="shared" si="13"/>
        <v>2</v>
      </c>
      <c r="AT12" s="13">
        <f t="shared" si="14"/>
        <v>3</v>
      </c>
      <c r="AU12" s="13">
        <f t="shared" si="15"/>
        <v>0</v>
      </c>
      <c r="AV12" s="13">
        <f t="shared" si="16"/>
        <v>0</v>
      </c>
      <c r="AW12" s="13">
        <f t="shared" si="17"/>
        <v>0</v>
      </c>
      <c r="AX12" s="13">
        <f>GetEquPower(BTS!$F$1,Sheet1!$X12,Sheet1!AR12,Sheet1!$M12)</f>
        <v>20</v>
      </c>
      <c r="AY12" s="13">
        <f>GetEquPower(BTS!$F$1,Sheet1!$X12,Sheet1!AS12,Sheet1!$M12)</f>
        <v>20</v>
      </c>
      <c r="AZ12" s="13">
        <f>GetEquPower(BTS!$F$1,Sheet1!$X12,Sheet1!AT12,Sheet1!$M12)</f>
        <v>20</v>
      </c>
      <c r="BA12" s="13">
        <f>GetEquPower(BTS!$F$1,Sheet1!$X12,Sheet1!AU12,Sheet1!$M12)</f>
        <v>0</v>
      </c>
      <c r="BB12" s="13">
        <f>GetEquPower(BTS!$F$1,Sheet1!$X12,Sheet1!AV12,Sheet1!$M12)</f>
        <v>0</v>
      </c>
      <c r="BC12" s="13">
        <f>GetEquPower(BTS!$F$1,Sheet1!$X12,Sheet1!AW12,Sheet1!$M12)</f>
        <v>0</v>
      </c>
    </row>
    <row r="13" spans="1:55" s="13" customFormat="1" ht="31.2" x14ac:dyDescent="0.3">
      <c r="A13" s="8"/>
      <c r="B13" s="7"/>
      <c r="C13" s="3"/>
      <c r="D13" s="2"/>
      <c r="E13" s="3" t="s">
        <v>198</v>
      </c>
      <c r="F13" s="21"/>
      <c r="G13" s="22"/>
      <c r="H13" s="23"/>
      <c r="I13" s="8" t="s">
        <v>70</v>
      </c>
      <c r="J13" s="8" t="s">
        <v>71</v>
      </c>
      <c r="K13" s="9"/>
      <c r="L13" s="8"/>
      <c r="M13" s="4">
        <v>1800</v>
      </c>
      <c r="N13" s="5">
        <v>39</v>
      </c>
      <c r="O13" s="10"/>
      <c r="P13" s="2"/>
      <c r="Q13" s="2"/>
      <c r="R13" s="8" t="s">
        <v>243</v>
      </c>
      <c r="S13" s="4" t="s">
        <v>207</v>
      </c>
      <c r="T13" s="4">
        <v>3</v>
      </c>
      <c r="U13" s="2" t="s">
        <v>211</v>
      </c>
      <c r="V13" s="1" t="s">
        <v>72</v>
      </c>
      <c r="W13" s="5" t="s">
        <v>244</v>
      </c>
      <c r="X13" s="4" t="s">
        <v>136</v>
      </c>
      <c r="Y13" s="6" t="s">
        <v>1</v>
      </c>
      <c r="Z13" s="5">
        <v>3</v>
      </c>
      <c r="AA13" s="8">
        <v>0</v>
      </c>
      <c r="AB13" s="8" t="s">
        <v>66</v>
      </c>
      <c r="AC13" s="2"/>
      <c r="AD13" s="8"/>
      <c r="AE13" s="8"/>
      <c r="AF13" s="8"/>
      <c r="AG13" s="2"/>
      <c r="AH13" s="8"/>
      <c r="AI13" s="24">
        <v>0</v>
      </c>
      <c r="AJ13" s="57">
        <v>11</v>
      </c>
      <c r="AK13" s="57" t="str">
        <f t="shared" si="9"/>
        <v>39/39/39</v>
      </c>
      <c r="AL13" s="58" t="str">
        <f t="shared" si="10"/>
        <v>20/20/20</v>
      </c>
      <c r="AM13" s="58" t="b">
        <v>1</v>
      </c>
      <c r="AN13" s="58" t="b">
        <f t="shared" si="11"/>
        <v>1</v>
      </c>
      <c r="AO13" s="58" t="b">
        <v>1</v>
      </c>
      <c r="AP13" s="58"/>
      <c r="AQ13" s="33"/>
      <c r="AR13" s="13">
        <f t="shared" si="12"/>
        <v>1</v>
      </c>
      <c r="AS13" s="13">
        <f t="shared" si="13"/>
        <v>1</v>
      </c>
      <c r="AT13" s="13">
        <f t="shared" si="14"/>
        <v>1</v>
      </c>
      <c r="AU13" s="13">
        <f t="shared" si="15"/>
        <v>0</v>
      </c>
      <c r="AV13" s="13">
        <f t="shared" si="16"/>
        <v>0</v>
      </c>
      <c r="AW13" s="13">
        <f t="shared" si="17"/>
        <v>0</v>
      </c>
      <c r="AX13" s="13">
        <f>GetEquPower(BTS!$F$1,Sheet1!$X13,Sheet1!AR13,Sheet1!$M13)</f>
        <v>20</v>
      </c>
      <c r="AY13" s="13">
        <f>GetEquPower(BTS!$F$1,Sheet1!$X13,Sheet1!AS13,Sheet1!$M13)</f>
        <v>20</v>
      </c>
      <c r="AZ13" s="13">
        <f>GetEquPower(BTS!$F$1,Sheet1!$X13,Sheet1!AT13,Sheet1!$M13)</f>
        <v>20</v>
      </c>
      <c r="BA13" s="13">
        <f>GetEquPower(BTS!$F$1,Sheet1!$X13,Sheet1!AU13,Sheet1!$M13)</f>
        <v>0</v>
      </c>
      <c r="BB13" s="13">
        <f>GetEquPower(BTS!$F$1,Sheet1!$X13,Sheet1!AV13,Sheet1!$M13)</f>
        <v>0</v>
      </c>
      <c r="BC13" s="13">
        <f>GetEquPower(BTS!$F$1,Sheet1!$X13,Sheet1!AW13,Sheet1!$M13)</f>
        <v>0</v>
      </c>
    </row>
    <row r="14" spans="1:55" s="13" customFormat="1" ht="31.2" x14ac:dyDescent="0.3">
      <c r="A14" s="8">
        <v>5</v>
      </c>
      <c r="B14" s="7" t="s">
        <v>245</v>
      </c>
      <c r="C14" s="3" t="s">
        <v>246</v>
      </c>
      <c r="D14" s="2" t="s">
        <v>200</v>
      </c>
      <c r="E14" s="3" t="s">
        <v>247</v>
      </c>
      <c r="F14" s="21" t="s">
        <v>248</v>
      </c>
      <c r="G14" s="22" t="s">
        <v>248</v>
      </c>
      <c r="H14" s="23" t="s">
        <v>249</v>
      </c>
      <c r="I14" s="8" t="s">
        <v>70</v>
      </c>
      <c r="J14" s="8" t="s">
        <v>71</v>
      </c>
      <c r="K14" s="9">
        <v>45</v>
      </c>
      <c r="L14" s="8">
        <v>0</v>
      </c>
      <c r="M14" s="4">
        <v>900</v>
      </c>
      <c r="N14" s="5">
        <v>42</v>
      </c>
      <c r="O14" s="10">
        <v>0</v>
      </c>
      <c r="P14" s="2" t="s">
        <v>194</v>
      </c>
      <c r="Q14" s="2" t="s">
        <v>195</v>
      </c>
      <c r="R14" s="8" t="s">
        <v>250</v>
      </c>
      <c r="S14" s="4" t="s">
        <v>207</v>
      </c>
      <c r="T14" s="4">
        <v>3</v>
      </c>
      <c r="U14" s="2" t="s">
        <v>238</v>
      </c>
      <c r="V14" s="1" t="s">
        <v>251</v>
      </c>
      <c r="W14" s="5" t="s">
        <v>244</v>
      </c>
      <c r="X14" s="4" t="s">
        <v>86</v>
      </c>
      <c r="Y14" s="6" t="s">
        <v>0</v>
      </c>
      <c r="Z14" s="5">
        <v>6</v>
      </c>
      <c r="AA14" s="8">
        <v>40</v>
      </c>
      <c r="AB14" s="8" t="s">
        <v>66</v>
      </c>
      <c r="AC14" s="2">
        <v>2</v>
      </c>
      <c r="AD14" s="8" t="s">
        <v>69</v>
      </c>
      <c r="AE14" s="8" t="s">
        <v>68</v>
      </c>
      <c r="AF14" s="8"/>
      <c r="AG14" s="2">
        <v>4</v>
      </c>
      <c r="AH14" s="8">
        <v>42</v>
      </c>
      <c r="AI14" s="24">
        <v>38</v>
      </c>
      <c r="AJ14" s="57">
        <v>12</v>
      </c>
      <c r="AK14" s="57" t="str">
        <f t="shared" si="9"/>
        <v>42/42/42</v>
      </c>
      <c r="AL14" s="58" t="str">
        <f t="shared" si="10"/>
        <v>71,45/71,45/71,45</v>
      </c>
      <c r="AM14" s="58" t="b">
        <v>1</v>
      </c>
      <c r="AN14" s="58" t="b">
        <f t="shared" si="11"/>
        <v>1</v>
      </c>
      <c r="AO14" s="58" t="b">
        <v>1</v>
      </c>
      <c r="AP14" s="58"/>
      <c r="AQ14" s="33"/>
      <c r="AR14" s="13">
        <f t="shared" si="12"/>
        <v>2</v>
      </c>
      <c r="AS14" s="13">
        <f t="shared" si="13"/>
        <v>2</v>
      </c>
      <c r="AT14" s="13">
        <f t="shared" si="14"/>
        <v>2</v>
      </c>
      <c r="AU14" s="13">
        <f t="shared" si="15"/>
        <v>0</v>
      </c>
      <c r="AV14" s="13">
        <f t="shared" si="16"/>
        <v>0</v>
      </c>
      <c r="AW14" s="13">
        <f t="shared" si="17"/>
        <v>0</v>
      </c>
      <c r="AX14" s="13">
        <f>GetEquPower(BTS!$F$1,Sheet1!$X14,Sheet1!AR14,Sheet1!$M14)</f>
        <v>71.45</v>
      </c>
      <c r="AY14" s="13">
        <f>GetEquPower(BTS!$F$1,Sheet1!$X14,Sheet1!AS14,Sheet1!$M14)</f>
        <v>71.45</v>
      </c>
      <c r="AZ14" s="13">
        <f>GetEquPower(BTS!$F$1,Sheet1!$X14,Sheet1!AT14,Sheet1!$M14)</f>
        <v>71.45</v>
      </c>
      <c r="BA14" s="13">
        <f>GetEquPower(BTS!$F$1,Sheet1!$X14,Sheet1!AU14,Sheet1!$M14)</f>
        <v>0</v>
      </c>
      <c r="BB14" s="13">
        <f>GetEquPower(BTS!$F$1,Sheet1!$X14,Sheet1!AV14,Sheet1!$M14)</f>
        <v>0</v>
      </c>
      <c r="BC14" s="13">
        <f>GetEquPower(BTS!$F$1,Sheet1!$X14,Sheet1!AW14,Sheet1!$M14)</f>
        <v>0</v>
      </c>
    </row>
    <row r="15" spans="1:55" s="13" customFormat="1" ht="31.2" x14ac:dyDescent="0.3">
      <c r="A15" s="8"/>
      <c r="B15" s="7"/>
      <c r="C15" s="3"/>
      <c r="D15" s="2"/>
      <c r="E15" s="3" t="s">
        <v>198</v>
      </c>
      <c r="F15" s="21"/>
      <c r="G15" s="22"/>
      <c r="H15" s="23"/>
      <c r="I15" s="8" t="s">
        <v>70</v>
      </c>
      <c r="J15" s="8" t="s">
        <v>71</v>
      </c>
      <c r="K15" s="9"/>
      <c r="L15" s="8"/>
      <c r="M15" s="4">
        <v>900</v>
      </c>
      <c r="N15" s="5">
        <v>42</v>
      </c>
      <c r="O15" s="10"/>
      <c r="P15" s="2"/>
      <c r="Q15" s="2"/>
      <c r="R15" s="8" t="s">
        <v>252</v>
      </c>
      <c r="S15" s="4" t="s">
        <v>207</v>
      </c>
      <c r="T15" s="4">
        <v>3</v>
      </c>
      <c r="U15" s="2" t="s">
        <v>253</v>
      </c>
      <c r="V15" s="1" t="s">
        <v>251</v>
      </c>
      <c r="W15" s="5" t="s">
        <v>254</v>
      </c>
      <c r="X15" s="4" t="s">
        <v>139</v>
      </c>
      <c r="Y15" s="6" t="s">
        <v>1</v>
      </c>
      <c r="Z15" s="5">
        <v>3</v>
      </c>
      <c r="AA15" s="8">
        <v>0</v>
      </c>
      <c r="AB15" s="8" t="s">
        <v>66</v>
      </c>
      <c r="AC15" s="2"/>
      <c r="AD15" s="8"/>
      <c r="AE15" s="8"/>
      <c r="AF15" s="8"/>
      <c r="AG15" s="2"/>
      <c r="AH15" s="8"/>
      <c r="AI15" s="24">
        <v>0</v>
      </c>
      <c r="AJ15" s="57">
        <v>13</v>
      </c>
      <c r="AK15" s="57" t="str">
        <f t="shared" si="9"/>
        <v>42/42/42</v>
      </c>
      <c r="AL15" s="58" t="str">
        <f t="shared" si="10"/>
        <v>0/0/0</v>
      </c>
      <c r="AM15" s="58" t="b">
        <v>1</v>
      </c>
      <c r="AN15" s="58" t="b">
        <f t="shared" si="11"/>
        <v>1</v>
      </c>
      <c r="AO15" s="58" t="b">
        <v>1</v>
      </c>
      <c r="AP15" s="58"/>
      <c r="AQ15" s="33"/>
      <c r="AR15" s="13">
        <f t="shared" si="12"/>
        <v>1</v>
      </c>
      <c r="AS15" s="13">
        <f t="shared" si="13"/>
        <v>1</v>
      </c>
      <c r="AT15" s="13">
        <f t="shared" si="14"/>
        <v>1</v>
      </c>
      <c r="AU15" s="13">
        <f t="shared" si="15"/>
        <v>0</v>
      </c>
      <c r="AV15" s="13">
        <f t="shared" si="16"/>
        <v>0</v>
      </c>
      <c r="AW15" s="13">
        <f t="shared" si="17"/>
        <v>0</v>
      </c>
      <c r="AX15" s="13">
        <f>GetEquPower(BTS!$F$1,Sheet1!$X15,Sheet1!AR15,Sheet1!$M15)</f>
        <v>0</v>
      </c>
      <c r="AY15" s="13">
        <f>GetEquPower(BTS!$F$1,Sheet1!$X15,Sheet1!AS15,Sheet1!$M15)</f>
        <v>0</v>
      </c>
      <c r="AZ15" s="13">
        <f>GetEquPower(BTS!$F$1,Sheet1!$X15,Sheet1!AT15,Sheet1!$M15)</f>
        <v>0</v>
      </c>
      <c r="BA15" s="13">
        <f>GetEquPower(BTS!$F$1,Sheet1!$X15,Sheet1!AU15,Sheet1!$M15)</f>
        <v>0</v>
      </c>
      <c r="BB15" s="13">
        <f>GetEquPower(BTS!$F$1,Sheet1!$X15,Sheet1!AV15,Sheet1!$M15)</f>
        <v>0</v>
      </c>
      <c r="BC15" s="13">
        <f>GetEquPower(BTS!$F$1,Sheet1!$X15,Sheet1!AW15,Sheet1!$M15)</f>
        <v>0</v>
      </c>
    </row>
    <row r="16" spans="1:55" s="13" customFormat="1" ht="31.2" x14ac:dyDescent="0.3">
      <c r="A16" s="8">
        <v>6</v>
      </c>
      <c r="B16" s="7" t="s">
        <v>255</v>
      </c>
      <c r="C16" s="3" t="s">
        <v>256</v>
      </c>
      <c r="D16" s="2" t="s">
        <v>201</v>
      </c>
      <c r="E16" s="3" t="s">
        <v>257</v>
      </c>
      <c r="F16" s="21" t="s">
        <v>258</v>
      </c>
      <c r="G16" s="22" t="s">
        <v>258</v>
      </c>
      <c r="H16" s="23" t="s">
        <v>249</v>
      </c>
      <c r="I16" s="8" t="s">
        <v>70</v>
      </c>
      <c r="J16" s="8" t="s">
        <v>71</v>
      </c>
      <c r="K16" s="9">
        <v>15</v>
      </c>
      <c r="L16" s="8">
        <v>12</v>
      </c>
      <c r="M16" s="4">
        <v>1800</v>
      </c>
      <c r="N16" s="5">
        <v>25</v>
      </c>
      <c r="O16" s="10">
        <v>-90</v>
      </c>
      <c r="P16" s="2" t="s">
        <v>194</v>
      </c>
      <c r="Q16" s="2" t="s">
        <v>195</v>
      </c>
      <c r="R16" s="8" t="s">
        <v>259</v>
      </c>
      <c r="S16" s="4" t="s">
        <v>207</v>
      </c>
      <c r="T16" s="4">
        <v>3</v>
      </c>
      <c r="U16" s="2" t="s">
        <v>260</v>
      </c>
      <c r="V16" s="1" t="s">
        <v>261</v>
      </c>
      <c r="W16" s="5" t="s">
        <v>262</v>
      </c>
      <c r="X16" s="4" t="s">
        <v>86</v>
      </c>
      <c r="Y16" s="6" t="s">
        <v>0</v>
      </c>
      <c r="Z16" s="5">
        <v>6</v>
      </c>
      <c r="AA16" s="8">
        <v>12</v>
      </c>
      <c r="AB16" s="8" t="s">
        <v>66</v>
      </c>
      <c r="AC16" s="2">
        <v>2</v>
      </c>
      <c r="AD16" s="8" t="s">
        <v>66</v>
      </c>
      <c r="AE16" s="8" t="s">
        <v>67</v>
      </c>
      <c r="AF16" s="8"/>
      <c r="AG16" s="2">
        <v>8</v>
      </c>
      <c r="AH16" s="8">
        <v>23</v>
      </c>
      <c r="AI16" s="24">
        <v>15</v>
      </c>
      <c r="AJ16" s="57">
        <v>14</v>
      </c>
      <c r="AK16" s="57" t="str">
        <f t="shared" si="9"/>
        <v>25/25/25</v>
      </c>
      <c r="AL16" s="58" t="str">
        <f t="shared" si="10"/>
        <v>55,59/55,59/55,59</v>
      </c>
      <c r="AM16" s="58" t="b">
        <v>1</v>
      </c>
      <c r="AN16" s="58" t="b">
        <f t="shared" si="11"/>
        <v>0</v>
      </c>
      <c r="AO16" s="58" t="b">
        <v>1</v>
      </c>
      <c r="AP16" s="58"/>
      <c r="AQ16" s="33"/>
      <c r="AR16" s="13">
        <f t="shared" si="12"/>
        <v>2</v>
      </c>
      <c r="AS16" s="13">
        <f t="shared" si="13"/>
        <v>2</v>
      </c>
      <c r="AT16" s="13">
        <f t="shared" si="14"/>
        <v>2</v>
      </c>
      <c r="AU16" s="13">
        <f t="shared" si="15"/>
        <v>0</v>
      </c>
      <c r="AV16" s="13">
        <f t="shared" si="16"/>
        <v>0</v>
      </c>
      <c r="AW16" s="13">
        <f t="shared" si="17"/>
        <v>0</v>
      </c>
      <c r="AX16" s="13">
        <f>GetEquPower(BTS!$F$1,Sheet1!$X16,Sheet1!AR16,Sheet1!$M16)</f>
        <v>55.59</v>
      </c>
      <c r="AY16" s="13">
        <f>GetEquPower(BTS!$F$1,Sheet1!$X16,Sheet1!AS16,Sheet1!$M16)</f>
        <v>55.59</v>
      </c>
      <c r="AZ16" s="13">
        <f>GetEquPower(BTS!$F$1,Sheet1!$X16,Sheet1!AT16,Sheet1!$M16)</f>
        <v>55.59</v>
      </c>
      <c r="BA16" s="13">
        <f>GetEquPower(BTS!$F$1,Sheet1!$X16,Sheet1!AU16,Sheet1!$M16)</f>
        <v>0</v>
      </c>
      <c r="BB16" s="13">
        <f>GetEquPower(BTS!$F$1,Sheet1!$X16,Sheet1!AV16,Sheet1!$M16)</f>
        <v>0</v>
      </c>
      <c r="BC16" s="13">
        <f>GetEquPower(BTS!$F$1,Sheet1!$X16,Sheet1!AW16,Sheet1!$M16)</f>
        <v>0</v>
      </c>
    </row>
    <row r="17" spans="1:55" s="13" customFormat="1" ht="31.2" x14ac:dyDescent="0.3">
      <c r="A17" s="8"/>
      <c r="B17" s="7"/>
      <c r="C17" s="3"/>
      <c r="D17" s="2"/>
      <c r="E17" s="3" t="s">
        <v>198</v>
      </c>
      <c r="F17" s="21"/>
      <c r="G17" s="22"/>
      <c r="H17" s="23"/>
      <c r="I17" s="8" t="s">
        <v>70</v>
      </c>
      <c r="J17" s="8" t="s">
        <v>71</v>
      </c>
      <c r="K17" s="9"/>
      <c r="L17" s="8"/>
      <c r="M17" s="4">
        <v>2100</v>
      </c>
      <c r="N17" s="5">
        <v>25</v>
      </c>
      <c r="O17" s="10"/>
      <c r="P17" s="2"/>
      <c r="Q17" s="2"/>
      <c r="R17" s="8" t="s">
        <v>263</v>
      </c>
      <c r="S17" s="4" t="s">
        <v>207</v>
      </c>
      <c r="T17" s="4">
        <v>3</v>
      </c>
      <c r="U17" s="2" t="s">
        <v>197</v>
      </c>
      <c r="V17" s="1" t="s">
        <v>261</v>
      </c>
      <c r="W17" s="5" t="s">
        <v>262</v>
      </c>
      <c r="X17" s="4" t="s">
        <v>139</v>
      </c>
      <c r="Y17" s="6" t="s">
        <v>0</v>
      </c>
      <c r="Z17" s="5">
        <v>3</v>
      </c>
      <c r="AA17" s="8">
        <v>0</v>
      </c>
      <c r="AB17" s="8" t="s">
        <v>66</v>
      </c>
      <c r="AC17" s="2"/>
      <c r="AD17" s="8"/>
      <c r="AE17" s="8"/>
      <c r="AF17" s="8"/>
      <c r="AG17" s="2"/>
      <c r="AH17" s="8"/>
      <c r="AI17" s="24">
        <v>0</v>
      </c>
      <c r="AJ17" s="57">
        <v>15</v>
      </c>
      <c r="AK17" s="57" t="str">
        <f t="shared" si="9"/>
        <v>25/25/25</v>
      </c>
      <c r="AL17" s="58" t="str">
        <f t="shared" si="10"/>
        <v>20/20/20</v>
      </c>
      <c r="AM17" s="58" t="b">
        <v>1</v>
      </c>
      <c r="AN17" s="58" t="b">
        <f t="shared" si="11"/>
        <v>1</v>
      </c>
      <c r="AO17" s="58" t="b">
        <v>1</v>
      </c>
      <c r="AP17" s="58"/>
      <c r="AQ17" s="33"/>
      <c r="AR17" s="13">
        <f t="shared" si="12"/>
        <v>2</v>
      </c>
      <c r="AS17" s="13">
        <f t="shared" si="13"/>
        <v>2</v>
      </c>
      <c r="AT17" s="13">
        <f t="shared" si="14"/>
        <v>2</v>
      </c>
      <c r="AU17" s="13">
        <f t="shared" si="15"/>
        <v>0</v>
      </c>
      <c r="AV17" s="13">
        <f t="shared" si="16"/>
        <v>0</v>
      </c>
      <c r="AW17" s="13">
        <f t="shared" si="17"/>
        <v>0</v>
      </c>
      <c r="AX17" s="13">
        <f>GetEquPower(BTS!$F$1,Sheet1!$X17,Sheet1!AR17,Sheet1!$M17)</f>
        <v>20</v>
      </c>
      <c r="AY17" s="13">
        <f>GetEquPower(BTS!$F$1,Sheet1!$X17,Sheet1!AS17,Sheet1!$M17)</f>
        <v>20</v>
      </c>
      <c r="AZ17" s="13">
        <f>GetEquPower(BTS!$F$1,Sheet1!$X17,Sheet1!AT17,Sheet1!$M17)</f>
        <v>20</v>
      </c>
      <c r="BA17" s="13">
        <f>GetEquPower(BTS!$F$1,Sheet1!$X17,Sheet1!AU17,Sheet1!$M17)</f>
        <v>0</v>
      </c>
      <c r="BB17" s="13">
        <f>GetEquPower(BTS!$F$1,Sheet1!$X17,Sheet1!AV17,Sheet1!$M17)</f>
        <v>0</v>
      </c>
      <c r="BC17" s="13">
        <f>GetEquPower(BTS!$F$1,Sheet1!$X17,Sheet1!AW17,Sheet1!$M17)</f>
        <v>0</v>
      </c>
    </row>
    <row r="18" spans="1:55" s="13" customFormat="1" ht="31.2" x14ac:dyDescent="0.3">
      <c r="A18" s="8"/>
      <c r="B18" s="7"/>
      <c r="C18" s="3"/>
      <c r="D18" s="2"/>
      <c r="E18" s="3"/>
      <c r="F18" s="21"/>
      <c r="G18" s="22"/>
      <c r="H18" s="23"/>
      <c r="I18" s="8" t="s">
        <v>70</v>
      </c>
      <c r="J18" s="8" t="s">
        <v>71</v>
      </c>
      <c r="K18" s="9"/>
      <c r="L18" s="8"/>
      <c r="M18" s="4">
        <v>1800</v>
      </c>
      <c r="N18" s="5">
        <v>23</v>
      </c>
      <c r="O18" s="10"/>
      <c r="P18" s="2"/>
      <c r="Q18" s="2"/>
      <c r="R18" s="8" t="s">
        <v>264</v>
      </c>
      <c r="S18" s="4" t="s">
        <v>207</v>
      </c>
      <c r="T18" s="4">
        <v>3</v>
      </c>
      <c r="U18" s="2" t="s">
        <v>253</v>
      </c>
      <c r="V18" s="1" t="s">
        <v>261</v>
      </c>
      <c r="W18" s="5" t="s">
        <v>262</v>
      </c>
      <c r="X18" s="4" t="s">
        <v>136</v>
      </c>
      <c r="Y18" s="6" t="s">
        <v>1</v>
      </c>
      <c r="Z18" s="5">
        <v>3</v>
      </c>
      <c r="AA18" s="8">
        <v>0</v>
      </c>
      <c r="AB18" s="8" t="s">
        <v>66</v>
      </c>
      <c r="AC18" s="2"/>
      <c r="AD18" s="8"/>
      <c r="AE18" s="8"/>
      <c r="AF18" s="8"/>
      <c r="AG18" s="2"/>
      <c r="AH18" s="8"/>
      <c r="AI18" s="24">
        <v>0</v>
      </c>
      <c r="AJ18" s="57">
        <v>16</v>
      </c>
      <c r="AK18" s="57" t="str">
        <f t="shared" si="9"/>
        <v>23/23/23</v>
      </c>
      <c r="AL18" s="58" t="str">
        <f t="shared" si="10"/>
        <v>20/20/20</v>
      </c>
      <c r="AM18" s="58" t="b">
        <v>1</v>
      </c>
      <c r="AN18" s="58" t="b">
        <f t="shared" si="11"/>
        <v>1</v>
      </c>
      <c r="AO18" s="58" t="b">
        <v>1</v>
      </c>
      <c r="AP18" s="58"/>
      <c r="AQ18" s="33"/>
      <c r="AR18" s="13">
        <f t="shared" si="12"/>
        <v>1</v>
      </c>
      <c r="AS18" s="13">
        <f t="shared" si="13"/>
        <v>1</v>
      </c>
      <c r="AT18" s="13">
        <f t="shared" si="14"/>
        <v>1</v>
      </c>
      <c r="AU18" s="13">
        <f t="shared" si="15"/>
        <v>0</v>
      </c>
      <c r="AV18" s="13">
        <f t="shared" si="16"/>
        <v>0</v>
      </c>
      <c r="AW18" s="13">
        <f t="shared" si="17"/>
        <v>0</v>
      </c>
      <c r="AX18" s="13">
        <f>GetEquPower(BTS!$F$1,Sheet1!$X18,Sheet1!AR18,Sheet1!$M18)</f>
        <v>20</v>
      </c>
      <c r="AY18" s="13">
        <f>GetEquPower(BTS!$F$1,Sheet1!$X18,Sheet1!AS18,Sheet1!$M18)</f>
        <v>20</v>
      </c>
      <c r="AZ18" s="13">
        <f>GetEquPower(BTS!$F$1,Sheet1!$X18,Sheet1!AT18,Sheet1!$M18)</f>
        <v>20</v>
      </c>
      <c r="BA18" s="13">
        <f>GetEquPower(BTS!$F$1,Sheet1!$X18,Sheet1!AU18,Sheet1!$M18)</f>
        <v>0</v>
      </c>
      <c r="BB18" s="13">
        <f>GetEquPower(BTS!$F$1,Sheet1!$X18,Sheet1!AV18,Sheet1!$M18)</f>
        <v>0</v>
      </c>
      <c r="BC18" s="13">
        <f>GetEquPower(BTS!$F$1,Sheet1!$X18,Sheet1!AW18,Sheet1!$M18)</f>
        <v>0</v>
      </c>
    </row>
    <row r="19" spans="1:55" s="13" customFormat="1" ht="31.2" x14ac:dyDescent="0.3">
      <c r="A19" s="8">
        <v>7</v>
      </c>
      <c r="B19" s="7" t="s">
        <v>265</v>
      </c>
      <c r="C19" s="3" t="s">
        <v>266</v>
      </c>
      <c r="D19" s="2" t="s">
        <v>65</v>
      </c>
      <c r="E19" s="3" t="s">
        <v>267</v>
      </c>
      <c r="F19" s="21" t="s">
        <v>268</v>
      </c>
      <c r="G19" s="22" t="s">
        <v>268</v>
      </c>
      <c r="H19" s="23" t="s">
        <v>236</v>
      </c>
      <c r="I19" s="8" t="s">
        <v>70</v>
      </c>
      <c r="J19" s="8" t="s">
        <v>71</v>
      </c>
      <c r="K19" s="9">
        <v>36</v>
      </c>
      <c r="L19" s="8">
        <v>0</v>
      </c>
      <c r="M19" s="4">
        <v>900</v>
      </c>
      <c r="N19" s="5">
        <v>33</v>
      </c>
      <c r="O19" s="10">
        <v>40</v>
      </c>
      <c r="P19" s="2" t="s">
        <v>194</v>
      </c>
      <c r="Q19" s="2" t="s">
        <v>195</v>
      </c>
      <c r="R19" s="8" t="s">
        <v>269</v>
      </c>
      <c r="S19" s="4" t="s">
        <v>207</v>
      </c>
      <c r="T19" s="4">
        <v>3</v>
      </c>
      <c r="U19" s="2" t="s">
        <v>238</v>
      </c>
      <c r="V19" s="1" t="s">
        <v>261</v>
      </c>
      <c r="W19" s="5" t="s">
        <v>0</v>
      </c>
      <c r="X19" s="4" t="s">
        <v>86</v>
      </c>
      <c r="Y19" s="6" t="s">
        <v>0</v>
      </c>
      <c r="Z19" s="5">
        <v>6</v>
      </c>
      <c r="AA19" s="8">
        <v>27</v>
      </c>
      <c r="AB19" s="8" t="s">
        <v>66</v>
      </c>
      <c r="AC19" s="2">
        <v>2</v>
      </c>
      <c r="AD19" s="8" t="s">
        <v>69</v>
      </c>
      <c r="AE19" s="8" t="s">
        <v>68</v>
      </c>
      <c r="AF19" s="8"/>
      <c r="AG19" s="2">
        <v>4</v>
      </c>
      <c r="AH19" s="8">
        <v>33</v>
      </c>
      <c r="AI19" s="24">
        <v>29</v>
      </c>
      <c r="AJ19" s="57">
        <v>17</v>
      </c>
      <c r="AK19" s="57" t="str">
        <f t="shared" si="9"/>
        <v>33/33/33</v>
      </c>
      <c r="AL19" s="58" t="str">
        <f t="shared" si="10"/>
        <v>71,45/71,45/71,45</v>
      </c>
      <c r="AM19" s="58" t="b">
        <v>1</v>
      </c>
      <c r="AN19" s="58" t="b">
        <f t="shared" si="11"/>
        <v>1</v>
      </c>
      <c r="AO19" s="58" t="b">
        <v>1</v>
      </c>
      <c r="AP19" s="58"/>
      <c r="AQ19" s="33"/>
      <c r="AR19" s="13">
        <f t="shared" si="12"/>
        <v>2</v>
      </c>
      <c r="AS19" s="13">
        <f t="shared" si="13"/>
        <v>2</v>
      </c>
      <c r="AT19" s="13">
        <f t="shared" si="14"/>
        <v>2</v>
      </c>
      <c r="AU19" s="13">
        <f t="shared" si="15"/>
        <v>0</v>
      </c>
      <c r="AV19" s="13">
        <f t="shared" si="16"/>
        <v>0</v>
      </c>
      <c r="AW19" s="13">
        <f t="shared" si="17"/>
        <v>0</v>
      </c>
      <c r="AX19" s="13">
        <f>GetEquPower(BTS!$F$1,Sheet1!$X19,Sheet1!AR19,Sheet1!$M19)</f>
        <v>71.45</v>
      </c>
      <c r="AY19" s="13">
        <f>GetEquPower(BTS!$F$1,Sheet1!$X19,Sheet1!AS19,Sheet1!$M19)</f>
        <v>71.45</v>
      </c>
      <c r="AZ19" s="13">
        <f>GetEquPower(BTS!$F$1,Sheet1!$X19,Sheet1!AT19,Sheet1!$M19)</f>
        <v>71.45</v>
      </c>
      <c r="BA19" s="13">
        <f>GetEquPower(BTS!$F$1,Sheet1!$X19,Sheet1!AU19,Sheet1!$M19)</f>
        <v>0</v>
      </c>
      <c r="BB19" s="13">
        <f>GetEquPower(BTS!$F$1,Sheet1!$X19,Sheet1!AV19,Sheet1!$M19)</f>
        <v>0</v>
      </c>
      <c r="BC19" s="13">
        <f>GetEquPower(BTS!$F$1,Sheet1!$X19,Sheet1!AW19,Sheet1!$M19)</f>
        <v>0</v>
      </c>
    </row>
    <row r="20" spans="1:55" s="13" customFormat="1" ht="31.2" x14ac:dyDescent="0.3">
      <c r="A20" s="8"/>
      <c r="B20" s="7"/>
      <c r="C20" s="3"/>
      <c r="D20" s="2"/>
      <c r="E20" s="3" t="s">
        <v>198</v>
      </c>
      <c r="F20" s="21"/>
      <c r="G20" s="22"/>
      <c r="H20" s="23"/>
      <c r="I20" s="8" t="s">
        <v>70</v>
      </c>
      <c r="J20" s="8" t="s">
        <v>71</v>
      </c>
      <c r="K20" s="9"/>
      <c r="L20" s="8"/>
      <c r="M20" s="4">
        <v>2100</v>
      </c>
      <c r="N20" s="5">
        <v>33</v>
      </c>
      <c r="O20" s="10"/>
      <c r="P20" s="2"/>
      <c r="Q20" s="2"/>
      <c r="R20" s="8" t="s">
        <v>270</v>
      </c>
      <c r="S20" s="4" t="s">
        <v>207</v>
      </c>
      <c r="T20" s="4">
        <v>3</v>
      </c>
      <c r="U20" s="2" t="s">
        <v>197</v>
      </c>
      <c r="V20" s="1" t="s">
        <v>261</v>
      </c>
      <c r="W20" s="5" t="s">
        <v>199</v>
      </c>
      <c r="X20" s="4" t="s">
        <v>139</v>
      </c>
      <c r="Y20" s="6" t="s">
        <v>1</v>
      </c>
      <c r="Z20" s="5">
        <v>3</v>
      </c>
      <c r="AA20" s="8">
        <v>0</v>
      </c>
      <c r="AB20" s="8" t="s">
        <v>66</v>
      </c>
      <c r="AC20" s="2"/>
      <c r="AD20" s="8"/>
      <c r="AE20" s="8"/>
      <c r="AF20" s="8"/>
      <c r="AG20" s="2"/>
      <c r="AH20" s="8"/>
      <c r="AI20" s="24">
        <v>0</v>
      </c>
      <c r="AJ20" s="57">
        <v>18</v>
      </c>
      <c r="AK20" s="57" t="str">
        <f t="shared" si="9"/>
        <v>33/33/33</v>
      </c>
      <c r="AL20" s="58" t="str">
        <f t="shared" si="10"/>
        <v>20/20/20</v>
      </c>
      <c r="AM20" s="58" t="b">
        <v>1</v>
      </c>
      <c r="AN20" s="58" t="b">
        <f t="shared" si="11"/>
        <v>1</v>
      </c>
      <c r="AO20" s="58" t="b">
        <v>1</v>
      </c>
      <c r="AP20" s="58"/>
      <c r="AQ20" s="33"/>
      <c r="AR20" s="13">
        <f t="shared" si="12"/>
        <v>1</v>
      </c>
      <c r="AS20" s="13">
        <f t="shared" si="13"/>
        <v>1</v>
      </c>
      <c r="AT20" s="13">
        <f t="shared" si="14"/>
        <v>1</v>
      </c>
      <c r="AU20" s="13">
        <f t="shared" si="15"/>
        <v>0</v>
      </c>
      <c r="AV20" s="13">
        <f t="shared" si="16"/>
        <v>0</v>
      </c>
      <c r="AW20" s="13">
        <f t="shared" si="17"/>
        <v>0</v>
      </c>
      <c r="AX20" s="13">
        <f>GetEquPower(BTS!$F$1,Sheet1!$X20,Sheet1!AR20,Sheet1!$M20)</f>
        <v>20</v>
      </c>
      <c r="AY20" s="13">
        <f>GetEquPower(BTS!$F$1,Sheet1!$X20,Sheet1!AS20,Sheet1!$M20)</f>
        <v>20</v>
      </c>
      <c r="AZ20" s="13">
        <f>GetEquPower(BTS!$F$1,Sheet1!$X20,Sheet1!AT20,Sheet1!$M20)</f>
        <v>20</v>
      </c>
      <c r="BA20" s="13">
        <f>GetEquPower(BTS!$F$1,Sheet1!$X20,Sheet1!AU20,Sheet1!$M20)</f>
        <v>0</v>
      </c>
      <c r="BB20" s="13">
        <f>GetEquPower(BTS!$F$1,Sheet1!$X20,Sheet1!AV20,Sheet1!$M20)</f>
        <v>0</v>
      </c>
      <c r="BC20" s="13">
        <f>GetEquPower(BTS!$F$1,Sheet1!$X20,Sheet1!AW20,Sheet1!$M20)</f>
        <v>0</v>
      </c>
    </row>
    <row r="21" spans="1:55" s="13" customFormat="1" ht="31.2" x14ac:dyDescent="0.3">
      <c r="A21" s="8">
        <v>8</v>
      </c>
      <c r="B21" s="7" t="s">
        <v>271</v>
      </c>
      <c r="C21" s="3" t="s">
        <v>272</v>
      </c>
      <c r="D21" s="2" t="s">
        <v>65</v>
      </c>
      <c r="E21" s="3" t="s">
        <v>273</v>
      </c>
      <c r="F21" s="21" t="s">
        <v>274</v>
      </c>
      <c r="G21" s="22" t="s">
        <v>274</v>
      </c>
      <c r="H21" s="23" t="s">
        <v>249</v>
      </c>
      <c r="I21" s="8" t="s">
        <v>70</v>
      </c>
      <c r="J21" s="8" t="s">
        <v>71</v>
      </c>
      <c r="K21" s="9">
        <v>45</v>
      </c>
      <c r="L21" s="8">
        <v>0</v>
      </c>
      <c r="M21" s="4">
        <v>900</v>
      </c>
      <c r="N21" s="5">
        <v>41</v>
      </c>
      <c r="O21" s="10"/>
      <c r="P21" s="2" t="s">
        <v>194</v>
      </c>
      <c r="Q21" s="2" t="s">
        <v>195</v>
      </c>
      <c r="R21" s="8" t="s">
        <v>275</v>
      </c>
      <c r="S21" s="4" t="s">
        <v>207</v>
      </c>
      <c r="T21" s="4">
        <v>3</v>
      </c>
      <c r="U21" s="2" t="s">
        <v>238</v>
      </c>
      <c r="V21" s="1" t="s">
        <v>261</v>
      </c>
      <c r="W21" s="5" t="s">
        <v>276</v>
      </c>
      <c r="X21" s="4" t="s">
        <v>86</v>
      </c>
      <c r="Y21" s="6" t="s">
        <v>277</v>
      </c>
      <c r="Z21" s="5">
        <v>6</v>
      </c>
      <c r="AA21" s="8">
        <v>35</v>
      </c>
      <c r="AB21" s="8" t="s">
        <v>66</v>
      </c>
      <c r="AC21" s="2">
        <v>2</v>
      </c>
      <c r="AD21" s="8" t="s">
        <v>69</v>
      </c>
      <c r="AE21" s="8" t="s">
        <v>68</v>
      </c>
      <c r="AF21" s="8"/>
      <c r="AG21" s="2">
        <v>4</v>
      </c>
      <c r="AH21" s="8">
        <v>36</v>
      </c>
      <c r="AI21" s="24">
        <v>32</v>
      </c>
      <c r="AJ21" s="57">
        <v>19</v>
      </c>
      <c r="AK21" s="57" t="str">
        <f t="shared" si="9"/>
        <v>41/41/41</v>
      </c>
      <c r="AL21" s="58" t="str">
        <f t="shared" si="10"/>
        <v>71,45/32,66/71,45</v>
      </c>
      <c r="AM21" s="58" t="b">
        <v>1</v>
      </c>
      <c r="AN21" s="58" t="b">
        <f t="shared" si="11"/>
        <v>1</v>
      </c>
      <c r="AO21" s="58" t="b">
        <v>1</v>
      </c>
      <c r="AP21" s="58"/>
      <c r="AQ21" s="33"/>
      <c r="AR21" s="13">
        <f t="shared" si="12"/>
        <v>2</v>
      </c>
      <c r="AS21" s="13">
        <f t="shared" si="13"/>
        <v>4</v>
      </c>
      <c r="AT21" s="13">
        <f t="shared" si="14"/>
        <v>2</v>
      </c>
      <c r="AU21" s="13">
        <f t="shared" si="15"/>
        <v>0</v>
      </c>
      <c r="AV21" s="13">
        <f t="shared" si="16"/>
        <v>0</v>
      </c>
      <c r="AW21" s="13">
        <f t="shared" si="17"/>
        <v>0</v>
      </c>
      <c r="AX21" s="13">
        <f>GetEquPower(BTS!$F$1,Sheet1!$X21,Sheet1!AR21,Sheet1!$M21)</f>
        <v>71.45</v>
      </c>
      <c r="AY21" s="13">
        <f>GetEquPower(BTS!$F$1,Sheet1!$X21,Sheet1!AS21,Sheet1!$M21)</f>
        <v>32.659999999999997</v>
      </c>
      <c r="AZ21" s="13">
        <f>GetEquPower(BTS!$F$1,Sheet1!$X21,Sheet1!AT21,Sheet1!$M21)</f>
        <v>71.45</v>
      </c>
      <c r="BA21" s="13">
        <f>GetEquPower(BTS!$F$1,Sheet1!$X21,Sheet1!AU21,Sheet1!$M21)</f>
        <v>0</v>
      </c>
      <c r="BB21" s="13">
        <f>GetEquPower(BTS!$F$1,Sheet1!$X21,Sheet1!AV21,Sheet1!$M21)</f>
        <v>0</v>
      </c>
      <c r="BC21" s="13">
        <f>GetEquPower(BTS!$F$1,Sheet1!$X21,Sheet1!AW21,Sheet1!$M21)</f>
        <v>0</v>
      </c>
    </row>
    <row r="22" spans="1:55" s="13" customFormat="1" ht="31.2" x14ac:dyDescent="0.3">
      <c r="A22" s="8"/>
      <c r="B22" s="7"/>
      <c r="C22" s="3"/>
      <c r="D22" s="2"/>
      <c r="E22" s="3" t="s">
        <v>198</v>
      </c>
      <c r="F22" s="21"/>
      <c r="G22" s="22"/>
      <c r="H22" s="23"/>
      <c r="I22" s="8" t="s">
        <v>70</v>
      </c>
      <c r="J22" s="8" t="s">
        <v>71</v>
      </c>
      <c r="K22" s="9"/>
      <c r="L22" s="8"/>
      <c r="M22" s="4">
        <v>2100</v>
      </c>
      <c r="N22" s="5">
        <v>37</v>
      </c>
      <c r="O22" s="10"/>
      <c r="P22" s="2"/>
      <c r="Q22" s="2"/>
      <c r="R22" s="8" t="s">
        <v>278</v>
      </c>
      <c r="S22" s="4" t="s">
        <v>207</v>
      </c>
      <c r="T22" s="4">
        <v>3</v>
      </c>
      <c r="U22" s="2" t="s">
        <v>197</v>
      </c>
      <c r="V22" s="1" t="s">
        <v>261</v>
      </c>
      <c r="W22" s="5" t="s">
        <v>279</v>
      </c>
      <c r="X22" s="4" t="s">
        <v>139</v>
      </c>
      <c r="Y22" s="6" t="s">
        <v>280</v>
      </c>
      <c r="Z22" s="5">
        <v>3</v>
      </c>
      <c r="AA22" s="8">
        <v>0</v>
      </c>
      <c r="AB22" s="8" t="s">
        <v>66</v>
      </c>
      <c r="AC22" s="2"/>
      <c r="AD22" s="8"/>
      <c r="AE22" s="8"/>
      <c r="AF22" s="8"/>
      <c r="AG22" s="2"/>
      <c r="AH22" s="8"/>
      <c r="AI22" s="24">
        <v>0</v>
      </c>
      <c r="AJ22" s="57">
        <v>20</v>
      </c>
      <c r="AK22" s="57" t="str">
        <f t="shared" si="9"/>
        <v>37/37/37</v>
      </c>
      <c r="AL22" s="58" t="str">
        <f t="shared" si="10"/>
        <v>20/20/20</v>
      </c>
      <c r="AM22" s="58" t="b">
        <v>1</v>
      </c>
      <c r="AN22" s="58" t="b">
        <f t="shared" si="11"/>
        <v>1</v>
      </c>
      <c r="AO22" s="58" t="b">
        <v>1</v>
      </c>
      <c r="AP22" s="58"/>
      <c r="AQ22" s="33"/>
      <c r="AR22" s="13">
        <f t="shared" si="12"/>
        <v>2</v>
      </c>
      <c r="AS22" s="13">
        <f t="shared" si="13"/>
        <v>3</v>
      </c>
      <c r="AT22" s="13">
        <f t="shared" si="14"/>
        <v>3</v>
      </c>
      <c r="AU22" s="13">
        <f t="shared" si="15"/>
        <v>0</v>
      </c>
      <c r="AV22" s="13">
        <f t="shared" si="16"/>
        <v>0</v>
      </c>
      <c r="AW22" s="13">
        <f t="shared" si="17"/>
        <v>0</v>
      </c>
      <c r="AX22" s="13">
        <f>GetEquPower(BTS!$F$1,Sheet1!$X22,Sheet1!AR22,Sheet1!$M22)</f>
        <v>20</v>
      </c>
      <c r="AY22" s="13">
        <f>GetEquPower(BTS!$F$1,Sheet1!$X22,Sheet1!AS22,Sheet1!$M22)</f>
        <v>20</v>
      </c>
      <c r="AZ22" s="13">
        <f>GetEquPower(BTS!$F$1,Sheet1!$X22,Sheet1!AT22,Sheet1!$M22)</f>
        <v>20</v>
      </c>
      <c r="BA22" s="13">
        <f>GetEquPower(BTS!$F$1,Sheet1!$X22,Sheet1!AU22,Sheet1!$M22)</f>
        <v>0</v>
      </c>
      <c r="BB22" s="13">
        <f>GetEquPower(BTS!$F$1,Sheet1!$X22,Sheet1!AV22,Sheet1!$M22)</f>
        <v>0</v>
      </c>
      <c r="BC22" s="13">
        <f>GetEquPower(BTS!$F$1,Sheet1!$X22,Sheet1!AW22,Sheet1!$M22)</f>
        <v>0</v>
      </c>
    </row>
    <row r="23" spans="1:55" s="13" customFormat="1" ht="31.2" x14ac:dyDescent="0.3">
      <c r="A23" s="8"/>
      <c r="B23" s="7"/>
      <c r="C23" s="3"/>
      <c r="D23" s="2"/>
      <c r="E23" s="3" t="s">
        <v>198</v>
      </c>
      <c r="F23" s="21"/>
      <c r="G23" s="22"/>
      <c r="H23" s="23"/>
      <c r="I23" s="8" t="s">
        <v>70</v>
      </c>
      <c r="J23" s="8" t="s">
        <v>71</v>
      </c>
      <c r="K23" s="9"/>
      <c r="L23" s="8"/>
      <c r="M23" s="4">
        <v>1800</v>
      </c>
      <c r="N23" s="5">
        <v>37</v>
      </c>
      <c r="O23" s="10"/>
      <c r="P23" s="2"/>
      <c r="Q23" s="2"/>
      <c r="R23" s="8" t="s">
        <v>281</v>
      </c>
      <c r="S23" s="4" t="s">
        <v>207</v>
      </c>
      <c r="T23" s="4">
        <v>3</v>
      </c>
      <c r="U23" s="2" t="s">
        <v>211</v>
      </c>
      <c r="V23" s="1" t="s">
        <v>261</v>
      </c>
      <c r="W23" s="5" t="s">
        <v>279</v>
      </c>
      <c r="X23" s="4" t="s">
        <v>136</v>
      </c>
      <c r="Y23" s="6" t="s">
        <v>1</v>
      </c>
      <c r="Z23" s="5">
        <v>3</v>
      </c>
      <c r="AA23" s="8">
        <v>0</v>
      </c>
      <c r="AB23" s="8" t="s">
        <v>66</v>
      </c>
      <c r="AC23" s="2"/>
      <c r="AD23" s="8"/>
      <c r="AE23" s="8"/>
      <c r="AF23" s="8"/>
      <c r="AG23" s="2"/>
      <c r="AH23" s="8"/>
      <c r="AI23" s="24">
        <v>0</v>
      </c>
      <c r="AJ23" s="57">
        <v>21</v>
      </c>
      <c r="AK23" s="57" t="str">
        <f t="shared" si="9"/>
        <v>37/37/37</v>
      </c>
      <c r="AL23" s="58" t="str">
        <f t="shared" si="10"/>
        <v>20/20/20</v>
      </c>
      <c r="AM23" s="58" t="b">
        <v>1</v>
      </c>
      <c r="AN23" s="58" t="b">
        <f t="shared" si="11"/>
        <v>1</v>
      </c>
      <c r="AO23" s="58" t="b">
        <v>1</v>
      </c>
      <c r="AP23" s="58"/>
      <c r="AQ23" s="33"/>
      <c r="AR23" s="13">
        <f t="shared" si="12"/>
        <v>1</v>
      </c>
      <c r="AS23" s="13">
        <f t="shared" si="13"/>
        <v>1</v>
      </c>
      <c r="AT23" s="13">
        <f t="shared" si="14"/>
        <v>1</v>
      </c>
      <c r="AU23" s="13">
        <f t="shared" si="15"/>
        <v>0</v>
      </c>
      <c r="AV23" s="13">
        <f t="shared" si="16"/>
        <v>0</v>
      </c>
      <c r="AW23" s="13">
        <f t="shared" si="17"/>
        <v>0</v>
      </c>
      <c r="AX23" s="13">
        <f>GetEquPower(BTS!$F$1,Sheet1!$X23,Sheet1!AR23,Sheet1!$M23)</f>
        <v>20</v>
      </c>
      <c r="AY23" s="13">
        <f>GetEquPower(BTS!$F$1,Sheet1!$X23,Sheet1!AS23,Sheet1!$M23)</f>
        <v>20</v>
      </c>
      <c r="AZ23" s="13">
        <f>GetEquPower(BTS!$F$1,Sheet1!$X23,Sheet1!AT23,Sheet1!$M23)</f>
        <v>20</v>
      </c>
      <c r="BA23" s="13">
        <f>GetEquPower(BTS!$F$1,Sheet1!$X23,Sheet1!AU23,Sheet1!$M23)</f>
        <v>0</v>
      </c>
      <c r="BB23" s="13">
        <f>GetEquPower(BTS!$F$1,Sheet1!$X23,Sheet1!AV23,Sheet1!$M23)</f>
        <v>0</v>
      </c>
      <c r="BC23" s="13">
        <f>GetEquPower(BTS!$F$1,Sheet1!$X23,Sheet1!AW23,Sheet1!$M23)</f>
        <v>0</v>
      </c>
    </row>
    <row r="24" spans="1:55" s="13" customFormat="1" ht="31.2" x14ac:dyDescent="0.3">
      <c r="A24" s="8">
        <v>9</v>
      </c>
      <c r="B24" s="7" t="s">
        <v>282</v>
      </c>
      <c r="C24" s="3" t="s">
        <v>283</v>
      </c>
      <c r="D24" s="2" t="s">
        <v>65</v>
      </c>
      <c r="E24" s="3" t="s">
        <v>284</v>
      </c>
      <c r="F24" s="21" t="s">
        <v>285</v>
      </c>
      <c r="G24" s="22" t="s">
        <v>285</v>
      </c>
      <c r="H24" s="23" t="s">
        <v>286</v>
      </c>
      <c r="I24" s="8" t="s">
        <v>70</v>
      </c>
      <c r="J24" s="8" t="s">
        <v>71</v>
      </c>
      <c r="K24" s="9">
        <v>15</v>
      </c>
      <c r="L24" s="8">
        <v>16</v>
      </c>
      <c r="M24" s="4">
        <v>1800</v>
      </c>
      <c r="N24" s="5">
        <v>29</v>
      </c>
      <c r="O24" s="10">
        <v>40</v>
      </c>
      <c r="P24" s="2" t="s">
        <v>194</v>
      </c>
      <c r="Q24" s="2" t="s">
        <v>195</v>
      </c>
      <c r="R24" s="8" t="s">
        <v>287</v>
      </c>
      <c r="S24" s="4" t="s">
        <v>207</v>
      </c>
      <c r="T24" s="4">
        <v>3</v>
      </c>
      <c r="U24" s="2" t="s">
        <v>260</v>
      </c>
      <c r="V24" s="1" t="s">
        <v>288</v>
      </c>
      <c r="W24" s="5" t="s">
        <v>0</v>
      </c>
      <c r="X24" s="4" t="s">
        <v>86</v>
      </c>
      <c r="Y24" s="6" t="s">
        <v>0</v>
      </c>
      <c r="Z24" s="5">
        <v>6</v>
      </c>
      <c r="AA24" s="8">
        <v>10</v>
      </c>
      <c r="AB24" s="8" t="s">
        <v>66</v>
      </c>
      <c r="AC24" s="2">
        <v>2</v>
      </c>
      <c r="AD24" s="8" t="s">
        <v>66</v>
      </c>
      <c r="AE24" s="8" t="s">
        <v>219</v>
      </c>
      <c r="AF24" s="8"/>
      <c r="AG24" s="2">
        <v>12</v>
      </c>
      <c r="AH24" s="8">
        <v>25</v>
      </c>
      <c r="AI24" s="24">
        <v>13</v>
      </c>
      <c r="AJ24" s="57">
        <v>22</v>
      </c>
      <c r="AK24" s="57" t="str">
        <f t="shared" si="9"/>
        <v>29/29/29</v>
      </c>
      <c r="AL24" s="58" t="str">
        <f t="shared" si="10"/>
        <v>55,59/55,59/55,59</v>
      </c>
      <c r="AM24" s="58" t="b">
        <v>1</v>
      </c>
      <c r="AN24" s="58" t="b">
        <f t="shared" si="11"/>
        <v>0</v>
      </c>
      <c r="AO24" s="58" t="b">
        <v>1</v>
      </c>
      <c r="AP24" s="58"/>
      <c r="AQ24" s="33"/>
      <c r="AR24" s="13">
        <f t="shared" si="12"/>
        <v>2</v>
      </c>
      <c r="AS24" s="13">
        <f t="shared" si="13"/>
        <v>2</v>
      </c>
      <c r="AT24" s="13">
        <f t="shared" si="14"/>
        <v>2</v>
      </c>
      <c r="AU24" s="13">
        <f t="shared" si="15"/>
        <v>0</v>
      </c>
      <c r="AV24" s="13">
        <f t="shared" si="16"/>
        <v>0</v>
      </c>
      <c r="AW24" s="13">
        <f t="shared" si="17"/>
        <v>0</v>
      </c>
      <c r="AX24" s="13">
        <f>GetEquPower(BTS!$F$1,Sheet1!$X24,Sheet1!AR24,Sheet1!$M24)</f>
        <v>55.59</v>
      </c>
      <c r="AY24" s="13">
        <f>GetEquPower(BTS!$F$1,Sheet1!$X24,Sheet1!AS24,Sheet1!$M24)</f>
        <v>55.59</v>
      </c>
      <c r="AZ24" s="13">
        <f>GetEquPower(BTS!$F$1,Sheet1!$X24,Sheet1!AT24,Sheet1!$M24)</f>
        <v>55.59</v>
      </c>
      <c r="BA24" s="13">
        <f>GetEquPower(BTS!$F$1,Sheet1!$X24,Sheet1!AU24,Sheet1!$M24)</f>
        <v>0</v>
      </c>
      <c r="BB24" s="13">
        <f>GetEquPower(BTS!$F$1,Sheet1!$X24,Sheet1!AV24,Sheet1!$M24)</f>
        <v>0</v>
      </c>
      <c r="BC24" s="13">
        <f>GetEquPower(BTS!$F$1,Sheet1!$X24,Sheet1!AW24,Sheet1!$M24)</f>
        <v>0</v>
      </c>
    </row>
    <row r="25" spans="1:55" s="13" customFormat="1" ht="31.2" x14ac:dyDescent="0.3">
      <c r="A25" s="8"/>
      <c r="B25" s="7"/>
      <c r="C25" s="3"/>
      <c r="D25" s="2"/>
      <c r="E25" s="3" t="s">
        <v>198</v>
      </c>
      <c r="F25" s="21"/>
      <c r="G25" s="22"/>
      <c r="H25" s="23"/>
      <c r="I25" s="8" t="s">
        <v>70</v>
      </c>
      <c r="J25" s="8" t="s">
        <v>71</v>
      </c>
      <c r="K25" s="9"/>
      <c r="L25" s="8"/>
      <c r="M25" s="4">
        <v>2100</v>
      </c>
      <c r="N25" s="5">
        <v>29</v>
      </c>
      <c r="O25" s="10"/>
      <c r="P25" s="2"/>
      <c r="Q25" s="2"/>
      <c r="R25" s="8" t="s">
        <v>289</v>
      </c>
      <c r="S25" s="4" t="s">
        <v>207</v>
      </c>
      <c r="T25" s="4">
        <v>3</v>
      </c>
      <c r="U25" s="2" t="s">
        <v>197</v>
      </c>
      <c r="V25" s="1" t="s">
        <v>288</v>
      </c>
      <c r="W25" s="5" t="s">
        <v>290</v>
      </c>
      <c r="X25" s="4" t="s">
        <v>139</v>
      </c>
      <c r="Y25" s="6" t="s">
        <v>291</v>
      </c>
      <c r="Z25" s="5">
        <v>3</v>
      </c>
      <c r="AA25" s="8">
        <v>0</v>
      </c>
      <c r="AB25" s="8" t="s">
        <v>66</v>
      </c>
      <c r="AC25" s="2"/>
      <c r="AD25" s="8"/>
      <c r="AE25" s="8"/>
      <c r="AF25" s="8"/>
      <c r="AG25" s="2"/>
      <c r="AH25" s="8"/>
      <c r="AI25" s="24">
        <v>0</v>
      </c>
      <c r="AJ25" s="57">
        <v>23</v>
      </c>
      <c r="AK25" s="57" t="str">
        <f t="shared" si="9"/>
        <v>29/29/29</v>
      </c>
      <c r="AL25" s="58" t="str">
        <f t="shared" si="10"/>
        <v>20/20/20</v>
      </c>
      <c r="AM25" s="58" t="b">
        <v>1</v>
      </c>
      <c r="AN25" s="58" t="b">
        <f t="shared" si="11"/>
        <v>1</v>
      </c>
      <c r="AO25" s="58" t="b">
        <v>1</v>
      </c>
      <c r="AP25" s="58"/>
      <c r="AQ25" s="33"/>
      <c r="AR25" s="13">
        <f t="shared" si="12"/>
        <v>3</v>
      </c>
      <c r="AS25" s="13">
        <f t="shared" si="13"/>
        <v>2</v>
      </c>
      <c r="AT25" s="13">
        <f t="shared" si="14"/>
        <v>2</v>
      </c>
      <c r="AU25" s="13">
        <f t="shared" si="15"/>
        <v>0</v>
      </c>
      <c r="AV25" s="13">
        <f t="shared" si="16"/>
        <v>0</v>
      </c>
      <c r="AW25" s="13">
        <f t="shared" si="17"/>
        <v>0</v>
      </c>
      <c r="AX25" s="13">
        <f>GetEquPower(BTS!$F$1,Sheet1!$X25,Sheet1!AR25,Sheet1!$M25)</f>
        <v>20</v>
      </c>
      <c r="AY25" s="13">
        <f>GetEquPower(BTS!$F$1,Sheet1!$X25,Sheet1!AS25,Sheet1!$M25)</f>
        <v>20</v>
      </c>
      <c r="AZ25" s="13">
        <f>GetEquPower(BTS!$F$1,Sheet1!$X25,Sheet1!AT25,Sheet1!$M25)</f>
        <v>20</v>
      </c>
      <c r="BA25" s="13">
        <f>GetEquPower(BTS!$F$1,Sheet1!$X25,Sheet1!AU25,Sheet1!$M25)</f>
        <v>0</v>
      </c>
      <c r="BB25" s="13">
        <f>GetEquPower(BTS!$F$1,Sheet1!$X25,Sheet1!AV25,Sheet1!$M25)</f>
        <v>0</v>
      </c>
      <c r="BC25" s="13">
        <f>GetEquPower(BTS!$F$1,Sheet1!$X25,Sheet1!AW25,Sheet1!$M25)</f>
        <v>0</v>
      </c>
    </row>
    <row r="26" spans="1:55" s="13" customFormat="1" ht="31.2" x14ac:dyDescent="0.3">
      <c r="A26" s="8"/>
      <c r="B26" s="7"/>
      <c r="C26" s="3"/>
      <c r="D26" s="2"/>
      <c r="E26" s="3" t="s">
        <v>198</v>
      </c>
      <c r="F26" s="21"/>
      <c r="G26" s="22"/>
      <c r="H26" s="23"/>
      <c r="I26" s="8" t="s">
        <v>70</v>
      </c>
      <c r="J26" s="8" t="s">
        <v>71</v>
      </c>
      <c r="K26" s="9"/>
      <c r="L26" s="8"/>
      <c r="M26" s="4">
        <v>1800</v>
      </c>
      <c r="N26" s="5">
        <v>29</v>
      </c>
      <c r="O26" s="10"/>
      <c r="P26" s="2"/>
      <c r="Q26" s="2"/>
      <c r="R26" s="8" t="s">
        <v>292</v>
      </c>
      <c r="S26" s="4" t="s">
        <v>207</v>
      </c>
      <c r="T26" s="4">
        <v>3</v>
      </c>
      <c r="U26" s="2" t="s">
        <v>211</v>
      </c>
      <c r="V26" s="1" t="s">
        <v>288</v>
      </c>
      <c r="W26" s="5" t="s">
        <v>293</v>
      </c>
      <c r="X26" s="4" t="s">
        <v>136</v>
      </c>
      <c r="Y26" s="6" t="s">
        <v>1</v>
      </c>
      <c r="Z26" s="5">
        <v>3</v>
      </c>
      <c r="AA26" s="8">
        <v>0</v>
      </c>
      <c r="AB26" s="8" t="s">
        <v>66</v>
      </c>
      <c r="AC26" s="2"/>
      <c r="AD26" s="8"/>
      <c r="AE26" s="8"/>
      <c r="AF26" s="8"/>
      <c r="AG26" s="2"/>
      <c r="AH26" s="8"/>
      <c r="AI26" s="24">
        <v>0</v>
      </c>
      <c r="AJ26" s="57">
        <v>24</v>
      </c>
      <c r="AK26" s="57" t="str">
        <f t="shared" si="9"/>
        <v>29/29/29</v>
      </c>
      <c r="AL26" s="58" t="str">
        <f t="shared" si="10"/>
        <v>20/20/20</v>
      </c>
      <c r="AM26" s="58" t="b">
        <v>1</v>
      </c>
      <c r="AN26" s="58" t="b">
        <f t="shared" si="11"/>
        <v>1</v>
      </c>
      <c r="AO26" s="58" t="b">
        <v>1</v>
      </c>
      <c r="AP26" s="58"/>
      <c r="AQ26" s="33"/>
      <c r="AR26" s="13">
        <f t="shared" si="12"/>
        <v>1</v>
      </c>
      <c r="AS26" s="13">
        <f t="shared" si="13"/>
        <v>1</v>
      </c>
      <c r="AT26" s="13">
        <f t="shared" si="14"/>
        <v>1</v>
      </c>
      <c r="AU26" s="13">
        <f t="shared" si="15"/>
        <v>0</v>
      </c>
      <c r="AV26" s="13">
        <f t="shared" si="16"/>
        <v>0</v>
      </c>
      <c r="AW26" s="13">
        <f t="shared" si="17"/>
        <v>0</v>
      </c>
      <c r="AX26" s="13">
        <f>GetEquPower(BTS!$F$1,Sheet1!$X26,Sheet1!AR26,Sheet1!$M26)</f>
        <v>20</v>
      </c>
      <c r="AY26" s="13">
        <f>GetEquPower(BTS!$F$1,Sheet1!$X26,Sheet1!AS26,Sheet1!$M26)</f>
        <v>20</v>
      </c>
      <c r="AZ26" s="13">
        <f>GetEquPower(BTS!$F$1,Sheet1!$X26,Sheet1!AT26,Sheet1!$M26)</f>
        <v>20</v>
      </c>
      <c r="BA26" s="13">
        <f>GetEquPower(BTS!$F$1,Sheet1!$X26,Sheet1!AU26,Sheet1!$M26)</f>
        <v>0</v>
      </c>
      <c r="BB26" s="13">
        <f>GetEquPower(BTS!$F$1,Sheet1!$X26,Sheet1!AV26,Sheet1!$M26)</f>
        <v>0</v>
      </c>
      <c r="BC26" s="13">
        <f>GetEquPower(BTS!$F$1,Sheet1!$X26,Sheet1!AW26,Sheet1!$M26)</f>
        <v>0</v>
      </c>
    </row>
    <row r="27" spans="1:55" s="13" customFormat="1" ht="31.2" x14ac:dyDescent="0.3">
      <c r="A27" s="8">
        <v>10</v>
      </c>
      <c r="B27" s="7" t="s">
        <v>294</v>
      </c>
      <c r="C27" s="3" t="s">
        <v>295</v>
      </c>
      <c r="D27" s="2" t="s">
        <v>65</v>
      </c>
      <c r="E27" s="3" t="s">
        <v>296</v>
      </c>
      <c r="F27" s="21" t="s">
        <v>297</v>
      </c>
      <c r="G27" s="22" t="s">
        <v>297</v>
      </c>
      <c r="H27" s="23" t="s">
        <v>77</v>
      </c>
      <c r="I27" s="8" t="s">
        <v>70</v>
      </c>
      <c r="J27" s="8" t="s">
        <v>71</v>
      </c>
      <c r="K27" s="9">
        <v>15</v>
      </c>
      <c r="L27" s="8">
        <v>12</v>
      </c>
      <c r="M27" s="4">
        <v>1800</v>
      </c>
      <c r="N27" s="5">
        <v>24</v>
      </c>
      <c r="O27" s="10">
        <v>-110</v>
      </c>
      <c r="P27" s="2" t="s">
        <v>194</v>
      </c>
      <c r="Q27" s="2" t="s">
        <v>195</v>
      </c>
      <c r="R27" s="8" t="s">
        <v>298</v>
      </c>
      <c r="S27" s="4" t="s">
        <v>207</v>
      </c>
      <c r="T27" s="4">
        <v>3</v>
      </c>
      <c r="U27" s="2" t="s">
        <v>260</v>
      </c>
      <c r="V27" s="1" t="s">
        <v>299</v>
      </c>
      <c r="W27" s="5" t="s">
        <v>280</v>
      </c>
      <c r="X27" s="4" t="s">
        <v>86</v>
      </c>
      <c r="Y27" s="6" t="s">
        <v>218</v>
      </c>
      <c r="Z27" s="5">
        <v>6</v>
      </c>
      <c r="AA27" s="8">
        <v>10</v>
      </c>
      <c r="AB27" s="8" t="s">
        <v>66</v>
      </c>
      <c r="AC27" s="2">
        <v>2</v>
      </c>
      <c r="AD27" s="8" t="s">
        <v>66</v>
      </c>
      <c r="AE27" s="8" t="s">
        <v>67</v>
      </c>
      <c r="AF27" s="8"/>
      <c r="AG27" s="2">
        <v>8</v>
      </c>
      <c r="AH27" s="8">
        <v>24</v>
      </c>
      <c r="AI27" s="24">
        <v>16</v>
      </c>
      <c r="AJ27" s="57">
        <v>25</v>
      </c>
      <c r="AK27" s="57" t="str">
        <f t="shared" si="9"/>
        <v>24/24/24</v>
      </c>
      <c r="AL27" s="58" t="str">
        <f t="shared" si="10"/>
        <v>25,41/25,41/25,41</v>
      </c>
      <c r="AM27" s="58" t="b">
        <v>1</v>
      </c>
      <c r="AN27" s="58" t="b">
        <f t="shared" si="11"/>
        <v>0</v>
      </c>
      <c r="AO27" s="58" t="b">
        <v>1</v>
      </c>
      <c r="AP27" s="58"/>
      <c r="AQ27" s="33"/>
      <c r="AR27" s="13">
        <f t="shared" si="12"/>
        <v>4</v>
      </c>
      <c r="AS27" s="13">
        <f t="shared" si="13"/>
        <v>4</v>
      </c>
      <c r="AT27" s="13">
        <f t="shared" si="14"/>
        <v>4</v>
      </c>
      <c r="AU27" s="13">
        <f t="shared" si="15"/>
        <v>0</v>
      </c>
      <c r="AV27" s="13">
        <f t="shared" si="16"/>
        <v>0</v>
      </c>
      <c r="AW27" s="13">
        <f t="shared" si="17"/>
        <v>0</v>
      </c>
      <c r="AX27" s="13">
        <f>GetEquPower(BTS!$F$1,Sheet1!$X27,Sheet1!AR27,Sheet1!$M27)</f>
        <v>25.41</v>
      </c>
      <c r="AY27" s="13">
        <f>GetEquPower(BTS!$F$1,Sheet1!$X27,Sheet1!AS27,Sheet1!$M27)</f>
        <v>25.41</v>
      </c>
      <c r="AZ27" s="13">
        <f>GetEquPower(BTS!$F$1,Sheet1!$X27,Sheet1!AT27,Sheet1!$M27)</f>
        <v>25.41</v>
      </c>
      <c r="BA27" s="13">
        <f>GetEquPower(BTS!$F$1,Sheet1!$X27,Sheet1!AU27,Sheet1!$M27)</f>
        <v>0</v>
      </c>
      <c r="BB27" s="13">
        <f>GetEquPower(BTS!$F$1,Sheet1!$X27,Sheet1!AV27,Sheet1!$M27)</f>
        <v>0</v>
      </c>
      <c r="BC27" s="13">
        <f>GetEquPower(BTS!$F$1,Sheet1!$X27,Sheet1!AW27,Sheet1!$M27)</f>
        <v>0</v>
      </c>
    </row>
    <row r="28" spans="1:55" s="13" customFormat="1" ht="31.2" x14ac:dyDescent="0.3">
      <c r="A28" s="8"/>
      <c r="B28" s="7"/>
      <c r="C28" s="3"/>
      <c r="D28" s="2"/>
      <c r="E28" s="3" t="s">
        <v>198</v>
      </c>
      <c r="F28" s="21"/>
      <c r="G28" s="22"/>
      <c r="H28" s="23"/>
      <c r="I28" s="8" t="s">
        <v>70</v>
      </c>
      <c r="J28" s="8" t="s">
        <v>71</v>
      </c>
      <c r="K28" s="9"/>
      <c r="L28" s="8"/>
      <c r="M28" s="4">
        <v>2100</v>
      </c>
      <c r="N28" s="5">
        <v>25.5</v>
      </c>
      <c r="O28" s="10"/>
      <c r="P28" s="2"/>
      <c r="Q28" s="2"/>
      <c r="R28" s="8" t="s">
        <v>300</v>
      </c>
      <c r="S28" s="4" t="s">
        <v>207</v>
      </c>
      <c r="T28" s="4">
        <v>3</v>
      </c>
      <c r="U28" s="2" t="s">
        <v>197</v>
      </c>
      <c r="V28" s="1" t="s">
        <v>299</v>
      </c>
      <c r="W28" s="5" t="s">
        <v>301</v>
      </c>
      <c r="X28" s="4" t="s">
        <v>139</v>
      </c>
      <c r="Y28" s="6" t="s">
        <v>242</v>
      </c>
      <c r="Z28" s="5">
        <v>3</v>
      </c>
      <c r="AA28" s="8">
        <v>0</v>
      </c>
      <c r="AB28" s="8" t="s">
        <v>66</v>
      </c>
      <c r="AC28" s="2"/>
      <c r="AD28" s="8"/>
      <c r="AE28" s="8"/>
      <c r="AF28" s="8"/>
      <c r="AG28" s="2"/>
      <c r="AH28" s="8"/>
      <c r="AI28" s="24">
        <v>0</v>
      </c>
      <c r="AJ28" s="57">
        <v>26</v>
      </c>
      <c r="AK28" s="57" t="str">
        <f t="shared" si="9"/>
        <v>25,5/25,5/25,5</v>
      </c>
      <c r="AL28" s="58" t="str">
        <f t="shared" si="10"/>
        <v>20/20/20</v>
      </c>
      <c r="AM28" s="58" t="b">
        <v>1</v>
      </c>
      <c r="AN28" s="58" t="b">
        <f t="shared" si="11"/>
        <v>1</v>
      </c>
      <c r="AO28" s="58" t="b">
        <v>1</v>
      </c>
      <c r="AP28" s="58"/>
      <c r="AQ28" s="33"/>
      <c r="AR28" s="13">
        <f t="shared" si="12"/>
        <v>3</v>
      </c>
      <c r="AS28" s="13">
        <f t="shared" si="13"/>
        <v>2</v>
      </c>
      <c r="AT28" s="13">
        <f t="shared" si="14"/>
        <v>3</v>
      </c>
      <c r="AU28" s="13">
        <f t="shared" si="15"/>
        <v>0</v>
      </c>
      <c r="AV28" s="13">
        <f t="shared" si="16"/>
        <v>0</v>
      </c>
      <c r="AW28" s="13">
        <f t="shared" si="17"/>
        <v>0</v>
      </c>
      <c r="AX28" s="13">
        <f>GetEquPower(BTS!$F$1,Sheet1!$X28,Sheet1!AR28,Sheet1!$M28)</f>
        <v>20</v>
      </c>
      <c r="AY28" s="13">
        <f>GetEquPower(BTS!$F$1,Sheet1!$X28,Sheet1!AS28,Sheet1!$M28)</f>
        <v>20</v>
      </c>
      <c r="AZ28" s="13">
        <f>GetEquPower(BTS!$F$1,Sheet1!$X28,Sheet1!AT28,Sheet1!$M28)</f>
        <v>20</v>
      </c>
      <c r="BA28" s="13">
        <f>GetEquPower(BTS!$F$1,Sheet1!$X28,Sheet1!AU28,Sheet1!$M28)</f>
        <v>0</v>
      </c>
      <c r="BB28" s="13">
        <f>GetEquPower(BTS!$F$1,Sheet1!$X28,Sheet1!AV28,Sheet1!$M28)</f>
        <v>0</v>
      </c>
      <c r="BC28" s="13">
        <f>GetEquPower(BTS!$F$1,Sheet1!$X28,Sheet1!AW28,Sheet1!$M28)</f>
        <v>0</v>
      </c>
    </row>
    <row r="29" spans="1:55" s="13" customFormat="1" ht="31.2" x14ac:dyDescent="0.3">
      <c r="A29" s="8"/>
      <c r="B29" s="7"/>
      <c r="C29" s="3"/>
      <c r="D29" s="2"/>
      <c r="E29" s="3" t="s">
        <v>198</v>
      </c>
      <c r="F29" s="21"/>
      <c r="G29" s="22"/>
      <c r="H29" s="23"/>
      <c r="I29" s="8" t="s">
        <v>70</v>
      </c>
      <c r="J29" s="8" t="s">
        <v>71</v>
      </c>
      <c r="K29" s="9"/>
      <c r="L29" s="8"/>
      <c r="M29" s="4">
        <v>1800</v>
      </c>
      <c r="N29" s="5">
        <v>25.5</v>
      </c>
      <c r="O29" s="10"/>
      <c r="P29" s="2"/>
      <c r="Q29" s="2"/>
      <c r="R29" s="8" t="s">
        <v>302</v>
      </c>
      <c r="S29" s="4" t="s">
        <v>207</v>
      </c>
      <c r="T29" s="4">
        <v>3</v>
      </c>
      <c r="U29" s="2" t="s">
        <v>211</v>
      </c>
      <c r="V29" s="1" t="s">
        <v>299</v>
      </c>
      <c r="W29" s="5" t="s">
        <v>303</v>
      </c>
      <c r="X29" s="4" t="s">
        <v>136</v>
      </c>
      <c r="Y29" s="6" t="s">
        <v>1</v>
      </c>
      <c r="Z29" s="5">
        <v>3</v>
      </c>
      <c r="AA29" s="8">
        <v>0</v>
      </c>
      <c r="AB29" s="8" t="s">
        <v>66</v>
      </c>
      <c r="AC29" s="2"/>
      <c r="AD29" s="8"/>
      <c r="AE29" s="8"/>
      <c r="AF29" s="8"/>
      <c r="AG29" s="2"/>
      <c r="AH29" s="8"/>
      <c r="AI29" s="24">
        <v>0</v>
      </c>
      <c r="AJ29" s="57">
        <v>27</v>
      </c>
      <c r="AK29" s="57" t="str">
        <f t="shared" si="9"/>
        <v>25,5/25,5/25,5</v>
      </c>
      <c r="AL29" s="58" t="str">
        <f t="shared" si="10"/>
        <v>20/20/20</v>
      </c>
      <c r="AM29" s="58" t="b">
        <v>1</v>
      </c>
      <c r="AN29" s="58" t="b">
        <f t="shared" si="11"/>
        <v>1</v>
      </c>
      <c r="AO29" s="58" t="b">
        <v>1</v>
      </c>
      <c r="AP29" s="58"/>
      <c r="AQ29" s="33"/>
      <c r="AR29" s="13">
        <f t="shared" si="12"/>
        <v>1</v>
      </c>
      <c r="AS29" s="13">
        <f t="shared" si="13"/>
        <v>1</v>
      </c>
      <c r="AT29" s="13">
        <f t="shared" si="14"/>
        <v>1</v>
      </c>
      <c r="AU29" s="13">
        <f t="shared" si="15"/>
        <v>0</v>
      </c>
      <c r="AV29" s="13">
        <f t="shared" si="16"/>
        <v>0</v>
      </c>
      <c r="AW29" s="13">
        <f t="shared" si="17"/>
        <v>0</v>
      </c>
      <c r="AX29" s="13">
        <f>GetEquPower(BTS!$F$1,Sheet1!$X29,Sheet1!AR29,Sheet1!$M29)</f>
        <v>20</v>
      </c>
      <c r="AY29" s="13">
        <f>GetEquPower(BTS!$F$1,Sheet1!$X29,Sheet1!AS29,Sheet1!$M29)</f>
        <v>20</v>
      </c>
      <c r="AZ29" s="13">
        <f>GetEquPower(BTS!$F$1,Sheet1!$X29,Sheet1!AT29,Sheet1!$M29)</f>
        <v>20</v>
      </c>
      <c r="BA29" s="13">
        <f>GetEquPower(BTS!$F$1,Sheet1!$X29,Sheet1!AU29,Sheet1!$M29)</f>
        <v>0</v>
      </c>
      <c r="BB29" s="13">
        <f>GetEquPower(BTS!$F$1,Sheet1!$X29,Sheet1!AV29,Sheet1!$M29)</f>
        <v>0</v>
      </c>
      <c r="BC29" s="13">
        <f>GetEquPower(BTS!$F$1,Sheet1!$X29,Sheet1!AW29,Sheet1!$M29)</f>
        <v>0</v>
      </c>
    </row>
    <row r="30" spans="1:55" s="13" customFormat="1" ht="31.2" x14ac:dyDescent="0.3">
      <c r="A30" s="8">
        <v>11</v>
      </c>
      <c r="B30" s="7" t="s">
        <v>304</v>
      </c>
      <c r="C30" s="3" t="s">
        <v>305</v>
      </c>
      <c r="D30" s="2" t="s">
        <v>65</v>
      </c>
      <c r="E30" s="3" t="s">
        <v>306</v>
      </c>
      <c r="F30" s="21" t="s">
        <v>307</v>
      </c>
      <c r="G30" s="22" t="s">
        <v>307</v>
      </c>
      <c r="H30" s="23" t="s">
        <v>286</v>
      </c>
      <c r="I30" s="8" t="s">
        <v>70</v>
      </c>
      <c r="J30" s="8" t="s">
        <v>71</v>
      </c>
      <c r="K30" s="9">
        <v>15</v>
      </c>
      <c r="L30" s="8">
        <v>12</v>
      </c>
      <c r="M30" s="4">
        <v>1800</v>
      </c>
      <c r="N30" s="5">
        <v>24</v>
      </c>
      <c r="O30" s="10">
        <v>-90</v>
      </c>
      <c r="P30" s="2" t="s">
        <v>194</v>
      </c>
      <c r="Q30" s="2" t="s">
        <v>195</v>
      </c>
      <c r="R30" s="8" t="s">
        <v>308</v>
      </c>
      <c r="S30" s="4" t="s">
        <v>207</v>
      </c>
      <c r="T30" s="4">
        <v>3</v>
      </c>
      <c r="U30" s="2" t="s">
        <v>260</v>
      </c>
      <c r="V30" s="1" t="s">
        <v>309</v>
      </c>
      <c r="W30" s="5" t="s">
        <v>280</v>
      </c>
      <c r="X30" s="4" t="s">
        <v>86</v>
      </c>
      <c r="Y30" s="6" t="s">
        <v>0</v>
      </c>
      <c r="Z30" s="5">
        <v>6</v>
      </c>
      <c r="AA30" s="8">
        <v>10</v>
      </c>
      <c r="AB30" s="8" t="s">
        <v>66</v>
      </c>
      <c r="AC30" s="2">
        <v>2</v>
      </c>
      <c r="AD30" s="8" t="s">
        <v>66</v>
      </c>
      <c r="AE30" s="8" t="s">
        <v>67</v>
      </c>
      <c r="AF30" s="8"/>
      <c r="AG30" s="2">
        <v>8</v>
      </c>
      <c r="AH30" s="8">
        <v>21</v>
      </c>
      <c r="AI30" s="24">
        <v>13</v>
      </c>
      <c r="AJ30" s="57">
        <v>28</v>
      </c>
      <c r="AK30" s="57" t="str">
        <f t="shared" si="9"/>
        <v>24/24/24</v>
      </c>
      <c r="AL30" s="58" t="str">
        <f t="shared" si="10"/>
        <v>55,59/55,59/55,59</v>
      </c>
      <c r="AM30" s="58" t="b">
        <v>1</v>
      </c>
      <c r="AN30" s="58" t="b">
        <f t="shared" si="11"/>
        <v>0</v>
      </c>
      <c r="AO30" s="58" t="b">
        <v>1</v>
      </c>
      <c r="AP30" s="58"/>
      <c r="AQ30" s="33"/>
      <c r="AR30" s="13">
        <f t="shared" si="12"/>
        <v>2</v>
      </c>
      <c r="AS30" s="13">
        <f t="shared" si="13"/>
        <v>2</v>
      </c>
      <c r="AT30" s="13">
        <f t="shared" si="14"/>
        <v>2</v>
      </c>
      <c r="AU30" s="13">
        <f t="shared" si="15"/>
        <v>0</v>
      </c>
      <c r="AV30" s="13">
        <f t="shared" si="16"/>
        <v>0</v>
      </c>
      <c r="AW30" s="13">
        <f t="shared" si="17"/>
        <v>0</v>
      </c>
      <c r="AX30" s="13">
        <f>GetEquPower(BTS!$F$1,Sheet1!$X30,Sheet1!AR30,Sheet1!$M30)</f>
        <v>55.59</v>
      </c>
      <c r="AY30" s="13">
        <f>GetEquPower(BTS!$F$1,Sheet1!$X30,Sheet1!AS30,Sheet1!$M30)</f>
        <v>55.59</v>
      </c>
      <c r="AZ30" s="13">
        <f>GetEquPower(BTS!$F$1,Sheet1!$X30,Sheet1!AT30,Sheet1!$M30)</f>
        <v>55.59</v>
      </c>
      <c r="BA30" s="13">
        <f>GetEquPower(BTS!$F$1,Sheet1!$X30,Sheet1!AU30,Sheet1!$M30)</f>
        <v>0</v>
      </c>
      <c r="BB30" s="13">
        <f>GetEquPower(BTS!$F$1,Sheet1!$X30,Sheet1!AV30,Sheet1!$M30)</f>
        <v>0</v>
      </c>
      <c r="BC30" s="13">
        <f>GetEquPower(BTS!$F$1,Sheet1!$X30,Sheet1!AW30,Sheet1!$M30)</f>
        <v>0</v>
      </c>
    </row>
    <row r="31" spans="1:55" s="13" customFormat="1" ht="31.2" x14ac:dyDescent="0.3">
      <c r="A31" s="8"/>
      <c r="B31" s="7"/>
      <c r="C31" s="3"/>
      <c r="D31" s="2"/>
      <c r="E31" s="3" t="s">
        <v>198</v>
      </c>
      <c r="F31" s="21"/>
      <c r="G31" s="22"/>
      <c r="H31" s="23"/>
      <c r="I31" s="8" t="s">
        <v>70</v>
      </c>
      <c r="J31" s="8" t="s">
        <v>71</v>
      </c>
      <c r="K31" s="9"/>
      <c r="L31" s="8"/>
      <c r="M31" s="4">
        <v>2100</v>
      </c>
      <c r="N31" s="5">
        <v>24</v>
      </c>
      <c r="O31" s="10"/>
      <c r="P31" s="2"/>
      <c r="Q31" s="2"/>
      <c r="R31" s="8" t="s">
        <v>310</v>
      </c>
      <c r="S31" s="4" t="s">
        <v>207</v>
      </c>
      <c r="T31" s="4">
        <v>3</v>
      </c>
      <c r="U31" s="2" t="s">
        <v>197</v>
      </c>
      <c r="V31" s="1" t="s">
        <v>309</v>
      </c>
      <c r="W31" s="5" t="s">
        <v>301</v>
      </c>
      <c r="X31" s="4" t="s">
        <v>139</v>
      </c>
      <c r="Y31" s="6" t="s">
        <v>0</v>
      </c>
      <c r="Z31" s="5">
        <v>3</v>
      </c>
      <c r="AA31" s="8">
        <v>0</v>
      </c>
      <c r="AB31" s="8" t="s">
        <v>66</v>
      </c>
      <c r="AC31" s="2"/>
      <c r="AD31" s="8"/>
      <c r="AE31" s="8"/>
      <c r="AF31" s="8"/>
      <c r="AG31" s="2"/>
      <c r="AH31" s="8"/>
      <c r="AI31" s="24">
        <v>0</v>
      </c>
      <c r="AJ31" s="57">
        <v>29</v>
      </c>
      <c r="AK31" s="57" t="str">
        <f t="shared" si="9"/>
        <v>24/24/24</v>
      </c>
      <c r="AL31" s="58" t="str">
        <f t="shared" si="10"/>
        <v>20/20/20</v>
      </c>
      <c r="AM31" s="58" t="b">
        <v>1</v>
      </c>
      <c r="AN31" s="58" t="b">
        <f t="shared" si="11"/>
        <v>1</v>
      </c>
      <c r="AO31" s="58" t="b">
        <v>1</v>
      </c>
      <c r="AP31" s="58"/>
      <c r="AQ31" s="33"/>
      <c r="AR31" s="13">
        <f t="shared" si="12"/>
        <v>2</v>
      </c>
      <c r="AS31" s="13">
        <f t="shared" si="13"/>
        <v>2</v>
      </c>
      <c r="AT31" s="13">
        <f t="shared" si="14"/>
        <v>2</v>
      </c>
      <c r="AU31" s="13">
        <f t="shared" si="15"/>
        <v>0</v>
      </c>
      <c r="AV31" s="13">
        <f t="shared" si="16"/>
        <v>0</v>
      </c>
      <c r="AW31" s="13">
        <f t="shared" si="17"/>
        <v>0</v>
      </c>
      <c r="AX31" s="13">
        <f>GetEquPower(BTS!$F$1,Sheet1!$X31,Sheet1!AR31,Sheet1!$M31)</f>
        <v>20</v>
      </c>
      <c r="AY31" s="13">
        <f>GetEquPower(BTS!$F$1,Sheet1!$X31,Sheet1!AS31,Sheet1!$M31)</f>
        <v>20</v>
      </c>
      <c r="AZ31" s="13">
        <f>GetEquPower(BTS!$F$1,Sheet1!$X31,Sheet1!AT31,Sheet1!$M31)</f>
        <v>20</v>
      </c>
      <c r="BA31" s="13">
        <f>GetEquPower(BTS!$F$1,Sheet1!$X31,Sheet1!AU31,Sheet1!$M31)</f>
        <v>0</v>
      </c>
      <c r="BB31" s="13">
        <f>GetEquPower(BTS!$F$1,Sheet1!$X31,Sheet1!AV31,Sheet1!$M31)</f>
        <v>0</v>
      </c>
      <c r="BC31" s="13">
        <f>GetEquPower(BTS!$F$1,Sheet1!$X31,Sheet1!AW31,Sheet1!$M31)</f>
        <v>0</v>
      </c>
    </row>
    <row r="32" spans="1:55" s="13" customFormat="1" ht="31.2" x14ac:dyDescent="0.3">
      <c r="A32" s="8"/>
      <c r="B32" s="7"/>
      <c r="C32" s="3"/>
      <c r="D32" s="2"/>
      <c r="E32" s="3" t="s">
        <v>198</v>
      </c>
      <c r="F32" s="21"/>
      <c r="G32" s="22"/>
      <c r="H32" s="23"/>
      <c r="I32" s="8" t="s">
        <v>70</v>
      </c>
      <c r="J32" s="8" t="s">
        <v>71</v>
      </c>
      <c r="K32" s="9"/>
      <c r="L32" s="8"/>
      <c r="M32" s="4">
        <v>1800</v>
      </c>
      <c r="N32" s="5">
        <v>24</v>
      </c>
      <c r="O32" s="10"/>
      <c r="P32" s="2"/>
      <c r="Q32" s="2"/>
      <c r="R32" s="8" t="s">
        <v>311</v>
      </c>
      <c r="S32" s="4" t="s">
        <v>207</v>
      </c>
      <c r="T32" s="4">
        <v>3</v>
      </c>
      <c r="U32" s="2" t="s">
        <v>211</v>
      </c>
      <c r="V32" s="1" t="s">
        <v>309</v>
      </c>
      <c r="W32" s="5" t="s">
        <v>303</v>
      </c>
      <c r="X32" s="4" t="s">
        <v>136</v>
      </c>
      <c r="Y32" s="6" t="s">
        <v>1</v>
      </c>
      <c r="Z32" s="5">
        <v>3</v>
      </c>
      <c r="AA32" s="8">
        <v>0</v>
      </c>
      <c r="AB32" s="8" t="s">
        <v>66</v>
      </c>
      <c r="AC32" s="2"/>
      <c r="AD32" s="8"/>
      <c r="AE32" s="8"/>
      <c r="AF32" s="8"/>
      <c r="AG32" s="2"/>
      <c r="AH32" s="8"/>
      <c r="AI32" s="24">
        <v>0</v>
      </c>
      <c r="AJ32" s="57">
        <v>30</v>
      </c>
      <c r="AK32" s="57" t="str">
        <f t="shared" si="9"/>
        <v>24/24/24</v>
      </c>
      <c r="AL32" s="58" t="str">
        <f t="shared" si="10"/>
        <v>20/20/20</v>
      </c>
      <c r="AM32" s="58" t="b">
        <v>1</v>
      </c>
      <c r="AN32" s="58" t="b">
        <f t="shared" si="11"/>
        <v>1</v>
      </c>
      <c r="AO32" s="58" t="b">
        <v>1</v>
      </c>
      <c r="AP32" s="58"/>
      <c r="AQ32" s="33"/>
      <c r="AR32" s="13">
        <f t="shared" si="12"/>
        <v>1</v>
      </c>
      <c r="AS32" s="13">
        <f t="shared" si="13"/>
        <v>1</v>
      </c>
      <c r="AT32" s="13">
        <f t="shared" si="14"/>
        <v>1</v>
      </c>
      <c r="AU32" s="13">
        <f t="shared" si="15"/>
        <v>0</v>
      </c>
      <c r="AV32" s="13">
        <f t="shared" si="16"/>
        <v>0</v>
      </c>
      <c r="AW32" s="13">
        <f t="shared" si="17"/>
        <v>0</v>
      </c>
      <c r="AX32" s="13">
        <f>GetEquPower(BTS!$F$1,Sheet1!$X32,Sheet1!AR32,Sheet1!$M32)</f>
        <v>20</v>
      </c>
      <c r="AY32" s="13">
        <f>GetEquPower(BTS!$F$1,Sheet1!$X32,Sheet1!AS32,Sheet1!$M32)</f>
        <v>20</v>
      </c>
      <c r="AZ32" s="13">
        <f>GetEquPower(BTS!$F$1,Sheet1!$X32,Sheet1!AT32,Sheet1!$M32)</f>
        <v>20</v>
      </c>
      <c r="BA32" s="13">
        <f>GetEquPower(BTS!$F$1,Sheet1!$X32,Sheet1!AU32,Sheet1!$M32)</f>
        <v>0</v>
      </c>
      <c r="BB32" s="13">
        <f>GetEquPower(BTS!$F$1,Sheet1!$X32,Sheet1!AV32,Sheet1!$M32)</f>
        <v>0</v>
      </c>
      <c r="BC32" s="13">
        <f>GetEquPower(BTS!$F$1,Sheet1!$X32,Sheet1!AW32,Sheet1!$M32)</f>
        <v>0</v>
      </c>
    </row>
    <row r="33" spans="1:55" s="13" customFormat="1" ht="31.2" x14ac:dyDescent="0.3">
      <c r="A33" s="8">
        <v>12</v>
      </c>
      <c r="B33" s="7" t="s">
        <v>312</v>
      </c>
      <c r="C33" s="3" t="s">
        <v>313</v>
      </c>
      <c r="D33" s="2" t="s">
        <v>65</v>
      </c>
      <c r="E33" s="3" t="s">
        <v>314</v>
      </c>
      <c r="F33" s="21" t="s">
        <v>315</v>
      </c>
      <c r="G33" s="22" t="s">
        <v>315</v>
      </c>
      <c r="H33" s="23" t="s">
        <v>316</v>
      </c>
      <c r="I33" s="8" t="s">
        <v>70</v>
      </c>
      <c r="J33" s="8" t="s">
        <v>71</v>
      </c>
      <c r="K33" s="9">
        <v>45</v>
      </c>
      <c r="L33" s="8">
        <v>0</v>
      </c>
      <c r="M33" s="4">
        <v>1800</v>
      </c>
      <c r="N33" s="5">
        <v>41.5</v>
      </c>
      <c r="O33" s="10">
        <v>90</v>
      </c>
      <c r="P33" s="2" t="s">
        <v>194</v>
      </c>
      <c r="Q33" s="2" t="s">
        <v>195</v>
      </c>
      <c r="R33" s="8" t="s">
        <v>317</v>
      </c>
      <c r="S33" s="4" t="s">
        <v>207</v>
      </c>
      <c r="T33" s="4">
        <v>3</v>
      </c>
      <c r="U33" s="2" t="s">
        <v>260</v>
      </c>
      <c r="V33" s="1" t="s">
        <v>318</v>
      </c>
      <c r="W33" s="5" t="s">
        <v>0</v>
      </c>
      <c r="X33" s="4" t="s">
        <v>86</v>
      </c>
      <c r="Y33" s="6" t="s">
        <v>319</v>
      </c>
      <c r="Z33" s="5">
        <v>6</v>
      </c>
      <c r="AA33" s="8">
        <v>37</v>
      </c>
      <c r="AB33" s="8" t="s">
        <v>66</v>
      </c>
      <c r="AC33" s="2">
        <v>2</v>
      </c>
      <c r="AD33" s="8" t="s">
        <v>69</v>
      </c>
      <c r="AE33" s="8" t="s">
        <v>67</v>
      </c>
      <c r="AF33" s="8"/>
      <c r="AG33" s="2">
        <v>8</v>
      </c>
      <c r="AH33" s="8">
        <v>41.5</v>
      </c>
      <c r="AI33" s="24">
        <v>33.5</v>
      </c>
      <c r="AJ33" s="57">
        <v>31</v>
      </c>
      <c r="AK33" s="57" t="str">
        <f t="shared" si="9"/>
        <v>41,5/41,5/41,5</v>
      </c>
      <c r="AL33" s="58" t="str">
        <f t="shared" si="10"/>
        <v>25,41/55,59/25,41</v>
      </c>
      <c r="AM33" s="58" t="b">
        <v>1</v>
      </c>
      <c r="AN33" s="58" t="b">
        <f t="shared" si="11"/>
        <v>1</v>
      </c>
      <c r="AO33" s="58" t="b">
        <v>1</v>
      </c>
      <c r="AP33" s="58"/>
      <c r="AQ33" s="33"/>
      <c r="AR33" s="13">
        <f t="shared" si="12"/>
        <v>4</v>
      </c>
      <c r="AS33" s="13">
        <f t="shared" si="13"/>
        <v>2</v>
      </c>
      <c r="AT33" s="13">
        <f t="shared" si="14"/>
        <v>3</v>
      </c>
      <c r="AU33" s="13">
        <f t="shared" si="15"/>
        <v>0</v>
      </c>
      <c r="AV33" s="13">
        <f t="shared" si="16"/>
        <v>0</v>
      </c>
      <c r="AW33" s="13">
        <f t="shared" si="17"/>
        <v>0</v>
      </c>
      <c r="AX33" s="13">
        <f>GetEquPower(BTS!$F$1,Sheet1!$X33,Sheet1!AR33,Sheet1!$M33)</f>
        <v>25.41</v>
      </c>
      <c r="AY33" s="13">
        <f>GetEquPower(BTS!$F$1,Sheet1!$X33,Sheet1!AS33,Sheet1!$M33)</f>
        <v>55.59</v>
      </c>
      <c r="AZ33" s="13">
        <f>GetEquPower(BTS!$F$1,Sheet1!$X33,Sheet1!AT33,Sheet1!$M33)</f>
        <v>25.41</v>
      </c>
      <c r="BA33" s="13">
        <f>GetEquPower(BTS!$F$1,Sheet1!$X33,Sheet1!AU33,Sheet1!$M33)</f>
        <v>0</v>
      </c>
      <c r="BB33" s="13">
        <f>GetEquPower(BTS!$F$1,Sheet1!$X33,Sheet1!AV33,Sheet1!$M33)</f>
        <v>0</v>
      </c>
      <c r="BC33" s="13">
        <f>GetEquPower(BTS!$F$1,Sheet1!$X33,Sheet1!AW33,Sheet1!$M33)</f>
        <v>0</v>
      </c>
    </row>
    <row r="34" spans="1:55" s="13" customFormat="1" ht="31.2" x14ac:dyDescent="0.3">
      <c r="A34" s="8"/>
      <c r="B34" s="7"/>
      <c r="C34" s="3"/>
      <c r="D34" s="2"/>
      <c r="E34" s="3" t="s">
        <v>198</v>
      </c>
      <c r="F34" s="21"/>
      <c r="G34" s="22"/>
      <c r="H34" s="23"/>
      <c r="I34" s="8" t="s">
        <v>70</v>
      </c>
      <c r="J34" s="8" t="s">
        <v>71</v>
      </c>
      <c r="K34" s="9"/>
      <c r="L34" s="8"/>
      <c r="M34" s="4">
        <v>2100</v>
      </c>
      <c r="N34" s="5">
        <v>43</v>
      </c>
      <c r="O34" s="10"/>
      <c r="P34" s="2"/>
      <c r="Q34" s="2"/>
      <c r="R34" s="8" t="s">
        <v>320</v>
      </c>
      <c r="S34" s="4" t="s">
        <v>207</v>
      </c>
      <c r="T34" s="4">
        <v>3</v>
      </c>
      <c r="U34" s="2" t="s">
        <v>197</v>
      </c>
      <c r="V34" s="1" t="s">
        <v>318</v>
      </c>
      <c r="W34" s="5" t="s">
        <v>0</v>
      </c>
      <c r="X34" s="4" t="s">
        <v>139</v>
      </c>
      <c r="Y34" s="6" t="s">
        <v>242</v>
      </c>
      <c r="Z34" s="5">
        <v>3</v>
      </c>
      <c r="AA34" s="8">
        <v>0</v>
      </c>
      <c r="AB34" s="8" t="s">
        <v>66</v>
      </c>
      <c r="AC34" s="2"/>
      <c r="AD34" s="8"/>
      <c r="AE34" s="8"/>
      <c r="AF34" s="8"/>
      <c r="AG34" s="2"/>
      <c r="AH34" s="8"/>
      <c r="AI34" s="24">
        <v>0</v>
      </c>
      <c r="AJ34" s="57">
        <v>32</v>
      </c>
      <c r="AK34" s="57" t="str">
        <f t="shared" si="9"/>
        <v>43/43/43</v>
      </c>
      <c r="AL34" s="58" t="str">
        <f t="shared" si="10"/>
        <v>20/20/20</v>
      </c>
      <c r="AM34" s="58" t="b">
        <v>1</v>
      </c>
      <c r="AN34" s="58" t="b">
        <f t="shared" si="11"/>
        <v>1</v>
      </c>
      <c r="AO34" s="58" t="b">
        <v>1</v>
      </c>
      <c r="AP34" s="58"/>
      <c r="AQ34" s="33"/>
      <c r="AR34" s="13">
        <f t="shared" si="12"/>
        <v>3</v>
      </c>
      <c r="AS34" s="13">
        <f t="shared" si="13"/>
        <v>2</v>
      </c>
      <c r="AT34" s="13">
        <f t="shared" si="14"/>
        <v>3</v>
      </c>
      <c r="AU34" s="13">
        <f t="shared" si="15"/>
        <v>0</v>
      </c>
      <c r="AV34" s="13">
        <f t="shared" si="16"/>
        <v>0</v>
      </c>
      <c r="AW34" s="13">
        <f t="shared" si="17"/>
        <v>0</v>
      </c>
      <c r="AX34" s="13">
        <f>GetEquPower(BTS!$F$1,Sheet1!$X34,Sheet1!AR34,Sheet1!$M34)</f>
        <v>20</v>
      </c>
      <c r="AY34" s="13">
        <f>GetEquPower(BTS!$F$1,Sheet1!$X34,Sheet1!AS34,Sheet1!$M34)</f>
        <v>20</v>
      </c>
      <c r="AZ34" s="13">
        <f>GetEquPower(BTS!$F$1,Sheet1!$X34,Sheet1!AT34,Sheet1!$M34)</f>
        <v>20</v>
      </c>
      <c r="BA34" s="13">
        <f>GetEquPower(BTS!$F$1,Sheet1!$X34,Sheet1!AU34,Sheet1!$M34)</f>
        <v>0</v>
      </c>
      <c r="BB34" s="13">
        <f>GetEquPower(BTS!$F$1,Sheet1!$X34,Sheet1!AV34,Sheet1!$M34)</f>
        <v>0</v>
      </c>
      <c r="BC34" s="13">
        <f>GetEquPower(BTS!$F$1,Sheet1!$X34,Sheet1!AW34,Sheet1!$M34)</f>
        <v>0</v>
      </c>
    </row>
    <row r="35" spans="1:55" s="13" customFormat="1" ht="31.2" x14ac:dyDescent="0.3">
      <c r="A35" s="8"/>
      <c r="B35" s="7"/>
      <c r="C35" s="3"/>
      <c r="D35" s="2"/>
      <c r="E35" s="3" t="s">
        <v>198</v>
      </c>
      <c r="F35" s="21"/>
      <c r="G35" s="22"/>
      <c r="H35" s="23"/>
      <c r="I35" s="8" t="s">
        <v>70</v>
      </c>
      <c r="J35" s="8" t="s">
        <v>71</v>
      </c>
      <c r="K35" s="9"/>
      <c r="L35" s="8"/>
      <c r="M35" s="4">
        <v>1800</v>
      </c>
      <c r="N35" s="5">
        <v>43</v>
      </c>
      <c r="O35" s="10"/>
      <c r="P35" s="2"/>
      <c r="Q35" s="2"/>
      <c r="R35" s="8" t="s">
        <v>321</v>
      </c>
      <c r="S35" s="4" t="s">
        <v>207</v>
      </c>
      <c r="T35" s="4">
        <v>3</v>
      </c>
      <c r="U35" s="2" t="s">
        <v>211</v>
      </c>
      <c r="V35" s="1" t="s">
        <v>318</v>
      </c>
      <c r="W35" s="5" t="s">
        <v>322</v>
      </c>
      <c r="X35" s="4" t="s">
        <v>136</v>
      </c>
      <c r="Y35" s="6" t="s">
        <v>1</v>
      </c>
      <c r="Z35" s="5">
        <v>3</v>
      </c>
      <c r="AA35" s="8">
        <v>0</v>
      </c>
      <c r="AB35" s="8" t="s">
        <v>66</v>
      </c>
      <c r="AC35" s="2"/>
      <c r="AD35" s="8"/>
      <c r="AE35" s="8"/>
      <c r="AF35" s="8"/>
      <c r="AG35" s="2"/>
      <c r="AH35" s="8"/>
      <c r="AI35" s="24">
        <v>0</v>
      </c>
      <c r="AJ35" s="57">
        <v>33</v>
      </c>
      <c r="AK35" s="57" t="str">
        <f t="shared" si="9"/>
        <v>43/43/43</v>
      </c>
      <c r="AL35" s="58" t="str">
        <f t="shared" si="10"/>
        <v>20/20/20</v>
      </c>
      <c r="AM35" s="58" t="b">
        <v>1</v>
      </c>
      <c r="AN35" s="58" t="b">
        <f t="shared" si="11"/>
        <v>1</v>
      </c>
      <c r="AO35" s="58" t="b">
        <v>1</v>
      </c>
      <c r="AP35" s="58"/>
      <c r="AQ35" s="33"/>
      <c r="AR35" s="13">
        <f t="shared" si="12"/>
        <v>1</v>
      </c>
      <c r="AS35" s="13">
        <f t="shared" si="13"/>
        <v>1</v>
      </c>
      <c r="AT35" s="13">
        <f t="shared" si="14"/>
        <v>1</v>
      </c>
      <c r="AU35" s="13">
        <f t="shared" si="15"/>
        <v>0</v>
      </c>
      <c r="AV35" s="13">
        <f t="shared" si="16"/>
        <v>0</v>
      </c>
      <c r="AW35" s="13">
        <f t="shared" si="17"/>
        <v>0</v>
      </c>
      <c r="AX35" s="13">
        <f>GetEquPower(BTS!$F$1,Sheet1!$X35,Sheet1!AR35,Sheet1!$M35)</f>
        <v>20</v>
      </c>
      <c r="AY35" s="13">
        <f>GetEquPower(BTS!$F$1,Sheet1!$X35,Sheet1!AS35,Sheet1!$M35)</f>
        <v>20</v>
      </c>
      <c r="AZ35" s="13">
        <f>GetEquPower(BTS!$F$1,Sheet1!$X35,Sheet1!AT35,Sheet1!$M35)</f>
        <v>20</v>
      </c>
      <c r="BA35" s="13">
        <f>GetEquPower(BTS!$F$1,Sheet1!$X35,Sheet1!AU35,Sheet1!$M35)</f>
        <v>0</v>
      </c>
      <c r="BB35" s="13">
        <f>GetEquPower(BTS!$F$1,Sheet1!$X35,Sheet1!AV35,Sheet1!$M35)</f>
        <v>0</v>
      </c>
      <c r="BC35" s="13">
        <f>GetEquPower(BTS!$F$1,Sheet1!$X35,Sheet1!AW35,Sheet1!$M35)</f>
        <v>0</v>
      </c>
    </row>
    <row r="36" spans="1:55" s="13" customFormat="1" ht="31.2" x14ac:dyDescent="0.3">
      <c r="A36" s="8">
        <v>13</v>
      </c>
      <c r="B36" s="7" t="s">
        <v>323</v>
      </c>
      <c r="C36" s="3" t="s">
        <v>324</v>
      </c>
      <c r="D36" s="2" t="s">
        <v>65</v>
      </c>
      <c r="E36" s="3" t="s">
        <v>325</v>
      </c>
      <c r="F36" s="21" t="s">
        <v>326</v>
      </c>
      <c r="G36" s="22" t="s">
        <v>326</v>
      </c>
      <c r="H36" s="23" t="s">
        <v>316</v>
      </c>
      <c r="I36" s="8" t="s">
        <v>70</v>
      </c>
      <c r="J36" s="8" t="s">
        <v>71</v>
      </c>
      <c r="K36" s="9">
        <v>15</v>
      </c>
      <c r="L36" s="8">
        <v>12</v>
      </c>
      <c r="M36" s="4">
        <v>1800</v>
      </c>
      <c r="N36" s="5">
        <v>22.5</v>
      </c>
      <c r="O36" s="10">
        <v>110</v>
      </c>
      <c r="P36" s="2" t="s">
        <v>194</v>
      </c>
      <c r="Q36" s="2" t="s">
        <v>195</v>
      </c>
      <c r="R36" s="8" t="s">
        <v>327</v>
      </c>
      <c r="S36" s="4" t="s">
        <v>207</v>
      </c>
      <c r="T36" s="4">
        <v>3</v>
      </c>
      <c r="U36" s="2" t="s">
        <v>260</v>
      </c>
      <c r="V36" s="1" t="s">
        <v>328</v>
      </c>
      <c r="W36" s="5" t="s">
        <v>329</v>
      </c>
      <c r="X36" s="4" t="s">
        <v>86</v>
      </c>
      <c r="Y36" s="6" t="s">
        <v>218</v>
      </c>
      <c r="Z36" s="5">
        <v>6</v>
      </c>
      <c r="AA36" s="8">
        <v>7</v>
      </c>
      <c r="AB36" s="8" t="s">
        <v>66</v>
      </c>
      <c r="AC36" s="2">
        <v>2</v>
      </c>
      <c r="AD36" s="8" t="s">
        <v>66</v>
      </c>
      <c r="AE36" s="8" t="s">
        <v>67</v>
      </c>
      <c r="AF36" s="8"/>
      <c r="AG36" s="2">
        <v>8</v>
      </c>
      <c r="AH36" s="8">
        <v>22.5</v>
      </c>
      <c r="AI36" s="24">
        <v>14.5</v>
      </c>
      <c r="AJ36" s="57">
        <v>34</v>
      </c>
      <c r="AK36" s="57" t="str">
        <f t="shared" si="9"/>
        <v>22,5/22,5/22,5</v>
      </c>
      <c r="AL36" s="58" t="str">
        <f t="shared" si="10"/>
        <v>25,41/25,41/25,41</v>
      </c>
      <c r="AM36" s="58" t="b">
        <v>1</v>
      </c>
      <c r="AN36" s="58" t="b">
        <f t="shared" si="11"/>
        <v>0</v>
      </c>
      <c r="AO36" s="58" t="b">
        <v>1</v>
      </c>
      <c r="AP36" s="58"/>
      <c r="AQ36" s="33"/>
      <c r="AR36" s="13">
        <f t="shared" si="12"/>
        <v>4</v>
      </c>
      <c r="AS36" s="13">
        <f t="shared" si="13"/>
        <v>4</v>
      </c>
      <c r="AT36" s="13">
        <f t="shared" si="14"/>
        <v>4</v>
      </c>
      <c r="AU36" s="13">
        <f t="shared" si="15"/>
        <v>0</v>
      </c>
      <c r="AV36" s="13">
        <f t="shared" si="16"/>
        <v>0</v>
      </c>
      <c r="AW36" s="13">
        <f t="shared" si="17"/>
        <v>0</v>
      </c>
      <c r="AX36" s="13">
        <f>GetEquPower(BTS!$F$1,Sheet1!$X36,Sheet1!AR36,Sheet1!$M36)</f>
        <v>25.41</v>
      </c>
      <c r="AY36" s="13">
        <f>GetEquPower(BTS!$F$1,Sheet1!$X36,Sheet1!AS36,Sheet1!$M36)</f>
        <v>25.41</v>
      </c>
      <c r="AZ36" s="13">
        <f>GetEquPower(BTS!$F$1,Sheet1!$X36,Sheet1!AT36,Sheet1!$M36)</f>
        <v>25.41</v>
      </c>
      <c r="BA36" s="13">
        <f>GetEquPower(BTS!$F$1,Sheet1!$X36,Sheet1!AU36,Sheet1!$M36)</f>
        <v>0</v>
      </c>
      <c r="BB36" s="13">
        <f>GetEquPower(BTS!$F$1,Sheet1!$X36,Sheet1!AV36,Sheet1!$M36)</f>
        <v>0</v>
      </c>
      <c r="BC36" s="13">
        <f>GetEquPower(BTS!$F$1,Sheet1!$X36,Sheet1!AW36,Sheet1!$M36)</f>
        <v>0</v>
      </c>
    </row>
    <row r="37" spans="1:55" s="13" customFormat="1" ht="31.2" x14ac:dyDescent="0.3">
      <c r="A37" s="8"/>
      <c r="B37" s="7"/>
      <c r="C37" s="3"/>
      <c r="D37" s="2"/>
      <c r="E37" s="3" t="s">
        <v>198</v>
      </c>
      <c r="F37" s="21"/>
      <c r="G37" s="22"/>
      <c r="H37" s="23"/>
      <c r="I37" s="8" t="s">
        <v>70</v>
      </c>
      <c r="J37" s="8" t="s">
        <v>71</v>
      </c>
      <c r="K37" s="9"/>
      <c r="L37" s="8"/>
      <c r="M37" s="4">
        <v>2100</v>
      </c>
      <c r="N37" s="5">
        <v>25.5</v>
      </c>
      <c r="O37" s="10"/>
      <c r="P37" s="2"/>
      <c r="Q37" s="2"/>
      <c r="R37" s="8" t="s">
        <v>330</v>
      </c>
      <c r="S37" s="4" t="s">
        <v>207</v>
      </c>
      <c r="T37" s="4">
        <v>3</v>
      </c>
      <c r="U37" s="2" t="s">
        <v>197</v>
      </c>
      <c r="V37" s="1" t="s">
        <v>328</v>
      </c>
      <c r="W37" s="5" t="s">
        <v>0</v>
      </c>
      <c r="X37" s="4" t="s">
        <v>139</v>
      </c>
      <c r="Y37" s="6" t="s">
        <v>199</v>
      </c>
      <c r="Z37" s="5">
        <v>3</v>
      </c>
      <c r="AA37" s="8">
        <v>0</v>
      </c>
      <c r="AB37" s="8" t="s">
        <v>66</v>
      </c>
      <c r="AC37" s="2"/>
      <c r="AD37" s="8"/>
      <c r="AE37" s="8"/>
      <c r="AF37" s="8"/>
      <c r="AG37" s="2"/>
      <c r="AH37" s="8"/>
      <c r="AI37" s="24">
        <v>0</v>
      </c>
      <c r="AJ37" s="57">
        <v>35</v>
      </c>
      <c r="AK37" s="57" t="str">
        <f t="shared" si="9"/>
        <v>25,5/25,5/25,5</v>
      </c>
      <c r="AL37" s="58" t="str">
        <f t="shared" si="10"/>
        <v>20/20/20</v>
      </c>
      <c r="AM37" s="58" t="b">
        <v>1</v>
      </c>
      <c r="AN37" s="58" t="b">
        <f t="shared" si="11"/>
        <v>1</v>
      </c>
      <c r="AO37" s="58" t="b">
        <v>1</v>
      </c>
      <c r="AP37" s="58"/>
      <c r="AQ37" s="33"/>
      <c r="AR37" s="13">
        <f t="shared" si="12"/>
        <v>3</v>
      </c>
      <c r="AS37" s="13">
        <f t="shared" si="13"/>
        <v>3</v>
      </c>
      <c r="AT37" s="13">
        <f t="shared" si="14"/>
        <v>2</v>
      </c>
      <c r="AU37" s="13">
        <f t="shared" si="15"/>
        <v>0</v>
      </c>
      <c r="AV37" s="13">
        <f t="shared" si="16"/>
        <v>0</v>
      </c>
      <c r="AW37" s="13">
        <f t="shared" si="17"/>
        <v>0</v>
      </c>
      <c r="AX37" s="13">
        <f>GetEquPower(BTS!$F$1,Sheet1!$X37,Sheet1!AR37,Sheet1!$M37)</f>
        <v>20</v>
      </c>
      <c r="AY37" s="13">
        <f>GetEquPower(BTS!$F$1,Sheet1!$X37,Sheet1!AS37,Sheet1!$M37)</f>
        <v>20</v>
      </c>
      <c r="AZ37" s="13">
        <f>GetEquPower(BTS!$F$1,Sheet1!$X37,Sheet1!AT37,Sheet1!$M37)</f>
        <v>20</v>
      </c>
      <c r="BA37" s="13">
        <f>GetEquPower(BTS!$F$1,Sheet1!$X37,Sheet1!AU37,Sheet1!$M37)</f>
        <v>0</v>
      </c>
      <c r="BB37" s="13">
        <f>GetEquPower(BTS!$F$1,Sheet1!$X37,Sheet1!AV37,Sheet1!$M37)</f>
        <v>0</v>
      </c>
      <c r="BC37" s="13">
        <f>GetEquPower(BTS!$F$1,Sheet1!$X37,Sheet1!AW37,Sheet1!$M37)</f>
        <v>0</v>
      </c>
    </row>
    <row r="38" spans="1:55" s="13" customFormat="1" ht="31.2" x14ac:dyDescent="0.3">
      <c r="A38" s="8">
        <v>14</v>
      </c>
      <c r="B38" s="7" t="s">
        <v>331</v>
      </c>
      <c r="C38" s="3" t="s">
        <v>332</v>
      </c>
      <c r="D38" s="2" t="s">
        <v>65</v>
      </c>
      <c r="E38" s="3" t="s">
        <v>333</v>
      </c>
      <c r="F38" s="21" t="s">
        <v>334</v>
      </c>
      <c r="G38" s="22" t="s">
        <v>334</v>
      </c>
      <c r="H38" s="23" t="s">
        <v>77</v>
      </c>
      <c r="I38" s="8" t="s">
        <v>70</v>
      </c>
      <c r="J38" s="8" t="s">
        <v>71</v>
      </c>
      <c r="K38" s="9">
        <v>3</v>
      </c>
      <c r="L38" s="8">
        <v>32</v>
      </c>
      <c r="M38" s="4">
        <v>900</v>
      </c>
      <c r="N38" s="5">
        <v>33</v>
      </c>
      <c r="O38" s="10">
        <v>-120</v>
      </c>
      <c r="P38" s="2" t="s">
        <v>194</v>
      </c>
      <c r="Q38" s="2" t="s">
        <v>195</v>
      </c>
      <c r="R38" s="8" t="s">
        <v>335</v>
      </c>
      <c r="S38" s="4" t="s">
        <v>207</v>
      </c>
      <c r="T38" s="4">
        <v>3</v>
      </c>
      <c r="U38" s="2" t="s">
        <v>238</v>
      </c>
      <c r="V38" s="1" t="s">
        <v>328</v>
      </c>
      <c r="W38" s="5" t="s">
        <v>336</v>
      </c>
      <c r="X38" s="4" t="s">
        <v>86</v>
      </c>
      <c r="Y38" s="6" t="s">
        <v>0</v>
      </c>
      <c r="Z38" s="5">
        <v>6</v>
      </c>
      <c r="AA38" s="8">
        <v>0</v>
      </c>
      <c r="AB38" s="8" t="s">
        <v>66</v>
      </c>
      <c r="AC38" s="2">
        <v>2</v>
      </c>
      <c r="AD38" s="8" t="s">
        <v>66</v>
      </c>
      <c r="AE38" s="8" t="s">
        <v>337</v>
      </c>
      <c r="AF38" s="8"/>
      <c r="AG38" s="2">
        <v>16</v>
      </c>
      <c r="AH38" s="8">
        <v>33</v>
      </c>
      <c r="AI38" s="24">
        <v>17</v>
      </c>
      <c r="AJ38" s="57">
        <v>36</v>
      </c>
      <c r="AK38" s="57" t="str">
        <f t="shared" si="9"/>
        <v>33/33/33</v>
      </c>
      <c r="AL38" s="58" t="str">
        <f t="shared" si="10"/>
        <v>71,45/71,45/71,45</v>
      </c>
      <c r="AM38" s="58" t="b">
        <v>1</v>
      </c>
      <c r="AN38" s="58" t="b">
        <f t="shared" si="11"/>
        <v>0</v>
      </c>
      <c r="AO38" s="58" t="b">
        <v>1</v>
      </c>
      <c r="AP38" s="58"/>
      <c r="AQ38" s="33"/>
      <c r="AR38" s="13">
        <f t="shared" si="12"/>
        <v>2</v>
      </c>
      <c r="AS38" s="13">
        <f t="shared" si="13"/>
        <v>2</v>
      </c>
      <c r="AT38" s="13">
        <f t="shared" si="14"/>
        <v>2</v>
      </c>
      <c r="AU38" s="13">
        <f t="shared" si="15"/>
        <v>0</v>
      </c>
      <c r="AV38" s="13">
        <f t="shared" si="16"/>
        <v>0</v>
      </c>
      <c r="AW38" s="13">
        <f t="shared" si="17"/>
        <v>0</v>
      </c>
      <c r="AX38" s="13">
        <f>GetEquPower(BTS!$F$1,Sheet1!$X38,Sheet1!AR38,Sheet1!$M38)</f>
        <v>71.45</v>
      </c>
      <c r="AY38" s="13">
        <f>GetEquPower(BTS!$F$1,Sheet1!$X38,Sheet1!AS38,Sheet1!$M38)</f>
        <v>71.45</v>
      </c>
      <c r="AZ38" s="13">
        <f>GetEquPower(BTS!$F$1,Sheet1!$X38,Sheet1!AT38,Sheet1!$M38)</f>
        <v>71.45</v>
      </c>
      <c r="BA38" s="13">
        <f>GetEquPower(BTS!$F$1,Sheet1!$X38,Sheet1!AU38,Sheet1!$M38)</f>
        <v>0</v>
      </c>
      <c r="BB38" s="13">
        <f>GetEquPower(BTS!$F$1,Sheet1!$X38,Sheet1!AV38,Sheet1!$M38)</f>
        <v>0</v>
      </c>
      <c r="BC38" s="13">
        <f>GetEquPower(BTS!$F$1,Sheet1!$X38,Sheet1!AW38,Sheet1!$M38)</f>
        <v>0</v>
      </c>
    </row>
    <row r="39" spans="1:55" s="13" customFormat="1" ht="31.2" x14ac:dyDescent="0.3">
      <c r="A39" s="8"/>
      <c r="B39" s="7"/>
      <c r="C39" s="3"/>
      <c r="D39" s="2"/>
      <c r="E39" s="3" t="s">
        <v>198</v>
      </c>
      <c r="F39" s="21"/>
      <c r="G39" s="22"/>
      <c r="H39" s="23"/>
      <c r="I39" s="8" t="s">
        <v>70</v>
      </c>
      <c r="J39" s="8" t="s">
        <v>71</v>
      </c>
      <c r="K39" s="9"/>
      <c r="L39" s="8"/>
      <c r="M39" s="4">
        <v>2100</v>
      </c>
      <c r="N39" s="5">
        <v>34</v>
      </c>
      <c r="O39" s="10"/>
      <c r="P39" s="2"/>
      <c r="Q39" s="2"/>
      <c r="R39" s="8" t="s">
        <v>338</v>
      </c>
      <c r="S39" s="4" t="s">
        <v>207</v>
      </c>
      <c r="T39" s="4">
        <v>3</v>
      </c>
      <c r="U39" s="2" t="s">
        <v>197</v>
      </c>
      <c r="V39" s="1" t="s">
        <v>328</v>
      </c>
      <c r="W39" s="5" t="s">
        <v>336</v>
      </c>
      <c r="X39" s="4" t="s">
        <v>139</v>
      </c>
      <c r="Y39" s="6" t="s">
        <v>329</v>
      </c>
      <c r="Z39" s="5">
        <v>3</v>
      </c>
      <c r="AA39" s="8">
        <v>0</v>
      </c>
      <c r="AB39" s="8" t="s">
        <v>66</v>
      </c>
      <c r="AC39" s="2"/>
      <c r="AD39" s="8"/>
      <c r="AE39" s="8"/>
      <c r="AF39" s="8"/>
      <c r="AG39" s="2"/>
      <c r="AH39" s="8"/>
      <c r="AI39" s="24">
        <v>0</v>
      </c>
      <c r="AJ39" s="57">
        <v>37</v>
      </c>
      <c r="AK39" s="57" t="str">
        <f t="shared" si="9"/>
        <v>34/34/34</v>
      </c>
      <c r="AL39" s="58" t="str">
        <f t="shared" si="10"/>
        <v>20/20/20</v>
      </c>
      <c r="AM39" s="58" t="b">
        <v>1</v>
      </c>
      <c r="AN39" s="58" t="b">
        <f t="shared" si="11"/>
        <v>1</v>
      </c>
      <c r="AO39" s="58" t="b">
        <v>1</v>
      </c>
      <c r="AP39" s="58"/>
      <c r="AQ39" s="33"/>
      <c r="AR39" s="13">
        <f t="shared" si="12"/>
        <v>3</v>
      </c>
      <c r="AS39" s="13">
        <f t="shared" si="13"/>
        <v>3</v>
      </c>
      <c r="AT39" s="13">
        <f t="shared" si="14"/>
        <v>3</v>
      </c>
      <c r="AU39" s="13">
        <f t="shared" si="15"/>
        <v>0</v>
      </c>
      <c r="AV39" s="13">
        <f t="shared" si="16"/>
        <v>0</v>
      </c>
      <c r="AW39" s="13">
        <f t="shared" si="17"/>
        <v>0</v>
      </c>
      <c r="AX39" s="13">
        <f>GetEquPower(BTS!$F$1,Sheet1!$X39,Sheet1!AR39,Sheet1!$M39)</f>
        <v>20</v>
      </c>
      <c r="AY39" s="13">
        <f>GetEquPower(BTS!$F$1,Sheet1!$X39,Sheet1!AS39,Sheet1!$M39)</f>
        <v>20</v>
      </c>
      <c r="AZ39" s="13">
        <f>GetEquPower(BTS!$F$1,Sheet1!$X39,Sheet1!AT39,Sheet1!$M39)</f>
        <v>20</v>
      </c>
      <c r="BA39" s="13">
        <f>GetEquPower(BTS!$F$1,Sheet1!$X39,Sheet1!AU39,Sheet1!$M39)</f>
        <v>0</v>
      </c>
      <c r="BB39" s="13">
        <f>GetEquPower(BTS!$F$1,Sheet1!$X39,Sheet1!AV39,Sheet1!$M39)</f>
        <v>0</v>
      </c>
      <c r="BC39" s="13">
        <f>GetEquPower(BTS!$F$1,Sheet1!$X39,Sheet1!AW39,Sheet1!$M39)</f>
        <v>0</v>
      </c>
    </row>
    <row r="40" spans="1:55" s="13" customFormat="1" ht="31.2" x14ac:dyDescent="0.3">
      <c r="A40" s="8"/>
      <c r="B40" s="7"/>
      <c r="C40" s="3"/>
      <c r="D40" s="2"/>
      <c r="E40" s="3" t="s">
        <v>198</v>
      </c>
      <c r="F40" s="21"/>
      <c r="G40" s="22"/>
      <c r="H40" s="23"/>
      <c r="I40" s="8" t="s">
        <v>70</v>
      </c>
      <c r="J40" s="8" t="s">
        <v>71</v>
      </c>
      <c r="K40" s="9"/>
      <c r="L40" s="8"/>
      <c r="M40" s="4">
        <v>1800</v>
      </c>
      <c r="N40" s="5">
        <v>34</v>
      </c>
      <c r="O40" s="10"/>
      <c r="P40" s="2"/>
      <c r="Q40" s="2"/>
      <c r="R40" s="8" t="s">
        <v>339</v>
      </c>
      <c r="S40" s="4" t="s">
        <v>207</v>
      </c>
      <c r="T40" s="4">
        <v>3</v>
      </c>
      <c r="U40" s="2" t="s">
        <v>211</v>
      </c>
      <c r="V40" s="1" t="s">
        <v>328</v>
      </c>
      <c r="W40" s="5" t="s">
        <v>336</v>
      </c>
      <c r="X40" s="4" t="s">
        <v>136</v>
      </c>
      <c r="Y40" s="6" t="s">
        <v>1</v>
      </c>
      <c r="Z40" s="5">
        <v>3</v>
      </c>
      <c r="AA40" s="8">
        <v>0</v>
      </c>
      <c r="AB40" s="8" t="s">
        <v>66</v>
      </c>
      <c r="AC40" s="2"/>
      <c r="AD40" s="8"/>
      <c r="AE40" s="8"/>
      <c r="AF40" s="8"/>
      <c r="AG40" s="2"/>
      <c r="AH40" s="8"/>
      <c r="AI40" s="24">
        <v>0</v>
      </c>
      <c r="AJ40" s="57">
        <v>38</v>
      </c>
      <c r="AK40" s="57" t="str">
        <f t="shared" si="9"/>
        <v>34/34/34</v>
      </c>
      <c r="AL40" s="58" t="str">
        <f t="shared" si="10"/>
        <v>20/20/20</v>
      </c>
      <c r="AM40" s="58" t="b">
        <v>1</v>
      </c>
      <c r="AN40" s="58" t="b">
        <f t="shared" si="11"/>
        <v>1</v>
      </c>
      <c r="AO40" s="58" t="b">
        <v>1</v>
      </c>
      <c r="AP40" s="58"/>
      <c r="AQ40" s="33"/>
      <c r="AR40" s="13">
        <f t="shared" si="12"/>
        <v>1</v>
      </c>
      <c r="AS40" s="13">
        <f t="shared" si="13"/>
        <v>1</v>
      </c>
      <c r="AT40" s="13">
        <f t="shared" si="14"/>
        <v>1</v>
      </c>
      <c r="AU40" s="13">
        <f t="shared" si="15"/>
        <v>0</v>
      </c>
      <c r="AV40" s="13">
        <f t="shared" si="16"/>
        <v>0</v>
      </c>
      <c r="AW40" s="13">
        <f t="shared" si="17"/>
        <v>0</v>
      </c>
      <c r="AX40" s="13">
        <f>GetEquPower(BTS!$F$1,Sheet1!$X40,Sheet1!AR40,Sheet1!$M40)</f>
        <v>20</v>
      </c>
      <c r="AY40" s="13">
        <f>GetEquPower(BTS!$F$1,Sheet1!$X40,Sheet1!AS40,Sheet1!$M40)</f>
        <v>20</v>
      </c>
      <c r="AZ40" s="13">
        <f>GetEquPower(BTS!$F$1,Sheet1!$X40,Sheet1!AT40,Sheet1!$M40)</f>
        <v>20</v>
      </c>
      <c r="BA40" s="13">
        <f>GetEquPower(BTS!$F$1,Sheet1!$X40,Sheet1!AU40,Sheet1!$M40)</f>
        <v>0</v>
      </c>
      <c r="BB40" s="13">
        <f>GetEquPower(BTS!$F$1,Sheet1!$X40,Sheet1!AV40,Sheet1!$M40)</f>
        <v>0</v>
      </c>
      <c r="BC40" s="13">
        <f>GetEquPower(BTS!$F$1,Sheet1!$X40,Sheet1!AW40,Sheet1!$M40)</f>
        <v>0</v>
      </c>
    </row>
    <row r="41" spans="1:55" s="13" customFormat="1" ht="31.2" x14ac:dyDescent="0.3">
      <c r="A41" s="8">
        <v>15</v>
      </c>
      <c r="B41" s="7" t="s">
        <v>340</v>
      </c>
      <c r="C41" s="3" t="s">
        <v>341</v>
      </c>
      <c r="D41" s="2" t="s">
        <v>342</v>
      </c>
      <c r="E41" s="3" t="s">
        <v>343</v>
      </c>
      <c r="F41" s="21" t="s">
        <v>344</v>
      </c>
      <c r="G41" s="22" t="s">
        <v>344</v>
      </c>
      <c r="H41" s="23" t="s">
        <v>77</v>
      </c>
      <c r="I41" s="8" t="s">
        <v>70</v>
      </c>
      <c r="J41" s="8" t="s">
        <v>71</v>
      </c>
      <c r="K41" s="9">
        <v>45</v>
      </c>
      <c r="L41" s="8">
        <v>0</v>
      </c>
      <c r="M41" s="4">
        <v>900</v>
      </c>
      <c r="N41" s="5">
        <v>42</v>
      </c>
      <c r="O41" s="10">
        <v>-140</v>
      </c>
      <c r="P41" s="2" t="s">
        <v>194</v>
      </c>
      <c r="Q41" s="2" t="s">
        <v>195</v>
      </c>
      <c r="R41" s="8" t="s">
        <v>345</v>
      </c>
      <c r="S41" s="4" t="s">
        <v>207</v>
      </c>
      <c r="T41" s="4">
        <v>3</v>
      </c>
      <c r="U41" s="2" t="s">
        <v>238</v>
      </c>
      <c r="V41" s="1" t="s">
        <v>346</v>
      </c>
      <c r="W41" s="5" t="s">
        <v>347</v>
      </c>
      <c r="X41" s="4" t="s">
        <v>86</v>
      </c>
      <c r="Y41" s="6" t="s">
        <v>0</v>
      </c>
      <c r="Z41" s="5">
        <v>3</v>
      </c>
      <c r="AA41" s="8">
        <v>39</v>
      </c>
      <c r="AB41" s="8" t="s">
        <v>66</v>
      </c>
      <c r="AC41" s="2">
        <v>2</v>
      </c>
      <c r="AD41" s="8" t="s">
        <v>69</v>
      </c>
      <c r="AE41" s="8" t="s">
        <v>219</v>
      </c>
      <c r="AF41" s="8"/>
      <c r="AG41" s="2">
        <v>12</v>
      </c>
      <c r="AH41" s="8">
        <v>36</v>
      </c>
      <c r="AI41" s="24">
        <v>24</v>
      </c>
      <c r="AJ41" s="57">
        <v>39</v>
      </c>
      <c r="AK41" s="57" t="str">
        <f t="shared" si="9"/>
        <v>42/42/42</v>
      </c>
      <c r="AL41" s="58" t="str">
        <f t="shared" si="10"/>
        <v>71,45/71,45/71,45</v>
      </c>
      <c r="AM41" s="58" t="b">
        <v>1</v>
      </c>
      <c r="AN41" s="58" t="b">
        <f t="shared" si="11"/>
        <v>1</v>
      </c>
      <c r="AO41" s="58" t="b">
        <v>1</v>
      </c>
      <c r="AP41" s="58"/>
      <c r="AQ41" s="33"/>
      <c r="AR41" s="13">
        <f t="shared" si="12"/>
        <v>2</v>
      </c>
      <c r="AS41" s="13">
        <f t="shared" si="13"/>
        <v>2</v>
      </c>
      <c r="AT41" s="13">
        <f t="shared" si="14"/>
        <v>2</v>
      </c>
      <c r="AU41" s="13">
        <f t="shared" si="15"/>
        <v>0</v>
      </c>
      <c r="AV41" s="13">
        <f t="shared" si="16"/>
        <v>0</v>
      </c>
      <c r="AW41" s="13">
        <f t="shared" si="17"/>
        <v>0</v>
      </c>
      <c r="AX41" s="13">
        <f>GetEquPower(BTS!$F$1,Sheet1!$X41,Sheet1!AR41,Sheet1!$M41)</f>
        <v>71.45</v>
      </c>
      <c r="AY41" s="13">
        <f>GetEquPower(BTS!$F$1,Sheet1!$X41,Sheet1!AS41,Sheet1!$M41)</f>
        <v>71.45</v>
      </c>
      <c r="AZ41" s="13">
        <f>GetEquPower(BTS!$F$1,Sheet1!$X41,Sheet1!AT41,Sheet1!$M41)</f>
        <v>71.45</v>
      </c>
      <c r="BA41" s="13">
        <f>GetEquPower(BTS!$F$1,Sheet1!$X41,Sheet1!AU41,Sheet1!$M41)</f>
        <v>0</v>
      </c>
      <c r="BB41" s="13">
        <f>GetEquPower(BTS!$F$1,Sheet1!$X41,Sheet1!AV41,Sheet1!$M41)</f>
        <v>0</v>
      </c>
      <c r="BC41" s="13">
        <f>GetEquPower(BTS!$F$1,Sheet1!$X41,Sheet1!AW41,Sheet1!$M41)</f>
        <v>0</v>
      </c>
    </row>
    <row r="42" spans="1:55" s="13" customFormat="1" ht="31.2" x14ac:dyDescent="0.3">
      <c r="A42" s="8"/>
      <c r="B42" s="7"/>
      <c r="C42" s="3"/>
      <c r="D42" s="2"/>
      <c r="E42" s="3" t="s">
        <v>198</v>
      </c>
      <c r="F42" s="21"/>
      <c r="G42" s="22"/>
      <c r="H42" s="23"/>
      <c r="I42" s="8" t="s">
        <v>70</v>
      </c>
      <c r="J42" s="8" t="s">
        <v>71</v>
      </c>
      <c r="K42" s="9"/>
      <c r="L42" s="8"/>
      <c r="M42" s="4">
        <v>2100</v>
      </c>
      <c r="N42" s="5">
        <v>42</v>
      </c>
      <c r="O42" s="10"/>
      <c r="P42" s="2"/>
      <c r="Q42" s="2"/>
      <c r="R42" s="8" t="s">
        <v>348</v>
      </c>
      <c r="S42" s="4" t="s">
        <v>207</v>
      </c>
      <c r="T42" s="4">
        <v>3</v>
      </c>
      <c r="U42" s="2" t="s">
        <v>197</v>
      </c>
      <c r="V42" s="1" t="s">
        <v>346</v>
      </c>
      <c r="W42" s="5" t="s">
        <v>0</v>
      </c>
      <c r="X42" s="4" t="s">
        <v>139</v>
      </c>
      <c r="Y42" s="6" t="s">
        <v>0</v>
      </c>
      <c r="Z42" s="5">
        <v>3</v>
      </c>
      <c r="AA42" s="8">
        <v>0</v>
      </c>
      <c r="AB42" s="8" t="s">
        <v>66</v>
      </c>
      <c r="AC42" s="2"/>
      <c r="AD42" s="8"/>
      <c r="AE42" s="8"/>
      <c r="AF42" s="8"/>
      <c r="AG42" s="2"/>
      <c r="AH42" s="8"/>
      <c r="AI42" s="24">
        <v>0</v>
      </c>
      <c r="AJ42" s="57">
        <v>40</v>
      </c>
      <c r="AK42" s="57" t="str">
        <f t="shared" si="9"/>
        <v>42/42/42</v>
      </c>
      <c r="AL42" s="58" t="str">
        <f t="shared" si="10"/>
        <v>20/20/20</v>
      </c>
      <c r="AM42" s="58" t="b">
        <v>1</v>
      </c>
      <c r="AN42" s="58" t="b">
        <f t="shared" si="11"/>
        <v>1</v>
      </c>
      <c r="AO42" s="58" t="b">
        <v>1</v>
      </c>
      <c r="AP42" s="58"/>
      <c r="AQ42" s="33"/>
      <c r="AR42" s="13">
        <f t="shared" si="12"/>
        <v>2</v>
      </c>
      <c r="AS42" s="13">
        <f t="shared" si="13"/>
        <v>2</v>
      </c>
      <c r="AT42" s="13">
        <f t="shared" si="14"/>
        <v>2</v>
      </c>
      <c r="AU42" s="13">
        <f t="shared" si="15"/>
        <v>0</v>
      </c>
      <c r="AV42" s="13">
        <f t="shared" si="16"/>
        <v>0</v>
      </c>
      <c r="AW42" s="13">
        <f t="shared" si="17"/>
        <v>0</v>
      </c>
      <c r="AX42" s="13">
        <f>GetEquPower(BTS!$F$1,Sheet1!$X42,Sheet1!AR42,Sheet1!$M42)</f>
        <v>20</v>
      </c>
      <c r="AY42" s="13">
        <f>GetEquPower(BTS!$F$1,Sheet1!$X42,Sheet1!AS42,Sheet1!$M42)</f>
        <v>20</v>
      </c>
      <c r="AZ42" s="13">
        <f>GetEquPower(BTS!$F$1,Sheet1!$X42,Sheet1!AT42,Sheet1!$M42)</f>
        <v>20</v>
      </c>
      <c r="BA42" s="13">
        <f>GetEquPower(BTS!$F$1,Sheet1!$X42,Sheet1!AU42,Sheet1!$M42)</f>
        <v>0</v>
      </c>
      <c r="BB42" s="13">
        <f>GetEquPower(BTS!$F$1,Sheet1!$X42,Sheet1!AV42,Sheet1!$M42)</f>
        <v>0</v>
      </c>
      <c r="BC42" s="13">
        <f>GetEquPower(BTS!$F$1,Sheet1!$X42,Sheet1!AW42,Sheet1!$M42)</f>
        <v>0</v>
      </c>
    </row>
    <row r="43" spans="1:55" s="13" customFormat="1" ht="31.2" x14ac:dyDescent="0.3">
      <c r="A43" s="8"/>
      <c r="B43" s="7"/>
      <c r="C43" s="3"/>
      <c r="D43" s="2"/>
      <c r="E43" s="3" t="s">
        <v>198</v>
      </c>
      <c r="F43" s="21"/>
      <c r="G43" s="22"/>
      <c r="H43" s="23"/>
      <c r="I43" s="8" t="s">
        <v>70</v>
      </c>
      <c r="J43" s="8" t="s">
        <v>71</v>
      </c>
      <c r="K43" s="9"/>
      <c r="L43" s="8"/>
      <c r="M43" s="4">
        <v>1800</v>
      </c>
      <c r="N43" s="5">
        <v>36</v>
      </c>
      <c r="O43" s="10"/>
      <c r="P43" s="2"/>
      <c r="Q43" s="2"/>
      <c r="R43" s="8" t="s">
        <v>349</v>
      </c>
      <c r="S43" s="4" t="s">
        <v>207</v>
      </c>
      <c r="T43" s="4">
        <v>3</v>
      </c>
      <c r="U43" s="2" t="s">
        <v>211</v>
      </c>
      <c r="V43" s="1" t="s">
        <v>346</v>
      </c>
      <c r="W43" s="5" t="s">
        <v>350</v>
      </c>
      <c r="X43" s="4" t="s">
        <v>136</v>
      </c>
      <c r="Y43" s="6" t="s">
        <v>1</v>
      </c>
      <c r="Z43" s="5">
        <v>3</v>
      </c>
      <c r="AA43" s="8">
        <v>0</v>
      </c>
      <c r="AB43" s="8" t="s">
        <v>66</v>
      </c>
      <c r="AC43" s="2"/>
      <c r="AD43" s="8"/>
      <c r="AE43" s="8"/>
      <c r="AF43" s="8"/>
      <c r="AG43" s="2"/>
      <c r="AH43" s="8"/>
      <c r="AI43" s="24">
        <v>0</v>
      </c>
      <c r="AJ43" s="57">
        <v>41</v>
      </c>
      <c r="AK43" s="57" t="str">
        <f t="shared" si="9"/>
        <v>36/36/36</v>
      </c>
      <c r="AL43" s="58" t="str">
        <f t="shared" si="10"/>
        <v>20/20/20</v>
      </c>
      <c r="AM43" s="58" t="b">
        <v>1</v>
      </c>
      <c r="AN43" s="58" t="b">
        <f t="shared" si="11"/>
        <v>1</v>
      </c>
      <c r="AO43" s="58" t="b">
        <v>1</v>
      </c>
      <c r="AP43" s="58"/>
      <c r="AQ43" s="33"/>
      <c r="AR43" s="13">
        <f t="shared" si="12"/>
        <v>1</v>
      </c>
      <c r="AS43" s="13">
        <f t="shared" si="13"/>
        <v>1</v>
      </c>
      <c r="AT43" s="13">
        <f t="shared" si="14"/>
        <v>1</v>
      </c>
      <c r="AU43" s="13">
        <f t="shared" si="15"/>
        <v>0</v>
      </c>
      <c r="AV43" s="13">
        <f t="shared" si="16"/>
        <v>0</v>
      </c>
      <c r="AW43" s="13">
        <f t="shared" si="17"/>
        <v>0</v>
      </c>
      <c r="AX43" s="13">
        <f>GetEquPower(BTS!$F$1,Sheet1!$X43,Sheet1!AR43,Sheet1!$M43)</f>
        <v>20</v>
      </c>
      <c r="AY43" s="13">
        <f>GetEquPower(BTS!$F$1,Sheet1!$X43,Sheet1!AS43,Sheet1!$M43)</f>
        <v>20</v>
      </c>
      <c r="AZ43" s="13">
        <f>GetEquPower(BTS!$F$1,Sheet1!$X43,Sheet1!AT43,Sheet1!$M43)</f>
        <v>20</v>
      </c>
      <c r="BA43" s="13">
        <f>GetEquPower(BTS!$F$1,Sheet1!$X43,Sheet1!AU43,Sheet1!$M43)</f>
        <v>0</v>
      </c>
      <c r="BB43" s="13">
        <f>GetEquPower(BTS!$F$1,Sheet1!$X43,Sheet1!AV43,Sheet1!$M43)</f>
        <v>0</v>
      </c>
      <c r="BC43" s="13">
        <f>GetEquPower(BTS!$F$1,Sheet1!$X43,Sheet1!AW43,Sheet1!$M43)</f>
        <v>0</v>
      </c>
    </row>
    <row r="44" spans="1:55" s="13" customFormat="1" ht="31.2" x14ac:dyDescent="0.3">
      <c r="A44" s="8">
        <v>16</v>
      </c>
      <c r="B44" s="7" t="s">
        <v>351</v>
      </c>
      <c r="C44" s="3" t="s">
        <v>352</v>
      </c>
      <c r="D44" s="2" t="s">
        <v>342</v>
      </c>
      <c r="E44" s="3" t="s">
        <v>353</v>
      </c>
      <c r="F44" s="21" t="s">
        <v>354</v>
      </c>
      <c r="G44" s="22" t="s">
        <v>354</v>
      </c>
      <c r="H44" s="23" t="s">
        <v>286</v>
      </c>
      <c r="I44" s="8" t="s">
        <v>70</v>
      </c>
      <c r="J44" s="8" t="s">
        <v>71</v>
      </c>
      <c r="K44" s="9">
        <v>6</v>
      </c>
      <c r="L44" s="8">
        <v>12</v>
      </c>
      <c r="M44" s="4">
        <v>1800</v>
      </c>
      <c r="N44" s="5">
        <v>15</v>
      </c>
      <c r="O44" s="10">
        <v>0</v>
      </c>
      <c r="P44" s="2" t="s">
        <v>194</v>
      </c>
      <c r="Q44" s="2" t="s">
        <v>195</v>
      </c>
      <c r="R44" s="8" t="s">
        <v>355</v>
      </c>
      <c r="S44" s="4" t="s">
        <v>207</v>
      </c>
      <c r="T44" s="4">
        <v>3</v>
      </c>
      <c r="U44" s="2" t="s">
        <v>260</v>
      </c>
      <c r="V44" s="1" t="s">
        <v>356</v>
      </c>
      <c r="W44" s="5" t="s">
        <v>218</v>
      </c>
      <c r="X44" s="4" t="s">
        <v>86</v>
      </c>
      <c r="Y44" s="6" t="s">
        <v>218</v>
      </c>
      <c r="Z44" s="5">
        <v>3</v>
      </c>
      <c r="AA44" s="8">
        <v>0</v>
      </c>
      <c r="AB44" s="8" t="s">
        <v>66</v>
      </c>
      <c r="AC44" s="2">
        <v>2</v>
      </c>
      <c r="AD44" s="8" t="s">
        <v>66</v>
      </c>
      <c r="AE44" s="8" t="s">
        <v>67</v>
      </c>
      <c r="AF44" s="8"/>
      <c r="AG44" s="2">
        <v>8</v>
      </c>
      <c r="AH44" s="8">
        <v>15</v>
      </c>
      <c r="AI44" s="24">
        <v>7</v>
      </c>
      <c r="AJ44" s="57">
        <v>42</v>
      </c>
      <c r="AK44" s="57" t="str">
        <f t="shared" si="9"/>
        <v>15/15/15</v>
      </c>
      <c r="AL44" s="58" t="str">
        <f t="shared" si="10"/>
        <v>25,41/25,41/25,41</v>
      </c>
      <c r="AM44" s="58" t="b">
        <v>1</v>
      </c>
      <c r="AN44" s="58" t="b">
        <f t="shared" si="11"/>
        <v>0</v>
      </c>
      <c r="AO44" s="58" t="b">
        <v>1</v>
      </c>
      <c r="AP44" s="58"/>
      <c r="AQ44" s="33"/>
      <c r="AR44" s="13">
        <f t="shared" si="12"/>
        <v>4</v>
      </c>
      <c r="AS44" s="13">
        <f t="shared" si="13"/>
        <v>4</v>
      </c>
      <c r="AT44" s="13">
        <f t="shared" si="14"/>
        <v>4</v>
      </c>
      <c r="AU44" s="13">
        <f t="shared" si="15"/>
        <v>0</v>
      </c>
      <c r="AV44" s="13">
        <f t="shared" si="16"/>
        <v>0</v>
      </c>
      <c r="AW44" s="13">
        <f t="shared" si="17"/>
        <v>0</v>
      </c>
      <c r="AX44" s="13">
        <f>GetEquPower(BTS!$F$1,Sheet1!$X44,Sheet1!AR44,Sheet1!$M44)</f>
        <v>25.41</v>
      </c>
      <c r="AY44" s="13">
        <f>GetEquPower(BTS!$F$1,Sheet1!$X44,Sheet1!AS44,Sheet1!$M44)</f>
        <v>25.41</v>
      </c>
      <c r="AZ44" s="13">
        <f>GetEquPower(BTS!$F$1,Sheet1!$X44,Sheet1!AT44,Sheet1!$M44)</f>
        <v>25.41</v>
      </c>
      <c r="BA44" s="13">
        <f>GetEquPower(BTS!$F$1,Sheet1!$X44,Sheet1!AU44,Sheet1!$M44)</f>
        <v>0</v>
      </c>
      <c r="BB44" s="13">
        <f>GetEquPower(BTS!$F$1,Sheet1!$X44,Sheet1!AV44,Sheet1!$M44)</f>
        <v>0</v>
      </c>
      <c r="BC44" s="13">
        <f>GetEquPower(BTS!$F$1,Sheet1!$X44,Sheet1!AW44,Sheet1!$M44)</f>
        <v>0</v>
      </c>
    </row>
    <row r="45" spans="1:55" s="13" customFormat="1" ht="31.2" x14ac:dyDescent="0.3">
      <c r="A45" s="8"/>
      <c r="B45" s="7"/>
      <c r="C45" s="3"/>
      <c r="D45" s="2"/>
      <c r="E45" s="3"/>
      <c r="F45" s="21"/>
      <c r="G45" s="22"/>
      <c r="H45" s="23"/>
      <c r="I45" s="8" t="s">
        <v>70</v>
      </c>
      <c r="J45" s="8" t="s">
        <v>71</v>
      </c>
      <c r="K45" s="9"/>
      <c r="L45" s="8"/>
      <c r="M45" s="4">
        <v>2100</v>
      </c>
      <c r="N45" s="5">
        <v>15</v>
      </c>
      <c r="O45" s="10"/>
      <c r="P45" s="2"/>
      <c r="Q45" s="2"/>
      <c r="R45" s="8" t="s">
        <v>357</v>
      </c>
      <c r="S45" s="4" t="s">
        <v>207</v>
      </c>
      <c r="T45" s="4">
        <v>3</v>
      </c>
      <c r="U45" s="2" t="s">
        <v>197</v>
      </c>
      <c r="V45" s="1" t="s">
        <v>356</v>
      </c>
      <c r="W45" s="5" t="s">
        <v>218</v>
      </c>
      <c r="X45" s="4" t="s">
        <v>139</v>
      </c>
      <c r="Y45" s="6" t="s">
        <v>0</v>
      </c>
      <c r="Z45" s="5">
        <v>3</v>
      </c>
      <c r="AA45" s="8">
        <v>0</v>
      </c>
      <c r="AB45" s="8" t="s">
        <v>66</v>
      </c>
      <c r="AC45" s="2"/>
      <c r="AD45" s="8"/>
      <c r="AE45" s="8"/>
      <c r="AF45" s="8"/>
      <c r="AG45" s="2"/>
      <c r="AH45" s="8"/>
      <c r="AI45" s="24">
        <v>0</v>
      </c>
      <c r="AJ45" s="57">
        <v>43</v>
      </c>
      <c r="AK45" s="57" t="str">
        <f t="shared" si="9"/>
        <v>15/15/15</v>
      </c>
      <c r="AL45" s="58" t="str">
        <f t="shared" si="10"/>
        <v>20/20/20</v>
      </c>
      <c r="AM45" s="58" t="b">
        <v>1</v>
      </c>
      <c r="AN45" s="58" t="b">
        <f t="shared" si="11"/>
        <v>1</v>
      </c>
      <c r="AO45" s="58" t="b">
        <v>1</v>
      </c>
      <c r="AP45" s="58"/>
      <c r="AQ45" s="33"/>
      <c r="AR45" s="13">
        <f t="shared" si="12"/>
        <v>2</v>
      </c>
      <c r="AS45" s="13">
        <f t="shared" si="13"/>
        <v>2</v>
      </c>
      <c r="AT45" s="13">
        <f t="shared" si="14"/>
        <v>2</v>
      </c>
      <c r="AU45" s="13">
        <f t="shared" si="15"/>
        <v>0</v>
      </c>
      <c r="AV45" s="13">
        <f t="shared" si="16"/>
        <v>0</v>
      </c>
      <c r="AW45" s="13">
        <f t="shared" si="17"/>
        <v>0</v>
      </c>
      <c r="AX45" s="13">
        <f>GetEquPower(BTS!$F$1,Sheet1!$X45,Sheet1!AR45,Sheet1!$M45)</f>
        <v>20</v>
      </c>
      <c r="AY45" s="13">
        <f>GetEquPower(BTS!$F$1,Sheet1!$X45,Sheet1!AS45,Sheet1!$M45)</f>
        <v>20</v>
      </c>
      <c r="AZ45" s="13">
        <f>GetEquPower(BTS!$F$1,Sheet1!$X45,Sheet1!AT45,Sheet1!$M45)</f>
        <v>20</v>
      </c>
      <c r="BA45" s="13">
        <f>GetEquPower(BTS!$F$1,Sheet1!$X45,Sheet1!AU45,Sheet1!$M45)</f>
        <v>0</v>
      </c>
      <c r="BB45" s="13">
        <f>GetEquPower(BTS!$F$1,Sheet1!$X45,Sheet1!AV45,Sheet1!$M45)</f>
        <v>0</v>
      </c>
      <c r="BC45" s="13">
        <f>GetEquPower(BTS!$F$1,Sheet1!$X45,Sheet1!AW45,Sheet1!$M45)</f>
        <v>0</v>
      </c>
    </row>
    <row r="46" spans="1:55" s="13" customFormat="1" ht="31.2" x14ac:dyDescent="0.3">
      <c r="A46" s="8"/>
      <c r="B46" s="7"/>
      <c r="C46" s="3"/>
      <c r="D46" s="2"/>
      <c r="E46" s="3"/>
      <c r="F46" s="21"/>
      <c r="G46" s="22"/>
      <c r="H46" s="23"/>
      <c r="I46" s="8" t="s">
        <v>70</v>
      </c>
      <c r="J46" s="8" t="s">
        <v>71</v>
      </c>
      <c r="K46" s="9"/>
      <c r="L46" s="8"/>
      <c r="M46" s="4">
        <v>1800</v>
      </c>
      <c r="N46" s="5">
        <v>15</v>
      </c>
      <c r="O46" s="10"/>
      <c r="P46" s="2"/>
      <c r="Q46" s="2"/>
      <c r="R46" s="8" t="s">
        <v>358</v>
      </c>
      <c r="S46" s="4" t="s">
        <v>207</v>
      </c>
      <c r="T46" s="4">
        <v>3</v>
      </c>
      <c r="U46" s="2" t="s">
        <v>211</v>
      </c>
      <c r="V46" s="1" t="s">
        <v>356</v>
      </c>
      <c r="W46" s="5" t="s">
        <v>359</v>
      </c>
      <c r="X46" s="4" t="s">
        <v>136</v>
      </c>
      <c r="Y46" s="6" t="s">
        <v>1</v>
      </c>
      <c r="Z46" s="5">
        <v>3</v>
      </c>
      <c r="AA46" s="8">
        <v>0</v>
      </c>
      <c r="AB46" s="8" t="s">
        <v>66</v>
      </c>
      <c r="AC46" s="2"/>
      <c r="AD46" s="8"/>
      <c r="AE46" s="8"/>
      <c r="AF46" s="8"/>
      <c r="AG46" s="2"/>
      <c r="AH46" s="8"/>
      <c r="AI46" s="24">
        <v>0</v>
      </c>
      <c r="AJ46" s="57">
        <v>44</v>
      </c>
      <c r="AK46" s="57" t="str">
        <f t="shared" si="9"/>
        <v>15/15/15</v>
      </c>
      <c r="AL46" s="58" t="str">
        <f t="shared" si="10"/>
        <v>20/20/20</v>
      </c>
      <c r="AM46" s="58" t="b">
        <v>1</v>
      </c>
      <c r="AN46" s="58" t="b">
        <f t="shared" si="11"/>
        <v>1</v>
      </c>
      <c r="AO46" s="58" t="b">
        <v>1</v>
      </c>
      <c r="AP46" s="58"/>
      <c r="AQ46" s="33"/>
      <c r="AR46" s="13">
        <f t="shared" si="12"/>
        <v>1</v>
      </c>
      <c r="AS46" s="13">
        <f t="shared" si="13"/>
        <v>1</v>
      </c>
      <c r="AT46" s="13">
        <f t="shared" si="14"/>
        <v>1</v>
      </c>
      <c r="AU46" s="13">
        <f t="shared" si="15"/>
        <v>0</v>
      </c>
      <c r="AV46" s="13">
        <f t="shared" si="16"/>
        <v>0</v>
      </c>
      <c r="AW46" s="13">
        <f t="shared" si="17"/>
        <v>0</v>
      </c>
      <c r="AX46" s="13">
        <f>GetEquPower(BTS!$F$1,Sheet1!$X46,Sheet1!AR46,Sheet1!$M46)</f>
        <v>20</v>
      </c>
      <c r="AY46" s="13">
        <f>GetEquPower(BTS!$F$1,Sheet1!$X46,Sheet1!AS46,Sheet1!$M46)</f>
        <v>20</v>
      </c>
      <c r="AZ46" s="13">
        <f>GetEquPower(BTS!$F$1,Sheet1!$X46,Sheet1!AT46,Sheet1!$M46)</f>
        <v>20</v>
      </c>
      <c r="BA46" s="13">
        <f>GetEquPower(BTS!$F$1,Sheet1!$X46,Sheet1!AU46,Sheet1!$M46)</f>
        <v>0</v>
      </c>
      <c r="BB46" s="13">
        <f>GetEquPower(BTS!$F$1,Sheet1!$X46,Sheet1!AV46,Sheet1!$M46)</f>
        <v>0</v>
      </c>
      <c r="BC46" s="13">
        <f>GetEquPower(BTS!$F$1,Sheet1!$X46,Sheet1!AW46,Sheet1!$M46)</f>
        <v>0</v>
      </c>
    </row>
  </sheetData>
  <autoFilter ref="A2:AP10"/>
  <conditionalFormatting sqref="G3:G10">
    <cfRule type="duplicateValues" dxfId="11" priority="16"/>
  </conditionalFormatting>
  <conditionalFormatting sqref="F3:F10">
    <cfRule type="duplicateValues" dxfId="10" priority="17"/>
    <cfRule type="duplicateValues" dxfId="9" priority="18"/>
    <cfRule type="duplicateValues" dxfId="8" priority="19"/>
  </conditionalFormatting>
  <conditionalFormatting sqref="G11:G46">
    <cfRule type="duplicateValues" dxfId="7" priority="1"/>
  </conditionalFormatting>
  <conditionalFormatting sqref="F11:F46">
    <cfRule type="duplicateValues" dxfId="5" priority="2"/>
    <cfRule type="duplicateValues" dxfId="4" priority="3"/>
    <cfRule type="duplicateValues" dxfId="3" priority="4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7"/>
  <sheetViews>
    <sheetView tabSelected="1" workbookViewId="0">
      <selection activeCell="B2" sqref="B2"/>
    </sheetView>
  </sheetViews>
  <sheetFormatPr defaultRowHeight="14.4" x14ac:dyDescent="0.3"/>
  <cols>
    <col min="1" max="1" width="4" bestFit="1" customWidth="1"/>
    <col min="2" max="2" width="26.6640625" bestFit="1" customWidth="1"/>
    <col min="3" max="3" width="11" customWidth="1"/>
    <col min="4" max="4" width="11.109375" customWidth="1"/>
    <col min="5" max="5" width="12.109375" customWidth="1"/>
    <col min="6" max="6" width="13.88671875" customWidth="1"/>
    <col min="7" max="7" width="18.44140625" customWidth="1"/>
    <col min="8" max="8" width="9.33203125" customWidth="1"/>
    <col min="9" max="9" width="14.33203125" customWidth="1"/>
    <col min="10" max="10" width="13.44140625" customWidth="1"/>
    <col min="11" max="11" width="8.33203125" bestFit="1" customWidth="1"/>
  </cols>
  <sheetData>
    <row r="1" spans="1:11" x14ac:dyDescent="0.3">
      <c r="A1" s="25" t="s">
        <v>2</v>
      </c>
      <c r="B1" s="25" t="s">
        <v>79</v>
      </c>
      <c r="C1" s="25" t="s">
        <v>80</v>
      </c>
      <c r="D1" s="25" t="s">
        <v>26</v>
      </c>
      <c r="E1" s="25" t="s">
        <v>81</v>
      </c>
      <c r="F1" s="25" t="s">
        <v>82</v>
      </c>
      <c r="G1" s="25" t="s">
        <v>83</v>
      </c>
      <c r="H1" s="25" t="s">
        <v>84</v>
      </c>
      <c r="I1" s="26" t="s">
        <v>84</v>
      </c>
      <c r="J1" s="26" t="s">
        <v>85</v>
      </c>
      <c r="K1" s="27"/>
    </row>
    <row r="2" spans="1:11" x14ac:dyDescent="0.3">
      <c r="A2" s="26">
        <v>1</v>
      </c>
      <c r="B2" s="26" t="s">
        <v>86</v>
      </c>
      <c r="C2" s="26">
        <v>900</v>
      </c>
      <c r="D2" s="27">
        <v>1</v>
      </c>
      <c r="E2" s="28">
        <v>45.53</v>
      </c>
      <c r="F2" s="28">
        <f t="shared" ref="F2:F65" si="0">ROUND(POWER(10,E2/10)/1000,2)</f>
        <v>35.729999999999997</v>
      </c>
      <c r="G2" s="28" t="s">
        <v>87</v>
      </c>
      <c r="H2" s="28"/>
      <c r="I2" s="27"/>
      <c r="J2" s="27"/>
      <c r="K2" s="27"/>
    </row>
    <row r="3" spans="1:11" x14ac:dyDescent="0.3">
      <c r="A3" s="26">
        <v>2</v>
      </c>
      <c r="B3" s="26" t="s">
        <v>86</v>
      </c>
      <c r="C3" s="27">
        <v>900</v>
      </c>
      <c r="D3" s="27">
        <v>2</v>
      </c>
      <c r="E3" s="28">
        <v>48.54</v>
      </c>
      <c r="F3" s="28">
        <f t="shared" si="0"/>
        <v>71.45</v>
      </c>
      <c r="G3" s="28" t="s">
        <v>87</v>
      </c>
      <c r="H3" s="28"/>
      <c r="I3" s="27"/>
      <c r="J3" s="27"/>
      <c r="K3" s="27"/>
    </row>
    <row r="4" spans="1:11" x14ac:dyDescent="0.3">
      <c r="A4" s="26">
        <v>3</v>
      </c>
      <c r="B4" s="26" t="s">
        <v>86</v>
      </c>
      <c r="C4" s="26">
        <v>900</v>
      </c>
      <c r="D4" s="27">
        <v>3</v>
      </c>
      <c r="E4" s="28">
        <v>45.14</v>
      </c>
      <c r="F4" s="28">
        <f t="shared" si="0"/>
        <v>32.659999999999997</v>
      </c>
      <c r="G4" s="28" t="s">
        <v>87</v>
      </c>
      <c r="H4" s="28"/>
      <c r="I4" s="27"/>
      <c r="J4" s="27"/>
      <c r="K4" s="27"/>
    </row>
    <row r="5" spans="1:11" x14ac:dyDescent="0.3">
      <c r="A5" s="26">
        <v>4</v>
      </c>
      <c r="B5" s="26" t="s">
        <v>86</v>
      </c>
      <c r="C5" s="27">
        <v>900</v>
      </c>
      <c r="D5" s="27">
        <v>4</v>
      </c>
      <c r="E5" s="28">
        <v>45.14</v>
      </c>
      <c r="F5" s="28">
        <f t="shared" si="0"/>
        <v>32.659999999999997</v>
      </c>
      <c r="G5" s="28" t="s">
        <v>87</v>
      </c>
      <c r="H5" s="28"/>
      <c r="I5" s="27"/>
      <c r="J5" s="27"/>
      <c r="K5" s="27"/>
    </row>
    <row r="6" spans="1:11" x14ac:dyDescent="0.3">
      <c r="A6" s="26">
        <v>5</v>
      </c>
      <c r="B6" s="26" t="s">
        <v>86</v>
      </c>
      <c r="C6" s="26">
        <v>1800</v>
      </c>
      <c r="D6" s="27">
        <v>1</v>
      </c>
      <c r="E6" s="28">
        <v>44.44</v>
      </c>
      <c r="F6" s="28">
        <f t="shared" si="0"/>
        <v>27.8</v>
      </c>
      <c r="G6" s="28" t="s">
        <v>87</v>
      </c>
      <c r="H6" s="28"/>
      <c r="I6" s="27"/>
      <c r="J6" s="27"/>
      <c r="K6" s="27"/>
    </row>
    <row r="7" spans="1:11" x14ac:dyDescent="0.3">
      <c r="A7" s="26">
        <v>6</v>
      </c>
      <c r="B7" s="26" t="s">
        <v>86</v>
      </c>
      <c r="C7" s="27">
        <v>1800</v>
      </c>
      <c r="D7" s="27">
        <v>2</v>
      </c>
      <c r="E7" s="28">
        <v>47.45</v>
      </c>
      <c r="F7" s="28">
        <f t="shared" si="0"/>
        <v>55.59</v>
      </c>
      <c r="G7" s="28" t="s">
        <v>87</v>
      </c>
      <c r="H7" s="28"/>
      <c r="I7" s="27"/>
      <c r="J7" s="27"/>
      <c r="K7" s="27"/>
    </row>
    <row r="8" spans="1:11" x14ac:dyDescent="0.3">
      <c r="A8" s="26">
        <v>7</v>
      </c>
      <c r="B8" s="26" t="s">
        <v>86</v>
      </c>
      <c r="C8" s="26">
        <v>1800</v>
      </c>
      <c r="D8" s="27">
        <v>3</v>
      </c>
      <c r="E8" s="28">
        <v>44.05</v>
      </c>
      <c r="F8" s="28">
        <f t="shared" si="0"/>
        <v>25.41</v>
      </c>
      <c r="G8" s="28" t="s">
        <v>87</v>
      </c>
      <c r="H8" s="28"/>
      <c r="I8" s="27"/>
      <c r="J8" s="27"/>
      <c r="K8" s="27"/>
    </row>
    <row r="9" spans="1:11" x14ac:dyDescent="0.3">
      <c r="A9" s="26">
        <v>8</v>
      </c>
      <c r="B9" s="26" t="s">
        <v>86</v>
      </c>
      <c r="C9" s="27">
        <v>1800</v>
      </c>
      <c r="D9" s="27">
        <v>4</v>
      </c>
      <c r="E9" s="28">
        <v>44.05</v>
      </c>
      <c r="F9" s="28">
        <f t="shared" si="0"/>
        <v>25.41</v>
      </c>
      <c r="G9" s="28" t="s">
        <v>87</v>
      </c>
      <c r="H9" s="28"/>
      <c r="I9" s="27"/>
      <c r="J9" s="27"/>
      <c r="K9" s="27"/>
    </row>
    <row r="10" spans="1:11" ht="27.6" x14ac:dyDescent="0.3">
      <c r="A10" s="26">
        <v>9</v>
      </c>
      <c r="B10" s="26" t="s">
        <v>88</v>
      </c>
      <c r="C10" s="27">
        <v>900</v>
      </c>
      <c r="D10" s="27">
        <v>1</v>
      </c>
      <c r="E10" s="28">
        <v>46.5</v>
      </c>
      <c r="F10" s="28">
        <f t="shared" si="0"/>
        <v>44.67</v>
      </c>
      <c r="G10" s="28" t="s">
        <v>89</v>
      </c>
      <c r="H10" s="28"/>
      <c r="I10" s="27"/>
      <c r="J10" s="27"/>
      <c r="K10" s="27"/>
    </row>
    <row r="11" spans="1:11" ht="27.6" x14ac:dyDescent="0.3">
      <c r="A11" s="26">
        <v>10</v>
      </c>
      <c r="B11" s="26" t="s">
        <v>88</v>
      </c>
      <c r="C11" s="27">
        <v>900</v>
      </c>
      <c r="D11" s="27">
        <v>2</v>
      </c>
      <c r="E11" s="28">
        <v>47.520499999999998</v>
      </c>
      <c r="F11" s="28">
        <f t="shared" si="0"/>
        <v>56.5</v>
      </c>
      <c r="G11" s="28" t="s">
        <v>89</v>
      </c>
      <c r="H11" s="28"/>
      <c r="I11" s="27"/>
      <c r="J11" s="27"/>
      <c r="K11" s="27"/>
    </row>
    <row r="12" spans="1:11" ht="27.6" x14ac:dyDescent="0.3">
      <c r="A12" s="26">
        <v>11</v>
      </c>
      <c r="B12" s="26" t="s">
        <v>88</v>
      </c>
      <c r="C12" s="27">
        <v>900</v>
      </c>
      <c r="D12" s="27">
        <v>3</v>
      </c>
      <c r="E12" s="28">
        <v>48.37</v>
      </c>
      <c r="F12" s="28">
        <f t="shared" si="0"/>
        <v>68.709999999999994</v>
      </c>
      <c r="G12" s="28" t="s">
        <v>89</v>
      </c>
      <c r="H12" s="28"/>
      <c r="I12" s="27"/>
      <c r="J12" s="27"/>
      <c r="K12" s="27"/>
    </row>
    <row r="13" spans="1:11" ht="27.6" x14ac:dyDescent="0.3">
      <c r="A13" s="26">
        <v>12</v>
      </c>
      <c r="B13" s="26" t="s">
        <v>88</v>
      </c>
      <c r="C13" s="27">
        <v>900</v>
      </c>
      <c r="D13" s="27">
        <v>4</v>
      </c>
      <c r="E13" s="28">
        <v>45.140000000000008</v>
      </c>
      <c r="F13" s="28">
        <f t="shared" si="0"/>
        <v>32.659999999999997</v>
      </c>
      <c r="G13" s="28" t="s">
        <v>89</v>
      </c>
      <c r="H13" s="28"/>
      <c r="I13" s="27"/>
      <c r="J13" s="27"/>
      <c r="K13" s="27"/>
    </row>
    <row r="14" spans="1:11" ht="27.6" x14ac:dyDescent="0.3">
      <c r="A14" s="26">
        <v>13</v>
      </c>
      <c r="B14" s="26" t="s">
        <v>88</v>
      </c>
      <c r="C14" s="27">
        <v>1800</v>
      </c>
      <c r="D14" s="27">
        <v>1</v>
      </c>
      <c r="E14" s="28">
        <v>45.4</v>
      </c>
      <c r="F14" s="28">
        <f t="shared" si="0"/>
        <v>34.67</v>
      </c>
      <c r="G14" s="28" t="s">
        <v>90</v>
      </c>
      <c r="H14" s="28"/>
      <c r="I14" s="27"/>
      <c r="J14" s="27"/>
      <c r="K14" s="27"/>
    </row>
    <row r="15" spans="1:11" ht="27.6" x14ac:dyDescent="0.3">
      <c r="A15" s="26">
        <v>14</v>
      </c>
      <c r="B15" s="26" t="s">
        <v>88</v>
      </c>
      <c r="C15" s="27">
        <v>1800</v>
      </c>
      <c r="D15" s="27">
        <v>2</v>
      </c>
      <c r="E15" s="28">
        <v>46.42</v>
      </c>
      <c r="F15" s="28">
        <f t="shared" si="0"/>
        <v>43.85</v>
      </c>
      <c r="G15" s="28" t="s">
        <v>90</v>
      </c>
      <c r="H15" s="28"/>
      <c r="I15" s="27"/>
      <c r="J15" s="27"/>
      <c r="K15" s="27"/>
    </row>
    <row r="16" spans="1:11" ht="27.6" x14ac:dyDescent="0.3">
      <c r="A16" s="26">
        <v>15</v>
      </c>
      <c r="B16" s="26" t="s">
        <v>88</v>
      </c>
      <c r="C16" s="27">
        <v>1800</v>
      </c>
      <c r="D16" s="27">
        <v>3</v>
      </c>
      <c r="E16" s="28">
        <v>47.27</v>
      </c>
      <c r="F16" s="28">
        <f t="shared" si="0"/>
        <v>53.33</v>
      </c>
      <c r="G16" s="28" t="s">
        <v>90</v>
      </c>
      <c r="H16" s="28"/>
      <c r="I16" s="27"/>
      <c r="J16" s="27"/>
      <c r="K16" s="27"/>
    </row>
    <row r="17" spans="1:11" ht="27.6" x14ac:dyDescent="0.3">
      <c r="A17" s="26">
        <v>16</v>
      </c>
      <c r="B17" s="26" t="s">
        <v>88</v>
      </c>
      <c r="C17" s="27">
        <v>1800</v>
      </c>
      <c r="D17" s="27">
        <v>4</v>
      </c>
      <c r="E17" s="28">
        <v>44.04</v>
      </c>
      <c r="F17" s="28">
        <f t="shared" si="0"/>
        <v>25.35</v>
      </c>
      <c r="G17" s="28" t="s">
        <v>90</v>
      </c>
      <c r="H17" s="28"/>
      <c r="I17" s="27"/>
      <c r="J17" s="27"/>
      <c r="K17" s="27"/>
    </row>
    <row r="18" spans="1:11" x14ac:dyDescent="0.3">
      <c r="A18" s="26">
        <v>191</v>
      </c>
      <c r="B18" s="26" t="s">
        <v>91</v>
      </c>
      <c r="C18" s="27">
        <v>2100</v>
      </c>
      <c r="D18" s="27">
        <v>1</v>
      </c>
      <c r="E18" s="28">
        <v>36.99</v>
      </c>
      <c r="F18" s="28">
        <f t="shared" si="0"/>
        <v>5</v>
      </c>
      <c r="G18" s="27"/>
      <c r="H18" s="26" t="s">
        <v>92</v>
      </c>
      <c r="I18" s="26" t="s">
        <v>93</v>
      </c>
      <c r="J18" s="27"/>
      <c r="K18" s="27"/>
    </row>
    <row r="19" spans="1:11" x14ac:dyDescent="0.3">
      <c r="A19" s="26">
        <v>192</v>
      </c>
      <c r="B19" s="26" t="s">
        <v>91</v>
      </c>
      <c r="C19" s="27">
        <v>2100</v>
      </c>
      <c r="D19" s="27">
        <v>2</v>
      </c>
      <c r="E19" s="28">
        <v>36.99</v>
      </c>
      <c r="F19" s="28">
        <f t="shared" si="0"/>
        <v>5</v>
      </c>
      <c r="G19" s="27"/>
      <c r="H19" s="26" t="s">
        <v>92</v>
      </c>
      <c r="I19" s="26" t="s">
        <v>93</v>
      </c>
      <c r="J19" s="27"/>
      <c r="K19" s="27"/>
    </row>
    <row r="20" spans="1:11" x14ac:dyDescent="0.3">
      <c r="A20" s="26">
        <v>17</v>
      </c>
      <c r="B20" s="26" t="s">
        <v>94</v>
      </c>
      <c r="C20" s="27">
        <v>450</v>
      </c>
      <c r="D20" s="27">
        <v>1</v>
      </c>
      <c r="E20" s="28">
        <v>43.01</v>
      </c>
      <c r="F20" s="28">
        <f t="shared" si="0"/>
        <v>20</v>
      </c>
      <c r="G20" s="28" t="s">
        <v>95</v>
      </c>
      <c r="H20" s="28"/>
      <c r="I20" s="27"/>
      <c r="J20" s="27"/>
      <c r="K20" s="27"/>
    </row>
    <row r="21" spans="1:11" x14ac:dyDescent="0.3">
      <c r="A21" s="26">
        <v>18</v>
      </c>
      <c r="B21" s="26" t="s">
        <v>94</v>
      </c>
      <c r="C21" s="27">
        <v>450</v>
      </c>
      <c r="D21" s="27">
        <v>2</v>
      </c>
      <c r="E21" s="28">
        <v>46.021000000000001</v>
      </c>
      <c r="F21" s="28">
        <f t="shared" si="0"/>
        <v>40</v>
      </c>
      <c r="G21" s="28" t="s">
        <v>96</v>
      </c>
      <c r="H21" s="28"/>
      <c r="I21" s="27"/>
      <c r="J21" s="27"/>
      <c r="K21" s="27"/>
    </row>
    <row r="22" spans="1:11" x14ac:dyDescent="0.3">
      <c r="A22" s="26">
        <v>19</v>
      </c>
      <c r="B22" s="26" t="s">
        <v>97</v>
      </c>
      <c r="C22" s="27">
        <v>450</v>
      </c>
      <c r="D22" s="27">
        <v>1</v>
      </c>
      <c r="E22" s="28">
        <v>43.98</v>
      </c>
      <c r="F22" s="28">
        <f t="shared" si="0"/>
        <v>25</v>
      </c>
      <c r="G22" s="28" t="s">
        <v>98</v>
      </c>
      <c r="H22" s="28"/>
      <c r="I22" s="27"/>
      <c r="J22" s="27"/>
      <c r="K22" s="27"/>
    </row>
    <row r="23" spans="1:11" x14ac:dyDescent="0.3">
      <c r="A23" s="26">
        <v>20</v>
      </c>
      <c r="B23" s="26" t="s">
        <v>97</v>
      </c>
      <c r="C23" s="27">
        <v>450</v>
      </c>
      <c r="D23" s="27">
        <v>2</v>
      </c>
      <c r="E23" s="28">
        <v>46.99</v>
      </c>
      <c r="F23" s="28">
        <f t="shared" si="0"/>
        <v>50</v>
      </c>
      <c r="G23" s="28" t="s">
        <v>98</v>
      </c>
      <c r="H23" s="28"/>
      <c r="I23" s="27"/>
      <c r="J23" s="27"/>
      <c r="K23" s="27"/>
    </row>
    <row r="24" spans="1:11" x14ac:dyDescent="0.3">
      <c r="A24" s="26">
        <v>21</v>
      </c>
      <c r="B24" s="26" t="s">
        <v>99</v>
      </c>
      <c r="C24" s="26">
        <v>900</v>
      </c>
      <c r="D24" s="27">
        <v>2</v>
      </c>
      <c r="E24" s="28">
        <v>48.299500000000002</v>
      </c>
      <c r="F24" s="28">
        <f t="shared" si="0"/>
        <v>67.599999999999994</v>
      </c>
      <c r="G24" s="28" t="s">
        <v>100</v>
      </c>
      <c r="H24" s="28"/>
      <c r="I24" s="27"/>
      <c r="J24" s="27"/>
      <c r="K24" s="27"/>
    </row>
    <row r="25" spans="1:11" x14ac:dyDescent="0.3">
      <c r="A25" s="26">
        <v>22</v>
      </c>
      <c r="B25" s="27" t="s">
        <v>99</v>
      </c>
      <c r="C25" s="27">
        <v>900</v>
      </c>
      <c r="D25" s="27">
        <v>4</v>
      </c>
      <c r="E25" s="28">
        <v>48.006999999999998</v>
      </c>
      <c r="F25" s="28">
        <f t="shared" si="0"/>
        <v>63.2</v>
      </c>
      <c r="G25" s="28" t="s">
        <v>100</v>
      </c>
      <c r="H25" s="28"/>
      <c r="I25" s="27"/>
      <c r="J25" s="27"/>
      <c r="K25" s="27"/>
    </row>
    <row r="26" spans="1:11" x14ac:dyDescent="0.3">
      <c r="A26" s="26">
        <v>23</v>
      </c>
      <c r="B26" s="26" t="s">
        <v>99</v>
      </c>
      <c r="C26" s="26">
        <v>1800</v>
      </c>
      <c r="D26" s="27">
        <v>2</v>
      </c>
      <c r="E26" s="28">
        <v>46.8</v>
      </c>
      <c r="F26" s="28">
        <f t="shared" si="0"/>
        <v>47.86</v>
      </c>
      <c r="G26" s="28" t="s">
        <v>100</v>
      </c>
      <c r="H26" s="28"/>
      <c r="I26" s="27"/>
      <c r="J26" s="27"/>
      <c r="K26" s="27"/>
    </row>
    <row r="27" spans="1:11" x14ac:dyDescent="0.3">
      <c r="A27" s="26">
        <v>24</v>
      </c>
      <c r="B27" s="27" t="s">
        <v>99</v>
      </c>
      <c r="C27" s="27">
        <v>1800</v>
      </c>
      <c r="D27" s="27">
        <v>4</v>
      </c>
      <c r="E27" s="28">
        <v>46.51</v>
      </c>
      <c r="F27" s="28">
        <f t="shared" si="0"/>
        <v>44.77</v>
      </c>
      <c r="G27" s="28" t="s">
        <v>100</v>
      </c>
      <c r="H27" s="28"/>
      <c r="I27" s="27"/>
      <c r="J27" s="27"/>
      <c r="K27" s="27"/>
    </row>
    <row r="28" spans="1:11" x14ac:dyDescent="0.3">
      <c r="A28" s="26">
        <v>25</v>
      </c>
      <c r="B28" s="26" t="s">
        <v>101</v>
      </c>
      <c r="C28" s="26">
        <v>900</v>
      </c>
      <c r="D28" s="27">
        <v>2</v>
      </c>
      <c r="E28" s="28">
        <v>48.51</v>
      </c>
      <c r="F28" s="28">
        <f t="shared" si="0"/>
        <v>70.959999999999994</v>
      </c>
      <c r="G28" s="28" t="s">
        <v>102</v>
      </c>
      <c r="H28" s="28"/>
      <c r="I28" s="27"/>
      <c r="J28" s="27"/>
      <c r="K28" s="27"/>
    </row>
    <row r="29" spans="1:11" x14ac:dyDescent="0.3">
      <c r="A29" s="26">
        <v>26</v>
      </c>
      <c r="B29" s="26" t="s">
        <v>101</v>
      </c>
      <c r="C29" s="26">
        <v>900</v>
      </c>
      <c r="D29" s="27">
        <v>3</v>
      </c>
      <c r="E29" s="28">
        <v>48.272500000000001</v>
      </c>
      <c r="F29" s="28">
        <f t="shared" si="0"/>
        <v>67.180000000000007</v>
      </c>
      <c r="G29" s="28" t="s">
        <v>102</v>
      </c>
      <c r="H29" s="28"/>
      <c r="I29" s="27"/>
      <c r="J29" s="27"/>
      <c r="K29" s="27"/>
    </row>
    <row r="30" spans="1:11" x14ac:dyDescent="0.3">
      <c r="A30" s="26">
        <v>27</v>
      </c>
      <c r="B30" s="26" t="s">
        <v>101</v>
      </c>
      <c r="C30" s="27">
        <v>900</v>
      </c>
      <c r="D30" s="27">
        <v>4</v>
      </c>
      <c r="E30" s="28">
        <v>48.021000000000001</v>
      </c>
      <c r="F30" s="28">
        <f t="shared" si="0"/>
        <v>63.4</v>
      </c>
      <c r="G30" s="28" t="s">
        <v>102</v>
      </c>
      <c r="H30" s="28"/>
      <c r="I30" s="27"/>
      <c r="J30" s="27"/>
      <c r="K30" s="27"/>
    </row>
    <row r="31" spans="1:11" x14ac:dyDescent="0.3">
      <c r="A31" s="26">
        <v>28</v>
      </c>
      <c r="B31" s="26" t="s">
        <v>101</v>
      </c>
      <c r="C31" s="26">
        <v>1800</v>
      </c>
      <c r="D31" s="27">
        <v>2</v>
      </c>
      <c r="E31" s="28">
        <v>48.01</v>
      </c>
      <c r="F31" s="28">
        <f t="shared" si="0"/>
        <v>63.24</v>
      </c>
      <c r="G31" s="28" t="s">
        <v>102</v>
      </c>
      <c r="H31" s="28"/>
      <c r="I31" s="27"/>
      <c r="J31" s="27"/>
      <c r="K31" s="27"/>
    </row>
    <row r="32" spans="1:11" x14ac:dyDescent="0.3">
      <c r="A32" s="26">
        <v>29</v>
      </c>
      <c r="B32" s="26" t="s">
        <v>101</v>
      </c>
      <c r="C32" s="26">
        <v>1800</v>
      </c>
      <c r="D32" s="27">
        <v>3</v>
      </c>
      <c r="E32" s="28">
        <v>47.773000000000003</v>
      </c>
      <c r="F32" s="28">
        <f t="shared" si="0"/>
        <v>59.88</v>
      </c>
      <c r="G32" s="28" t="s">
        <v>102</v>
      </c>
      <c r="H32" s="28"/>
      <c r="I32" s="27"/>
      <c r="J32" s="27"/>
      <c r="K32" s="27"/>
    </row>
    <row r="33" spans="1:11" x14ac:dyDescent="0.3">
      <c r="A33" s="26">
        <v>30</v>
      </c>
      <c r="B33" s="26" t="s">
        <v>101</v>
      </c>
      <c r="C33" s="27">
        <v>1800</v>
      </c>
      <c r="D33" s="27">
        <v>4</v>
      </c>
      <c r="E33" s="28">
        <v>47.521999999999998</v>
      </c>
      <c r="F33" s="28">
        <f t="shared" si="0"/>
        <v>56.52</v>
      </c>
      <c r="G33" s="28" t="s">
        <v>102</v>
      </c>
      <c r="H33" s="28"/>
      <c r="I33" s="27"/>
      <c r="J33" s="27"/>
      <c r="K33" s="27"/>
    </row>
    <row r="34" spans="1:11" x14ac:dyDescent="0.3">
      <c r="A34" s="26">
        <v>31</v>
      </c>
      <c r="B34" s="26" t="s">
        <v>103</v>
      </c>
      <c r="C34" s="26">
        <v>900</v>
      </c>
      <c r="D34" s="27">
        <v>2</v>
      </c>
      <c r="E34" s="28">
        <v>48.299500000000002</v>
      </c>
      <c r="F34" s="28">
        <f t="shared" si="0"/>
        <v>67.599999999999994</v>
      </c>
      <c r="G34" s="28" t="s">
        <v>104</v>
      </c>
      <c r="H34" s="28"/>
      <c r="I34" s="27"/>
      <c r="J34" s="27"/>
      <c r="K34" s="27"/>
    </row>
    <row r="35" spans="1:11" x14ac:dyDescent="0.3">
      <c r="A35" s="26">
        <v>32</v>
      </c>
      <c r="B35" s="26" t="s">
        <v>103</v>
      </c>
      <c r="C35" s="27">
        <v>900</v>
      </c>
      <c r="D35" s="27">
        <v>4</v>
      </c>
      <c r="E35" s="28">
        <v>48.006999999999998</v>
      </c>
      <c r="F35" s="28">
        <f t="shared" si="0"/>
        <v>63.2</v>
      </c>
      <c r="G35" s="28" t="s">
        <v>104</v>
      </c>
      <c r="H35" s="28"/>
      <c r="I35" s="27"/>
      <c r="J35" s="27"/>
      <c r="K35" s="27"/>
    </row>
    <row r="36" spans="1:11" x14ac:dyDescent="0.3">
      <c r="A36" s="26">
        <v>33</v>
      </c>
      <c r="B36" s="26" t="s">
        <v>103</v>
      </c>
      <c r="C36" s="26">
        <v>1800</v>
      </c>
      <c r="D36" s="27">
        <v>2</v>
      </c>
      <c r="E36" s="28">
        <v>46.8</v>
      </c>
      <c r="F36" s="28">
        <f t="shared" si="0"/>
        <v>47.86</v>
      </c>
      <c r="G36" s="28" t="s">
        <v>104</v>
      </c>
      <c r="H36" s="28"/>
      <c r="I36" s="27"/>
      <c r="J36" s="27"/>
      <c r="K36" s="27"/>
    </row>
    <row r="37" spans="1:11" x14ac:dyDescent="0.3">
      <c r="A37" s="26">
        <v>34</v>
      </c>
      <c r="B37" s="26" t="s">
        <v>103</v>
      </c>
      <c r="C37" s="27">
        <v>1800</v>
      </c>
      <c r="D37" s="27">
        <v>4</v>
      </c>
      <c r="E37" s="28">
        <v>46.51</v>
      </c>
      <c r="F37" s="28">
        <f t="shared" si="0"/>
        <v>44.77</v>
      </c>
      <c r="G37" s="28" t="s">
        <v>104</v>
      </c>
      <c r="H37" s="28"/>
      <c r="I37" s="27"/>
      <c r="J37" s="27"/>
      <c r="K37" s="27"/>
    </row>
    <row r="38" spans="1:11" x14ac:dyDescent="0.3">
      <c r="A38" s="26">
        <v>35</v>
      </c>
      <c r="B38" s="26" t="s">
        <v>105</v>
      </c>
      <c r="C38" s="26">
        <v>900</v>
      </c>
      <c r="D38" s="27">
        <v>2</v>
      </c>
      <c r="E38" s="28">
        <v>48.299500000000002</v>
      </c>
      <c r="F38" s="28">
        <f t="shared" si="0"/>
        <v>67.599999999999994</v>
      </c>
      <c r="G38" s="28" t="s">
        <v>100</v>
      </c>
      <c r="H38" s="28"/>
      <c r="I38" s="27"/>
      <c r="J38" s="27"/>
      <c r="K38" s="27"/>
    </row>
    <row r="39" spans="1:11" x14ac:dyDescent="0.3">
      <c r="A39" s="26">
        <v>36</v>
      </c>
      <c r="B39" s="27" t="s">
        <v>105</v>
      </c>
      <c r="C39" s="27">
        <v>900</v>
      </c>
      <c r="D39" s="27">
        <v>4</v>
      </c>
      <c r="E39" s="28">
        <v>48.006999999999998</v>
      </c>
      <c r="F39" s="28">
        <f t="shared" si="0"/>
        <v>63.2</v>
      </c>
      <c r="G39" s="28" t="s">
        <v>100</v>
      </c>
      <c r="H39" s="28"/>
      <c r="I39" s="27"/>
      <c r="J39" s="27"/>
      <c r="K39" s="27"/>
    </row>
    <row r="40" spans="1:11" x14ac:dyDescent="0.3">
      <c r="A40" s="26">
        <v>37</v>
      </c>
      <c r="B40" s="26" t="s">
        <v>105</v>
      </c>
      <c r="C40" s="26">
        <v>1800</v>
      </c>
      <c r="D40" s="27">
        <v>2</v>
      </c>
      <c r="E40" s="28">
        <v>46.8</v>
      </c>
      <c r="F40" s="28">
        <f t="shared" si="0"/>
        <v>47.86</v>
      </c>
      <c r="G40" s="28" t="s">
        <v>100</v>
      </c>
      <c r="H40" s="28"/>
      <c r="I40" s="27"/>
      <c r="J40" s="27"/>
      <c r="K40" s="27"/>
    </row>
    <row r="41" spans="1:11" x14ac:dyDescent="0.3">
      <c r="A41" s="26">
        <v>38</v>
      </c>
      <c r="B41" s="27" t="s">
        <v>105</v>
      </c>
      <c r="C41" s="27">
        <v>1800</v>
      </c>
      <c r="D41" s="27">
        <v>4</v>
      </c>
      <c r="E41" s="28">
        <v>46.51</v>
      </c>
      <c r="F41" s="28">
        <f t="shared" si="0"/>
        <v>44.77</v>
      </c>
      <c r="G41" s="28" t="s">
        <v>100</v>
      </c>
      <c r="H41" s="28"/>
      <c r="I41" s="27"/>
      <c r="J41" s="27"/>
      <c r="K41" s="27"/>
    </row>
    <row r="42" spans="1:11" x14ac:dyDescent="0.3">
      <c r="A42" s="26">
        <v>39</v>
      </c>
      <c r="B42" s="26" t="s">
        <v>106</v>
      </c>
      <c r="C42" s="26">
        <v>900</v>
      </c>
      <c r="D42" s="27">
        <v>2</v>
      </c>
      <c r="E42" s="28">
        <v>48.299500000000002</v>
      </c>
      <c r="F42" s="28">
        <f t="shared" si="0"/>
        <v>67.599999999999994</v>
      </c>
      <c r="G42" s="28" t="s">
        <v>100</v>
      </c>
      <c r="H42" s="28"/>
      <c r="I42" s="27"/>
      <c r="J42" s="27"/>
      <c r="K42" s="27"/>
    </row>
    <row r="43" spans="1:11" x14ac:dyDescent="0.3">
      <c r="A43" s="26">
        <v>40</v>
      </c>
      <c r="B43" s="26" t="s">
        <v>106</v>
      </c>
      <c r="C43" s="27">
        <v>900</v>
      </c>
      <c r="D43" s="27">
        <v>4</v>
      </c>
      <c r="E43" s="28">
        <v>48.006999999999998</v>
      </c>
      <c r="F43" s="28">
        <f t="shared" si="0"/>
        <v>63.2</v>
      </c>
      <c r="G43" s="28" t="s">
        <v>100</v>
      </c>
      <c r="H43" s="28"/>
      <c r="I43" s="27"/>
      <c r="J43" s="27"/>
      <c r="K43" s="27"/>
    </row>
    <row r="44" spans="1:11" x14ac:dyDescent="0.3">
      <c r="A44" s="26">
        <v>41</v>
      </c>
      <c r="B44" s="26" t="s">
        <v>106</v>
      </c>
      <c r="C44" s="26">
        <v>1800</v>
      </c>
      <c r="D44" s="27">
        <v>2</v>
      </c>
      <c r="E44" s="28">
        <v>46.8</v>
      </c>
      <c r="F44" s="28">
        <f t="shared" si="0"/>
        <v>47.86</v>
      </c>
      <c r="G44" s="28" t="s">
        <v>100</v>
      </c>
      <c r="H44" s="28"/>
      <c r="I44" s="27"/>
      <c r="J44" s="27"/>
      <c r="K44" s="27"/>
    </row>
    <row r="45" spans="1:11" x14ac:dyDescent="0.3">
      <c r="A45" s="26">
        <v>42</v>
      </c>
      <c r="B45" s="26" t="s">
        <v>106</v>
      </c>
      <c r="C45" s="27">
        <v>1800</v>
      </c>
      <c r="D45" s="27">
        <v>4</v>
      </c>
      <c r="E45" s="28">
        <v>46.51</v>
      </c>
      <c r="F45" s="28">
        <f t="shared" si="0"/>
        <v>44.77</v>
      </c>
      <c r="G45" s="28" t="s">
        <v>100</v>
      </c>
      <c r="H45" s="28"/>
      <c r="I45" s="27"/>
      <c r="J45" s="27"/>
      <c r="K45" s="27"/>
    </row>
    <row r="46" spans="1:11" x14ac:dyDescent="0.3">
      <c r="A46" s="26">
        <v>43</v>
      </c>
      <c r="B46" s="26" t="s">
        <v>107</v>
      </c>
      <c r="C46" s="26">
        <v>900</v>
      </c>
      <c r="D46" s="27">
        <v>2</v>
      </c>
      <c r="E46" s="28">
        <v>49.01</v>
      </c>
      <c r="F46" s="28">
        <f t="shared" si="0"/>
        <v>79.62</v>
      </c>
      <c r="G46" s="28" t="s">
        <v>102</v>
      </c>
      <c r="H46" s="28"/>
      <c r="I46" s="27"/>
      <c r="J46" s="27"/>
      <c r="K46" s="27"/>
    </row>
    <row r="47" spans="1:11" x14ac:dyDescent="0.3">
      <c r="A47" s="26">
        <v>44</v>
      </c>
      <c r="B47" s="26" t="s">
        <v>107</v>
      </c>
      <c r="C47" s="26">
        <v>900</v>
      </c>
      <c r="D47" s="27">
        <v>3</v>
      </c>
      <c r="E47" s="28">
        <v>48.771999999999998</v>
      </c>
      <c r="F47" s="28">
        <f t="shared" si="0"/>
        <v>75.37</v>
      </c>
      <c r="G47" s="28" t="s">
        <v>102</v>
      </c>
      <c r="H47" s="28"/>
      <c r="I47" s="27"/>
      <c r="J47" s="27"/>
      <c r="K47" s="27"/>
    </row>
    <row r="48" spans="1:11" x14ac:dyDescent="0.3">
      <c r="A48" s="26">
        <v>45</v>
      </c>
      <c r="B48" s="26" t="s">
        <v>107</v>
      </c>
      <c r="C48" s="27">
        <v>900</v>
      </c>
      <c r="D48" s="27">
        <v>4</v>
      </c>
      <c r="E48" s="28">
        <v>48.52</v>
      </c>
      <c r="F48" s="28">
        <f t="shared" si="0"/>
        <v>71.12</v>
      </c>
      <c r="G48" s="28" t="s">
        <v>102</v>
      </c>
      <c r="H48" s="28"/>
      <c r="I48" s="27"/>
      <c r="J48" s="27"/>
      <c r="K48" s="27"/>
    </row>
    <row r="49" spans="1:11" x14ac:dyDescent="0.3">
      <c r="A49" s="26">
        <v>46</v>
      </c>
      <c r="B49" s="26" t="s">
        <v>107</v>
      </c>
      <c r="C49" s="26">
        <v>1800</v>
      </c>
      <c r="D49" s="27">
        <v>2</v>
      </c>
      <c r="E49" s="28">
        <v>48.51</v>
      </c>
      <c r="F49" s="28">
        <f t="shared" si="0"/>
        <v>70.959999999999994</v>
      </c>
      <c r="G49" s="28" t="s">
        <v>102</v>
      </c>
      <c r="H49" s="28"/>
      <c r="I49" s="27"/>
      <c r="J49" s="27"/>
      <c r="K49" s="27"/>
    </row>
    <row r="50" spans="1:11" x14ac:dyDescent="0.3">
      <c r="A50" s="26">
        <v>47</v>
      </c>
      <c r="B50" s="26" t="s">
        <v>107</v>
      </c>
      <c r="C50" s="26">
        <v>1800</v>
      </c>
      <c r="D50" s="27">
        <v>3</v>
      </c>
      <c r="E50" s="28">
        <v>48.272500000000001</v>
      </c>
      <c r="F50" s="28">
        <f t="shared" si="0"/>
        <v>67.180000000000007</v>
      </c>
      <c r="G50" s="28" t="s">
        <v>102</v>
      </c>
      <c r="H50" s="28"/>
      <c r="I50" s="27"/>
      <c r="J50" s="27"/>
      <c r="K50" s="27"/>
    </row>
    <row r="51" spans="1:11" x14ac:dyDescent="0.3">
      <c r="A51" s="26">
        <v>48</v>
      </c>
      <c r="B51" s="26" t="s">
        <v>107</v>
      </c>
      <c r="C51" s="27">
        <v>1800</v>
      </c>
      <c r="D51" s="27">
        <v>4</v>
      </c>
      <c r="E51" s="28">
        <v>48.021000000000001</v>
      </c>
      <c r="F51" s="28">
        <f t="shared" si="0"/>
        <v>63.4</v>
      </c>
      <c r="G51" s="28" t="s">
        <v>102</v>
      </c>
      <c r="H51" s="28"/>
      <c r="I51" s="27"/>
      <c r="J51" s="27"/>
      <c r="K51" s="27"/>
    </row>
    <row r="52" spans="1:11" x14ac:dyDescent="0.3">
      <c r="A52" s="26">
        <v>49</v>
      </c>
      <c r="B52" s="26" t="s">
        <v>108</v>
      </c>
      <c r="C52" s="27">
        <v>2100</v>
      </c>
      <c r="D52" s="27">
        <v>1</v>
      </c>
      <c r="E52" s="28">
        <v>43.01</v>
      </c>
      <c r="F52" s="28">
        <f t="shared" si="0"/>
        <v>20</v>
      </c>
      <c r="G52" s="28" t="s">
        <v>109</v>
      </c>
      <c r="H52" s="28" t="s">
        <v>92</v>
      </c>
      <c r="I52" s="27"/>
      <c r="J52" s="27"/>
      <c r="K52" s="27"/>
    </row>
    <row r="53" spans="1:11" x14ac:dyDescent="0.3">
      <c r="A53" s="26">
        <v>50</v>
      </c>
      <c r="B53" s="27" t="s">
        <v>108</v>
      </c>
      <c r="C53" s="27">
        <v>2100</v>
      </c>
      <c r="D53" s="27">
        <v>2</v>
      </c>
      <c r="E53" s="28">
        <v>46.021000000000001</v>
      </c>
      <c r="F53" s="28">
        <f t="shared" si="0"/>
        <v>40</v>
      </c>
      <c r="G53" s="28" t="s">
        <v>109</v>
      </c>
      <c r="H53" s="28" t="s">
        <v>92</v>
      </c>
      <c r="I53" s="27"/>
      <c r="J53" s="27"/>
      <c r="K53" s="27"/>
    </row>
    <row r="54" spans="1:11" x14ac:dyDescent="0.3">
      <c r="A54" s="26">
        <v>51</v>
      </c>
      <c r="B54" s="27" t="s">
        <v>108</v>
      </c>
      <c r="C54" s="27">
        <v>2100</v>
      </c>
      <c r="D54" s="27">
        <v>3</v>
      </c>
      <c r="E54" s="28">
        <v>47.781500000000001</v>
      </c>
      <c r="F54" s="28">
        <f t="shared" si="0"/>
        <v>60</v>
      </c>
      <c r="G54" s="28" t="s">
        <v>109</v>
      </c>
      <c r="H54" s="28" t="s">
        <v>92</v>
      </c>
      <c r="I54" s="27"/>
      <c r="J54" s="27"/>
      <c r="K54" s="27"/>
    </row>
    <row r="55" spans="1:11" x14ac:dyDescent="0.3">
      <c r="A55" s="26">
        <v>52</v>
      </c>
      <c r="B55" s="26" t="s">
        <v>110</v>
      </c>
      <c r="C55" s="27">
        <v>2100</v>
      </c>
      <c r="D55" s="27">
        <v>1</v>
      </c>
      <c r="E55" s="28">
        <v>43.01</v>
      </c>
      <c r="F55" s="28">
        <f t="shared" si="0"/>
        <v>20</v>
      </c>
      <c r="G55" s="28" t="s">
        <v>111</v>
      </c>
      <c r="H55" s="28" t="s">
        <v>92</v>
      </c>
      <c r="I55" s="27"/>
      <c r="J55" s="27"/>
      <c r="K55" s="27"/>
    </row>
    <row r="56" spans="1:11" x14ac:dyDescent="0.3">
      <c r="A56" s="26">
        <v>53</v>
      </c>
      <c r="B56" s="27" t="s">
        <v>110</v>
      </c>
      <c r="C56" s="27">
        <v>2100</v>
      </c>
      <c r="D56" s="27">
        <v>2</v>
      </c>
      <c r="E56" s="28">
        <v>46.021000000000001</v>
      </c>
      <c r="F56" s="28">
        <f t="shared" si="0"/>
        <v>40</v>
      </c>
      <c r="G56" s="28" t="s">
        <v>111</v>
      </c>
      <c r="H56" s="28" t="s">
        <v>92</v>
      </c>
      <c r="I56" s="27"/>
      <c r="J56" s="27"/>
      <c r="K56" s="27"/>
    </row>
    <row r="57" spans="1:11" x14ac:dyDescent="0.3">
      <c r="A57" s="26">
        <v>54</v>
      </c>
      <c r="B57" s="27" t="s">
        <v>110</v>
      </c>
      <c r="C57" s="27">
        <v>2100</v>
      </c>
      <c r="D57" s="27">
        <v>3</v>
      </c>
      <c r="E57" s="28">
        <v>47.781500000000001</v>
      </c>
      <c r="F57" s="28">
        <f t="shared" si="0"/>
        <v>60</v>
      </c>
      <c r="G57" s="28" t="s">
        <v>111</v>
      </c>
      <c r="H57" s="28" t="s">
        <v>92</v>
      </c>
      <c r="I57" s="27"/>
      <c r="J57" s="27"/>
      <c r="K57" s="27"/>
    </row>
    <row r="58" spans="1:11" ht="27.6" x14ac:dyDescent="0.3">
      <c r="A58" s="26">
        <v>55</v>
      </c>
      <c r="B58" s="26" t="s">
        <v>112</v>
      </c>
      <c r="C58" s="27">
        <v>900</v>
      </c>
      <c r="D58" s="27">
        <v>2</v>
      </c>
      <c r="E58" s="28">
        <v>49.030999999999999</v>
      </c>
      <c r="F58" s="28">
        <f t="shared" si="0"/>
        <v>80</v>
      </c>
      <c r="G58" s="28" t="s">
        <v>113</v>
      </c>
      <c r="H58" s="28" t="s">
        <v>114</v>
      </c>
      <c r="I58" s="27"/>
      <c r="J58" s="27"/>
      <c r="K58" s="27"/>
    </row>
    <row r="59" spans="1:11" x14ac:dyDescent="0.3">
      <c r="A59" s="26">
        <v>56</v>
      </c>
      <c r="B59" s="26" t="s">
        <v>112</v>
      </c>
      <c r="C59" s="27">
        <v>900</v>
      </c>
      <c r="D59" s="27">
        <v>4</v>
      </c>
      <c r="E59" s="28">
        <v>49.030999999999999</v>
      </c>
      <c r="F59" s="28">
        <f t="shared" si="0"/>
        <v>80</v>
      </c>
      <c r="G59" s="28" t="s">
        <v>113</v>
      </c>
      <c r="H59" s="28" t="s">
        <v>115</v>
      </c>
      <c r="I59" s="27"/>
      <c r="J59" s="27"/>
      <c r="K59" s="27"/>
    </row>
    <row r="60" spans="1:11" ht="27.6" x14ac:dyDescent="0.3">
      <c r="A60" s="26">
        <v>59</v>
      </c>
      <c r="B60" s="26" t="s">
        <v>112</v>
      </c>
      <c r="C60" s="27">
        <v>1800</v>
      </c>
      <c r="D60" s="27">
        <v>2</v>
      </c>
      <c r="E60" s="28">
        <v>48.530999999999999</v>
      </c>
      <c r="F60" s="28">
        <f t="shared" si="0"/>
        <v>71.3</v>
      </c>
      <c r="G60" s="28" t="s">
        <v>113</v>
      </c>
      <c r="H60" s="28" t="s">
        <v>114</v>
      </c>
      <c r="I60" s="27"/>
      <c r="J60" s="27"/>
      <c r="K60" s="27"/>
    </row>
    <row r="61" spans="1:11" x14ac:dyDescent="0.3">
      <c r="A61" s="26">
        <v>60</v>
      </c>
      <c r="B61" s="26" t="s">
        <v>112</v>
      </c>
      <c r="C61" s="27">
        <v>1800</v>
      </c>
      <c r="D61" s="27">
        <v>4</v>
      </c>
      <c r="E61" s="28">
        <v>48.530999999999999</v>
      </c>
      <c r="F61" s="28">
        <f t="shared" si="0"/>
        <v>71.3</v>
      </c>
      <c r="G61" s="28" t="s">
        <v>113</v>
      </c>
      <c r="H61" s="28" t="s">
        <v>115</v>
      </c>
      <c r="I61" s="27"/>
      <c r="J61" s="27"/>
      <c r="K61" s="27"/>
    </row>
    <row r="62" spans="1:11" x14ac:dyDescent="0.3">
      <c r="A62" s="26">
        <v>63</v>
      </c>
      <c r="B62" s="26" t="s">
        <v>112</v>
      </c>
      <c r="C62" s="27">
        <v>2100</v>
      </c>
      <c r="D62" s="27">
        <v>1</v>
      </c>
      <c r="E62" s="28">
        <v>43.01</v>
      </c>
      <c r="F62" s="28">
        <f t="shared" si="0"/>
        <v>20</v>
      </c>
      <c r="G62" s="28" t="s">
        <v>113</v>
      </c>
      <c r="H62" s="28"/>
      <c r="I62" s="27"/>
      <c r="J62" s="27"/>
      <c r="K62" s="27"/>
    </row>
    <row r="63" spans="1:11" x14ac:dyDescent="0.3">
      <c r="A63" s="26">
        <v>64</v>
      </c>
      <c r="B63" s="26" t="s">
        <v>112</v>
      </c>
      <c r="C63" s="27">
        <v>2100</v>
      </c>
      <c r="D63" s="27">
        <v>2</v>
      </c>
      <c r="E63" s="28">
        <v>46.021000000000001</v>
      </c>
      <c r="F63" s="28">
        <f t="shared" si="0"/>
        <v>40</v>
      </c>
      <c r="G63" s="28" t="s">
        <v>113</v>
      </c>
      <c r="H63" s="28"/>
      <c r="I63" s="27"/>
      <c r="J63" s="27"/>
      <c r="K63" s="27"/>
    </row>
    <row r="64" spans="1:11" x14ac:dyDescent="0.3">
      <c r="A64" s="26">
        <v>65</v>
      </c>
      <c r="B64" s="26" t="s">
        <v>112</v>
      </c>
      <c r="C64" s="27">
        <v>2100</v>
      </c>
      <c r="D64" s="27">
        <v>3</v>
      </c>
      <c r="E64" s="28">
        <v>47.781500000000001</v>
      </c>
      <c r="F64" s="28">
        <f t="shared" si="0"/>
        <v>60</v>
      </c>
      <c r="G64" s="28" t="s">
        <v>113</v>
      </c>
      <c r="H64" s="28"/>
      <c r="I64" s="27"/>
      <c r="J64" s="27"/>
      <c r="K64" s="27"/>
    </row>
    <row r="65" spans="1:11" ht="27.6" x14ac:dyDescent="0.3">
      <c r="A65" s="26">
        <v>57</v>
      </c>
      <c r="B65" s="26" t="s">
        <v>116</v>
      </c>
      <c r="C65" s="27">
        <v>900</v>
      </c>
      <c r="D65" s="27">
        <v>2</v>
      </c>
      <c r="E65" s="28">
        <v>49.030999999999999</v>
      </c>
      <c r="F65" s="28">
        <f t="shared" si="0"/>
        <v>80</v>
      </c>
      <c r="G65" s="28" t="s">
        <v>113</v>
      </c>
      <c r="H65" s="28" t="s">
        <v>114</v>
      </c>
      <c r="I65" s="27"/>
      <c r="J65" s="27"/>
      <c r="K65" s="27"/>
    </row>
    <row r="66" spans="1:11" x14ac:dyDescent="0.3">
      <c r="A66" s="26">
        <v>58</v>
      </c>
      <c r="B66" s="26" t="s">
        <v>116</v>
      </c>
      <c r="C66" s="27">
        <v>900</v>
      </c>
      <c r="D66" s="27">
        <v>4</v>
      </c>
      <c r="E66" s="28">
        <v>49.030999999999999</v>
      </c>
      <c r="F66" s="28">
        <f t="shared" ref="F66:F130" si="1">ROUND(POWER(10,E66/10)/1000,2)</f>
        <v>80</v>
      </c>
      <c r="G66" s="28" t="s">
        <v>113</v>
      </c>
      <c r="H66" s="28" t="s">
        <v>115</v>
      </c>
      <c r="I66" s="27"/>
      <c r="J66" s="27"/>
      <c r="K66" s="27"/>
    </row>
    <row r="67" spans="1:11" ht="27.6" x14ac:dyDescent="0.3">
      <c r="A67" s="26">
        <v>61</v>
      </c>
      <c r="B67" s="26" t="s">
        <v>116</v>
      </c>
      <c r="C67" s="27">
        <v>1800</v>
      </c>
      <c r="D67" s="27">
        <v>2</v>
      </c>
      <c r="E67" s="28">
        <v>48.530999999999999</v>
      </c>
      <c r="F67" s="28">
        <f t="shared" si="1"/>
        <v>71.3</v>
      </c>
      <c r="G67" s="28" t="s">
        <v>113</v>
      </c>
      <c r="H67" s="28" t="s">
        <v>114</v>
      </c>
      <c r="I67" s="27"/>
      <c r="J67" s="27"/>
      <c r="K67" s="27"/>
    </row>
    <row r="68" spans="1:11" x14ac:dyDescent="0.3">
      <c r="A68" s="26">
        <v>62</v>
      </c>
      <c r="B68" s="26" t="s">
        <v>116</v>
      </c>
      <c r="C68" s="27">
        <v>1800</v>
      </c>
      <c r="D68" s="27">
        <v>4</v>
      </c>
      <c r="E68" s="28">
        <v>48.530999999999999</v>
      </c>
      <c r="F68" s="28">
        <f t="shared" si="1"/>
        <v>71.3</v>
      </c>
      <c r="G68" s="28" t="s">
        <v>113</v>
      </c>
      <c r="H68" s="28" t="s">
        <v>115</v>
      </c>
      <c r="I68" s="27"/>
      <c r="J68" s="27"/>
      <c r="K68" s="27"/>
    </row>
    <row r="69" spans="1:11" x14ac:dyDescent="0.3">
      <c r="A69" s="26">
        <v>66</v>
      </c>
      <c r="B69" s="26" t="s">
        <v>116</v>
      </c>
      <c r="C69" s="27">
        <v>2100</v>
      </c>
      <c r="D69" s="27">
        <v>1</v>
      </c>
      <c r="E69" s="28">
        <v>43.01</v>
      </c>
      <c r="F69" s="28">
        <f t="shared" si="1"/>
        <v>20</v>
      </c>
      <c r="G69" s="28" t="s">
        <v>113</v>
      </c>
      <c r="H69" s="28"/>
      <c r="I69" s="27"/>
      <c r="J69" s="27"/>
      <c r="K69" s="27"/>
    </row>
    <row r="70" spans="1:11" x14ac:dyDescent="0.3">
      <c r="A70" s="26">
        <v>67</v>
      </c>
      <c r="B70" s="26" t="s">
        <v>116</v>
      </c>
      <c r="C70" s="27">
        <v>2100</v>
      </c>
      <c r="D70" s="27">
        <v>2</v>
      </c>
      <c r="E70" s="28">
        <v>46.021000000000001</v>
      </c>
      <c r="F70" s="28">
        <f t="shared" si="1"/>
        <v>40</v>
      </c>
      <c r="G70" s="28" t="s">
        <v>113</v>
      </c>
      <c r="H70" s="28"/>
      <c r="I70" s="27"/>
      <c r="J70" s="27"/>
      <c r="K70" s="27"/>
    </row>
    <row r="71" spans="1:11" x14ac:dyDescent="0.3">
      <c r="A71" s="26">
        <v>68</v>
      </c>
      <c r="B71" s="26" t="s">
        <v>116</v>
      </c>
      <c r="C71" s="27">
        <v>2100</v>
      </c>
      <c r="D71" s="27">
        <v>3</v>
      </c>
      <c r="E71" s="28">
        <v>47.781500000000001</v>
      </c>
      <c r="F71" s="28">
        <f t="shared" si="1"/>
        <v>60</v>
      </c>
      <c r="G71" s="28" t="s">
        <v>113</v>
      </c>
      <c r="H71" s="28"/>
      <c r="I71" s="27"/>
      <c r="J71" s="27"/>
      <c r="K71" s="27"/>
    </row>
    <row r="72" spans="1:11" x14ac:dyDescent="0.3">
      <c r="A72" s="26">
        <v>69</v>
      </c>
      <c r="B72" s="26" t="s">
        <v>74</v>
      </c>
      <c r="C72" s="27">
        <v>2100</v>
      </c>
      <c r="D72" s="27">
        <v>1</v>
      </c>
      <c r="E72" s="28">
        <v>43.01</v>
      </c>
      <c r="F72" s="28">
        <f t="shared" si="1"/>
        <v>20</v>
      </c>
      <c r="G72" s="28" t="s">
        <v>117</v>
      </c>
      <c r="H72" s="28" t="s">
        <v>92</v>
      </c>
      <c r="I72" s="27"/>
      <c r="J72" s="27"/>
      <c r="K72" s="27"/>
    </row>
    <row r="73" spans="1:11" x14ac:dyDescent="0.3">
      <c r="A73" s="26">
        <v>70</v>
      </c>
      <c r="B73" s="26" t="s">
        <v>74</v>
      </c>
      <c r="C73" s="27">
        <v>2100</v>
      </c>
      <c r="D73" s="27">
        <v>2</v>
      </c>
      <c r="E73" s="28">
        <v>46.021000000000001</v>
      </c>
      <c r="F73" s="28">
        <f t="shared" si="1"/>
        <v>40</v>
      </c>
      <c r="G73" s="28" t="s">
        <v>117</v>
      </c>
      <c r="H73" s="28" t="s">
        <v>92</v>
      </c>
      <c r="I73" s="27"/>
      <c r="J73" s="27"/>
      <c r="K73" s="27"/>
    </row>
    <row r="74" spans="1:11" ht="27.6" x14ac:dyDescent="0.3">
      <c r="A74" s="26">
        <v>71</v>
      </c>
      <c r="B74" s="26" t="s">
        <v>74</v>
      </c>
      <c r="C74" s="27">
        <v>1800</v>
      </c>
      <c r="D74" s="27">
        <v>1</v>
      </c>
      <c r="E74" s="28">
        <v>46.021000000000001</v>
      </c>
      <c r="F74" s="28">
        <f t="shared" si="1"/>
        <v>40</v>
      </c>
      <c r="G74" s="28" t="s">
        <v>118</v>
      </c>
      <c r="H74" s="28" t="s">
        <v>119</v>
      </c>
      <c r="I74" s="29">
        <v>43398</v>
      </c>
      <c r="J74" s="26" t="s">
        <v>78</v>
      </c>
      <c r="K74" s="26" t="s">
        <v>120</v>
      </c>
    </row>
    <row r="75" spans="1:11" x14ac:dyDescent="0.3">
      <c r="A75" s="26">
        <v>72</v>
      </c>
      <c r="B75" s="26" t="s">
        <v>74</v>
      </c>
      <c r="C75" s="27">
        <v>1800</v>
      </c>
      <c r="D75" s="27">
        <v>3</v>
      </c>
      <c r="E75" s="28">
        <v>47.781500000000001</v>
      </c>
      <c r="F75" s="28">
        <f t="shared" si="1"/>
        <v>60</v>
      </c>
      <c r="G75" s="28" t="s">
        <v>117</v>
      </c>
      <c r="H75" s="28" t="s">
        <v>92</v>
      </c>
      <c r="I75" s="27"/>
      <c r="J75" s="27"/>
      <c r="K75" s="27"/>
    </row>
    <row r="76" spans="1:11" ht="27.6" x14ac:dyDescent="0.3">
      <c r="A76" s="26">
        <v>73</v>
      </c>
      <c r="B76" s="26" t="s">
        <v>74</v>
      </c>
      <c r="C76" s="27">
        <v>1800</v>
      </c>
      <c r="D76" s="27">
        <v>2</v>
      </c>
      <c r="E76" s="28">
        <v>46.021000000000001</v>
      </c>
      <c r="F76" s="28">
        <f t="shared" si="1"/>
        <v>40</v>
      </c>
      <c r="G76" s="28" t="s">
        <v>118</v>
      </c>
      <c r="H76" s="28" t="s">
        <v>119</v>
      </c>
      <c r="I76" s="29">
        <v>43398</v>
      </c>
      <c r="J76" s="26" t="s">
        <v>78</v>
      </c>
      <c r="K76" s="26" t="s">
        <v>120</v>
      </c>
    </row>
    <row r="77" spans="1:11" ht="27.6" x14ac:dyDescent="0.3">
      <c r="A77" s="26">
        <v>74</v>
      </c>
      <c r="B77" s="26" t="s">
        <v>74</v>
      </c>
      <c r="C77" s="27">
        <v>1800</v>
      </c>
      <c r="D77" s="27">
        <v>4</v>
      </c>
      <c r="E77" s="28">
        <v>49.030999999999999</v>
      </c>
      <c r="F77" s="28">
        <f t="shared" si="1"/>
        <v>80</v>
      </c>
      <c r="G77" s="28" t="s">
        <v>118</v>
      </c>
      <c r="H77" s="28" t="s">
        <v>119</v>
      </c>
      <c r="I77" s="29">
        <v>43398</v>
      </c>
      <c r="J77" s="26" t="s">
        <v>78</v>
      </c>
      <c r="K77" s="26" t="s">
        <v>120</v>
      </c>
    </row>
    <row r="78" spans="1:11" x14ac:dyDescent="0.3">
      <c r="A78" s="26">
        <v>75</v>
      </c>
      <c r="B78" s="26" t="s">
        <v>121</v>
      </c>
      <c r="C78" s="26">
        <v>900</v>
      </c>
      <c r="D78" s="27">
        <v>2</v>
      </c>
      <c r="E78" s="28">
        <v>49.79</v>
      </c>
      <c r="F78" s="28">
        <f t="shared" si="1"/>
        <v>95.28</v>
      </c>
      <c r="G78" s="28" t="s">
        <v>100</v>
      </c>
      <c r="H78" s="28"/>
      <c r="I78" s="27"/>
      <c r="J78" s="27"/>
      <c r="K78" s="27"/>
    </row>
    <row r="79" spans="1:11" x14ac:dyDescent="0.3">
      <c r="A79" s="26">
        <v>76</v>
      </c>
      <c r="B79" s="27" t="s">
        <v>121</v>
      </c>
      <c r="C79" s="27">
        <v>900</v>
      </c>
      <c r="D79" s="27">
        <v>4</v>
      </c>
      <c r="E79" s="28">
        <v>46.49</v>
      </c>
      <c r="F79" s="28">
        <f t="shared" si="1"/>
        <v>44.57</v>
      </c>
      <c r="G79" s="28" t="s">
        <v>100</v>
      </c>
      <c r="H79" s="28"/>
      <c r="I79" s="27"/>
      <c r="J79" s="27"/>
      <c r="K79" s="27"/>
    </row>
    <row r="80" spans="1:11" x14ac:dyDescent="0.3">
      <c r="A80" s="26">
        <v>77</v>
      </c>
      <c r="B80" s="27" t="s">
        <v>121</v>
      </c>
      <c r="C80" s="26">
        <v>1800</v>
      </c>
      <c r="D80" s="27">
        <v>2</v>
      </c>
      <c r="E80" s="28">
        <v>49.79</v>
      </c>
      <c r="F80" s="28">
        <f t="shared" si="1"/>
        <v>95.28</v>
      </c>
      <c r="G80" s="28" t="s">
        <v>100</v>
      </c>
      <c r="H80" s="28"/>
      <c r="I80" s="27"/>
      <c r="J80" s="27"/>
      <c r="K80" s="27"/>
    </row>
    <row r="81" spans="1:11" x14ac:dyDescent="0.3">
      <c r="A81" s="26">
        <v>78</v>
      </c>
      <c r="B81" s="27" t="s">
        <v>121</v>
      </c>
      <c r="C81" s="27">
        <v>1800</v>
      </c>
      <c r="D81" s="27">
        <v>4</v>
      </c>
      <c r="E81" s="28">
        <v>46.49</v>
      </c>
      <c r="F81" s="28">
        <f t="shared" si="1"/>
        <v>44.57</v>
      </c>
      <c r="G81" s="28" t="s">
        <v>100</v>
      </c>
      <c r="H81" s="28"/>
      <c r="I81" s="27"/>
      <c r="J81" s="27"/>
      <c r="K81" s="27"/>
    </row>
    <row r="82" spans="1:11" x14ac:dyDescent="0.3">
      <c r="A82" s="26">
        <v>79</v>
      </c>
      <c r="B82" s="26" t="s">
        <v>122</v>
      </c>
      <c r="C82" s="26">
        <v>900</v>
      </c>
      <c r="D82" s="27">
        <v>2</v>
      </c>
      <c r="E82" s="28">
        <v>49.31</v>
      </c>
      <c r="F82" s="28">
        <f t="shared" si="1"/>
        <v>85.31</v>
      </c>
      <c r="G82" s="28" t="s">
        <v>100</v>
      </c>
      <c r="H82" s="28"/>
      <c r="I82" s="27"/>
      <c r="J82" s="27"/>
      <c r="K82" s="27"/>
    </row>
    <row r="83" spans="1:11" x14ac:dyDescent="0.3">
      <c r="A83" s="26">
        <v>80</v>
      </c>
      <c r="B83" s="27" t="s">
        <v>122</v>
      </c>
      <c r="C83" s="27">
        <v>900</v>
      </c>
      <c r="D83" s="27">
        <v>4</v>
      </c>
      <c r="E83" s="28">
        <v>50.02</v>
      </c>
      <c r="F83" s="28">
        <f t="shared" si="1"/>
        <v>100.46</v>
      </c>
      <c r="G83" s="28" t="s">
        <v>100</v>
      </c>
      <c r="H83" s="28"/>
      <c r="I83" s="27"/>
      <c r="J83" s="27"/>
      <c r="K83" s="27"/>
    </row>
    <row r="84" spans="1:11" x14ac:dyDescent="0.3">
      <c r="A84" s="26">
        <v>81</v>
      </c>
      <c r="B84" s="26" t="s">
        <v>122</v>
      </c>
      <c r="C84" s="26">
        <v>1800</v>
      </c>
      <c r="D84" s="27">
        <v>2</v>
      </c>
      <c r="E84" s="28">
        <v>49.02</v>
      </c>
      <c r="F84" s="28">
        <f t="shared" si="1"/>
        <v>79.8</v>
      </c>
      <c r="G84" s="28" t="s">
        <v>100</v>
      </c>
      <c r="H84" s="28"/>
      <c r="I84" s="27"/>
      <c r="J84" s="27"/>
      <c r="K84" s="27"/>
    </row>
    <row r="85" spans="1:11" x14ac:dyDescent="0.3">
      <c r="A85" s="26">
        <v>82</v>
      </c>
      <c r="B85" s="27" t="s">
        <v>122</v>
      </c>
      <c r="C85" s="27">
        <v>1800</v>
      </c>
      <c r="D85" s="27">
        <v>4</v>
      </c>
      <c r="E85" s="28">
        <v>49.52</v>
      </c>
      <c r="F85" s="28">
        <f t="shared" si="1"/>
        <v>89.54</v>
      </c>
      <c r="G85" s="28" t="s">
        <v>100</v>
      </c>
      <c r="H85" s="28"/>
      <c r="I85" s="27"/>
      <c r="J85" s="27"/>
      <c r="K85" s="27"/>
    </row>
    <row r="86" spans="1:11" x14ac:dyDescent="0.3">
      <c r="A86" s="26">
        <v>83</v>
      </c>
      <c r="B86" s="27" t="s">
        <v>75</v>
      </c>
      <c r="C86" s="26">
        <v>900</v>
      </c>
      <c r="D86" s="27">
        <v>1</v>
      </c>
      <c r="E86" s="28">
        <v>49.542499999999997</v>
      </c>
      <c r="F86" s="28">
        <f t="shared" si="1"/>
        <v>90</v>
      </c>
      <c r="G86" s="28" t="s">
        <v>123</v>
      </c>
      <c r="H86" s="28"/>
      <c r="I86" s="27"/>
      <c r="J86" s="27"/>
      <c r="K86" s="27"/>
    </row>
    <row r="87" spans="1:11" x14ac:dyDescent="0.3">
      <c r="A87" s="26">
        <v>84</v>
      </c>
      <c r="B87" s="27" t="s">
        <v>75</v>
      </c>
      <c r="C87" s="26">
        <v>900</v>
      </c>
      <c r="D87" s="27">
        <v>2</v>
      </c>
      <c r="E87" s="28">
        <v>49.542499999999997</v>
      </c>
      <c r="F87" s="28">
        <f t="shared" si="1"/>
        <v>90</v>
      </c>
      <c r="G87" s="28" t="s">
        <v>123</v>
      </c>
      <c r="H87" s="28"/>
      <c r="I87" s="27"/>
      <c r="J87" s="27"/>
      <c r="K87" s="27"/>
    </row>
    <row r="88" spans="1:11" x14ac:dyDescent="0.3">
      <c r="A88" s="26">
        <v>85</v>
      </c>
      <c r="B88" s="27" t="s">
        <v>75</v>
      </c>
      <c r="C88" s="27">
        <v>900</v>
      </c>
      <c r="D88" s="27">
        <v>3</v>
      </c>
      <c r="E88" s="28">
        <v>46.021000000000001</v>
      </c>
      <c r="F88" s="28">
        <f t="shared" si="1"/>
        <v>40</v>
      </c>
      <c r="G88" s="28" t="s">
        <v>123</v>
      </c>
      <c r="H88" s="28"/>
      <c r="I88" s="27"/>
      <c r="J88" s="27"/>
      <c r="K88" s="27"/>
    </row>
    <row r="89" spans="1:11" x14ac:dyDescent="0.3">
      <c r="A89" s="26">
        <v>86</v>
      </c>
      <c r="B89" s="27" t="s">
        <v>75</v>
      </c>
      <c r="C89" s="27">
        <v>900</v>
      </c>
      <c r="D89" s="27">
        <v>4</v>
      </c>
      <c r="E89" s="28">
        <v>46.021000000000001</v>
      </c>
      <c r="F89" s="28">
        <f t="shared" si="1"/>
        <v>40</v>
      </c>
      <c r="G89" s="28" t="s">
        <v>123</v>
      </c>
      <c r="H89" s="28"/>
      <c r="I89" s="27"/>
      <c r="J89" s="27"/>
      <c r="K89" s="27"/>
    </row>
    <row r="90" spans="1:11" x14ac:dyDescent="0.3">
      <c r="A90" s="26">
        <v>87</v>
      </c>
      <c r="B90" s="27" t="s">
        <v>75</v>
      </c>
      <c r="C90" s="26">
        <v>1800</v>
      </c>
      <c r="D90" s="27">
        <v>2</v>
      </c>
      <c r="E90" s="28">
        <v>49.030999999999999</v>
      </c>
      <c r="F90" s="28">
        <f t="shared" si="1"/>
        <v>80</v>
      </c>
      <c r="G90" s="28" t="s">
        <v>123</v>
      </c>
      <c r="H90" s="28"/>
      <c r="I90" s="27"/>
      <c r="J90" s="27"/>
      <c r="K90" s="27"/>
    </row>
    <row r="91" spans="1:11" x14ac:dyDescent="0.3">
      <c r="A91" s="26">
        <v>88</v>
      </c>
      <c r="B91" s="27" t="s">
        <v>75</v>
      </c>
      <c r="C91" s="27">
        <v>1800</v>
      </c>
      <c r="D91" s="27">
        <v>4</v>
      </c>
      <c r="E91" s="28">
        <v>45.562999999999995</v>
      </c>
      <c r="F91" s="28">
        <f t="shared" si="1"/>
        <v>36</v>
      </c>
      <c r="G91" s="28" t="s">
        <v>123</v>
      </c>
      <c r="H91" s="28"/>
      <c r="I91" s="27"/>
      <c r="J91" s="27"/>
      <c r="K91" s="27"/>
    </row>
    <row r="92" spans="1:11" x14ac:dyDescent="0.3">
      <c r="A92" s="26">
        <v>89</v>
      </c>
      <c r="B92" s="27" t="s">
        <v>75</v>
      </c>
      <c r="C92" s="27">
        <v>2100</v>
      </c>
      <c r="D92" s="27">
        <v>1</v>
      </c>
      <c r="E92" s="28">
        <v>43.01</v>
      </c>
      <c r="F92" s="28">
        <f t="shared" si="1"/>
        <v>20</v>
      </c>
      <c r="G92" s="28" t="s">
        <v>124</v>
      </c>
      <c r="H92" s="28" t="s">
        <v>92</v>
      </c>
      <c r="I92" s="27"/>
      <c r="J92" s="27"/>
      <c r="K92" s="27"/>
    </row>
    <row r="93" spans="1:11" x14ac:dyDescent="0.3">
      <c r="A93" s="26">
        <v>90</v>
      </c>
      <c r="B93" s="27" t="s">
        <v>75</v>
      </c>
      <c r="C93" s="27">
        <v>2100</v>
      </c>
      <c r="D93" s="27">
        <v>2</v>
      </c>
      <c r="E93" s="28">
        <v>46.021000000000001</v>
      </c>
      <c r="F93" s="28">
        <f t="shared" si="1"/>
        <v>40</v>
      </c>
      <c r="G93" s="28" t="s">
        <v>124</v>
      </c>
      <c r="H93" s="28" t="s">
        <v>92</v>
      </c>
      <c r="I93" s="27"/>
      <c r="J93" s="27"/>
      <c r="K93" s="27"/>
    </row>
    <row r="94" spans="1:11" x14ac:dyDescent="0.3">
      <c r="A94" s="26">
        <v>91</v>
      </c>
      <c r="B94" s="27" t="s">
        <v>75</v>
      </c>
      <c r="C94" s="27">
        <v>2100</v>
      </c>
      <c r="D94" s="27">
        <v>3</v>
      </c>
      <c r="E94" s="28">
        <v>47.781500000000001</v>
      </c>
      <c r="F94" s="28">
        <f t="shared" si="1"/>
        <v>60</v>
      </c>
      <c r="G94" s="28" t="s">
        <v>124</v>
      </c>
      <c r="H94" s="28" t="s">
        <v>92</v>
      </c>
      <c r="I94" s="27"/>
      <c r="J94" s="27"/>
      <c r="K94" s="27"/>
    </row>
    <row r="95" spans="1:11" x14ac:dyDescent="0.3">
      <c r="A95" s="26">
        <v>92</v>
      </c>
      <c r="B95" s="27" t="s">
        <v>125</v>
      </c>
      <c r="C95" s="26">
        <v>900</v>
      </c>
      <c r="D95" s="27">
        <v>2</v>
      </c>
      <c r="E95" s="28">
        <v>49.542499999999997</v>
      </c>
      <c r="F95" s="28">
        <f t="shared" si="1"/>
        <v>90</v>
      </c>
      <c r="G95" s="28" t="s">
        <v>123</v>
      </c>
      <c r="H95" s="28"/>
      <c r="I95" s="27"/>
      <c r="J95" s="27"/>
      <c r="K95" s="27"/>
    </row>
    <row r="96" spans="1:11" x14ac:dyDescent="0.3">
      <c r="A96" s="26">
        <v>93</v>
      </c>
      <c r="B96" s="27" t="s">
        <v>125</v>
      </c>
      <c r="C96" s="27">
        <v>900</v>
      </c>
      <c r="D96" s="27">
        <v>4</v>
      </c>
      <c r="E96" s="28">
        <v>46.021000000000001</v>
      </c>
      <c r="F96" s="28">
        <f t="shared" si="1"/>
        <v>40</v>
      </c>
      <c r="G96" s="28" t="s">
        <v>123</v>
      </c>
      <c r="H96" s="28"/>
      <c r="I96" s="27"/>
      <c r="J96" s="27"/>
      <c r="K96" s="27"/>
    </row>
    <row r="97" spans="1:11" x14ac:dyDescent="0.3">
      <c r="A97" s="26">
        <v>94</v>
      </c>
      <c r="B97" s="26" t="s">
        <v>73</v>
      </c>
      <c r="C97" s="26">
        <v>900</v>
      </c>
      <c r="D97" s="27">
        <v>2</v>
      </c>
      <c r="E97" s="28">
        <v>44.771500000000003</v>
      </c>
      <c r="F97" s="28">
        <f t="shared" si="1"/>
        <v>30</v>
      </c>
      <c r="G97" s="28" t="s">
        <v>126</v>
      </c>
      <c r="H97" s="28" t="s">
        <v>127</v>
      </c>
      <c r="I97" s="27"/>
      <c r="J97" s="27"/>
      <c r="K97" s="27"/>
    </row>
    <row r="98" spans="1:11" x14ac:dyDescent="0.3">
      <c r="A98" s="26">
        <v>95</v>
      </c>
      <c r="B98" s="27" t="s">
        <v>73</v>
      </c>
      <c r="C98" s="27">
        <v>900</v>
      </c>
      <c r="D98" s="27">
        <v>4</v>
      </c>
      <c r="E98" s="28">
        <v>41.761500000000005</v>
      </c>
      <c r="F98" s="28">
        <f t="shared" si="1"/>
        <v>15</v>
      </c>
      <c r="G98" s="28" t="s">
        <v>126</v>
      </c>
      <c r="H98" s="28" t="s">
        <v>127</v>
      </c>
      <c r="I98" s="27"/>
      <c r="J98" s="27"/>
      <c r="K98" s="27"/>
    </row>
    <row r="99" spans="1:11" x14ac:dyDescent="0.3">
      <c r="A99" s="26">
        <v>96</v>
      </c>
      <c r="B99" s="26" t="s">
        <v>73</v>
      </c>
      <c r="C99" s="26">
        <v>1800</v>
      </c>
      <c r="D99" s="27">
        <v>2</v>
      </c>
      <c r="E99" s="28">
        <v>43.01</v>
      </c>
      <c r="F99" s="28">
        <f t="shared" si="1"/>
        <v>20</v>
      </c>
      <c r="G99" s="28" t="s">
        <v>126</v>
      </c>
      <c r="H99" s="28"/>
      <c r="I99" s="27"/>
      <c r="J99" s="27"/>
      <c r="K99" s="27"/>
    </row>
    <row r="100" spans="1:11" x14ac:dyDescent="0.3">
      <c r="A100" s="26">
        <v>97</v>
      </c>
      <c r="B100" s="27" t="s">
        <v>73</v>
      </c>
      <c r="C100" s="27">
        <v>1800</v>
      </c>
      <c r="D100" s="27">
        <v>4</v>
      </c>
      <c r="E100" s="28">
        <v>40</v>
      </c>
      <c r="F100" s="28">
        <f t="shared" si="1"/>
        <v>10</v>
      </c>
      <c r="G100" s="28" t="s">
        <v>126</v>
      </c>
      <c r="H100" s="28"/>
      <c r="I100" s="27"/>
      <c r="J100" s="27"/>
      <c r="K100" s="27"/>
    </row>
    <row r="101" spans="1:11" x14ac:dyDescent="0.3">
      <c r="A101" s="26">
        <v>98</v>
      </c>
      <c r="B101" s="26" t="s">
        <v>73</v>
      </c>
      <c r="C101" s="27">
        <v>2100</v>
      </c>
      <c r="D101" s="27">
        <v>1</v>
      </c>
      <c r="E101" s="28">
        <v>43.01</v>
      </c>
      <c r="F101" s="28">
        <f t="shared" si="1"/>
        <v>20</v>
      </c>
      <c r="G101" s="28" t="s">
        <v>126</v>
      </c>
      <c r="H101" s="28" t="s">
        <v>92</v>
      </c>
      <c r="I101" s="27"/>
      <c r="J101" s="27"/>
      <c r="K101" s="27"/>
    </row>
    <row r="102" spans="1:11" x14ac:dyDescent="0.3">
      <c r="A102" s="26">
        <v>99</v>
      </c>
      <c r="B102" s="27" t="s">
        <v>73</v>
      </c>
      <c r="C102" s="27">
        <v>2100</v>
      </c>
      <c r="D102" s="27">
        <v>2</v>
      </c>
      <c r="E102" s="28">
        <v>46.021000000000001</v>
      </c>
      <c r="F102" s="28">
        <f t="shared" si="1"/>
        <v>40</v>
      </c>
      <c r="G102" s="28" t="s">
        <v>126</v>
      </c>
      <c r="H102" s="28" t="s">
        <v>92</v>
      </c>
      <c r="I102" s="27"/>
      <c r="J102" s="27"/>
      <c r="K102" s="27"/>
    </row>
    <row r="103" spans="1:11" x14ac:dyDescent="0.3">
      <c r="A103" s="26">
        <v>100</v>
      </c>
      <c r="B103" s="27" t="s">
        <v>73</v>
      </c>
      <c r="C103" s="27">
        <v>2100</v>
      </c>
      <c r="D103" s="27">
        <v>3</v>
      </c>
      <c r="E103" s="28">
        <v>47.781500000000001</v>
      </c>
      <c r="F103" s="28">
        <f t="shared" si="1"/>
        <v>60</v>
      </c>
      <c r="G103" s="28" t="s">
        <v>126</v>
      </c>
      <c r="H103" s="28" t="s">
        <v>92</v>
      </c>
      <c r="I103" s="27"/>
      <c r="J103" s="27"/>
      <c r="K103" s="27"/>
    </row>
    <row r="104" spans="1:11" x14ac:dyDescent="0.3">
      <c r="A104" s="26">
        <v>101</v>
      </c>
      <c r="B104" s="27" t="s">
        <v>73</v>
      </c>
      <c r="C104" s="27">
        <v>2100</v>
      </c>
      <c r="D104" s="27">
        <v>4</v>
      </c>
      <c r="E104" s="28">
        <v>49.030999999999999</v>
      </c>
      <c r="F104" s="28">
        <f t="shared" si="1"/>
        <v>80</v>
      </c>
      <c r="G104" s="28" t="s">
        <v>126</v>
      </c>
      <c r="H104" s="28" t="s">
        <v>92</v>
      </c>
      <c r="I104" s="27"/>
      <c r="J104" s="26" t="s">
        <v>78</v>
      </c>
      <c r="K104" s="27"/>
    </row>
    <row r="105" spans="1:11" x14ac:dyDescent="0.3">
      <c r="A105" s="26">
        <v>102</v>
      </c>
      <c r="B105" s="27" t="s">
        <v>73</v>
      </c>
      <c r="C105" s="27">
        <v>900</v>
      </c>
      <c r="D105" s="27">
        <v>1</v>
      </c>
      <c r="E105" s="28">
        <v>43.01</v>
      </c>
      <c r="F105" s="28">
        <f t="shared" si="1"/>
        <v>20</v>
      </c>
      <c r="G105" s="28" t="s">
        <v>126</v>
      </c>
      <c r="H105" s="28" t="s">
        <v>92</v>
      </c>
      <c r="I105" s="27"/>
      <c r="J105" s="27"/>
      <c r="K105" s="27"/>
    </row>
    <row r="106" spans="1:11" x14ac:dyDescent="0.3">
      <c r="A106" s="26">
        <v>186</v>
      </c>
      <c r="B106" s="27" t="s">
        <v>128</v>
      </c>
      <c r="C106" s="27">
        <v>1800</v>
      </c>
      <c r="D106" s="27">
        <v>1</v>
      </c>
      <c r="E106" s="28">
        <v>43.01</v>
      </c>
      <c r="F106" s="28">
        <f t="shared" si="1"/>
        <v>20</v>
      </c>
      <c r="G106" s="28" t="s">
        <v>126</v>
      </c>
      <c r="H106" s="28" t="s">
        <v>92</v>
      </c>
      <c r="I106" s="27"/>
      <c r="J106" s="27"/>
      <c r="K106" s="27"/>
    </row>
    <row r="107" spans="1:11" x14ac:dyDescent="0.3">
      <c r="A107" s="26">
        <v>187</v>
      </c>
      <c r="B107" s="27" t="s">
        <v>129</v>
      </c>
      <c r="C107" s="27">
        <v>2100</v>
      </c>
      <c r="D107" s="27">
        <v>1</v>
      </c>
      <c r="E107" s="28">
        <v>43.01</v>
      </c>
      <c r="F107" s="28">
        <f t="shared" si="1"/>
        <v>20</v>
      </c>
      <c r="G107" s="28" t="s">
        <v>126</v>
      </c>
      <c r="H107" s="28" t="s">
        <v>92</v>
      </c>
      <c r="I107" s="27"/>
      <c r="J107" s="27"/>
      <c r="K107" s="27"/>
    </row>
    <row r="108" spans="1:11" x14ac:dyDescent="0.3">
      <c r="A108" s="26">
        <v>188</v>
      </c>
      <c r="B108" s="27" t="s">
        <v>129</v>
      </c>
      <c r="C108" s="27">
        <v>2100</v>
      </c>
      <c r="D108" s="27">
        <v>2</v>
      </c>
      <c r="E108" s="28">
        <v>43.01</v>
      </c>
      <c r="F108" s="28">
        <f t="shared" si="1"/>
        <v>20</v>
      </c>
      <c r="G108" s="28" t="s">
        <v>126</v>
      </c>
      <c r="H108" s="28" t="s">
        <v>92</v>
      </c>
      <c r="I108" s="27"/>
      <c r="J108" s="27"/>
      <c r="K108" s="27"/>
    </row>
    <row r="109" spans="1:11" x14ac:dyDescent="0.3">
      <c r="A109" s="26">
        <v>189</v>
      </c>
      <c r="B109" s="27" t="s">
        <v>129</v>
      </c>
      <c r="C109" s="27">
        <v>2100</v>
      </c>
      <c r="D109" s="27">
        <v>3</v>
      </c>
      <c r="E109" s="28">
        <v>43.01</v>
      </c>
      <c r="F109" s="28">
        <f t="shared" si="1"/>
        <v>20</v>
      </c>
      <c r="G109" s="28" t="s">
        <v>126</v>
      </c>
      <c r="H109" s="28" t="s">
        <v>92</v>
      </c>
      <c r="I109" s="27"/>
      <c r="J109" s="27"/>
      <c r="K109" s="27"/>
    </row>
    <row r="110" spans="1:11" x14ac:dyDescent="0.3">
      <c r="A110" s="26">
        <v>184</v>
      </c>
      <c r="B110" s="27" t="s">
        <v>130</v>
      </c>
      <c r="C110" s="27">
        <v>900</v>
      </c>
      <c r="D110" s="27">
        <v>1</v>
      </c>
      <c r="E110" s="28">
        <v>43.01</v>
      </c>
      <c r="F110" s="28">
        <f t="shared" si="1"/>
        <v>20</v>
      </c>
      <c r="G110" s="28" t="s">
        <v>126</v>
      </c>
      <c r="H110" s="28" t="s">
        <v>92</v>
      </c>
      <c r="I110" s="27"/>
      <c r="J110" s="27"/>
      <c r="K110" s="27"/>
    </row>
    <row r="111" spans="1:11" x14ac:dyDescent="0.3">
      <c r="A111" s="26">
        <v>185</v>
      </c>
      <c r="B111" s="27" t="s">
        <v>130</v>
      </c>
      <c r="C111" s="27">
        <v>900</v>
      </c>
      <c r="D111" s="27">
        <v>2</v>
      </c>
      <c r="E111" s="28">
        <v>43.01</v>
      </c>
      <c r="F111" s="28">
        <f t="shared" si="1"/>
        <v>20</v>
      </c>
      <c r="G111" s="28" t="s">
        <v>126</v>
      </c>
      <c r="H111" s="28" t="s">
        <v>92</v>
      </c>
      <c r="I111" s="27"/>
      <c r="J111" s="27"/>
      <c r="K111" s="27"/>
    </row>
    <row r="112" spans="1:11" ht="27.6" x14ac:dyDescent="0.3">
      <c r="A112" s="26">
        <v>103</v>
      </c>
      <c r="B112" s="26" t="s">
        <v>131</v>
      </c>
      <c r="C112" s="26">
        <v>800</v>
      </c>
      <c r="D112" s="27">
        <v>1</v>
      </c>
      <c r="E112" s="28">
        <v>43.01</v>
      </c>
      <c r="F112" s="28">
        <f t="shared" si="1"/>
        <v>20</v>
      </c>
      <c r="G112" s="28" t="s">
        <v>132</v>
      </c>
      <c r="H112" s="28"/>
      <c r="I112" s="27"/>
      <c r="J112" s="27"/>
      <c r="K112" s="27"/>
    </row>
    <row r="113" spans="1:11" ht="27.6" x14ac:dyDescent="0.3">
      <c r="A113" s="26">
        <v>104</v>
      </c>
      <c r="B113" s="26" t="s">
        <v>131</v>
      </c>
      <c r="C113" s="26">
        <v>800</v>
      </c>
      <c r="D113" s="27">
        <v>2</v>
      </c>
      <c r="E113" s="28">
        <v>46.021000000000001</v>
      </c>
      <c r="F113" s="28">
        <f t="shared" si="1"/>
        <v>40</v>
      </c>
      <c r="G113" s="28" t="s">
        <v>132</v>
      </c>
      <c r="H113" s="28"/>
      <c r="I113" s="27"/>
      <c r="J113" s="27"/>
      <c r="K113" s="27"/>
    </row>
    <row r="114" spans="1:11" ht="27.6" x14ac:dyDescent="0.3">
      <c r="A114" s="26">
        <v>105</v>
      </c>
      <c r="B114" s="26" t="s">
        <v>133</v>
      </c>
      <c r="C114" s="27">
        <v>900</v>
      </c>
      <c r="D114" s="27">
        <v>2</v>
      </c>
      <c r="E114" s="28">
        <v>43.01</v>
      </c>
      <c r="F114" s="28">
        <f t="shared" si="1"/>
        <v>20</v>
      </c>
      <c r="G114" s="28" t="s">
        <v>134</v>
      </c>
      <c r="H114" s="28"/>
      <c r="I114" s="27"/>
      <c r="J114" s="27"/>
      <c r="K114" s="27"/>
    </row>
    <row r="115" spans="1:11" ht="27.6" x14ac:dyDescent="0.3">
      <c r="A115" s="26">
        <v>106</v>
      </c>
      <c r="B115" s="26" t="s">
        <v>133</v>
      </c>
      <c r="C115" s="27">
        <v>900</v>
      </c>
      <c r="D115" s="27">
        <v>4</v>
      </c>
      <c r="E115" s="28">
        <v>46.021000000000001</v>
      </c>
      <c r="F115" s="28">
        <f t="shared" si="1"/>
        <v>40</v>
      </c>
      <c r="G115" s="28" t="s">
        <v>134</v>
      </c>
      <c r="H115" s="28"/>
      <c r="I115" s="27"/>
      <c r="J115" s="27"/>
      <c r="K115" s="27"/>
    </row>
    <row r="116" spans="1:11" ht="27.6" x14ac:dyDescent="0.3">
      <c r="A116" s="26">
        <v>107</v>
      </c>
      <c r="B116" s="26" t="s">
        <v>133</v>
      </c>
      <c r="C116" s="27">
        <v>1800</v>
      </c>
      <c r="D116" s="27">
        <v>2</v>
      </c>
      <c r="E116" s="28">
        <v>42.04</v>
      </c>
      <c r="F116" s="28">
        <f t="shared" si="1"/>
        <v>16</v>
      </c>
      <c r="G116" s="28" t="s">
        <v>134</v>
      </c>
      <c r="H116" s="28"/>
      <c r="I116" s="27"/>
      <c r="J116" s="27"/>
      <c r="K116" s="27"/>
    </row>
    <row r="117" spans="1:11" ht="27.6" x14ac:dyDescent="0.3">
      <c r="A117" s="26">
        <v>108</v>
      </c>
      <c r="B117" s="26" t="s">
        <v>133</v>
      </c>
      <c r="C117" s="27">
        <v>1800</v>
      </c>
      <c r="D117" s="27">
        <v>4</v>
      </c>
      <c r="E117" s="28">
        <v>45.051000000000002</v>
      </c>
      <c r="F117" s="28">
        <f t="shared" si="1"/>
        <v>32</v>
      </c>
      <c r="G117" s="28" t="s">
        <v>134</v>
      </c>
      <c r="H117" s="28"/>
      <c r="I117" s="27"/>
      <c r="J117" s="27"/>
      <c r="K117" s="27"/>
    </row>
    <row r="118" spans="1:11" ht="27.6" x14ac:dyDescent="0.3">
      <c r="A118" s="26">
        <v>109</v>
      </c>
      <c r="B118" s="26" t="s">
        <v>135</v>
      </c>
      <c r="C118" s="27">
        <v>900</v>
      </c>
      <c r="D118" s="27">
        <v>2</v>
      </c>
      <c r="E118" s="28">
        <v>43.01</v>
      </c>
      <c r="F118" s="28">
        <f t="shared" si="1"/>
        <v>20</v>
      </c>
      <c r="G118" s="28" t="s">
        <v>134</v>
      </c>
      <c r="H118" s="28"/>
      <c r="I118" s="27"/>
      <c r="J118" s="27"/>
      <c r="K118" s="27"/>
    </row>
    <row r="119" spans="1:11" ht="27.6" x14ac:dyDescent="0.3">
      <c r="A119" s="26">
        <v>110</v>
      </c>
      <c r="B119" s="26" t="s">
        <v>135</v>
      </c>
      <c r="C119" s="27">
        <v>900</v>
      </c>
      <c r="D119" s="27">
        <v>4</v>
      </c>
      <c r="E119" s="28">
        <v>39.29</v>
      </c>
      <c r="F119" s="28">
        <f t="shared" si="1"/>
        <v>8.49</v>
      </c>
      <c r="G119" s="28" t="s">
        <v>134</v>
      </c>
      <c r="H119" s="28"/>
      <c r="I119" s="27"/>
      <c r="J119" s="27"/>
      <c r="K119" s="27"/>
    </row>
    <row r="120" spans="1:11" ht="27.6" x14ac:dyDescent="0.3">
      <c r="A120" s="26">
        <v>111</v>
      </c>
      <c r="B120" s="26" t="s">
        <v>135</v>
      </c>
      <c r="C120" s="27">
        <v>1800</v>
      </c>
      <c r="D120" s="27">
        <v>2</v>
      </c>
      <c r="E120" s="28">
        <v>42.04</v>
      </c>
      <c r="F120" s="28">
        <f t="shared" si="1"/>
        <v>16</v>
      </c>
      <c r="G120" s="28" t="s">
        <v>134</v>
      </c>
      <c r="H120" s="28"/>
      <c r="I120" s="27"/>
      <c r="J120" s="27"/>
      <c r="K120" s="27"/>
    </row>
    <row r="121" spans="1:11" ht="27.6" x14ac:dyDescent="0.3">
      <c r="A121" s="26">
        <v>112</v>
      </c>
      <c r="B121" s="26" t="s">
        <v>135</v>
      </c>
      <c r="C121" s="27">
        <v>1800</v>
      </c>
      <c r="D121" s="27">
        <v>4</v>
      </c>
      <c r="E121" s="28">
        <v>38.450000000000003</v>
      </c>
      <c r="F121" s="28">
        <f t="shared" si="1"/>
        <v>7</v>
      </c>
      <c r="G121" s="28" t="s">
        <v>134</v>
      </c>
      <c r="H121" s="28"/>
      <c r="I121" s="27"/>
      <c r="J121" s="27"/>
      <c r="K121" s="27"/>
    </row>
    <row r="122" spans="1:11" ht="27.6" x14ac:dyDescent="0.3">
      <c r="A122" s="26">
        <v>113</v>
      </c>
      <c r="B122" s="27" t="s">
        <v>136</v>
      </c>
      <c r="C122" s="27">
        <v>1800</v>
      </c>
      <c r="D122" s="27">
        <v>1</v>
      </c>
      <c r="E122" s="28">
        <v>43.01</v>
      </c>
      <c r="F122" s="28">
        <f t="shared" si="1"/>
        <v>20</v>
      </c>
      <c r="G122" s="28" t="s">
        <v>137</v>
      </c>
      <c r="H122" s="28" t="s">
        <v>119</v>
      </c>
      <c r="I122" s="27">
        <v>2017</v>
      </c>
      <c r="J122" s="27"/>
      <c r="K122" s="27"/>
    </row>
    <row r="123" spans="1:11" ht="27.6" x14ac:dyDescent="0.3">
      <c r="A123" s="26">
        <v>114</v>
      </c>
      <c r="B123" s="27" t="s">
        <v>136</v>
      </c>
      <c r="C123" s="27">
        <v>1800</v>
      </c>
      <c r="D123" s="27">
        <v>2</v>
      </c>
      <c r="E123" s="28">
        <v>43.01</v>
      </c>
      <c r="F123" s="28">
        <f t="shared" si="1"/>
        <v>20</v>
      </c>
      <c r="G123" s="28" t="s">
        <v>137</v>
      </c>
      <c r="H123" s="28" t="s">
        <v>119</v>
      </c>
      <c r="I123" s="27">
        <v>2017</v>
      </c>
      <c r="J123" s="27"/>
      <c r="K123" s="27"/>
    </row>
    <row r="124" spans="1:11" ht="27.6" x14ac:dyDescent="0.3">
      <c r="A124" s="26">
        <v>115</v>
      </c>
      <c r="B124" s="27" t="s">
        <v>136</v>
      </c>
      <c r="C124" s="27">
        <v>900</v>
      </c>
      <c r="D124" s="27">
        <v>1</v>
      </c>
      <c r="E124" s="28">
        <v>43.01</v>
      </c>
      <c r="F124" s="28">
        <f t="shared" si="1"/>
        <v>20</v>
      </c>
      <c r="G124" s="28" t="s">
        <v>138</v>
      </c>
      <c r="H124" s="28" t="s">
        <v>127</v>
      </c>
      <c r="I124" s="27">
        <v>43907</v>
      </c>
      <c r="J124" s="27"/>
      <c r="K124" s="27"/>
    </row>
    <row r="125" spans="1:11" ht="27.6" x14ac:dyDescent="0.3">
      <c r="A125" s="26">
        <v>116</v>
      </c>
      <c r="B125" s="27" t="s">
        <v>136</v>
      </c>
      <c r="C125" s="27">
        <v>900</v>
      </c>
      <c r="D125" s="27">
        <v>2</v>
      </c>
      <c r="E125" s="28">
        <v>46.021000000000001</v>
      </c>
      <c r="F125" s="28">
        <f t="shared" si="1"/>
        <v>40</v>
      </c>
      <c r="G125" s="28" t="s">
        <v>138</v>
      </c>
      <c r="H125" s="28" t="s">
        <v>127</v>
      </c>
      <c r="I125" s="27">
        <v>43907</v>
      </c>
      <c r="J125" s="27"/>
      <c r="K125" s="27"/>
    </row>
    <row r="126" spans="1:11" ht="31.2" x14ac:dyDescent="0.3">
      <c r="A126" s="26">
        <v>117</v>
      </c>
      <c r="B126" s="4" t="s">
        <v>139</v>
      </c>
      <c r="C126" s="27">
        <v>2100</v>
      </c>
      <c r="D126" s="27">
        <v>1</v>
      </c>
      <c r="E126" s="28">
        <v>43.01</v>
      </c>
      <c r="F126" s="28">
        <f t="shared" si="1"/>
        <v>20</v>
      </c>
      <c r="G126" s="28" t="s">
        <v>124</v>
      </c>
      <c r="H126" s="28" t="s">
        <v>92</v>
      </c>
      <c r="I126" s="27"/>
      <c r="J126" s="27"/>
      <c r="K126" s="27"/>
    </row>
    <row r="127" spans="1:11" ht="27.6" x14ac:dyDescent="0.3">
      <c r="A127" s="26">
        <v>118</v>
      </c>
      <c r="B127" s="26" t="s">
        <v>139</v>
      </c>
      <c r="C127" s="27">
        <v>2100</v>
      </c>
      <c r="D127" s="27">
        <v>2</v>
      </c>
      <c r="E127" s="28">
        <v>43.01</v>
      </c>
      <c r="F127" s="28">
        <f t="shared" si="1"/>
        <v>20</v>
      </c>
      <c r="G127" s="28" t="s">
        <v>124</v>
      </c>
      <c r="H127" s="28" t="s">
        <v>92</v>
      </c>
      <c r="I127" s="27"/>
      <c r="J127" s="27"/>
      <c r="K127" s="27"/>
    </row>
    <row r="128" spans="1:11" ht="27.6" x14ac:dyDescent="0.3">
      <c r="A128" s="26">
        <v>119</v>
      </c>
      <c r="B128" s="26" t="s">
        <v>139</v>
      </c>
      <c r="C128" s="27">
        <v>2100</v>
      </c>
      <c r="D128" s="27">
        <v>3</v>
      </c>
      <c r="E128" s="28">
        <v>43.01</v>
      </c>
      <c r="F128" s="28">
        <f t="shared" si="1"/>
        <v>20</v>
      </c>
      <c r="G128" s="28" t="s">
        <v>124</v>
      </c>
      <c r="H128" s="28" t="s">
        <v>92</v>
      </c>
      <c r="I128" s="27"/>
      <c r="J128" s="27"/>
      <c r="K128" s="27"/>
    </row>
    <row r="129" spans="1:11" x14ac:dyDescent="0.3">
      <c r="A129" s="26">
        <v>120</v>
      </c>
      <c r="B129" s="26" t="s">
        <v>140</v>
      </c>
      <c r="C129" s="26">
        <v>800</v>
      </c>
      <c r="D129" s="27">
        <v>1</v>
      </c>
      <c r="E129" s="28">
        <v>43.01</v>
      </c>
      <c r="F129" s="28">
        <f t="shared" si="1"/>
        <v>20</v>
      </c>
      <c r="G129" s="28" t="s">
        <v>132</v>
      </c>
      <c r="H129" s="28"/>
      <c r="I129" s="27"/>
      <c r="J129" s="27"/>
      <c r="K129" s="27"/>
    </row>
    <row r="130" spans="1:11" x14ac:dyDescent="0.3">
      <c r="A130" s="26">
        <v>121</v>
      </c>
      <c r="B130" s="26" t="s">
        <v>140</v>
      </c>
      <c r="C130" s="26">
        <v>800</v>
      </c>
      <c r="D130" s="27">
        <v>2</v>
      </c>
      <c r="E130" s="28">
        <v>46.021000000000001</v>
      </c>
      <c r="F130" s="28">
        <f t="shared" si="1"/>
        <v>40</v>
      </c>
      <c r="G130" s="28" t="s">
        <v>132</v>
      </c>
      <c r="H130" s="28"/>
      <c r="I130" s="27"/>
      <c r="J130" s="27"/>
      <c r="K130" s="27"/>
    </row>
    <row r="131" spans="1:11" x14ac:dyDescent="0.3">
      <c r="A131" s="26">
        <v>122</v>
      </c>
      <c r="B131" s="26" t="s">
        <v>141</v>
      </c>
      <c r="C131" s="26">
        <v>900</v>
      </c>
      <c r="D131" s="27">
        <v>1</v>
      </c>
      <c r="E131" s="28">
        <v>46.1</v>
      </c>
      <c r="F131" s="28">
        <f t="shared" ref="F131:F167" si="2">ROUND(POWER(10,E131/10)/1000,2)</f>
        <v>40.74</v>
      </c>
      <c r="G131" s="28" t="s">
        <v>142</v>
      </c>
      <c r="H131" s="28"/>
      <c r="I131" s="27"/>
      <c r="J131" s="27"/>
      <c r="K131" s="27"/>
    </row>
    <row r="132" spans="1:11" x14ac:dyDescent="0.3">
      <c r="A132" s="26">
        <v>123</v>
      </c>
      <c r="B132" s="26" t="s">
        <v>141</v>
      </c>
      <c r="C132" s="27">
        <v>900</v>
      </c>
      <c r="D132" s="27">
        <v>2</v>
      </c>
      <c r="E132" s="28">
        <v>49.11</v>
      </c>
      <c r="F132" s="28">
        <f t="shared" si="2"/>
        <v>81.47</v>
      </c>
      <c r="G132" s="28" t="s">
        <v>142</v>
      </c>
      <c r="H132" s="28"/>
      <c r="I132" s="27"/>
      <c r="J132" s="27"/>
      <c r="K132" s="27"/>
    </row>
    <row r="133" spans="1:11" x14ac:dyDescent="0.3">
      <c r="A133" s="26">
        <v>124</v>
      </c>
      <c r="B133" s="26" t="s">
        <v>141</v>
      </c>
      <c r="C133" s="26">
        <v>900</v>
      </c>
      <c r="D133" s="27">
        <v>3</v>
      </c>
      <c r="E133" s="28">
        <v>47.77</v>
      </c>
      <c r="F133" s="28">
        <f t="shared" si="2"/>
        <v>59.84</v>
      </c>
      <c r="G133" s="28" t="s">
        <v>142</v>
      </c>
      <c r="H133" s="28"/>
      <c r="I133" s="27"/>
      <c r="J133" s="27"/>
      <c r="K133" s="27"/>
    </row>
    <row r="134" spans="1:11" x14ac:dyDescent="0.3">
      <c r="A134" s="26">
        <v>125</v>
      </c>
      <c r="B134" s="26" t="s">
        <v>141</v>
      </c>
      <c r="C134" s="27">
        <v>900</v>
      </c>
      <c r="D134" s="27">
        <v>4</v>
      </c>
      <c r="E134" s="28">
        <v>49.02</v>
      </c>
      <c r="F134" s="28">
        <f t="shared" si="2"/>
        <v>79.8</v>
      </c>
      <c r="G134" s="28" t="s">
        <v>142</v>
      </c>
      <c r="H134" s="28"/>
      <c r="I134" s="27"/>
      <c r="J134" s="27"/>
      <c r="K134" s="27"/>
    </row>
    <row r="135" spans="1:11" x14ac:dyDescent="0.3">
      <c r="A135" s="26">
        <v>126</v>
      </c>
      <c r="B135" s="26" t="s">
        <v>141</v>
      </c>
      <c r="C135" s="26">
        <v>1800</v>
      </c>
      <c r="D135" s="27">
        <v>1</v>
      </c>
      <c r="E135" s="28">
        <v>44.5</v>
      </c>
      <c r="F135" s="28">
        <f t="shared" si="2"/>
        <v>28.18</v>
      </c>
      <c r="G135" s="28" t="s">
        <v>142</v>
      </c>
      <c r="H135" s="28"/>
      <c r="I135" s="27"/>
      <c r="J135" s="27"/>
      <c r="K135" s="27"/>
    </row>
    <row r="136" spans="1:11" x14ac:dyDescent="0.3">
      <c r="A136" s="26">
        <v>127</v>
      </c>
      <c r="B136" s="26" t="s">
        <v>141</v>
      </c>
      <c r="C136" s="27">
        <v>1800</v>
      </c>
      <c r="D136" s="27">
        <v>2</v>
      </c>
      <c r="E136" s="28">
        <v>47.51</v>
      </c>
      <c r="F136" s="28">
        <f t="shared" si="2"/>
        <v>56.36</v>
      </c>
      <c r="G136" s="28" t="s">
        <v>142</v>
      </c>
      <c r="H136" s="28"/>
      <c r="I136" s="27"/>
      <c r="J136" s="27"/>
      <c r="K136" s="27"/>
    </row>
    <row r="137" spans="1:11" x14ac:dyDescent="0.3">
      <c r="A137" s="26">
        <v>128</v>
      </c>
      <c r="B137" s="26" t="s">
        <v>141</v>
      </c>
      <c r="C137" s="26">
        <v>1800</v>
      </c>
      <c r="D137" s="27">
        <v>3</v>
      </c>
      <c r="E137" s="28">
        <v>46.17</v>
      </c>
      <c r="F137" s="28">
        <f t="shared" si="2"/>
        <v>41.4</v>
      </c>
      <c r="G137" s="28" t="s">
        <v>142</v>
      </c>
      <c r="H137" s="28"/>
      <c r="I137" s="27"/>
      <c r="J137" s="27"/>
      <c r="K137" s="27"/>
    </row>
    <row r="138" spans="1:11" x14ac:dyDescent="0.3">
      <c r="A138" s="26">
        <v>129</v>
      </c>
      <c r="B138" s="26" t="s">
        <v>143</v>
      </c>
      <c r="C138" s="27">
        <v>900</v>
      </c>
      <c r="D138" s="27">
        <v>1</v>
      </c>
      <c r="E138" s="28">
        <v>43.01</v>
      </c>
      <c r="F138" s="28">
        <f t="shared" si="2"/>
        <v>20</v>
      </c>
      <c r="G138" s="28" t="s">
        <v>144</v>
      </c>
      <c r="H138" s="28"/>
      <c r="I138" s="27"/>
      <c r="J138" s="27"/>
      <c r="K138" s="27"/>
    </row>
    <row r="139" spans="1:11" x14ac:dyDescent="0.3">
      <c r="A139" s="26">
        <v>130</v>
      </c>
      <c r="B139" s="26" t="s">
        <v>143</v>
      </c>
      <c r="C139" s="27">
        <v>900</v>
      </c>
      <c r="D139" s="27">
        <v>2</v>
      </c>
      <c r="E139" s="28">
        <v>46.021000000000001</v>
      </c>
      <c r="F139" s="28">
        <f t="shared" si="2"/>
        <v>40</v>
      </c>
      <c r="G139" s="28" t="s">
        <v>144</v>
      </c>
      <c r="H139" s="28"/>
      <c r="I139" s="27"/>
      <c r="J139" s="27"/>
      <c r="K139" s="27"/>
    </row>
    <row r="140" spans="1:11" x14ac:dyDescent="0.3">
      <c r="A140" s="26">
        <v>131</v>
      </c>
      <c r="B140" s="26" t="s">
        <v>143</v>
      </c>
      <c r="C140" s="27">
        <v>900</v>
      </c>
      <c r="D140" s="27">
        <v>3</v>
      </c>
      <c r="E140" s="28">
        <v>47.781500000000001</v>
      </c>
      <c r="F140" s="28">
        <f t="shared" si="2"/>
        <v>60</v>
      </c>
      <c r="G140" s="28" t="s">
        <v>144</v>
      </c>
      <c r="H140" s="28"/>
      <c r="I140" s="27"/>
      <c r="J140" s="27"/>
      <c r="K140" s="27"/>
    </row>
    <row r="141" spans="1:11" x14ac:dyDescent="0.3">
      <c r="A141" s="26">
        <v>132</v>
      </c>
      <c r="B141" s="26" t="s">
        <v>143</v>
      </c>
      <c r="C141" s="27">
        <v>900</v>
      </c>
      <c r="D141" s="27">
        <v>4</v>
      </c>
      <c r="E141" s="28">
        <v>49.030999999999999</v>
      </c>
      <c r="F141" s="28">
        <f t="shared" si="2"/>
        <v>80</v>
      </c>
      <c r="G141" s="28" t="s">
        <v>144</v>
      </c>
      <c r="H141" s="28"/>
      <c r="I141" s="27"/>
      <c r="J141" s="27"/>
      <c r="K141" s="27"/>
    </row>
    <row r="142" spans="1:11" x14ac:dyDescent="0.3">
      <c r="A142" s="26">
        <v>133</v>
      </c>
      <c r="B142" s="26" t="s">
        <v>143</v>
      </c>
      <c r="C142" s="27">
        <v>1800</v>
      </c>
      <c r="D142" s="27">
        <v>1</v>
      </c>
      <c r="E142" s="28">
        <v>43.01</v>
      </c>
      <c r="F142" s="28">
        <f t="shared" si="2"/>
        <v>20</v>
      </c>
      <c r="G142" s="28" t="s">
        <v>144</v>
      </c>
      <c r="H142" s="28"/>
      <c r="I142" s="27"/>
      <c r="J142" s="27"/>
      <c r="K142" s="27"/>
    </row>
    <row r="143" spans="1:11" x14ac:dyDescent="0.3">
      <c r="A143" s="26">
        <v>134</v>
      </c>
      <c r="B143" s="26" t="s">
        <v>143</v>
      </c>
      <c r="C143" s="27">
        <v>1800</v>
      </c>
      <c r="D143" s="27">
        <v>2</v>
      </c>
      <c r="E143" s="28">
        <v>46.021000000000001</v>
      </c>
      <c r="F143" s="28">
        <f t="shared" si="2"/>
        <v>40</v>
      </c>
      <c r="G143" s="28" t="s">
        <v>144</v>
      </c>
      <c r="H143" s="28"/>
      <c r="I143" s="27"/>
      <c r="J143" s="27"/>
      <c r="K143" s="27"/>
    </row>
    <row r="144" spans="1:11" x14ac:dyDescent="0.3">
      <c r="A144" s="26">
        <v>135</v>
      </c>
      <c r="B144" s="26" t="s">
        <v>143</v>
      </c>
      <c r="C144" s="27">
        <v>1800</v>
      </c>
      <c r="D144" s="27">
        <v>3</v>
      </c>
      <c r="E144" s="28">
        <v>47.781500000000001</v>
      </c>
      <c r="F144" s="28">
        <f t="shared" si="2"/>
        <v>60</v>
      </c>
      <c r="G144" s="28" t="s">
        <v>144</v>
      </c>
      <c r="H144" s="28"/>
      <c r="I144" s="27"/>
      <c r="J144" s="27"/>
      <c r="K144" s="27"/>
    </row>
    <row r="145" spans="1:11" x14ac:dyDescent="0.3">
      <c r="A145" s="26">
        <v>136</v>
      </c>
      <c r="B145" s="26" t="s">
        <v>143</v>
      </c>
      <c r="C145" s="27">
        <v>1800</v>
      </c>
      <c r="D145" s="27">
        <v>4</v>
      </c>
      <c r="E145" s="28">
        <v>49.030999999999999</v>
      </c>
      <c r="F145" s="28">
        <f t="shared" si="2"/>
        <v>80</v>
      </c>
      <c r="G145" s="28" t="s">
        <v>144</v>
      </c>
      <c r="H145" s="28"/>
      <c r="I145" s="27"/>
      <c r="J145" s="27"/>
      <c r="K145" s="27"/>
    </row>
    <row r="146" spans="1:11" x14ac:dyDescent="0.3">
      <c r="A146" s="26">
        <v>137</v>
      </c>
      <c r="B146" s="26" t="s">
        <v>143</v>
      </c>
      <c r="C146" s="27">
        <v>2100</v>
      </c>
      <c r="D146" s="27">
        <v>1</v>
      </c>
      <c r="E146" s="28">
        <v>43.01</v>
      </c>
      <c r="F146" s="28">
        <f t="shared" si="2"/>
        <v>20</v>
      </c>
      <c r="G146" s="28" t="s">
        <v>145</v>
      </c>
      <c r="H146" s="28" t="s">
        <v>92</v>
      </c>
      <c r="I146" s="27"/>
      <c r="J146" s="27" t="s">
        <v>146</v>
      </c>
      <c r="K146" s="27"/>
    </row>
    <row r="147" spans="1:11" x14ac:dyDescent="0.3">
      <c r="A147" s="26">
        <v>138</v>
      </c>
      <c r="B147" s="26" t="s">
        <v>143</v>
      </c>
      <c r="C147" s="27">
        <v>2100</v>
      </c>
      <c r="D147" s="27">
        <v>2</v>
      </c>
      <c r="E147" s="28">
        <v>46.021000000000001</v>
      </c>
      <c r="F147" s="28">
        <f t="shared" si="2"/>
        <v>40</v>
      </c>
      <c r="G147" s="28" t="s">
        <v>145</v>
      </c>
      <c r="H147" s="28" t="s">
        <v>92</v>
      </c>
      <c r="I147" s="27"/>
      <c r="J147" s="27" t="s">
        <v>146</v>
      </c>
      <c r="K147" s="27"/>
    </row>
    <row r="148" spans="1:11" x14ac:dyDescent="0.3">
      <c r="A148" s="26">
        <v>139</v>
      </c>
      <c r="B148" s="26" t="s">
        <v>143</v>
      </c>
      <c r="C148" s="27">
        <v>2100</v>
      </c>
      <c r="D148" s="27">
        <v>3</v>
      </c>
      <c r="E148" s="28">
        <v>47.781500000000001</v>
      </c>
      <c r="F148" s="28">
        <f t="shared" si="2"/>
        <v>60</v>
      </c>
      <c r="G148" s="28" t="s">
        <v>145</v>
      </c>
      <c r="H148" s="28" t="s">
        <v>92</v>
      </c>
      <c r="I148" s="27"/>
      <c r="J148" s="27" t="s">
        <v>146</v>
      </c>
      <c r="K148" s="27"/>
    </row>
    <row r="149" spans="1:11" ht="27.6" x14ac:dyDescent="0.3">
      <c r="A149" s="26">
        <v>140</v>
      </c>
      <c r="B149" s="26" t="s">
        <v>147</v>
      </c>
      <c r="C149" s="27">
        <v>900</v>
      </c>
      <c r="D149" s="27">
        <v>2</v>
      </c>
      <c r="E149" s="28">
        <v>46.021000000000001</v>
      </c>
      <c r="F149" s="28">
        <f t="shared" si="2"/>
        <v>40</v>
      </c>
      <c r="G149" s="28" t="s">
        <v>148</v>
      </c>
      <c r="H149" s="28"/>
      <c r="I149" s="27"/>
      <c r="J149" s="27"/>
      <c r="K149" s="27"/>
    </row>
    <row r="150" spans="1:11" ht="27.6" x14ac:dyDescent="0.3">
      <c r="A150" s="26">
        <v>141</v>
      </c>
      <c r="B150" s="26" t="s">
        <v>147</v>
      </c>
      <c r="C150" s="27">
        <v>900</v>
      </c>
      <c r="D150" s="27">
        <v>4</v>
      </c>
      <c r="E150" s="28">
        <v>49.030999999999999</v>
      </c>
      <c r="F150" s="28">
        <f t="shared" si="2"/>
        <v>80</v>
      </c>
      <c r="G150" s="28" t="s">
        <v>148</v>
      </c>
      <c r="H150" s="28"/>
      <c r="I150" s="27"/>
      <c r="J150" s="27"/>
      <c r="K150" s="27"/>
    </row>
    <row r="151" spans="1:11" ht="27.6" x14ac:dyDescent="0.3">
      <c r="A151" s="26">
        <v>142</v>
      </c>
      <c r="B151" s="26" t="s">
        <v>147</v>
      </c>
      <c r="C151" s="27">
        <v>1800</v>
      </c>
      <c r="D151" s="27">
        <v>2</v>
      </c>
      <c r="E151" s="28">
        <v>46.021000000000001</v>
      </c>
      <c r="F151" s="28">
        <f t="shared" si="2"/>
        <v>40</v>
      </c>
      <c r="G151" s="28" t="s">
        <v>148</v>
      </c>
      <c r="H151" s="28"/>
      <c r="I151" s="27"/>
      <c r="J151" s="27"/>
      <c r="K151" s="27"/>
    </row>
    <row r="152" spans="1:11" ht="27.6" x14ac:dyDescent="0.3">
      <c r="A152" s="26">
        <v>143</v>
      </c>
      <c r="B152" s="26" t="s">
        <v>147</v>
      </c>
      <c r="C152" s="27">
        <v>1800</v>
      </c>
      <c r="D152" s="27">
        <v>4</v>
      </c>
      <c r="E152" s="28">
        <v>49.030999999999999</v>
      </c>
      <c r="F152" s="28">
        <f t="shared" si="2"/>
        <v>80</v>
      </c>
      <c r="G152" s="28" t="s">
        <v>148</v>
      </c>
      <c r="H152" s="28"/>
      <c r="I152" s="27"/>
      <c r="J152" s="27"/>
      <c r="K152" s="27"/>
    </row>
    <row r="153" spans="1:11" ht="27.6" x14ac:dyDescent="0.3">
      <c r="A153" s="26">
        <v>144</v>
      </c>
      <c r="B153" s="26" t="s">
        <v>147</v>
      </c>
      <c r="C153" s="27">
        <v>2100</v>
      </c>
      <c r="D153" s="27">
        <v>1</v>
      </c>
      <c r="E153" s="28">
        <v>43.01</v>
      </c>
      <c r="F153" s="28">
        <f t="shared" si="2"/>
        <v>20</v>
      </c>
      <c r="G153" s="28" t="s">
        <v>149</v>
      </c>
      <c r="H153" s="28" t="s">
        <v>92</v>
      </c>
      <c r="I153" s="27"/>
      <c r="J153" s="27"/>
      <c r="K153" s="27"/>
    </row>
    <row r="154" spans="1:11" ht="27.6" x14ac:dyDescent="0.3">
      <c r="A154" s="26">
        <v>145</v>
      </c>
      <c r="B154" s="26" t="s">
        <v>147</v>
      </c>
      <c r="C154" s="27">
        <v>2100</v>
      </c>
      <c r="D154" s="27">
        <v>2</v>
      </c>
      <c r="E154" s="28">
        <v>46.021000000000001</v>
      </c>
      <c r="F154" s="28">
        <f t="shared" si="2"/>
        <v>40</v>
      </c>
      <c r="G154" s="28" t="s">
        <v>149</v>
      </c>
      <c r="H154" s="28" t="s">
        <v>92</v>
      </c>
      <c r="I154" s="27"/>
      <c r="J154" s="27"/>
      <c r="K154" s="27"/>
    </row>
    <row r="155" spans="1:11" ht="27.6" x14ac:dyDescent="0.3">
      <c r="A155" s="26">
        <v>146</v>
      </c>
      <c r="B155" s="26" t="s">
        <v>147</v>
      </c>
      <c r="C155" s="27">
        <v>2100</v>
      </c>
      <c r="D155" s="27">
        <v>3</v>
      </c>
      <c r="E155" s="28">
        <v>47.781500000000001</v>
      </c>
      <c r="F155" s="28">
        <f t="shared" si="2"/>
        <v>60</v>
      </c>
      <c r="G155" s="28" t="s">
        <v>149</v>
      </c>
      <c r="H155" s="28" t="s">
        <v>92</v>
      </c>
      <c r="I155" s="27"/>
      <c r="J155" s="27"/>
      <c r="K155" s="27"/>
    </row>
    <row r="156" spans="1:11" ht="27.6" x14ac:dyDescent="0.3">
      <c r="A156" s="26">
        <v>147</v>
      </c>
      <c r="B156" s="26" t="s">
        <v>147</v>
      </c>
      <c r="C156" s="27">
        <v>2100</v>
      </c>
      <c r="D156" s="27">
        <v>4</v>
      </c>
      <c r="E156" s="28">
        <v>49.030999999999999</v>
      </c>
      <c r="F156" s="28">
        <f t="shared" si="2"/>
        <v>80</v>
      </c>
      <c r="G156" s="28" t="s">
        <v>149</v>
      </c>
      <c r="H156" s="28" t="s">
        <v>92</v>
      </c>
      <c r="I156" s="27"/>
      <c r="J156" s="27"/>
      <c r="K156" s="27"/>
    </row>
    <row r="157" spans="1:11" ht="27.6" x14ac:dyDescent="0.3">
      <c r="A157" s="26">
        <v>148</v>
      </c>
      <c r="B157" s="26" t="s">
        <v>150</v>
      </c>
      <c r="C157" s="27">
        <v>900</v>
      </c>
      <c r="D157" s="27">
        <v>2</v>
      </c>
      <c r="E157" s="28">
        <v>44.15</v>
      </c>
      <c r="F157" s="28">
        <f t="shared" si="2"/>
        <v>26</v>
      </c>
      <c r="G157" s="28" t="s">
        <v>148</v>
      </c>
      <c r="H157" s="28"/>
      <c r="I157" s="27"/>
      <c r="J157" s="27"/>
      <c r="K157" s="27"/>
    </row>
    <row r="158" spans="1:11" ht="27.6" x14ac:dyDescent="0.3">
      <c r="A158" s="26">
        <v>149</v>
      </c>
      <c r="B158" s="26" t="s">
        <v>150</v>
      </c>
      <c r="C158" s="27">
        <v>900</v>
      </c>
      <c r="D158" s="27">
        <v>4</v>
      </c>
      <c r="E158" s="28">
        <v>47.16</v>
      </c>
      <c r="F158" s="28">
        <f t="shared" si="2"/>
        <v>52</v>
      </c>
      <c r="G158" s="28" t="s">
        <v>148</v>
      </c>
      <c r="H158" s="28"/>
      <c r="I158" s="27"/>
      <c r="J158" s="27"/>
      <c r="K158" s="27"/>
    </row>
    <row r="159" spans="1:11" ht="27.6" x14ac:dyDescent="0.3">
      <c r="A159" s="26">
        <v>150</v>
      </c>
      <c r="B159" s="26" t="s">
        <v>150</v>
      </c>
      <c r="C159" s="27">
        <v>1800</v>
      </c>
      <c r="D159" s="27">
        <v>2</v>
      </c>
      <c r="E159" s="28">
        <v>44.15</v>
      </c>
      <c r="F159" s="28">
        <f t="shared" si="2"/>
        <v>26</v>
      </c>
      <c r="G159" s="28" t="s">
        <v>148</v>
      </c>
      <c r="H159" s="28"/>
      <c r="I159" s="27"/>
      <c r="J159" s="27"/>
      <c r="K159" s="27"/>
    </row>
    <row r="160" spans="1:11" ht="27.6" x14ac:dyDescent="0.3">
      <c r="A160" s="26">
        <v>151</v>
      </c>
      <c r="B160" s="26" t="s">
        <v>150</v>
      </c>
      <c r="C160" s="27">
        <v>1800</v>
      </c>
      <c r="D160" s="27">
        <v>4</v>
      </c>
      <c r="E160" s="28">
        <v>47.16</v>
      </c>
      <c r="F160" s="28">
        <f t="shared" si="2"/>
        <v>52</v>
      </c>
      <c r="G160" s="28" t="s">
        <v>148</v>
      </c>
      <c r="H160" s="28"/>
      <c r="I160" s="27"/>
      <c r="J160" s="27"/>
      <c r="K160" s="27"/>
    </row>
    <row r="161" spans="1:11" ht="27.6" x14ac:dyDescent="0.3">
      <c r="A161" s="26">
        <v>152</v>
      </c>
      <c r="B161" s="26" t="s">
        <v>150</v>
      </c>
      <c r="C161" s="27">
        <v>2100</v>
      </c>
      <c r="D161" s="27">
        <v>1</v>
      </c>
      <c r="E161" s="28">
        <v>43.01</v>
      </c>
      <c r="F161" s="28">
        <f t="shared" si="2"/>
        <v>20</v>
      </c>
      <c r="G161" s="28" t="s">
        <v>151</v>
      </c>
      <c r="H161" s="28" t="s">
        <v>92</v>
      </c>
      <c r="I161" s="27"/>
      <c r="J161" s="27"/>
      <c r="K161" s="27"/>
    </row>
    <row r="162" spans="1:11" ht="27.6" x14ac:dyDescent="0.3">
      <c r="A162" s="26">
        <v>153</v>
      </c>
      <c r="B162" s="26" t="s">
        <v>150</v>
      </c>
      <c r="C162" s="27">
        <v>2100</v>
      </c>
      <c r="D162" s="27">
        <v>2</v>
      </c>
      <c r="E162" s="28">
        <v>46.021000000000001</v>
      </c>
      <c r="F162" s="28">
        <f t="shared" si="2"/>
        <v>40</v>
      </c>
      <c r="G162" s="28" t="s">
        <v>151</v>
      </c>
      <c r="H162" s="28" t="s">
        <v>92</v>
      </c>
      <c r="I162" s="27"/>
      <c r="J162" s="27"/>
      <c r="K162" s="27"/>
    </row>
    <row r="163" spans="1:11" ht="27.6" x14ac:dyDescent="0.3">
      <c r="A163" s="26">
        <v>154</v>
      </c>
      <c r="B163" s="26" t="s">
        <v>150</v>
      </c>
      <c r="C163" s="27">
        <v>2100</v>
      </c>
      <c r="D163" s="27">
        <v>3</v>
      </c>
      <c r="E163" s="28">
        <v>47.781500000000001</v>
      </c>
      <c r="F163" s="28">
        <f t="shared" si="2"/>
        <v>60</v>
      </c>
      <c r="G163" s="28" t="s">
        <v>151</v>
      </c>
      <c r="H163" s="28" t="s">
        <v>92</v>
      </c>
      <c r="I163" s="27"/>
      <c r="J163" s="27"/>
      <c r="K163" s="27"/>
    </row>
    <row r="164" spans="1:11" ht="27.6" x14ac:dyDescent="0.3">
      <c r="A164" s="26">
        <v>155</v>
      </c>
      <c r="B164" s="26" t="s">
        <v>150</v>
      </c>
      <c r="C164" s="27">
        <v>2100</v>
      </c>
      <c r="D164" s="27">
        <v>4</v>
      </c>
      <c r="E164" s="28">
        <v>49.030999999999999</v>
      </c>
      <c r="F164" s="28">
        <f t="shared" si="2"/>
        <v>80</v>
      </c>
      <c r="G164" s="28" t="s">
        <v>151</v>
      </c>
      <c r="H164" s="28" t="s">
        <v>92</v>
      </c>
      <c r="I164" s="27"/>
      <c r="J164" s="27"/>
      <c r="K164" s="27"/>
    </row>
    <row r="165" spans="1:11" x14ac:dyDescent="0.3">
      <c r="A165" s="26">
        <v>156</v>
      </c>
      <c r="B165" s="26" t="s">
        <v>152</v>
      </c>
      <c r="C165" s="27">
        <v>2100</v>
      </c>
      <c r="D165" s="27">
        <v>2</v>
      </c>
      <c r="E165" s="28">
        <v>40</v>
      </c>
      <c r="F165" s="28">
        <f t="shared" si="2"/>
        <v>10</v>
      </c>
      <c r="G165" s="27"/>
      <c r="H165" s="26"/>
      <c r="I165" s="26" t="s">
        <v>153</v>
      </c>
      <c r="J165" s="27"/>
      <c r="K165" s="27"/>
    </row>
    <row r="166" spans="1:11" x14ac:dyDescent="0.3">
      <c r="A166" s="26">
        <v>157</v>
      </c>
      <c r="B166" s="26" t="s">
        <v>152</v>
      </c>
      <c r="C166" s="27">
        <v>1800</v>
      </c>
      <c r="D166" s="27">
        <v>2</v>
      </c>
      <c r="E166" s="28">
        <v>40</v>
      </c>
      <c r="F166" s="28">
        <f t="shared" si="2"/>
        <v>10</v>
      </c>
      <c r="G166" s="27"/>
      <c r="H166" s="26"/>
      <c r="I166" s="26" t="s">
        <v>153</v>
      </c>
      <c r="J166" s="27"/>
      <c r="K166" s="27"/>
    </row>
    <row r="167" spans="1:11" x14ac:dyDescent="0.3">
      <c r="A167" s="26">
        <v>158</v>
      </c>
      <c r="B167" s="26" t="s">
        <v>152</v>
      </c>
      <c r="C167" s="27">
        <v>1800</v>
      </c>
      <c r="D167" s="27">
        <v>1</v>
      </c>
      <c r="E167" s="28">
        <v>36.99</v>
      </c>
      <c r="F167" s="28">
        <f t="shared" si="2"/>
        <v>5</v>
      </c>
      <c r="G167" s="27"/>
      <c r="H167" s="26"/>
      <c r="I167" s="26" t="s">
        <v>153</v>
      </c>
      <c r="J167" s="27"/>
      <c r="K167" s="27"/>
    </row>
  </sheetData>
  <autoFilter ref="A1:K16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ACER</cp:lastModifiedBy>
  <dcterms:created xsi:type="dcterms:W3CDTF">2019-09-13T08:04:28Z</dcterms:created>
  <dcterms:modified xsi:type="dcterms:W3CDTF">2020-10-15T12:24:56Z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62252805-e07d-4c37-a659-e175341136d7</vt:lpwstr>
  </property>
</Properties>
</file>