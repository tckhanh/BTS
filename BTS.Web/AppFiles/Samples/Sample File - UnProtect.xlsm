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9"/>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Area!#REF!:INDEX(City!#REF!,COUNTA(Area!#REF!))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Area!#REF!:INDEX(City!#REF!,COUNTA(Area!#REF!))</definedName>
    <definedName name="TrueFalseList">'Options'!$B$1:$B$3</definedName>
    <definedName name="WardList">Area!#REF!:INDEX(City!$B:$B,COUNTA(Area!#REF!))</definedName>
    <definedName name="YesNoList">'Options'!$D$1:$D$3</definedName>
    <definedName name="_xlnm._FilterDatabase" localSheetId="1" hidden="1">'InCaseOf'!$A$1:$C$5</definedName>
    <definedName name="_xlnm._FilterDatabase" localSheetId="2" hidden="1">'Lab'!$A$1:$F$5</definedName>
    <definedName name="_xlnm._FilterDatabase" localSheetId="3" hidden="1">'City'!$A$1:$E$23</definedName>
    <definedName name="_xlnm._FilterDatabase" localSheetId="4" hidden="1">'Operator'!$A$1:$D$6</definedName>
    <definedName name="_xlnm._FilterDatabase" localSheetId="5" hidden="1">'Applicant'!$A$1:$H$30</definedName>
    <definedName name="_xlnm._FilterDatabase" localSheetId="6" hidden="1">'Area'!$A$1:$F$2832</definedName>
    <definedName name="CH" localSheetId="7">'Equipment'!#REF!</definedName>
    <definedName name="_xlnm.Print_Area" localSheetId="7">'Equipment'!$A$1:$J$125</definedName>
    <definedName name="_xlnm._FilterDatabase" localSheetId="7" hidden="1">'Equipment'!$A$1:$I$236</definedName>
    <definedName name="_xlnm._FilterDatabase" localSheetId="9" hidden="1">'BTS'!$A$1:$H$5</definedName>
    <definedName name="_xlnm._FilterDatabase" localSheetId="10" hidden="1">'Input'!$A$1:$AI$2</definedName>
    <definedName name="_xlnm._FilterDatabase" localSheetId="12" hidden="1">'Check'!$A$1:$HY$2</definedName>
    <definedName name="_xlnm._FilterDatabase" localSheetId="13" hidden="1">'Certificate'!$A$1:$IU$2</definedName>
    <definedName name="_xlnm._FilterDatabase" localSheetId="15" hidden="1">'NoCertificate'!$A$1:$IU$2</definedName>
    <definedName name="_xlnm.Print_Area" localSheetId="17">'LP'!$A$1:$Z$34</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s>
  <calcPr calcId="152511" fullCalcOnLoad="1"/>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5.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<sst xmlns="http://schemas.openxmlformats.org/spreadsheetml/2006/main" count="6236" uniqueCount="6236">
  <si>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</si>
  <si>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</si>
  <si>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</si>
  <si>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</si>
  <si>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</si>
  <si>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</si>
  <si>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</si>
  <si>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</si>
  <si>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</si>
  <si>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</si>
  <si>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</si>
  <si>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</si>
  <si>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</si>
  <si>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</si>
  <si>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</si>
  <si>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</si>
  <si>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</si>
  <si>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</si>
  <si>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</si>
  <si>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</si>
  <si>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</si>
  <si>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</si>
  <si>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</si>
  <si>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</si>
  <si>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</si>
  <si>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</si>
  <si>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</si>
  <si>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</si>
  <si>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</si>
  <si>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</si>
  <si>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</si>
  <si>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</si>
  <si>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</si>
  <si>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</si>
  <si>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</si>
  <si>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</si>
  <si>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</si>
  <si>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</si>
  <si>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</si>
  <si>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</si>
  <si>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</si>
  <si>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</si>
  <si>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</si>
  <si>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</si>
  <si>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</si>
  <si>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</si>
  <si>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</si>
  <si>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</si>
  <si>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</si>
  <si>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</si>
  <si>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</si>
  <si>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</si>
  <si>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</si>
  <si>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</si>
  <si>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</si>
  <si>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</si>
  <si>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</si>
  <si>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</si>
  <si>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</si>
  <si>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</si>
  <si>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</si>
  <si>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</si>
  <si>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</si>
  <si>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</si>
  <si>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</si>
  <si>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</si>
  <si>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</si>
  <si>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</si>
  <si>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</si>
  <si>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</si>
  <si>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</si>
  <si>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</si>
  <si>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</si>
  <si>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</si>
  <si>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</si>
  <si>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</si>
  <si>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</si>
  <si>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</si>
  <si>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</si>
  <si>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</si>
  <si>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</si>
  <si>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</si>
  <si>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</si>
  <si>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</si>
  <si>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</si>
  <si>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</si>
  <si>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</si>
  <si>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</si>
  <si>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</si>
  <si>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</si>
  <si>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</si>
  <si>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</si>
  <si>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</si>
  <si>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</si>
  <si>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</si>
  <si>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</si>
  <si>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</si>
  <si>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</si>
  <si>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</si>
  <si>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</si>
  <si>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</si>
  <si>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</si>
  <si>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</si>
  <si>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</si>
  <si>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</si>
  <si>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</si>
  <si>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</si>
  <si>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</si>
  <si>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</si>
  <si>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</si>
  <si>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</si>
  <si>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</si>
  <si>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</si>
  <si>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</si>
  <si>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</si>
  <si>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</si>
  <si>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</si>
  <si>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</si>
  <si>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</si>
  <si>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</si>
  <si>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</si>
  <si>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</si>
  <si>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</si>
  <si>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</si>
  <si>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</si>
  <si>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</si>
  <si>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</si>
  <si>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</si>
  <si>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</si>
  <si>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</si>
  <si>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</si>
  <si>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</si>
  <si>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</si>
  <si>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</si>
  <si>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</si>
  <si>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</si>
  <si>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</si>
  <si>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</si>
  <si>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</si>
  <si>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</si>
  <si>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</si>
  <si>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</si>
  <si>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</si>
  <si>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</si>
  <si>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</si>
  <si>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</si>
  <si>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</si>
  <si>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</si>
  <si>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</si>
  <si>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</si>
  <si>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</si>
  <si>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</si>
  <si>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</si>
  <si>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</si>
  <si>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</si>
  <si>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</si>
  <si>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</si>
  <si>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</si>
  <si>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</si>
  <si>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</si>
  <si>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</si>
  <si>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</si>
  <si>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</si>
  <si>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</si>
  <si>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</si>
  <si>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</si>
  <si>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</si>
  <si>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</si>
  <si>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</si>
  <si>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</si>
  <si>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</si>
  <si>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</si>
  <si>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</si>
  <si>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</si>
  <si>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</si>
  <si>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</si>
  <si>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</si>
  <si>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</si>
  <si>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</si>
  <si>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</si>
  <si>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</si>
  <si>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</si>
  <si>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</si>
  <si>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</si>
  <si>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</si>
  <si>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</si>
  <si>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</si>
  <si>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</si>
  <si>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</si>
  <si>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</si>
  <si>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</si>
  <si>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</si>
  <si>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</si>
  <si>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</si>
  <si>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MinAntenHeight</t>
  </si>
  <si>
    <t>OffsetHeight</t>
  </si>
  <si>
    <t>VNM-HCM</t>
  </si>
  <si>
    <t>VNMOBILE</t>
  </si>
  <si>
    <t>Ấp 4, xã An Nhựt Tân, huyện Tân Trụ, tỉnh Long An.</t>
  </si>
  <si>
    <t>106,48085</t>
  </si>
  <si>
    <t>10,57899</t>
  </si>
  <si>
    <t>1801181/19/TG/TT2</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</si>
  <si>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</si>
  <si>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</si>
  <si>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</si>
  <si>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</si>
  <si>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</si>
  <si>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</si>
  <si>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</si>
  <si>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</si>
  <si>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</si>
  <si>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True</t>
  </si>
  <si>
    <t>4</t>
  </si>
  <si>
    <t>False</t>
  </si>
  <si>
    <t>Số 476, tổ 8, thôn Cho, xã Long Hựu Đông, huyện Cần Đước, tỉnh Long An.</t>
  </si>
  <si>
    <t>106,66496</t>
  </si>
  <si>
    <t>10,49004</t>
  </si>
  <si>
    <t>1801182/19/TG/TT2</t>
  </si>
  <si>
    <t>339118;339118</t>
  </si>
  <si>
    <t>34m/ 34m/ 34m;30m/ 30m/ 30m</t>
  </si>
  <si>
    <t>7</t>
  </si>
  <si>
    <t>Ấp 4, xã Phước Vân, huyện Cần Đước, tỉnh Long An.</t>
  </si>
  <si>
    <t>106,53738</t>
  </si>
  <si>
    <t>10,5874</t>
  </si>
  <si>
    <t>1801183/19/TG/TT2</t>
  </si>
  <si>
    <t>339082;339082</t>
  </si>
  <si>
    <t>Số 12, tổ 1, ấp Lăng, xã Tân Chánh, huyện Cần Đước, tỉnh Long An.</t>
  </si>
  <si>
    <t>106,60232</t>
  </si>
  <si>
    <t>10,47476</t>
  </si>
  <si>
    <t>1801184/19/TG/TT2</t>
  </si>
  <si>
    <t>339115;339115</t>
  </si>
  <si>
    <t>Ấp Tân Điền, xã Long Thượng, huyện Cần Giuộc, tỉnh Long An.</t>
  </si>
  <si>
    <t>106,61092</t>
  </si>
  <si>
    <t>10,63834</t>
  </si>
  <si>
    <t>1801185/19/TG/TT2</t>
  </si>
  <si>
    <t>339198;339198</t>
  </si>
  <si>
    <t>Ấp Vĩnh Phước, xã Phước Lý, huyện Cần Giuộc, tỉnh Long An.</t>
  </si>
  <si>
    <t>106,59003</t>
  </si>
  <si>
    <t>10,64443</t>
  </si>
  <si>
    <t>1801186/19/TG/TT2</t>
  </si>
  <si>
    <t>339113;339113</t>
  </si>
  <si>
    <t>36m/ 36m/ 36m;30m/ 30m/ 30m</t>
  </si>
  <si>
    <t>Ấp Kim Điền, xã Tân Kim, huyện Cần Giuộc, tỉnh Long An.</t>
  </si>
  <si>
    <t>106,65939</t>
  </si>
  <si>
    <t>10,62898</t>
  </si>
  <si>
    <t>1801187/19/TG/TT2</t>
  </si>
  <si>
    <t>339193;339193</t>
  </si>
  <si>
    <t>24m/ 24m/ 24m;24m/ 24m/ 24m</t>
  </si>
  <si>
    <t>TDJ-809017/182018DE-65P;TDJ-809017/182018DE-65P</t>
  </si>
  <si>
    <t>Số 105 K1, ấp Voi Lá, xã Long Hiệp, huyện Bến Lức, tỉnh Long An.</t>
  </si>
  <si>
    <t>106,51183</t>
  </si>
  <si>
    <t>10,63452</t>
  </si>
  <si>
    <t>1801188/19/TG/TT2</t>
  </si>
  <si>
    <t>339092;339092</t>
  </si>
  <si>
    <t>Số 48, ấp 1, xã Nhựt Chánh, huyện Bến Lức, tỉnh Long An.</t>
  </si>
  <si>
    <t>106,47015</t>
  </si>
  <si>
    <t>10,63334</t>
  </si>
  <si>
    <t>1801189/19/TG/TT2</t>
  </si>
  <si>
    <t>339211;339211</t>
  </si>
  <si>
    <t>30m/ 30m/ 30m;26m/ 26m/ 26m</t>
  </si>
  <si>
    <t>11</t>
  </si>
  <si>
    <t>Số 111, ấp Thanh Tân, xã Thanh Phú, huyện Bến Lức, tỉnh Long An.</t>
  </si>
  <si>
    <t>106,51212</t>
  </si>
  <si>
    <t>10,66729</t>
  </si>
  <si>
    <t>1801190/19/TG/TT2</t>
  </si>
  <si>
    <t>339120;339120</t>
  </si>
  <si>
    <t>Lô H9A, đường số 5, khu công nghiệp Hải Sơn, thôn Bình Tiền 2, thị trấn Đức Hòa, huyện Đức Hòa, tỉnh Long An.</t>
  </si>
  <si>
    <t>106,46635</t>
  </si>
  <si>
    <t>10,77748</t>
  </si>
  <si>
    <t>1801191/19/TG/TT2</t>
  </si>
  <si>
    <t>339124;339124</t>
  </si>
  <si>
    <t>27m/ 27m/ 27m;27m/ 27m/ 27m</t>
  </si>
  <si>
    <t>Số 419, ấp Bình Hữu 2, xã Đức Hòa Thượng, huyện Đức Hòa, tỉnh Long An.</t>
  </si>
  <si>
    <t>106,47879</t>
  </si>
  <si>
    <t>10,85035</t>
  </si>
  <si>
    <t>1801192/19/TG/TT2</t>
  </si>
  <si>
    <t>339101;339101</t>
  </si>
  <si>
    <t>43m/ 43m/ 43m;33m/ 33m/ 33m</t>
  </si>
  <si>
    <t>Số 360, ấp Lộc Bình, xã Lộc Giang, huyện Đức Hòa, tỉnh Long An.</t>
  </si>
  <si>
    <t>106,31339</t>
  </si>
  <si>
    <t>11,00522</t>
  </si>
  <si>
    <t>1801193/19/TG/TT2</t>
  </si>
  <si>
    <t>339027;339027</t>
  </si>
  <si>
    <t>25m/ 25m/ 25m;28m/ 28m/ 28m</t>
  </si>
  <si>
    <t>Stt</t>
  </si>
  <si>
    <t>TRUE_FALSE</t>
  </si>
  <si>
    <t>CO_KHONG</t>
  </si>
  <si>
    <t>YES_NO</t>
  </si>
  <si>
    <t>Có</t>
  </si>
  <si>
    <t>Yes</t>
  </si>
  <si>
    <t>Không</t>
  </si>
  <si>
    <t>LabName</t>
  </si>
  <si>
    <t>Chọn Lab</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</si>
  <si>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</si>
  <si>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</si>
  <si>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</si>
  <si>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</si>
  <si>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</si>
  <si>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</si>
  <si>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</si>
  <si>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</si>
  <si>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</si>
  <si>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</si>
  <si>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</si>
  <si>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</si>
  <si>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</si>
  <si>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</si>
  <si>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</si>
  <si>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</si>
  <si>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</si>
  <si>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</si>
  <si>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</si>
  <si>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</si>
  <si>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</si>
  <si>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</si>
  <si>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</si>
  <si>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</si>
  <si>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</si>
  <si>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</si>
  <si>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</si>
  <si>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</si>
  <si>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</si>
  <si>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</si>
  <si>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</si>
  <si>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</si>
  <si>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</si>
  <si>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</si>
  <si>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</si>
  <si>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</si>
  <si>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</si>
  <si>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</si>
  <si>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</si>
  <si>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</si>
  <si>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</si>
  <si>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</si>
  <si>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</si>
  <si>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</si>
  <si>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</si>
  <si>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</si>
  <si>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</si>
  <si>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</si>
  <si>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</si>
  <si>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</si>
  <si>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</si>
  <si>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</si>
  <si>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</si>
  <si>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</si>
  <si>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</si>
  <si>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</si>
  <si>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</si>
  <si>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</si>
  <si>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</si>
  <si>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</si>
  <si>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</si>
  <si>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</si>
  <si>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</si>
  <si>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</si>
  <si>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</si>
  <si>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</si>
  <si>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</si>
  <si>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</si>
  <si>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</si>
  <si>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</si>
  <si>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</si>
  <si>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</si>
  <si>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</si>
  <si>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</si>
  <si>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</si>
  <si>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</si>
  <si>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</si>
  <si>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</si>
  <si>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</si>
  <si>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</si>
  <si>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</si>
  <si>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</si>
  <si>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</si>
  <si>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</si>
  <si>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</si>
  <si>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</si>
  <si>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</si>
  <si>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</si>
  <si>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</si>
  <si>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</si>
  <si>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</si>
  <si>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</si>
  <si>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</si>
  <si>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</si>
  <si>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</si>
  <si>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</si>
  <si>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</si>
  <si>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</si>
  <si>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</si>
  <si>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</si>
  <si>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</si>
  <si>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</si>
  <si>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</si>
  <si>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</si>
  <si>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</si>
  <si>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</si>
  <si>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</si>
  <si>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</si>
  <si>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</si>
  <si>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</si>
  <si>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</si>
  <si>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</si>
  <si>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</si>
  <si>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</si>
  <si>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</si>
  <si>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</si>
  <si>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</si>
  <si>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</si>
  <si>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</si>
  <si>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</si>
  <si>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</si>
  <si>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</si>
  <si>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</si>
  <si>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</si>
  <si>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</si>
  <si>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</si>
  <si>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</si>
  <si>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</si>
  <si>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</si>
  <si>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</si>
  <si>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</si>
  <si>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</si>
  <si>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</si>
  <si>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</si>
  <si>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</si>
  <si>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</si>
  <si>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</si>
  <si>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</si>
  <si>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</si>
  <si>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</si>
  <si>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</si>
  <si>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</si>
  <si>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</si>
  <si>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</si>
  <si>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</si>
  <si>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</si>
  <si>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</si>
  <si>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</si>
  <si>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</si>
  <si>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</si>
  <si>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</si>
  <si>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</si>
  <si>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</si>
  <si>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</si>
  <si>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</si>
  <si>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</si>
  <si>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</si>
  <si>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</si>
  <si>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</si>
  <si>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</si>
  <si>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</si>
  <si>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</si>
  <si>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</si>
  <si>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</si>
  <si>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</si>
  <si>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</si>
  <si>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</si>
  <si>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</si>
  <si>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</si>
  <si>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</si>
  <si>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</si>
  <si>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</si>
  <si>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</si>
  <si>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</si>
  <si>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</si>
  <si>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</si>
  <si>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</si>
  <si>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</si>
  <si>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</si>
  <si>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</si>
  <si>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</si>
  <si>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</si>
  <si>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</si>
  <si>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</si>
  <si>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</si>
  <si>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</si>
  <si>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</si>
  <si>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</si>
  <si>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</si>
  <si>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</si>
  <si>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</si>
  <si>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</si>
  <si>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</si>
  <si>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</si>
  <si>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</si>
  <si>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</si>
  <si>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</si>
  <si>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</si>
  <si>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</si>
  <si>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</si>
  <si>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</si>
  <si>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</si>
  <si>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</si>
  <si>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</si>
  <si>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</si>
  <si>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</si>
  <si>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</si>
  <si>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</si>
  <si>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</si>
  <si>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</si>
  <si>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</si>
  <si>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</si>
  <si>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</si>
  <si>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</si>
  <si>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</si>
  <si>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</si>
  <si>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</si>
  <si>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</si>
  <si>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</si>
  <si>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339084</t>
  </si>
  <si>
    <t>22/07/2019</t>
  </si>
  <si>
    <t>26/06/2019</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</si>
  <si>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</si>
  <si>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</si>
  <si>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</si>
  <si>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</si>
  <si>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</si>
  <si>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</si>
  <si>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</si>
  <si>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</si>
  <si>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</si>
  <si>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2/2/2</t>
  </si>
  <si>
    <t>1/1/1</t>
  </si>
  <si>
    <t>80W/80W/80W</t>
  </si>
  <si>
    <t>80W/ 80W/ 80W</t>
  </si>
  <si>
    <t>40W/40W/40W</t>
  </si>
  <si>
    <t>40W/ 40W/ 40W</t>
  </si>
  <si>
    <t>U2100</t>
  </si>
  <si>
    <t>U900</t>
  </si>
  <si>
    <t>43m/ 43m/ 43m</t>
  </si>
  <si>
    <t>39m/ 39m/ 39m</t>
  </si>
  <si>
    <t>TG05</t>
  </si>
  <si>
    <t>23/7/2019</t>
  </si>
  <si>
    <t>339118</t>
  </si>
  <si>
    <t>28/06/2019</t>
  </si>
  <si>
    <t>huyện Cần Đước</t>
  </si>
  <si>
    <t>xã Long Hựu Đông</t>
  </si>
  <si>
    <t>34m/ 34m/ 34m</t>
  </si>
  <si>
    <t>30m/ 30m/ 30m</t>
  </si>
  <si>
    <t>339082</t>
  </si>
  <si>
    <t>29/06/2019</t>
  </si>
  <si>
    <t>xã Phước Vân</t>
  </si>
  <si>
    <t>339115</t>
  </si>
  <si>
    <t>xã Tân Chánh</t>
  </si>
  <si>
    <t>339198</t>
  </si>
  <si>
    <t>30/06/2019</t>
  </si>
  <si>
    <t>huyện Cần Giuộc</t>
  </si>
  <si>
    <t>xã Long Thượng</t>
  </si>
  <si>
    <t>339113</t>
  </si>
  <si>
    <t>01/07/2019</t>
  </si>
  <si>
    <t>xã Phước Lý</t>
  </si>
  <si>
    <t>36m/ 36m/ 36m</t>
  </si>
  <si>
    <t>339193</t>
  </si>
  <si>
    <t>xã Tân Kim</t>
  </si>
  <si>
    <t>24m/ 24m/ 24m</t>
  </si>
  <si>
    <t>339092</t>
  </si>
  <si>
    <t>03/07/2019</t>
  </si>
  <si>
    <t>huyện Bến Lức</t>
  </si>
  <si>
    <t>xã Long Hiệp</t>
  </si>
  <si>
    <t>339211</t>
  </si>
  <si>
    <t>04/07/2019</t>
  </si>
  <si>
    <t>xã Nhựt Chánh</t>
  </si>
  <si>
    <t>26m/ 26m/ 26m</t>
  </si>
  <si>
    <t>339120</t>
  </si>
  <si>
    <t>05/07/2019</t>
  </si>
  <si>
    <t>xã Thanh Phú</t>
  </si>
  <si>
    <t>339124</t>
  </si>
  <si>
    <t>huyện Đức Hòa</t>
  </si>
  <si>
    <t>thị trấn Đức Hòa</t>
  </si>
  <si>
    <t>27m/ 27m/ 27m</t>
  </si>
  <si>
    <t>339101</t>
  </si>
  <si>
    <t>10/07/2019</t>
  </si>
  <si>
    <t>xã Đức Hòa Thượng</t>
  </si>
  <si>
    <t>33m/ 33m/ 33m</t>
  </si>
  <si>
    <t>339027</t>
  </si>
  <si>
    <t>15/07/2019</t>
  </si>
  <si>
    <t>xã Lộc Giang</t>
  </si>
  <si>
    <t>25m/ 25m/ 25m</t>
  </si>
  <si>
    <t>28m/ 28m/ 28m</t>
  </si>
  <si>
    <t>Số HS</t>
  </si>
  <si>
    <t>Mã trạm gốc</t>
  </si>
  <si>
    <t>Địa điểm lắp đặt</t>
  </si>
  <si>
    <t>Số Kết quả đo kiểm định</t>
  </si>
  <si>
    <t>Đo phơi nhiễm</t>
  </si>
  <si>
    <t>Giới hạn an toàn</t>
  </si>
  <si>
    <t>Đơn vị dùng chung cơ sở hạ tầng</t>
  </si>
  <si>
    <t>Số GCN dự kiến</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</si>
  <si>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</si>
  <si>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</si>
  <si>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</si>
  <si>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</si>
  <si>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</si>
  <si>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</si>
  <si>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</si>
  <si>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</si>
  <si>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</si>
  <si>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</si>
  <si>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</si>
  <si>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</si>
  <si>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</si>
  <si>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</si>
  <si>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</si>
  <si>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</si>
  <si>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</si>
  <si>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</si>
  <si>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</si>
  <si>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</si>
  <si>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</si>
  <si>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</si>
  <si>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</si>
  <si>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</si>
  <si>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</si>
  <si>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</si>
  <si>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</si>
  <si>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</si>
  <si>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</si>
  <si>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</si>
  <si>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</si>
  <si>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</si>
  <si>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</si>
  <si>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</si>
  <si>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</si>
  <si>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</si>
  <si>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</si>
  <si>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</si>
  <si>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</si>
  <si>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</si>
  <si>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</si>
  <si>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</si>
  <si>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</si>
  <si>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</si>
  <si>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</si>
  <si>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</si>
  <si>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</si>
  <si>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</si>
  <si>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</si>
  <si>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</si>
  <si>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</si>
  <si>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</si>
  <si>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</si>
  <si>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</si>
  <si>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</si>
  <si>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</si>
  <si>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</si>
  <si>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</si>
  <si>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</si>
  <si>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</si>
  <si>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35</t>
  </si>
  <si>
    <t>CHI NHÁNH VIETTEL TẠI TPHCM</t>
  </si>
  <si>
    <t>thành phố Hồ Chí Minh.</t>
  </si>
  <si>
    <t>quận Phú Nhuận</t>
  </si>
  <si>
    <t>phường 8</t>
  </si>
  <si>
    <t>VIETTE</t>
  </si>
  <si>
    <t>03/03/2019</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</si>
  <si>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</si>
  <si>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</si>
  <si>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</si>
  <si>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</si>
  <si>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</si>
  <si>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</si>
  <si>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</si>
  <si>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</si>
  <si>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</si>
  <si>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</si>
  <si>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</si>
  <si>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</si>
  <si>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</si>
  <si>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</si>
  <si>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</si>
  <si>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</si>
  <si>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</si>
  <si>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</si>
  <si>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</si>
  <si>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</si>
  <si>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</si>
  <si>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</si>
  <si>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</si>
  <si>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</si>
  <si>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</si>
  <si>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</si>
  <si>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</si>
  <si>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</si>
  <si>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</si>
  <si>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</si>
  <si>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</si>
  <si>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</si>
  <si>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</si>
  <si>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</si>
  <si>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</si>
  <si>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</si>
  <si>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</si>
  <si>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</si>
  <si>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</si>
  <si>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</si>
  <si>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</si>
  <si>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</si>
  <si>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</si>
  <si>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</si>
  <si>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</si>
  <si>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</si>
  <si>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</si>
  <si>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</si>
  <si>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</si>
  <si>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106/VNM-HCM</t>
  </si>
  <si>
    <t>28/PKĐ-TT2</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</si>
  <si>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</si>
  <si>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</si>
  <si>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</si>
  <si>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</si>
  <si>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</si>
  <si>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</si>
  <si>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</si>
  <si>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</si>
  <si>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</si>
  <si>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</si>
  <si>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</si>
  <si>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</si>
  <si>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</si>
  <si>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</si>
  <si>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</si>
  <si>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</si>
  <si>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</si>
  <si>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</si>
  <si>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</si>
  <si>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</si>
  <si>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</si>
  <si>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</si>
  <si>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</si>
  <si>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</si>
  <si>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</si>
  <si>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</si>
  <si>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</si>
  <si>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</si>
  <si>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</si>
  <si>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</si>
  <si>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</si>
  <si>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</si>
  <si>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</si>
  <si>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</si>
  <si>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</si>
  <si>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</si>
  <si>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</si>
  <si>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</si>
  <si>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</si>
  <si>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</si>
  <si>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</si>
  <si>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</si>
  <si>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</si>
  <si>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</si>
  <si>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</si>
  <si>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</si>
  <si>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</si>
  <si>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</si>
  <si>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</si>
  <si>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</si>
  <si>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</si>
  <si>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</si>
  <si>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</si>
  <si>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</si>
  <si>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</si>
  <si>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</si>
  <si>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</si>
  <si>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</si>
  <si>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</si>
  <si>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</si>
  <si>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</si>
  <si>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</si>
  <si>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</si>
  <si>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</si>
  <si>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</si>
  <si>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</si>
  <si>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</si>
  <si>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</si>
  <si>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</si>
  <si>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</si>
  <si>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</si>
  <si>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</si>
  <si>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</si>
  <si>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</si>
  <si>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</si>
  <si>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</si>
  <si>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</si>
  <si>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</si>
  <si>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</si>
  <si>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</si>
  <si>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</si>
  <si>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</si>
  <si>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</si>
  <si>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</si>
  <si>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</si>
  <si>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</si>
  <si>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</si>
  <si>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</si>
  <si>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</si>
  <si>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</si>
  <si>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</si>
  <si>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</si>
  <si>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</si>
  <si>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</si>
  <si>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</si>
  <si>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</si>
  <si>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</si>
  <si>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</si>
  <si>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</si>
  <si>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</si>
  <si>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</si>
  <si>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</si>
  <si>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</si>
  <si>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</si>
  <si>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</si>
  <si>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</si>
  <si>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</si>
  <si>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</si>
  <si>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</si>
  <si>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</si>
  <si>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</si>
  <si>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</si>
  <si>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</si>
  <si>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</si>
  <si>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</si>
  <si>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</si>
  <si>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</si>
  <si>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</si>
  <si>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</si>
  <si>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</si>
  <si>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</si>
  <si>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</si>
  <si>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</si>
  <si>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</si>
  <si>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</si>
  <si>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</si>
  <si>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</si>
  <si>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</si>
  <si>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</si>
  <si>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</si>
  <si>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</si>
  <si>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</si>
  <si>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</si>
  <si>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</si>
  <si>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</si>
  <si>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</si>
  <si>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</si>
  <si>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</si>
  <si>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</si>
  <si>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</si>
  <si>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</si>
  <si>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</si>
  <si>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</si>
  <si>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</si>
  <si>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</si>
  <si>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</si>
  <si>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</si>
  <si>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</si>
  <si>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</si>
  <si>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</si>
  <si>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</si>
  <si>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</si>
  <si>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</si>
  <si>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</si>
  <si>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</si>
  <si>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</si>
  <si>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</si>
  <si>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</si>
  <si>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</si>
  <si>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</si>
  <si>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</si>
  <si>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</si>
  <si>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</si>
  <si>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</si>
  <si>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</si>
  <si>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</si>
  <si>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</si>
  <si>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</si>
  <si>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</si>
  <si>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</si>
  <si>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</si>
  <si>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</si>
  <si>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</si>
  <si>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</si>
  <si>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</si>
  <si>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</si>
  <si>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</si>
  <si>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</si>
  <si>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</si>
  <si>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</si>
  <si>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</si>
  <si>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</si>
  <si>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</si>
  <si>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</si>
  <si>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</si>
  <si>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</si>
  <si>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</si>
  <si>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</si>
  <si>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</si>
  <si>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</si>
  <si>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</si>
  <si>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</si>
  <si>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</si>
  <si>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</si>
  <si>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</si>
  <si>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</si>
  <si>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</si>
  <si>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</si>
  <si>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</si>
  <si>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</si>
  <si>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</si>
  <si>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</si>
  <si>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</si>
  <si>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</si>
  <si>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</si>
  <si>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</si>
  <si>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</si>
  <si>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</si>
  <si>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</si>
  <si>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</si>
  <si>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</si>
  <si>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</si>
  <si>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</si>
  <si>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</si>
  <si>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</si>
  <si>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</si>
  <si>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</si>
  <si>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</si>
  <si>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</si>
  <si>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</si>
  <si>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</si>
  <si>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</si>
  <si>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</si>
  <si>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</si>
  <si>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</si>
  <si>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</si>
  <si>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</si>
  <si>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</si>
  <si>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</si>
  <si>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</si>
  <si>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</si>
  <si>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</si>
  <si>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</si>
  <si>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</si>
  <si>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</si>
  <si>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</si>
  <si>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</si>
  <si>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</si>
  <si>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</si>
  <si>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</si>
  <si>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</si>
  <si>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</si>
  <si>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</si>
  <si>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</si>
  <si>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</si>
  <si>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</si>
  <si>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</si>
  <si>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</si>
  <si>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</si>
  <si>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</si>
  <si>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</si>
  <si>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</si>
  <si>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</si>
  <si>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</si>
  <si>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</si>
  <si>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</si>
  <si>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</si>
  <si>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</si>
  <si>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</si>
  <si>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</si>
  <si>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</si>
  <si>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</si>
  <si>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</si>
  <si>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</si>
  <si>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</si>
  <si>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</si>
  <si>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</si>
  <si>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</si>
  <si>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</si>
  <si>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</si>
  <si>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</si>
  <si>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</si>
  <si>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</si>
  <si>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</si>
  <si>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</si>
  <si>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</si>
  <si>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</si>
  <si>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</si>
  <si>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</si>
  <si>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</si>
  <si>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</si>
  <si>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</si>
  <si>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</si>
  <si>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</si>
  <si>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</si>
  <si>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</si>
  <si>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</si>
  <si>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</si>
  <si>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</si>
  <si>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</si>
  <si>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</si>
  <si>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</si>
  <si>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</si>
  <si>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</si>
  <si>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</si>
  <si>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</si>
  <si>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</si>
  <si>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</si>
  <si>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</si>
  <si>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</si>
  <si>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</si>
  <si>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</si>
  <si>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</si>
  <si>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</si>
  <si>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</si>
  <si>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</si>
  <si>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</si>
  <si>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</si>
  <si>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</si>
  <si>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</si>
  <si>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</si>
  <si>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</si>
  <si>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</si>
  <si>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</si>
  <si>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</si>
  <si>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</si>
  <si>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</si>
  <si>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</si>
  <si>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</si>
  <si>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</si>
  <si>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</si>
  <si>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</si>
  <si>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</si>
  <si>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</si>
  <si>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</si>
  <si>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</si>
  <si>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</si>
  <si>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</si>
  <si>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</si>
  <si>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</si>
  <si>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</si>
  <si>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</si>
  <si>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</si>
  <si>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</si>
  <si>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</si>
  <si>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</si>
  <si>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</si>
  <si>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</si>
  <si>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</si>
  <si>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</si>
  <si>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</si>
  <si>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</si>
  <si>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</si>
  <si>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</si>
  <si>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</si>
  <si>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</si>
  <si>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</si>
  <si>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</si>
  <si>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</si>
  <si>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</si>
  <si>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</si>
  <si>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</si>
  <si>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</si>
  <si>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</si>
  <si>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</si>
  <si>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</si>
  <si>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</si>
  <si>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</si>
  <si>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</si>
  <si>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</si>
  <si>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</si>
  <si>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</si>
  <si>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</si>
  <si>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</si>
  <si>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</si>
  <si>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</si>
  <si>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</si>
  <si>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</si>
  <si>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</si>
  <si>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</si>
  <si>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</si>
  <si>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</si>
  <si>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</si>
  <si>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</si>
  <si>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</si>
  <si>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</si>
  <si>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</si>
  <si>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</si>
  <si>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</si>
  <si>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</si>
  <si>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</si>
  <si>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</si>
  <si>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</si>
  <si>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</si>
  <si>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</si>
  <si>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</si>
  <si>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</si>
  <si>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</si>
  <si>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</si>
  <si>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</si>
  <si>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</si>
  <si>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</si>
  <si>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</si>
  <si>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</si>
  <si>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</si>
  <si>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</si>
  <si>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</si>
  <si>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</si>
  <si>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</si>
  <si>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</si>
  <si>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</si>
  <si>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</si>
  <si>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</si>
  <si>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</si>
  <si>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</si>
  <si>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</si>
  <si>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</si>
  <si>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</si>
  <si>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</si>
  <si>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</si>
  <si>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</si>
  <si>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</si>
  <si>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</si>
  <si>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</si>
  <si>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</si>
  <si>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</si>
  <si>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</si>
  <si>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</si>
  <si>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</si>
  <si>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</si>
  <si>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</si>
  <si>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</si>
  <si>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</si>
  <si>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</si>
  <si>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</si>
  <si>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</si>
  <si>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</si>
  <si>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</si>
  <si>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</si>
  <si>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</si>
  <si>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</si>
  <si>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</si>
  <si>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</si>
  <si>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</si>
  <si>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</si>
  <si>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</si>
  <si>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</si>
  <si>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</si>
  <si>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</si>
  <si>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</si>
  <si>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</si>
  <si>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</si>
  <si>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</si>
  <si>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</si>
  <si>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</si>
  <si>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</si>
  <si>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</si>
  <si>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</si>
  <si>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</si>
  <si>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</si>
  <si>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</si>
  <si>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</si>
  <si>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</si>
  <si>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</si>
  <si>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</si>
  <si>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</si>
  <si>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</si>
  <si>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</si>
  <si>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</si>
  <si>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</si>
  <si>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</si>
  <si>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</si>
  <si>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</si>
  <si>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</si>
  <si>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</si>
  <si>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</si>
  <si>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</si>
  <si>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</si>
  <si>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</si>
  <si>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</si>
  <si>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</si>
  <si>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</si>
  <si>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</si>
  <si>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</si>
  <si>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</si>
  <si>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</si>
  <si>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</si>
  <si>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</si>
  <si>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</si>
  <si>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</si>
  <si>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</si>
  <si>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</si>
  <si>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</si>
  <si>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</si>
  <si>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</si>
  <si>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</si>
  <si>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</si>
  <si>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</si>
  <si>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</si>
  <si>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</si>
  <si>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</si>
  <si>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</si>
  <si>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</si>
  <si>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</si>
  <si>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</si>
  <si>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</si>
  <si>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</si>
  <si>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</si>
  <si>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</si>
  <si>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</si>
  <si>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</si>
  <si>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</si>
  <si>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</si>
  <si>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</si>
  <si>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</si>
  <si>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</si>
  <si>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</si>
  <si>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</si>
  <si>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</si>
  <si>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</si>
  <si>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</si>
  <si>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</si>
  <si>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</si>
  <si>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</si>
  <si>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</si>
  <si>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</si>
  <si>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</si>
  <si>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</si>
  <si>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</si>
  <si>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</si>
  <si>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</si>
  <si>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</si>
  <si>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</si>
  <si>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</si>
  <si>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</si>
  <si>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</si>
  <si>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</si>
  <si>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</si>
  <si>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</si>
  <si>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</si>
  <si>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</si>
  <si>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</si>
  <si>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</si>
  <si>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</si>
  <si>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</si>
  <si>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</si>
  <si>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</si>
  <si>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</si>
  <si>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</si>
  <si>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</si>
  <si>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</si>
  <si>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</si>
  <si>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</si>
  <si>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</si>
  <si>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</si>
  <si>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</si>
  <si>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</si>
  <si>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</si>
  <si>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</si>
  <si>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</si>
  <si>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</si>
  <si>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</si>
  <si>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</si>
  <si>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</si>
  <si>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</si>
  <si>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</si>
  <si>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</si>
  <si>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</si>
  <si>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</si>
  <si>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</si>
  <si>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</si>
  <si>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</si>
  <si>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</si>
  <si>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</si>
  <si>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</si>
  <si>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</si>
  <si>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</si>
  <si>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</si>
  <si>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</si>
  <si>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</si>
  <si>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</si>
  <si>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</si>
  <si>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</si>
  <si>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</si>
  <si>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</si>
  <si>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</si>
  <si>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</si>
  <si>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</si>
  <si>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</si>
  <si>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</si>
  <si>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</si>
  <si>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</si>
  <si>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</si>
  <si>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</si>
  <si>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</si>
  <si>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</si>
  <si>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</si>
  <si>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</si>
  <si>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</si>
  <si>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</si>
  <si>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</si>
  <si>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</si>
  <si>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</si>
  <si>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</si>
  <si>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</si>
  <si>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</si>
  <si>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</si>
  <si>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</si>
  <si>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</si>
  <si>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</si>
  <si>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</si>
  <si>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</si>
  <si>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</si>
  <si>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</si>
  <si>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</si>
  <si>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</si>
  <si>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</si>
  <si>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</si>
  <si>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</si>
  <si>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</si>
  <si>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</si>
  <si>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</si>
  <si>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</si>
  <si>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</si>
  <si>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</si>
  <si>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</si>
  <si>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</si>
  <si>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</si>
  <si>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</si>
  <si>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</si>
  <si>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</si>
  <si>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</si>
  <si>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</si>
  <si>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</si>
  <si>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</si>
  <si>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</si>
  <si>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</si>
  <si>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</si>
  <si>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</si>
  <si>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</si>
  <si>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</si>
  <si>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</si>
  <si>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</si>
  <si>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</si>
  <si>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</si>
  <si>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</si>
  <si>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</si>
  <si>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</si>
  <si>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</si>
  <si>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</si>
  <si>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</si>
  <si>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</si>
  <si>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</si>
  <si>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</si>
  <si>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</si>
  <si>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</si>
  <si>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</si>
  <si>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</si>
  <si>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</si>
  <si>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</si>
  <si>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</si>
  <si>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</si>
  <si>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</si>
  <si>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</si>
  <si>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</si>
  <si>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</si>
  <si>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</si>
  <si>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</si>
  <si>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</si>
  <si>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</si>
  <si>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</si>
  <si>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</si>
  <si>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</si>
  <si>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</si>
  <si>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</si>
  <si>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</si>
  <si>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</si>
  <si>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</si>
  <si>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</si>
  <si>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</si>
  <si>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</si>
  <si>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</si>
  <si>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</si>
  <si>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</si>
  <si>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</si>
  <si>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</si>
  <si>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</si>
  <si>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</si>
  <si>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</si>
  <si>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</si>
  <si>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</si>
  <si>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</si>
  <si>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</si>
  <si>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</si>
  <si>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</si>
  <si>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</si>
  <si>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</si>
  <si>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</si>
  <si>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</si>
  <si>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</si>
  <si>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</si>
  <si>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</si>
  <si>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</si>
  <si>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</si>
  <si>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</si>
  <si>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</si>
  <si>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</si>
  <si>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</si>
  <si>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</si>
  <si>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</si>
  <si>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</si>
  <si>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</si>
  <si>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</si>
  <si>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</si>
  <si>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</si>
  <si>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</si>
  <si>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</si>
  <si>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</si>
  <si>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</si>
  <si>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</si>
  <si>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</si>
  <si>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</si>
  <si>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</si>
  <si>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</si>
  <si>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</si>
  <si>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</si>
  <si>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</si>
  <si>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</si>
  <si>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</si>
  <si>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</si>
  <si>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</si>
  <si>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</si>
  <si>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</si>
  <si>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</si>
  <si>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</si>
  <si>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</si>
  <si>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</si>
  <si>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</si>
  <si>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</si>
  <si>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</si>
  <si>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</si>
  <si>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</si>
  <si>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</si>
  <si>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</si>
  <si>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</si>
  <si>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</si>
  <si>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</si>
  <si>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</si>
  <si>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</si>
  <si>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</si>
  <si>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</si>
  <si>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</si>
  <si>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</si>
  <si>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</si>
  <si>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</si>
  <si>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</si>
  <si>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</si>
  <si>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</si>
  <si>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</si>
  <si>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</si>
  <si>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</si>
  <si>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</si>
  <si>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</si>
  <si>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</si>
  <si>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</si>
  <si>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</si>
  <si>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</si>
  <si>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</si>
  <si>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</si>
  <si>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</si>
  <si>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</si>
  <si>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</si>
  <si>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</si>
  <si>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</si>
  <si>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</si>
  <si>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</si>
  <si>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</si>
  <si>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</si>
  <si>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</si>
  <si>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</si>
  <si>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</si>
  <si>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</si>
  <si>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</si>
  <si>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</si>
  <si>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</si>
  <si>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</si>
  <si>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</si>
  <si>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</si>
  <si>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</si>
  <si>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</si>
  <si>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</si>
  <si>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</si>
  <si>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</si>
  <si>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</si>
  <si>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</si>
  <si>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</si>
  <si>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</si>
  <si>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</si>
  <si>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</si>
  <si>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</si>
  <si>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</si>
  <si>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</si>
  <si>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</si>
  <si>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</si>
  <si>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</si>
  <si>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</si>
  <si>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</si>
  <si>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</si>
  <si>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</si>
  <si>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</si>
  <si>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</si>
  <si>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</si>
  <si>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</si>
  <si>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</si>
  <si>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</si>
  <si>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</si>
  <si>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</si>
  <si>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</si>
  <si>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</si>
  <si>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</si>
  <si>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</si>
  <si>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</si>
  <si>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</si>
  <si>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</si>
  <si>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</si>
  <si>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</si>
  <si>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</si>
  <si>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</si>
  <si>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</si>
  <si>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</si>
  <si>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</si>
  <si>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</si>
  <si>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</si>
  <si>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</si>
  <si>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</si>
  <si>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</si>
  <si>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</si>
  <si>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</si>
  <si>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</si>
  <si>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</si>
  <si>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</si>
  <si>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</si>
  <si>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</si>
  <si>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</si>
  <si>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</si>
  <si>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</si>
  <si>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</si>
  <si>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</si>
  <si>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</si>
  <si>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</si>
  <si>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</si>
  <si>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</si>
  <si>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</si>
  <si>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</si>
  <si>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</si>
  <si>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</si>
  <si>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</si>
  <si>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</si>
  <si>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</si>
  <si>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</si>
  <si>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</si>
  <si>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</si>
  <si>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</si>
  <si>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</si>
  <si>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</si>
  <si>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</si>
  <si>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</si>
  <si>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</si>
  <si>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</si>
  <si>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</si>
  <si>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</si>
  <si>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</si>
  <si>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</si>
  <si>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</si>
  <si>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</si>
  <si>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</si>
  <si>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</si>
  <si>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</si>
  <si>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</si>
  <si>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</si>
  <si>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</si>
  <si>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</si>
  <si>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</si>
  <si>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</si>
  <si>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</si>
  <si>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</si>
  <si>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</si>
  <si>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</si>
  <si>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</si>
  <si>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</si>
  <si>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</si>
  <si>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</si>
  <si>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</si>
  <si>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</si>
  <si>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</si>
  <si>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</si>
  <si>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</si>
  <si>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</si>
  <si>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</si>
  <si>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</si>
  <si>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</si>
  <si>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</si>
  <si>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</si>
  <si>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</si>
  <si>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</si>
  <si>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</si>
  <si>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</si>
  <si>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</si>
  <si>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</si>
  <si>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</si>
  <si>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</si>
  <si>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</si>
  <si>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</si>
  <si>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</si>
  <si>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</si>
  <si>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</si>
  <si>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</si>
  <si>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</si>
  <si>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</si>
  <si>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</si>
  <si>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</si>
  <si>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</si>
  <si>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</si>
  <si>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</si>
  <si>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</si>
  <si>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</si>
  <si>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</si>
  <si>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</si>
  <si>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</si>
  <si>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</si>
  <si>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</si>
  <si>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</si>
  <si>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</si>
  <si>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</si>
  <si>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</si>
  <si>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</si>
  <si>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</si>
  <si>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</si>
  <si>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</si>
  <si>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</si>
  <si>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</si>
  <si>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</si>
  <si>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</si>
  <si>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</si>
  <si>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</si>
  <si>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</si>
  <si>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</si>
  <si>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</si>
  <si>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</si>
  <si>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</si>
  <si>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</si>
  <si>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</si>
  <si>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</si>
  <si>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</si>
  <si>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</si>
  <si>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</si>
  <si>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</si>
  <si>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</si>
  <si>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</si>
  <si>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</si>
  <si>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</si>
  <si>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</si>
  <si>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</si>
  <si>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</si>
  <si>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</si>
  <si>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</si>
  <si>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</si>
  <si>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</si>
  <si>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</si>
  <si>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</si>
  <si>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</si>
  <si>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</si>
  <si>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</si>
  <si>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</si>
  <si>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</si>
  <si>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</si>
  <si>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</si>
  <si>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</si>
  <si>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</si>
  <si>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</si>
  <si>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</si>
  <si>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</si>
  <si>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</si>
  <si>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</si>
  <si>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</si>
  <si>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</si>
  <si>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</si>
  <si>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</si>
  <si>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</si>
  <si>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</si>
  <si>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</si>
  <si>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</si>
  <si>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</si>
  <si>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</si>
  <si>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</si>
  <si>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</si>
  <si>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</si>
  <si>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</si>
  <si>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</si>
  <si>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</si>
  <si>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</si>
  <si>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</si>
  <si>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</si>
  <si>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</si>
  <si>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</si>
  <si>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</si>
  <si>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</si>
  <si>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</si>
  <si>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</si>
  <si>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</si>
  <si>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</si>
  <si>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</si>
  <si>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</si>
  <si>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</si>
  <si>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</si>
  <si>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</si>
  <si>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</si>
  <si>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</si>
  <si>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</si>
  <si>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</si>
  <si>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</si>
  <si>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</si>
  <si>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</si>
  <si>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</si>
  <si>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</si>
  <si>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</si>
  <si>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</si>
  <si>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</si>
  <si>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</si>
  <si>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</si>
  <si>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</si>
  <si>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</si>
  <si>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</si>
  <si>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</si>
  <si>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</si>
  <si>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</si>
  <si>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</si>
  <si>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</si>
  <si>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</si>
  <si>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</si>
  <si>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</si>
  <si>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</si>
  <si>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</si>
  <si>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</si>
  <si>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</si>
  <si>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</si>
  <si>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</si>
  <si>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</si>
  <si>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</si>
  <si>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</si>
  <si>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</si>
  <si>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</si>
  <si>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</si>
  <si>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</si>
  <si>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</si>
  <si>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</si>
  <si>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</si>
  <si>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</si>
  <si>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</si>
  <si>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</si>
  <si>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</si>
  <si>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</si>
  <si>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</si>
  <si>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</si>
  <si>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</si>
  <si>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</si>
  <si>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</si>
  <si>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</si>
  <si>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</si>
  <si>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</si>
  <si>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</si>
  <si>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</si>
  <si>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</si>
  <si>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</si>
  <si>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</si>
  <si>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</si>
  <si>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</si>
  <si>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</si>
  <si>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</si>
  <si>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</si>
  <si>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</si>
  <si>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</si>
  <si>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</si>
  <si>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</si>
  <si>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</si>
  <si>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</si>
  <si>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</si>
  <si>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</si>
  <si>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</si>
  <si>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</si>
  <si>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</si>
  <si>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</si>
  <si>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</si>
  <si>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</si>
  <si>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</si>
  <si>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</si>
  <si>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</si>
  <si>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</si>
  <si>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</si>
  <si>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</si>
  <si>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</si>
  <si>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</si>
  <si>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</si>
  <si>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</si>
  <si>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</si>
  <si>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</si>
  <si>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</si>
  <si>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</si>
  <si>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</si>
  <si>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</si>
  <si>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</si>
  <si>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</si>
  <si>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</si>
  <si>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</si>
  <si>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</si>
  <si>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</si>
  <si>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</si>
  <si>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</si>
  <si>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</si>
  <si>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</si>
  <si>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</si>
  <si>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</si>
  <si>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</si>
  <si>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</si>
  <si>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</si>
  <si>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</si>
  <si>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</si>
  <si>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</si>
  <si>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</si>
  <si>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</si>
  <si>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</si>
  <si>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</si>
  <si>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</si>
  <si>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</si>
  <si>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</si>
  <si>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</si>
  <si>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</si>
  <si>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</si>
  <si>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</si>
  <si>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</si>
  <si>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</si>
  <si>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</si>
  <si>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</si>
  <si>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</si>
  <si>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</si>
  <si>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</si>
  <si>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</si>
  <si>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</si>
  <si>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</si>
  <si>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</si>
  <si>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</si>
  <si>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</si>
  <si>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</si>
  <si>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</si>
  <si>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</si>
  <si>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</si>
  <si>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</si>
  <si>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</si>
  <si>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</si>
  <si>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</si>
  <si>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</si>
  <si>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</si>
  <si>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</si>
  <si>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</si>
  <si>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</si>
  <si>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</si>
  <si>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</si>
  <si>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</si>
  <si>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</si>
  <si>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</si>
  <si>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</si>
  <si>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</si>
  <si>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</si>
  <si>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</si>
  <si>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</si>
  <si>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</si>
  <si>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</si>
  <si>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</si>
  <si>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</si>
  <si>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</si>
  <si>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</si>
  <si>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</si>
  <si>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</si>
  <si>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</si>
  <si>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</si>
  <si>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</si>
  <si>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</si>
  <si>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</si>
  <si>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</si>
  <si>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</si>
  <si>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</si>
  <si>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</si>
  <si>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</si>
  <si>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</si>
  <si>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</si>
  <si>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</si>
  <si>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</si>
  <si>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</si>
  <si>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</si>
  <si>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</si>
  <si>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</si>
  <si>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</si>
  <si>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</si>
  <si>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</si>
  <si>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</si>
  <si>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</si>
  <si>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</si>
  <si>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</si>
  <si>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</si>
  <si>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</si>
  <si>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</si>
  <si>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</si>
  <si>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</si>
  <si>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</si>
  <si>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</si>
  <si>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</si>
  <si>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</si>
  <si>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</si>
  <si>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</si>
  <si>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</si>
  <si>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</si>
  <si>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</si>
  <si>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</si>
  <si>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</si>
  <si>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</si>
  <si>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</si>
  <si>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</si>
  <si>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</si>
  <si>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</si>
  <si>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</si>
  <si>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</si>
  <si>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</si>
  <si>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</si>
  <si>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</si>
  <si>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</si>
  <si>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</si>
  <si>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</si>
  <si>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</si>
  <si>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</si>
  <si>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</si>
  <si>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</si>
  <si>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</si>
  <si>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</si>
  <si>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</si>
  <si>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</si>
  <si>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</si>
  <si>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</si>
  <si>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</si>
  <si>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</si>
  <si>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</si>
  <si>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</si>
  <si>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</si>
  <si>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</si>
  <si>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</si>
  <si>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</si>
  <si>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</si>
  <si>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</si>
  <si>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</si>
  <si>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</si>
  <si>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</si>
  <si>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</si>
  <si>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</si>
  <si>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</si>
  <si>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</si>
  <si>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</si>
  <si>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</si>
  <si>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</si>
  <si>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</si>
  <si>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</si>
  <si>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</si>
  <si>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</si>
  <si>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</si>
  <si>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</si>
  <si>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</si>
  <si>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</si>
  <si>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</si>
  <si>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</si>
  <si>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</si>
  <si>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</si>
  <si>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</si>
  <si>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</si>
  <si>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</si>
  <si>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</si>
  <si>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</si>
  <si>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</si>
  <si>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</si>
  <si>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</si>
  <si>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</si>
  <si>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</si>
  <si>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</si>
  <si>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</si>
  <si>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</si>
  <si>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</si>
  <si>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</si>
  <si>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</si>
  <si>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</si>
  <si>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</si>
  <si>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</si>
  <si>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</si>
  <si>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</si>
  <si>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</si>
  <si>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</si>
  <si>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</si>
  <si>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</si>
  <si>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</si>
  <si>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</si>
  <si>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</si>
  <si>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</si>
  <si>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</si>
  <si>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</si>
  <si>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</si>
  <si>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</si>
  <si>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</si>
  <si>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</si>
  <si>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</si>
  <si>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</si>
  <si>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</si>
  <si>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</si>
  <si>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</si>
  <si>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</si>
  <si>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</si>
  <si>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</si>
  <si>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</si>
  <si>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</si>
  <si>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</si>
  <si>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</si>
  <si>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</si>
  <si>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</si>
  <si>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</si>
  <si>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</si>
  <si>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</si>
  <si>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</si>
  <si>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</si>
  <si>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</si>
  <si>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</si>
  <si>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</si>
  <si>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</si>
  <si>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</si>
  <si>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</si>
  <si>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</si>
  <si>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</si>
  <si>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</si>
  <si>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</si>
  <si>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</si>
  <si>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</si>
  <si>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</si>
  <si>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</si>
  <si>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</si>
  <si>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</si>
  <si>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</si>
  <si>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</si>
  <si>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</si>
  <si>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</si>
  <si>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</si>
  <si>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</si>
  <si>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</si>
  <si>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</si>
  <si>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</si>
  <si>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</si>
  <si>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</si>
  <si>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</si>
  <si>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</si>
  <si>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</si>
  <si>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</si>
  <si>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</si>
  <si>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</si>
  <si>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</si>
  <si>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</si>
  <si>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</si>
  <si>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</si>
  <si>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</si>
  <si>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</si>
  <si>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</si>
  <si>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</si>
  <si>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</si>
  <si>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</si>
  <si>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</si>
  <si>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</si>
  <si>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</si>
  <si>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</si>
  <si>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</si>
  <si>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</si>
  <si>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</si>
  <si>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</si>
  <si>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</si>
  <si>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</si>
  <si>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</si>
  <si>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</si>
  <si>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</si>
  <si>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</si>
  <si>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</si>
  <si>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</si>
  <si>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</si>
  <si>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</si>
  <si>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</si>
  <si>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</si>
  <si>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</si>
  <si>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</si>
  <si>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</si>
  <si>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</si>
  <si>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</si>
  <si>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</si>
  <si>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</si>
  <si>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</si>
  <si>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</si>
  <si>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</si>
  <si>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</si>
  <si>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</si>
  <si>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</si>
  <si>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</si>
  <si>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</si>
  <si>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</si>
  <si>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</si>
  <si>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</si>
  <si>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</si>
  <si>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</si>
  <si>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</si>
  <si>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</si>
  <si>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</si>
  <si>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</si>
  <si>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</si>
  <si>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</si>
  <si>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</si>
  <si>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</si>
  <si>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</si>
  <si>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</si>
  <si>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</si>
  <si>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</si>
  <si>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</si>
  <si>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</si>
  <si>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</si>
  <si>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</si>
  <si>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</si>
  <si>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</si>
  <si>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</si>
  <si>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</si>
  <si>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</si>
  <si>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</si>
  <si>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</si>
  <si>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</si>
  <si>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</si>
  <si>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</si>
  <si>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</si>
  <si>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</si>
  <si>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</si>
  <si>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</si>
  <si>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</si>
  <si>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</si>
  <si>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</si>
  <si>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</si>
  <si>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</si>
  <si>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</si>
  <si>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</si>
  <si>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</si>
  <si>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</si>
  <si>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</si>
  <si>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</si>
  <si>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</si>
  <si>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</si>
  <si>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</si>
  <si>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</si>
  <si>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</si>
  <si>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</si>
  <si>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</si>
  <si>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</si>
  <si>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</si>
  <si>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</si>
  <si>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</si>
  <si>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</si>
  <si>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</si>
  <si>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</si>
  <si>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</si>
  <si>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</si>
  <si>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</si>
  <si>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</si>
  <si>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</si>
  <si>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</si>
  <si>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</si>
  <si>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</si>
  <si>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</si>
  <si>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</si>
  <si>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</si>
  <si>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</si>
  <si>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</si>
  <si>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</si>
  <si>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</si>
  <si>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</si>
  <si>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</si>
  <si>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</si>
  <si>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</si>
  <si>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</si>
  <si>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</si>
  <si>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</si>
  <si>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</si>
  <si>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</si>
  <si>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</si>
  <si>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</si>
  <si>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</si>
  <si>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</si>
  <si>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</si>
  <si>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</si>
  <si>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</si>
  <si>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</si>
  <si>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</si>
  <si>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</si>
  <si>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</si>
  <si>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</si>
  <si>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</si>
  <si>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</si>
  <si>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</si>
  <si>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</si>
  <si>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</si>
  <si>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</si>
  <si>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</si>
  <si>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</si>
  <si>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</si>
  <si>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</si>
  <si>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</si>
  <si>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</si>
  <si>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</si>
  <si>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</si>
  <si>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</si>
  <si>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</si>
  <si>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</si>
  <si>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</si>
  <si>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</si>
  <si>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</si>
  <si>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</si>
  <si>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</si>
  <si>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</si>
  <si>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</si>
  <si>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</si>
  <si>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</si>
  <si>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</si>
  <si>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</si>
  <si>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</si>
  <si>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</si>
  <si>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</si>
  <si>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</si>
  <si>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</si>
  <si>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</si>
  <si>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</si>
  <si>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</si>
  <si>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</si>
  <si>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</si>
  <si>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</si>
  <si>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</si>
  <si>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</si>
  <si>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</si>
  <si>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</si>
  <si>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</si>
  <si>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</si>
  <si>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</si>
  <si>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</si>
  <si>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</si>
  <si>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</si>
  <si>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</si>
  <si>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</si>
  <si>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</si>
  <si>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</si>
  <si>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</si>
  <si>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</si>
  <si>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</si>
  <si>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</si>
  <si>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</si>
  <si>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</si>
  <si>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</si>
  <si>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</si>
  <si>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</si>
  <si>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</si>
  <si>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</si>
  <si>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</si>
  <si>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</si>
  <si>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</si>
  <si>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</si>
  <si>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</si>
  <si>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</si>
  <si>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</si>
  <si>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</si>
  <si>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</si>
  <si>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</si>
  <si>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</si>
  <si>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</si>
  <si>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</si>
  <si>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</si>
  <si>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</si>
  <si>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</si>
  <si>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</si>
  <si>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</si>
  <si>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</si>
  <si>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</si>
  <si>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</si>
  <si>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</si>
  <si>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</si>
  <si>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</si>
  <si>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</si>
  <si>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</si>
  <si>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</si>
  <si>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</si>
  <si>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</si>
  <si>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</si>
  <si>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</si>
  <si>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</si>
  <si>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</si>
  <si>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</si>
  <si>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</si>
  <si>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</si>
  <si>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</si>
  <si>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</si>
  <si>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</si>
  <si>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</si>
  <si>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</si>
  <si>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</si>
  <si>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</si>
  <si>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</si>
  <si>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</si>
  <si>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</si>
  <si>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</si>
  <si>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</si>
  <si>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</si>
  <si>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</si>
  <si>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</si>
  <si>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</si>
  <si>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</si>
  <si>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</si>
  <si>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</si>
  <si>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</si>
  <si>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</si>
  <si>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</si>
  <si>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</si>
  <si>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</si>
  <si>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</si>
  <si>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</si>
  <si>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</si>
  <si>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</si>
  <si>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</si>
  <si>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</si>
  <si>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</si>
  <si>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</si>
  <si>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</si>
  <si>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</si>
  <si>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</si>
  <si>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</si>
  <si>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</si>
  <si>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</si>
  <si>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</si>
  <si>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</si>
  <si>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</si>
  <si>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</si>
  <si>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</si>
  <si>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</si>
  <si>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</si>
  <si>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</si>
  <si>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</si>
  <si>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</si>
  <si>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</si>
  <si>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</si>
  <si>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</si>
  <si>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</si>
  <si>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</si>
  <si>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</si>
  <si>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</si>
  <si>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</si>
  <si>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</si>
  <si>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</si>
  <si>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</si>
  <si>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</si>
  <si>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</si>
  <si>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</si>
  <si>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</si>
  <si>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</si>
  <si>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</si>
  <si>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</si>
  <si>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</si>
  <si>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</si>
  <si>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</si>
  <si>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</si>
  <si>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</si>
  <si>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</si>
  <si>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</si>
  <si>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</si>
  <si>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</si>
  <si>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</si>
  <si>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</si>
  <si>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</si>
  <si>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</si>
  <si>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</si>
  <si>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</si>
  <si>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</si>
  <si>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</si>
  <si>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</si>
  <si>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</si>
  <si>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</si>
  <si>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</si>
  <si>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</si>
  <si>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</si>
  <si>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</si>
  <si>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</si>
  <si>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</si>
  <si>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</si>
  <si>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</si>
  <si>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</si>
  <si>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</si>
  <si>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</si>
  <si>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</si>
  <si>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</si>
  <si>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</si>
  <si>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</si>
  <si>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</si>
  <si>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</si>
  <si>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</si>
  <si>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</si>
  <si>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</si>
  <si>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</si>
  <si>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</si>
  <si>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</si>
  <si>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</si>
  <si>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</si>
  <si>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</si>
  <si>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</si>
  <si>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</si>
  <si>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</si>
  <si>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</si>
  <si>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</si>
  <si>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</si>
  <si>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</si>
  <si>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</si>
  <si>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</si>
  <si>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</si>
  <si>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</si>
  <si>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</si>
  <si>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</si>
  <si>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</si>
  <si>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</si>
  <si>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</si>
  <si>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</si>
  <si>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</si>
  <si>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</si>
  <si>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</si>
  <si>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</si>
  <si>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</si>
  <si>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</si>
  <si>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</si>
  <si>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</si>
  <si>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</si>
  <si>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</si>
  <si>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</si>
  <si>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</si>
  <si>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</si>
  <si>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</si>
  <si>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</si>
  <si>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</si>
  <si>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</si>
  <si>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</si>
  <si>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</si>
  <si>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</si>
  <si>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</si>
  <si>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</si>
  <si>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</si>
  <si>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</si>
  <si>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</si>
  <si>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</si>
  <si>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</si>
  <si>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</si>
  <si>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</si>
  <si>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</si>
  <si>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</si>
  <si>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</si>
  <si>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</si>
  <si>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</si>
  <si>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</si>
  <si>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</si>
  <si>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</si>
  <si>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</si>
  <si>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</si>
  <si>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</si>
  <si>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</si>
  <si>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</si>
  <si>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</si>
  <si>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</si>
  <si>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</si>
  <si>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</si>
  <si>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</si>
  <si>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</si>
  <si>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</si>
  <si>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</si>
  <si>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</si>
  <si>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</si>
  <si>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</si>
  <si>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</si>
  <si>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</si>
  <si>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</si>
  <si>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</si>
  <si>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</si>
  <si>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</si>
  <si>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</si>
  <si>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</si>
  <si>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</si>
  <si>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</si>
  <si>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</si>
  <si>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</si>
  <si>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</si>
  <si>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</si>
  <si>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</si>
  <si>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</si>
  <si>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</si>
  <si>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</si>
  <si>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</si>
  <si>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</si>
  <si>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</si>
  <si>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</si>
  <si>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</si>
  <si>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</si>
  <si>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</si>
  <si>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</si>
  <si>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</si>
  <si>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</si>
  <si>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</si>
  <si>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</si>
  <si>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</si>
  <si>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</si>
  <si>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</si>
  <si>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</si>
  <si>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</si>
  <si>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</si>
  <si>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</si>
  <si>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</si>
  <si>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</si>
  <si>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</si>
  <si>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</si>
  <si>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</si>
  <si>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</si>
  <si>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</si>
  <si>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</si>
  <si>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</si>
  <si>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</si>
  <si>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</si>
  <si>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</si>
  <si>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</si>
  <si>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</si>
  <si>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</si>
  <si>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</si>
  <si>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</si>
  <si>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</si>
  <si>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</si>
  <si>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</si>
  <si>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</si>
  <si>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</si>
  <si>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</si>
  <si>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</si>
  <si>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</si>
  <si>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</si>
  <si>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</si>
  <si>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</si>
  <si>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</si>
  <si>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</si>
  <si>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</si>
  <si>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</si>
  <si>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</si>
  <si>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</si>
  <si>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</si>
  <si>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</si>
  <si>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</si>
  <si>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</si>
  <si>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</si>
  <si>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</si>
  <si>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</si>
  <si>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</si>
  <si>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</si>
  <si>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</si>
  <si>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</si>
  <si>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</si>
  <si>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</si>
  <si>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</si>
  <si>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</si>
  <si>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</si>
  <si>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</si>
  <si>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</si>
  <si>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</si>
  <si>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</si>
  <si>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</si>
  <si>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</si>
  <si>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</si>
  <si>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</si>
  <si>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</si>
  <si>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</si>
  <si>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</si>
  <si>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</si>
  <si>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</si>
  <si>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</si>
  <si>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</si>
  <si>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</si>
  <si>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</si>
  <si>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</si>
  <si>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</si>
  <si>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</si>
  <si>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</si>
  <si>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</si>
  <si>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</si>
  <si>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</si>
  <si>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</si>
  <si>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</si>
  <si>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</si>
  <si>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</si>
  <si>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</si>
  <si>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</si>
  <si>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</si>
  <si>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</si>
  <si>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</si>
  <si>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</si>
  <si>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</si>
  <si>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</si>
  <si>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</si>
  <si>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</si>
  <si>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</si>
  <si>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</si>
  <si>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</si>
  <si>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</si>
  <si>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</si>
  <si>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</si>
  <si>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</si>
  <si>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</si>
  <si>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</si>
  <si>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</si>
  <si>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</si>
  <si>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</si>
  <si>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</si>
  <si>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</si>
  <si>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</si>
  <si>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</si>
  <si>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</si>
  <si>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</si>
  <si>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</si>
  <si>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</si>
  <si>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</si>
  <si>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</si>
  <si>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</si>
  <si>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</si>
  <si>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</si>
  <si>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</si>
  <si>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</si>
  <si>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</si>
  <si>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</si>
  <si>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</si>
  <si>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</si>
  <si>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</si>
  <si>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</si>
  <si>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</si>
  <si>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</si>
  <si>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</si>
  <si>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</si>
  <si>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</si>
  <si>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</si>
  <si>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</si>
  <si>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</si>
  <si>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</si>
  <si>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</si>
  <si>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</si>
  <si>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</si>
  <si>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</si>
  <si>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</si>
  <si>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</si>
  <si>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</si>
  <si>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</si>
  <si>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</si>
  <si>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</si>
  <si>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</si>
  <si>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</si>
  <si>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</si>
  <si>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</si>
  <si>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</si>
  <si>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</si>
  <si>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</si>
  <si>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</si>
  <si>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</si>
  <si>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</si>
  <si>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</si>
  <si>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</si>
  <si>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</si>
  <si>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</si>
  <si>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</si>
  <si>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</si>
  <si>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</si>
  <si>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</si>
  <si>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</si>
  <si>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</si>
  <si>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</si>
  <si>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</si>
  <si>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</si>
  <si>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</si>
  <si>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</si>
  <si>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</si>
  <si>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</si>
  <si>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</si>
  <si>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</si>
  <si>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</si>
  <si>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</si>
  <si>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</si>
  <si>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</si>
  <si>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</si>
  <si>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</si>
  <si>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</si>
  <si>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</si>
  <si>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</si>
  <si>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</si>
  <si>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</si>
  <si>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</si>
  <si>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</si>
  <si>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</si>
  <si>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</si>
  <si>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</si>
  <si>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</si>
  <si>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</si>
  <si>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</si>
  <si>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</si>
  <si>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</si>
  <si>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</si>
  <si>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</si>
  <si>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</si>
  <si>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</si>
  <si>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</si>
  <si>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</si>
  <si>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</si>
  <si>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</si>
  <si>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</si>
  <si>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</si>
  <si>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</si>
  <si>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</si>
  <si>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</si>
  <si>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</si>
  <si>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</si>
  <si>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</si>
  <si>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</si>
  <si>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</si>
  <si>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</si>
  <si>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</si>
  <si>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</si>
  <si>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</si>
  <si>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</si>
  <si>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</si>
  <si>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</si>
  <si>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</si>
  <si>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</si>
  <si>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</si>
  <si>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</si>
  <si>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</si>
  <si>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</si>
  <si>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</si>
  <si>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</si>
  <si>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</si>
  <si>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</si>
  <si>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</si>
  <si>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</si>
  <si>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</si>
  <si>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</si>
  <si>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</si>
  <si>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</si>
  <si>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</si>
  <si>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</si>
  <si>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</si>
  <si>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</si>
  <si>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</si>
  <si>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</si>
  <si>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</si>
  <si>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</si>
  <si>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</si>
  <si>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</si>
  <si>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</si>
  <si>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</si>
  <si>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</si>
  <si>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</si>
  <si>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</si>
  <si>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</si>
  <si>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</si>
  <si>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</si>
  <si>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</si>
  <si>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</si>
  <si>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</si>
  <si>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</si>
  <si>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</si>
  <si>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</si>
  <si>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</si>
  <si>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</si>
  <si>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</si>
  <si>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</si>
  <si>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</si>
  <si>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</si>
  <si>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</si>
  <si>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</si>
  <si>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</si>
  <si>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</si>
  <si>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</si>
  <si>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</si>
  <si>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</si>
  <si>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</si>
  <si>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</si>
  <si>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</si>
  <si>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</si>
  <si>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</si>
  <si>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</si>
  <si>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</si>
  <si>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</si>
  <si>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</si>
  <si>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</si>
  <si>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</si>
  <si>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</si>
  <si>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</si>
  <si>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</si>
  <si>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</si>
  <si>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</si>
  <si>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</si>
  <si>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</si>
  <si>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</si>
  <si>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</si>
  <si>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</si>
  <si>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</si>
  <si>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</si>
  <si>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</si>
  <si>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</si>
  <si>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</si>
  <si>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</si>
  <si>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</si>
  <si>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</si>
  <si>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</si>
  <si>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</si>
  <si>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</si>
  <si>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</si>
  <si>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</si>
  <si>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</si>
  <si>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</si>
  <si>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</si>
  <si>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</si>
  <si>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</si>
  <si>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</si>
  <si>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</si>
  <si>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</si>
  <si>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</si>
  <si>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</si>
  <si>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</si>
  <si>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</si>
  <si>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</si>
  <si>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</si>
  <si>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</si>
  <si>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</si>
  <si>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</si>
  <si>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</si>
  <si>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</si>
  <si>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</si>
  <si>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</si>
  <si>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</si>
  <si>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</si>
  <si>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</si>
  <si>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</si>
  <si>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</si>
  <si>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</si>
  <si>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</si>
  <si>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</si>
  <si>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</si>
  <si>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</si>
  <si>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</si>
  <si>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</si>
  <si>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</si>
  <si>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</si>
  <si>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</si>
  <si>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</si>
  <si>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</si>
  <si>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</si>
  <si>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</si>
  <si>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</si>
  <si>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</si>
  <si>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</si>
  <si>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</si>
  <si>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</si>
  <si>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</si>
  <si>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</si>
  <si>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</si>
  <si>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</si>
  <si>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</si>
  <si>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</si>
  <si>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</si>
  <si>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</si>
  <si>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</si>
  <si>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</si>
  <si>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</si>
  <si>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</si>
  <si>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</si>
  <si>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</si>
  <si>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</si>
  <si>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</si>
  <si>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</si>
  <si>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</si>
  <si>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</si>
  <si>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</si>
  <si>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</si>
  <si>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</si>
  <si>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</si>
  <si>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</si>
  <si>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</si>
  <si>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</si>
  <si>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</si>
  <si>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</si>
  <si>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</si>
  <si>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</si>
  <si>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</si>
  <si>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</si>
  <si>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</si>
  <si>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</si>
  <si>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</si>
  <si>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</si>
  <si>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</si>
  <si>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</si>
  <si>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</si>
  <si>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</si>
  <si>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</si>
  <si>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</si>
  <si>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</si>
  <si>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</si>
  <si>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</si>
  <si>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</si>
  <si>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</si>
  <si>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</si>
  <si>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</si>
  <si>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</si>
  <si>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</si>
  <si>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</si>
  <si>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</si>
  <si>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</si>
  <si>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</si>
  <si>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</si>
  <si>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</si>
  <si>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</si>
  <si>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</si>
  <si>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</si>
  <si>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</si>
  <si>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</si>
  <si>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</si>
  <si>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</si>
  <si>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</si>
  <si>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</si>
  <si>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</si>
  <si>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</si>
  <si>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</si>
  <si>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</si>
  <si>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</si>
  <si>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</si>
  <si>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</si>
  <si>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</si>
  <si>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</si>
  <si>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</si>
  <si>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</si>
  <si>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</si>
  <si>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</si>
  <si>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</si>
  <si>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</si>
  <si>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</si>
  <si>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</si>
  <si>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</si>
  <si>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</si>
  <si>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</si>
  <si>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</si>
  <si>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</si>
  <si>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</si>
  <si>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</si>
  <si>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</si>
  <si>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</si>
  <si>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</si>
  <si>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</si>
  <si>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</si>
  <si>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</si>
  <si>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</si>
  <si>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</si>
  <si>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</si>
  <si>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</si>
  <si>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</si>
  <si>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</si>
  <si>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</si>
  <si>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</si>
  <si>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</si>
  <si>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</si>
  <si>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</si>
  <si>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</si>
  <si>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</si>
  <si>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</si>
  <si>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</si>
  <si>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</si>
  <si>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</si>
  <si>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</si>
  <si>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</si>
  <si>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</si>
  <si>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</si>
  <si>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</si>
  <si>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</si>
  <si>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</si>
  <si>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</si>
  <si>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</si>
  <si>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</si>
  <si>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</si>
  <si>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</si>
  <si>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</si>
  <si>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</si>
  <si>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</si>
  <si>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</si>
  <si>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</si>
  <si>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</si>
  <si>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</si>
  <si>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</si>
  <si>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</si>
  <si>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</si>
  <si>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</si>
  <si>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</si>
  <si>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</si>
  <si>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</si>
  <si>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</si>
  <si>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</si>
  <si>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</si>
  <si>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</si>
  <si>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</si>
  <si>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</si>
  <si>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</si>
  <si>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</si>
  <si>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</si>
  <si>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</si>
  <si>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</si>
  <si>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</si>
  <si>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</si>
  <si>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</si>
  <si>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</si>
  <si>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</si>
  <si>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</si>
  <si>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</si>
  <si>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</si>
  <si>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</si>
  <si>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</si>
  <si>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</si>
  <si>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</si>
  <si>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</si>
  <si>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</si>
  <si>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</si>
  <si>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</si>
  <si>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</si>
  <si>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</si>
  <si>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</si>
  <si>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</si>
  <si>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</si>
  <si>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</si>
  <si>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</si>
  <si>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</si>
  <si>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</si>
  <si>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</si>
  <si>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</si>
  <si>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</si>
  <si>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</si>
  <si>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</si>
  <si>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</si>
  <si>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</si>
  <si>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</si>
  <si>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</si>
  <si>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</si>
  <si>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</si>
  <si>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</si>
  <si>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</si>
  <si>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</si>
  <si>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</si>
  <si>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</si>
  <si>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</si>
  <si>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</si>
  <si>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</si>
  <si>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</si>
  <si>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</si>
  <si>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</si>
  <si>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</si>
  <si>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</si>
  <si>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</si>
  <si>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</si>
  <si>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</si>
  <si>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</si>
  <si>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</si>
  <si>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</si>
  <si>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</si>
  <si>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</si>
  <si>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</si>
  <si>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</si>
  <si>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</si>
  <si>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</si>
  <si>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</si>
  <si>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</si>
  <si>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</si>
  <si>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</si>
  <si>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</si>
  <si>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</si>
  <si>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</si>
  <si>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</si>
  <si>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</si>
  <si>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</si>
  <si>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</si>
  <si>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</si>
  <si>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</si>
  <si>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</si>
  <si>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</si>
  <si>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</si>
  <si>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</si>
  <si>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</si>
  <si>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</si>
  <si>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</si>
  <si>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</si>
  <si>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</si>
  <si>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</si>
  <si>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</si>
  <si>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</si>
  <si>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</si>
  <si>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</si>
  <si>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</si>
  <si>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</si>
  <si>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</si>
  <si>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</si>
  <si>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</si>
  <si>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</si>
  <si>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</si>
  <si>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</si>
  <si>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</si>
  <si>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</si>
  <si>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</si>
  <si>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</si>
  <si>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</si>
  <si>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</si>
  <si>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</si>
  <si>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</si>
  <si>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</si>
  <si>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</si>
  <si>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</si>
  <si>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</si>
  <si>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</si>
  <si>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</si>
  <si>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</si>
  <si>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</si>
  <si>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</si>
  <si>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</si>
  <si>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</si>
  <si>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</si>
  <si>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</si>
  <si>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</si>
  <si>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</si>
  <si>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</si>
  <si>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</si>
  <si>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</si>
  <si>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</si>
  <si>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</si>
  <si>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</si>
  <si>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</si>
  <si>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</si>
  <si>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</si>
  <si>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</si>
  <si>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</si>
  <si>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</si>
  <si>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</si>
  <si>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</si>
  <si>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</si>
  <si>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</si>
  <si>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</si>
  <si>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</si>
  <si>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</si>
  <si>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</si>
  <si>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</si>
  <si>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</si>
  <si>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</si>
  <si>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</si>
  <si>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</si>
  <si>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</si>
  <si>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</si>
  <si>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</si>
  <si>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</si>
  <si>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</si>
  <si>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</si>
  <si>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</si>
  <si>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</si>
  <si>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</si>
  <si>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</si>
  <si>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</si>
  <si>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</si>
  <si>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</si>
  <si>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</si>
  <si>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</si>
  <si>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</si>
  <si>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</si>
  <si>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</si>
  <si>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</si>
  <si>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</si>
  <si>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</si>
  <si>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</si>
  <si>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</si>
  <si>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</si>
  <si>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</si>
  <si>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</si>
  <si>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</si>
  <si>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</si>
  <si>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</si>
  <si>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</si>
  <si>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</si>
  <si>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</si>
  <si>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</si>
  <si>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</si>
  <si>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</si>
  <si>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</si>
  <si>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</si>
  <si>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</si>
  <si>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</si>
  <si>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</si>
  <si>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</si>
  <si>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</si>
  <si>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</si>
  <si>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</si>
  <si>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</si>
  <si>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</si>
  <si>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</si>
  <si>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</si>
  <si>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</si>
  <si>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</si>
  <si>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</si>
  <si>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</si>
  <si>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</si>
  <si>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</si>
  <si>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</si>
  <si>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</si>
  <si>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</si>
  <si>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</si>
  <si>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</si>
  <si>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</si>
  <si>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</si>
  <si>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</si>
  <si>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</si>
  <si>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</si>
  <si>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</si>
  <si>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</si>
  <si>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</si>
  <si>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</si>
  <si>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</si>
  <si>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</si>
  <si>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</si>
  <si>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</si>
  <si>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</si>
  <si>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</si>
  <si>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</si>
  <si>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</si>
  <si>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</si>
  <si>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</si>
  <si>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</si>
  <si>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</si>
  <si>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</si>
  <si>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</si>
  <si>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</si>
  <si>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</si>
  <si>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</si>
  <si>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</si>
  <si>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</si>
  <si>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</si>
  <si>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</si>
  <si>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</si>
  <si>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</si>
  <si>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</si>
  <si>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</si>
  <si>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</si>
  <si>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</si>
  <si>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</si>
  <si>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</si>
  <si>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</si>
  <si>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</si>
  <si>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</si>
  <si>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</si>
  <si>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</si>
  <si>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</si>
  <si>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</si>
  <si>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</si>
  <si>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</si>
  <si>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</si>
  <si>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</si>
  <si>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</si>
  <si>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</si>
  <si>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</si>
  <si>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</si>
  <si>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</si>
  <si>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</si>
  <si>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</si>
  <si>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</si>
  <si>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</si>
  <si>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</si>
  <si>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</si>
  <si>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</si>
  <si>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</si>
  <si>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</si>
  <si>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</si>
  <si>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</si>
  <si>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</si>
  <si>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</si>
  <si>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</si>
  <si>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</si>
  <si>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</si>
  <si>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</si>
  <si>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</si>
  <si>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</si>
  <si>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</si>
  <si>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</si>
  <si>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</si>
  <si>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</si>
  <si>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</si>
  <si>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</si>
  <si>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</si>
  <si>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</si>
  <si>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</si>
  <si>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</si>
  <si>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</si>
  <si>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</si>
  <si>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</si>
  <si>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</si>
  <si>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</si>
  <si>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</si>
  <si>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</si>
  <si>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</si>
  <si>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</si>
  <si>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</si>
  <si>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</si>
  <si>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</si>
  <si>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</si>
  <si>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</si>
  <si>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</si>
  <si>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</si>
  <si>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</si>
  <si>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</si>
  <si>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</si>
  <si>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</si>
  <si>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</si>
  <si>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</si>
  <si>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</si>
  <si>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</si>
  <si>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</si>
  <si>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</si>
  <si>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</si>
  <si>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</si>
  <si>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</si>
  <si>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</si>
  <si>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</si>
  <si>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</si>
  <si>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</si>
  <si>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</si>
  <si>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</si>
  <si>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</si>
  <si>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</si>
  <si>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</si>
  <si>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</si>
  <si>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</si>
  <si>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</si>
  <si>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</si>
  <si>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</si>
  <si>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</si>
  <si>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</si>
  <si>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</si>
  <si>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</si>
  <si>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</si>
  <si>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</si>
  <si>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</si>
  <si>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</si>
  <si>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</si>
  <si>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</si>
  <si>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</si>
  <si>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</si>
  <si>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</si>
  <si>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</si>
  <si>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</si>
  <si>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</si>
  <si>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</si>
  <si>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</si>
  <si>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</si>
  <si>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</si>
  <si>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</si>
  <si>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</si>
  <si>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</si>
  <si>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</si>
  <si>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</si>
  <si>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</si>
  <si>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</si>
  <si>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</si>
  <si>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</si>
  <si>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</si>
  <si>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</si>
  <si>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</si>
  <si>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</si>
  <si>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</si>
  <si>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</si>
  <si>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</si>
  <si>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</si>
  <si>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</si>
  <si>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</si>
  <si>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</si>
  <si>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</si>
  <si>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</si>
  <si>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</si>
  <si>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</si>
  <si>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</si>
  <si>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</si>
  <si>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</si>
  <si>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</si>
  <si>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</si>
  <si>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</si>
  <si>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</si>
  <si>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</si>
  <si>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</si>
  <si>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</si>
  <si>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</si>
  <si>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</si>
  <si>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</si>
  <si>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</si>
  <si>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</si>
  <si>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</si>
  <si>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</si>
  <si>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</si>
  <si>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</si>
  <si>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</si>
  <si>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</si>
  <si>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</si>
  <si>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</si>
  <si>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</si>
  <si>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</si>
  <si>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</si>
  <si>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</si>
  <si>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</si>
  <si>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</si>
  <si>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</si>
  <si>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</si>
  <si>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</si>
  <si>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</si>
  <si>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</si>
  <si>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</si>
  <si>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</si>
  <si>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</si>
  <si>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</si>
  <si>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</si>
  <si>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</si>
  <si>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</si>
  <si>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</si>
  <si>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</si>
  <si>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</si>
  <si>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</si>
  <si>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</si>
  <si>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</si>
  <si>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</si>
  <si>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</si>
  <si>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</si>
  <si>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</si>
  <si>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</si>
  <si>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</si>
  <si>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</si>
  <si>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</si>
  <si>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</si>
  <si>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</si>
  <si>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</si>
  <si>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</si>
  <si>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</si>
  <si>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</si>
  <si>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</si>
  <si>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</si>
  <si>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</si>
  <si>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</si>
  <si>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</si>
  <si>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</si>
  <si>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</si>
  <si>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</si>
  <si>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</si>
  <si>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</si>
  <si>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</si>
  <si>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</si>
  <si>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</si>
  <si>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</si>
  <si>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</si>
  <si>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</si>
  <si>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</si>
  <si>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</si>
  <si>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</si>
  <si>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</si>
  <si>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</si>
  <si>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</si>
  <si>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</si>
  <si>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</si>
  <si>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</si>
  <si>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</si>
  <si>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</si>
  <si>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</si>
  <si>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</si>
  <si>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</si>
  <si>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</si>
  <si>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</si>
  <si>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</si>
  <si>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</si>
  <si>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</si>
  <si>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</si>
  <si>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</si>
  <si>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</si>
  <si>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</si>
  <si>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</si>
  <si>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</si>
  <si>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</si>
  <si>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</si>
  <si>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</si>
  <si>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</si>
  <si>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</si>
  <si>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</si>
  <si>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</si>
  <si>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</si>
  <si>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</si>
  <si>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</si>
  <si>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</si>
  <si>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</si>
  <si>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</si>
  <si>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</si>
  <si>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</si>
  <si>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</si>
  <si>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</si>
  <si>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</si>
  <si>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</si>
  <si>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</si>
  <si>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</si>
  <si>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</si>
  <si>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</si>
  <si>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</si>
  <si>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</si>
  <si>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</si>
  <si>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</si>
  <si>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</si>
  <si>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</si>
  <si>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</si>
  <si>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</si>
  <si>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</si>
  <si>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</si>
  <si>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</si>
  <si>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</si>
  <si>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</si>
  <si>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</si>
  <si>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</si>
  <si>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</si>
  <si>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</si>
  <si>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</si>
  <si>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</si>
  <si>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</si>
  <si>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</si>
  <si>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</si>
  <si>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</si>
  <si>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</si>
  <si>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</si>
  <si>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</si>
  <si>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</si>
  <si>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</si>
  <si>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</si>
  <si>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</si>
  <si>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</si>
  <si>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</si>
  <si>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</si>
  <si>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</si>
  <si>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</si>
  <si>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</si>
  <si>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</si>
  <si>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</si>
  <si>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</si>
  <si>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</si>
  <si>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</si>
  <si>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</si>
  <si>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</si>
  <si>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</si>
  <si>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</si>
  <si>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</si>
  <si>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</si>
  <si>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</si>
  <si>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</si>
  <si>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</si>
  <si>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</si>
  <si>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</si>
  <si>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</si>
  <si>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</si>
  <si>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</si>
  <si>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</si>
  <si>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</si>
  <si>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</si>
  <si>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</si>
  <si>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</si>
  <si>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</si>
  <si>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</si>
  <si>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</si>
  <si>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</si>
  <si>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</si>
  <si>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</si>
  <si>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</si>
  <si>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</si>
  <si>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</si>
  <si>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</si>
  <si>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</si>
  <si>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</si>
  <si>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</si>
  <si>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</si>
  <si>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</si>
  <si>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</si>
  <si>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</si>
  <si>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</si>
  <si>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</si>
  <si>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</si>
  <si>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</si>
  <si>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</si>
  <si>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</si>
  <si>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</si>
  <si>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</si>
  <si>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</si>
  <si>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</si>
  <si>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</si>
  <si>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</si>
  <si>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</si>
  <si>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</si>
  <si>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</si>
  <si>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</si>
  <si>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</si>
  <si>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</si>
  <si>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</si>
  <si>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</si>
  <si>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</si>
  <si>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</si>
  <si>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</si>
  <si>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</si>
  <si>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</si>
  <si>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</si>
  <si>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</si>
  <si>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</si>
  <si>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</si>
  <si>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</si>
  <si>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</si>
  <si>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</si>
  <si>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</si>
  <si>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</si>
  <si>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</si>
  <si>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</si>
  <si>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</si>
  <si>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</si>
  <si>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</si>
  <si>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</si>
  <si>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</si>
  <si>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</si>
  <si>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</si>
  <si>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</si>
  <si>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</si>
  <si>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</si>
  <si>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</si>
  <si>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</si>
  <si>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</si>
  <si>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</si>
  <si>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</si>
  <si>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</si>
  <si>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</si>
  <si>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</si>
  <si>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</si>
  <si>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</si>
  <si>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</si>
  <si>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</si>
  <si>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</si>
  <si>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</si>
  <si>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</si>
  <si>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</si>
  <si>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</si>
  <si>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</si>
  <si>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</si>
  <si>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</si>
  <si>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</si>
  <si>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</si>
  <si>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</si>
  <si>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</si>
  <si>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</si>
  <si>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</si>
  <si>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</si>
  <si>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</si>
  <si>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</si>
  <si>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</si>
  <si>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</si>
  <si>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</si>
  <si>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</si>
  <si>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</si>
  <si>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</si>
  <si>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</si>
  <si>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</si>
  <si>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</si>
  <si>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</si>
  <si>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</si>
  <si>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</si>
  <si>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</si>
  <si>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</si>
  <si>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</si>
  <si>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</si>
  <si>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</si>
  <si>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</si>
  <si>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</si>
  <si>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</si>
  <si>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</si>
  <si>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</si>
  <si>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</si>
  <si>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</si>
  <si>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</si>
  <si>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</si>
  <si>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</si>
  <si>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</si>
  <si>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</si>
  <si>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</si>
  <si>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</si>
  <si>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</si>
  <si>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</si>
  <si>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</si>
  <si>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</si>
  <si>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</si>
  <si>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</si>
  <si>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</si>
  <si>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</si>
  <si>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</si>
  <si>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</si>
  <si>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</si>
  <si>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</si>
  <si>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</si>
  <si>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</si>
  <si>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</si>
  <si>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</si>
  <si>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</si>
  <si>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</si>
  <si>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</si>
  <si>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</si>
  <si>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</si>
  <si>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</si>
  <si>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</si>
  <si>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</si>
  <si>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</si>
  <si>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</si>
  <si>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</si>
  <si>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</si>
  <si>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</si>
  <si>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</si>
  <si>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</si>
  <si>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</si>
  <si>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</si>
  <si>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</si>
  <si>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</si>
  <si>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</si>
  <si>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</si>
  <si>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</si>
  <si>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</si>
  <si>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</si>
  <si>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</si>
  <si>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</si>
  <si>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</si>
  <si>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</si>
  <si>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</si>
  <si>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</si>
  <si>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</si>
  <si>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</si>
  <si>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</si>
  <si>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</si>
  <si>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</si>
  <si>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</si>
  <si>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</si>
  <si>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</si>
  <si>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</si>
  <si>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</si>
  <si>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</si>
  <si>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</si>
  <si>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</si>
  <si>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</si>
  <si>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</si>
  <si>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</si>
  <si>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</si>
  <si>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</si>
  <si>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</si>
  <si>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</si>
  <si>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</si>
  <si>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</si>
  <si>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</si>
  <si>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</si>
  <si>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</si>
  <si>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</si>
  <si>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</si>
  <si>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</si>
  <si>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</si>
  <si>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</si>
  <si>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</si>
  <si>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</si>
  <si>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</si>
  <si>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</si>
  <si>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</si>
  <si>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</si>
  <si>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</si>
  <si>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</si>
  <si>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</si>
  <si>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</si>
  <si>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</si>
  <si>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</si>
  <si>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</si>
  <si>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</si>
  <si>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</si>
  <si>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</si>
  <si>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</si>
  <si>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</si>
  <si>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</si>
  <si>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</si>
  <si>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</si>
  <si>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</si>
  <si>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</si>
  <si>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</si>
  <si>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</si>
  <si>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</si>
  <si>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</si>
  <si>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</si>
  <si>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</si>
  <si>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</si>
  <si>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</si>
  <si>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</si>
  <si>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</si>
  <si>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</si>
  <si>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</si>
  <si>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</si>
  <si>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</si>
  <si>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</si>
  <si>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</si>
  <si>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</si>
  <si>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</si>
  <si>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</si>
  <si>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</si>
  <si>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</si>
  <si>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</si>
  <si>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</si>
  <si>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</si>
  <si>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</si>
  <si>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</si>
  <si>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</si>
  <si>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</si>
  <si>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</si>
  <si>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</si>
  <si>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</si>
  <si>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</si>
  <si>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</si>
  <si>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</si>
  <si>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</si>
  <si>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</si>
  <si>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</si>
  <si>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</si>
  <si>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</si>
  <si>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</si>
  <si>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</si>
  <si>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</si>
  <si>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</si>
  <si>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</si>
  <si>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</si>
  <si>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</si>
  <si>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</si>
  <si>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</si>
  <si>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</si>
  <si>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</si>
  <si>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</si>
  <si>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</si>
  <si>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</si>
  <si>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</si>
  <si>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</si>
  <si>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</si>
  <si>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</si>
  <si>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</si>
  <si>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</si>
  <si>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</si>
  <si>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</si>
  <si>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</si>
  <si>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</si>
  <si>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</si>
  <si>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</si>
  <si>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</si>
  <si>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</si>
  <si>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</si>
  <si>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</si>
  <si>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</si>
  <si>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</si>
  <si>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</si>
  <si>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</si>
  <si>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</si>
  <si>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</si>
  <si>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</si>
  <si>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</si>
  <si>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</si>
  <si>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</si>
  <si>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</si>
  <si>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</si>
  <si>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</si>
  <si>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</si>
  <si>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</si>
  <si>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</si>
  <si>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</si>
  <si>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</si>
  <si>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</si>
  <si>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</si>
  <si>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</si>
  <si>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</si>
  <si>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</si>
  <si>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</si>
  <si>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</si>
  <si>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</si>
  <si>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</si>
  <si>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</si>
  <si>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</si>
  <si>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</si>
  <si>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</si>
  <si>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</si>
  <si>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</si>
  <si>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</si>
  <si>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</si>
  <si>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</si>
  <si>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</si>
  <si>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</si>
  <si>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</si>
  <si>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</si>
  <si>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</si>
  <si>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</si>
  <si>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</si>
  <si>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</si>
  <si>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</si>
  <si>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</si>
  <si>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</si>
  <si>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</si>
  <si>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</si>
  <si>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</si>
  <si>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</si>
  <si>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</si>
  <si>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</si>
  <si>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</si>
  <si>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</si>
  <si>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</si>
  <si>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</si>
  <si>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</si>
  <si>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</si>
  <si>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</si>
  <si>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</si>
  <si>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</si>
  <si>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</si>
  <si>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</si>
  <si>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</si>
  <si>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</si>
  <si>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</si>
  <si>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</si>
  <si>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</si>
  <si>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</si>
  <si>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</si>
  <si>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</si>
  <si>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</si>
  <si>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</si>
  <si>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</si>
  <si>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</si>
  <si>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</si>
  <si>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</si>
  <si>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</si>
  <si>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</si>
  <si>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</si>
  <si>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</si>
  <si>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</si>
  <si>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</si>
  <si>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</si>
  <si>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</si>
  <si>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</si>
  <si>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</si>
  <si>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</si>
  <si>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</si>
  <si>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</si>
  <si>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</si>
  <si>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</si>
  <si>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</si>
  <si>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</si>
  <si>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</si>
  <si>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</si>
  <si>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</si>
  <si>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</si>
  <si>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</si>
  <si>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</si>
  <si>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</si>
  <si>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</si>
  <si>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</si>
  <si>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</si>
  <si>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</si>
  <si>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</si>
  <si>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</si>
  <si>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</si>
  <si>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</si>
  <si>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</si>
  <si>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</si>
  <si>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</si>
  <si>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</si>
  <si>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</si>
  <si>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</si>
  <si>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</si>
  <si>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</si>
  <si>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</si>
  <si>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</si>
  <si>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</si>
  <si>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</si>
  <si>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</si>
  <si>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</si>
  <si>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</si>
  <si>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</si>
  <si>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</si>
  <si>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</si>
  <si>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</si>
  <si>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</si>
  <si>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</si>
  <si>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</si>
  <si>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</si>
  <si>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</si>
  <si>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</si>
  <si>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</si>
  <si>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</si>
  <si>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</si>
  <si>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</si>
  <si>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</si>
  <si>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</si>
  <si>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</si>
  <si>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</si>
  <si>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</si>
  <si>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</si>
  <si>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</si>
  <si>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</si>
  <si>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</si>
  <si>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</si>
  <si>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</si>
  <si>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</si>
  <si>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</si>
  <si>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</si>
  <si>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</si>
  <si>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</si>
  <si>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</si>
  <si>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</si>
  <si>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</si>
  <si>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</si>
  <si>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</si>
  <si>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</si>
  <si>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</si>
  <si>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</si>
  <si>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</si>
  <si>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</si>
  <si>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</si>
  <si>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</si>
  <si>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</si>
  <si>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</si>
  <si>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</si>
  <si>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</si>
  <si>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</si>
  <si>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</si>
  <si>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</si>
  <si>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</si>
  <si>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</si>
  <si>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</si>
  <si>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</si>
  <si>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</si>
  <si>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</si>
  <si>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</si>
  <si>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</si>
  <si>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</si>
  <si>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</si>
  <si>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</si>
  <si>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</si>
  <si>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</si>
  <si>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</si>
  <si>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</si>
  <si>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</si>
  <si>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</si>
  <si>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</si>
  <si>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</si>
  <si>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</si>
  <si>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</si>
  <si>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</si>
  <si>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</si>
  <si>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</si>
  <si>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</si>
  <si>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</si>
  <si>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</si>
  <si>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</si>
  <si>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</si>
  <si>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</si>
  <si>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</si>
  <si>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</si>
  <si>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</si>
  <si>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</si>
  <si>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</si>
  <si>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</si>
  <si>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</si>
  <si>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</si>
  <si>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</si>
  <si>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</si>
  <si>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</si>
  <si>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</si>
  <si>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</si>
  <si>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</si>
  <si>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</si>
  <si>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</si>
  <si>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</si>
  <si>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</si>
  <si>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</si>
  <si>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</si>
  <si>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</si>
  <si>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</si>
  <si>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</si>
  <si>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</si>
  <si>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</si>
  <si>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</si>
  <si>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</si>
  <si>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</si>
  <si>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</si>
  <si>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</si>
  <si>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</si>
  <si>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</si>
  <si>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</si>
  <si>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</si>
  <si>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</si>
  <si>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</si>
  <si>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</si>
  <si>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</si>
  <si>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</si>
  <si>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</si>
  <si>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</si>
  <si>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</si>
  <si>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</si>
  <si>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</si>
  <si>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</si>
  <si>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</si>
  <si>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</si>
  <si>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</si>
  <si>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</si>
  <si>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</si>
  <si>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</si>
  <si>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</si>
  <si>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</si>
  <si>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</si>
  <si>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</si>
  <si>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</si>
  <si>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</si>
  <si>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</si>
  <si>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</si>
  <si>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</si>
  <si>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</si>
  <si>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</si>
  <si>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</si>
  <si>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</si>
  <si>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</si>
  <si>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</si>
  <si>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</si>
  <si>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</si>
  <si>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</si>
  <si>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</si>
  <si>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</si>
  <si>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</si>
  <si>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</si>
  <si>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</si>
  <si>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</si>
  <si>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</si>
  <si>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</si>
  <si>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</si>
  <si>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</si>
  <si>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</si>
  <si>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</si>
  <si>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</si>
  <si>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</si>
  <si>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</si>
  <si>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</si>
  <si>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</si>
  <si>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</si>
  <si>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</si>
  <si>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</si>
  <si>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</si>
  <si>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</si>
  <si>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</si>
  <si>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</si>
  <si>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</si>
  <si>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</si>
  <si>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</si>
  <si>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</si>
  <si>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</si>
  <si>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</si>
  <si>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</si>
  <si>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</si>
  <si>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</si>
  <si>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</si>
  <si>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</si>
  <si>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</si>
  <si>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</si>
  <si>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</si>
  <si>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</si>
  <si>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</si>
  <si>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</si>
  <si>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</si>
  <si>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</si>
  <si>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</si>
  <si>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</si>
  <si>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</si>
  <si>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</si>
  <si>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</si>
  <si>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</si>
  <si>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</si>
  <si>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</si>
  <si>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</si>
  <si>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</si>
  <si>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</si>
  <si>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</si>
  <si>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</si>
  <si>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</si>
  <si>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</si>
  <si>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</si>
  <si>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</si>
  <si>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</si>
  <si>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</si>
  <si>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</si>
  <si>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</si>
  <si>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</si>
  <si>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</si>
  <si>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</si>
  <si>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</si>
  <si>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</si>
  <si>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</si>
  <si>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</si>
  <si>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</si>
  <si>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</si>
  <si>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</si>
  <si>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</si>
  <si>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</si>
  <si>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</si>
  <si>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</si>
  <si>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</si>
  <si>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</si>
  <si>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</si>
  <si>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</si>
  <si>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</si>
  <si>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</si>
  <si>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</si>
  <si>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</si>
  <si>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</si>
  <si>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</si>
  <si>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</si>
  <si>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</si>
  <si>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</si>
  <si>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</si>
  <si>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</si>
  <si>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</si>
  <si>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</si>
  <si>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</si>
  <si>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</si>
  <si>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</si>
  <si>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</si>
  <si>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</si>
  <si>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</si>
  <si>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</si>
  <si>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</si>
  <si>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</si>
  <si>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</si>
  <si>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</si>
  <si>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</si>
  <si>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</si>
  <si>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</si>
  <si>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</si>
  <si>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</si>
  <si>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</si>
  <si>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</si>
  <si>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</si>
  <si>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</si>
  <si>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</si>
  <si>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</si>
  <si>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</si>
  <si>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</si>
  <si>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</si>
  <si>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</si>
  <si>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</si>
  <si>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</si>
  <si>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</si>
  <si>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</si>
  <si>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</si>
  <si>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</si>
  <si>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</si>
  <si>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</si>
  <si>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</si>
  <si>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</si>
  <si>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</si>
  <si>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</si>
  <si>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</si>
  <si>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</si>
  <si>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</si>
  <si>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</si>
  <si>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</si>
  <si>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</si>
  <si>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</si>
  <si>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</si>
  <si>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</si>
  <si>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</si>
  <si>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</si>
  <si>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</si>
  <si>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</si>
  <si>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</si>
  <si>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</si>
  <si>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</si>
  <si>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</si>
  <si>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</si>
  <si>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</si>
  <si>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</si>
  <si>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</si>
  <si>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</si>
  <si>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</si>
  <si>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</si>
  <si>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</si>
  <si>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</si>
  <si>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</si>
  <si>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</si>
  <si>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</si>
  <si>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</si>
  <si>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</si>
  <si>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</si>
  <si>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</si>
  <si>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</si>
  <si>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</si>
  <si>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</si>
  <si>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</si>
  <si>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</si>
  <si>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</si>
  <si>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</si>
  <si>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</si>
  <si>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</si>
  <si>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</si>
  <si>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</si>
  <si>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</si>
  <si>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</si>
  <si>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</si>
  <si>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</si>
  <si>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</si>
  <si>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</si>
  <si>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</si>
  <si>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</si>
  <si>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</si>
  <si>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</si>
  <si>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</si>
  <si>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</si>
  <si>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</si>
  <si>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</si>
  <si>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</si>
  <si>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</si>
  <si>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</si>
  <si>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</si>
  <si>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</si>
  <si>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</si>
  <si>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</si>
  <si>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</si>
  <si>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</si>
  <si>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</si>
  <si>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</si>
  <si>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</si>
  <si>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</si>
  <si>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</si>
  <si>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</si>
  <si>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</si>
  <si>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</si>
  <si>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</si>
  <si>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</si>
  <si>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</si>
  <si>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</si>
  <si>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</si>
  <si>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</si>
  <si>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</si>
  <si>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</si>
  <si>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</si>
  <si>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</si>
  <si>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</si>
  <si>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</si>
  <si>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</si>
  <si>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</si>
  <si>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</si>
  <si>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</si>
  <si>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</si>
  <si>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</si>
  <si>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</si>
  <si>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</si>
  <si>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</si>
  <si>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</si>
  <si>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</si>
  <si>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</si>
  <si>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</si>
  <si>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</si>
  <si>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</si>
  <si>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</si>
  <si>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</si>
  <si>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</si>
  <si>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</si>
  <si>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</si>
  <si>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</si>
  <si>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</si>
  <si>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</si>
  <si>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</si>
  <si>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</si>
  <si>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</si>
  <si>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</si>
  <si>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</si>
  <si>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</si>
  <si>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</si>
  <si>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</si>
  <si>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</si>
  <si>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</si>
  <si>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</si>
  <si>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</si>
  <si>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</si>
  <si>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</si>
  <si>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</si>
  <si>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</si>
  <si>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</si>
  <si>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</si>
  <si>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</si>
  <si>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</si>
  <si>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</si>
  <si>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</si>
  <si>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</si>
  <si>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</si>
  <si>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</si>
  <si>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</si>
  <si>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</si>
  <si>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</si>
  <si>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</si>
  <si>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</si>
  <si>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</si>
  <si>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</si>
  <si>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</si>
  <si>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</si>
  <si>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</si>
  <si>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</si>
  <si>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</si>
  <si>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</si>
  <si>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</si>
  <si>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</si>
  <si>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</si>
  <si>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</si>
  <si>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</si>
  <si>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</si>
  <si>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</si>
  <si>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</si>
  <si>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</si>
  <si>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</si>
  <si>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</si>
  <si>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</si>
  <si>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</si>
  <si>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</si>
  <si>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</si>
  <si>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</si>
  <si>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</si>
  <si>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</si>
  <si>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</si>
  <si>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</si>
  <si>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</si>
  <si>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</si>
  <si>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</si>
  <si>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</si>
  <si>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</si>
  <si>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</si>
  <si>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</si>
  <si>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</si>
  <si>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</si>
  <si>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</si>
  <si>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</si>
  <si>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</si>
  <si>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</si>
  <si>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</si>
  <si>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</si>
  <si>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</si>
  <si>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</si>
  <si>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</si>
  <si>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</si>
  <si>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</si>
  <si>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</si>
  <si>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</si>
  <si>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</si>
  <si>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</si>
  <si>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</si>
  <si>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</si>
  <si>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</si>
  <si>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</si>
  <si>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</si>
  <si>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</si>
  <si>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</si>
  <si>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</si>
  <si>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</si>
  <si>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</si>
  <si>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</si>
  <si>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</si>
  <si>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</si>
  <si>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</si>
  <si>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</si>
  <si>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</si>
  <si>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</si>
  <si>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</si>
  <si>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</si>
  <si>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</si>
  <si>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</si>
  <si>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</si>
  <si>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</si>
  <si>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</si>
  <si>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</si>
  <si>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</si>
  <si>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</si>
  <si>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</si>
  <si>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</si>
  <si>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</si>
  <si>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</si>
  <si>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</si>
  <si>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</si>
  <si>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</si>
  <si>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</si>
  <si>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</si>
  <si>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</si>
  <si>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</si>
  <si>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</si>
  <si>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</si>
  <si>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</si>
  <si>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</si>
  <si>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</si>
  <si>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</si>
  <si>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</si>
  <si>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</si>
  <si>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</si>
  <si>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</si>
  <si>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</si>
  <si>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</si>
  <si>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</si>
  <si>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</si>
  <si>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</si>
  <si>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</si>
  <si>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</si>
  <si>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</si>
  <si>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</si>
  <si>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</si>
  <si>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</si>
  <si>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</si>
  <si>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</si>
  <si>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</si>
  <si>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</si>
  <si>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</si>
  <si>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</si>
  <si>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</si>
  <si>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</si>
  <si>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</si>
  <si>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</si>
  <si>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</si>
  <si>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</si>
  <si>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</si>
  <si>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</si>
  <si>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</si>
  <si>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</si>
  <si>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</si>
  <si>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</si>
  <si>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</si>
  <si>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</si>
  <si>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</si>
  <si>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</si>
  <si>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</si>
  <si>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</si>
  <si>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</si>
  <si>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</si>
  <si>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</si>
  <si>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</si>
  <si>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</si>
  <si>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</si>
  <si>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</si>
  <si>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</si>
  <si>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</si>
  <si>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</si>
  <si>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</si>
  <si>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</si>
  <si>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</si>
  <si>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</si>
  <si>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</si>
  <si>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</si>
  <si>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</si>
  <si>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</si>
  <si>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</si>
  <si>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</si>
  <si>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</si>
  <si>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</si>
  <si>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</si>
  <si>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</si>
  <si>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</si>
  <si>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</si>
  <si>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</si>
  <si>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</si>
  <si>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</si>
  <si>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</si>
  <si>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</si>
  <si>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</si>
  <si>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</si>
  <si>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</si>
  <si>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</si>
  <si>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</si>
  <si>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</si>
  <si>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</si>
  <si>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</si>
  <si>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</si>
  <si>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</si>
  <si>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</si>
  <si>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</si>
  <si>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</si>
  <si>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</si>
  <si>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</si>
  <si>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</si>
  <si>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</si>
  <si>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</si>
  <si>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</si>
  <si>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</si>
  <si>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</si>
  <si>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</si>
  <si>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</si>
  <si>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</si>
  <si>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</si>
  <si>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</si>
  <si>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</si>
  <si>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</si>
  <si>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</si>
  <si>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</si>
  <si>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</si>
  <si>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</si>
  <si>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</si>
  <si>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</si>
  <si>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</si>
  <si>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</si>
  <si>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</si>
  <si>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</si>
  <si>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</si>
  <si>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</si>
  <si>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</si>
  <si>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</si>
  <si>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</si>
  <si>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</si>
  <si>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</si>
  <si>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</si>
  <si>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</si>
  <si>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</si>
  <si>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</si>
  <si>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</si>
  <si>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</si>
  <si>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</si>
  <si>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</si>
  <si>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</si>
  <si>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</si>
  <si>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</si>
  <si>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</si>
  <si>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</si>
  <si>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</si>
  <si>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</si>
  <si>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</si>
  <si>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</si>
  <si>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</si>
  <si>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</si>
  <si>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</si>
  <si>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</si>
  <si>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</si>
  <si>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</si>
  <si>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</si>
  <si>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</si>
  <si>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</si>
  <si>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</si>
  <si>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</si>
  <si>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</si>
  <si>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</si>
  <si>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</si>
  <si>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</si>
  <si>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</si>
  <si>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</si>
  <si>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</si>
  <si>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</si>
  <si>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</si>
  <si>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</si>
  <si>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</si>
  <si>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</si>
  <si>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</si>
  <si>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</si>
  <si>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</si>
  <si>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</si>
  <si>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</si>
  <si>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</si>
  <si>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</si>
  <si>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</si>
  <si>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</si>
  <si>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</si>
  <si>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</si>
  <si>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</si>
  <si>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</si>
  <si>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</si>
  <si>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</si>
  <si>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</si>
  <si>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</si>
  <si>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</si>
  <si>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</si>
  <si>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</si>
  <si>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</si>
  <si>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</si>
  <si>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</si>
  <si>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</si>
  <si>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</si>
  <si>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</si>
  <si>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</si>
  <si>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</si>
  <si>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</si>
  <si>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</si>
  <si>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</si>
  <si>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</si>
  <si>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</si>
  <si>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</si>
  <si>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</si>
  <si>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</si>
  <si>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</si>
  <si>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</si>
  <si>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</si>
  <si>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</si>
  <si>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</si>
  <si>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</si>
  <si>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</si>
  <si>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</si>
  <si>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</si>
  <si>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</si>
  <si>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</si>
  <si>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</si>
  <si>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</si>
  <si>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</si>
  <si>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</si>
  <si>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</si>
  <si>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</si>
  <si>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</si>
  <si>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</si>
  <si>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</si>
  <si>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</si>
  <si>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</si>
  <si>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</si>
  <si>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</si>
  <si>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</si>
  <si>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</si>
  <si>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</si>
  <si>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</si>
  <si>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</si>
  <si>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</si>
  <si>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</si>
  <si>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</si>
  <si>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</si>
  <si>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</si>
  <si>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</si>
  <si>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</si>
  <si>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</si>
  <si>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</si>
  <si>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</si>
  <si>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</si>
  <si>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</si>
  <si>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</si>
  <si>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</si>
  <si>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</si>
  <si>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</si>
  <si>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</si>
  <si>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</si>
  <si>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</si>
  <si>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</si>
  <si>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</si>
  <si>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</si>
  <si>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</si>
  <si>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</si>
  <si>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</si>
  <si>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</si>
  <si>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</si>
  <si>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</si>
  <si>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</si>
  <si>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</si>
  <si>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</si>
  <si>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</si>
  <si>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</si>
  <si>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</si>
  <si>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</si>
  <si>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</si>
  <si>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</si>
  <si>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</si>
  <si>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</si>
  <si>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</si>
  <si>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</si>
  <si>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</si>
  <si>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</si>
  <si>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</si>
  <si>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</si>
  <si>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</si>
  <si>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</si>
  <si>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</si>
  <si>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</si>
  <si>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</si>
  <si>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</si>
  <si>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</si>
  <si>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</si>
  <si>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</si>
  <si>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</si>
  <si>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</si>
  <si>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</si>
  <si>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</si>
  <si>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</si>
  <si>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</si>
  <si>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</si>
  <si>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</si>
  <si>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</si>
  <si>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</si>
  <si>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</si>
  <si>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</si>
  <si>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</si>
  <si>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</si>
  <si>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</si>
  <si>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</si>
  <si>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</si>
  <si>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</si>
  <si>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</si>
  <si>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</si>
  <si>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</si>
  <si>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</si>
  <si>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</si>
  <si>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</si>
  <si>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</si>
  <si>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</si>
  <si>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</si>
  <si>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</si>
  <si>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</si>
  <si>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</si>
  <si>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</si>
  <si>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</si>
  <si>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</si>
  <si>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</si>
  <si>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</si>
  <si>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</si>
  <si>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</si>
  <si>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</si>
  <si>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</si>
  <si>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</si>
  <si>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</si>
  <si>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</si>
  <si>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</si>
  <si>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</si>
  <si>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</si>
  <si>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</si>
  <si>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</si>
  <si>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</si>
  <si>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</si>
  <si>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</si>
  <si>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</si>
  <si>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</si>
  <si>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</si>
  <si>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</si>
  <si>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</si>
  <si>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</si>
  <si>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</si>
  <si>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</si>
  <si>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</si>
  <si>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</si>
  <si>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</si>
  <si>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</si>
  <si>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</si>
  <si>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</si>
  <si>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</si>
  <si>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</si>
  <si>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</si>
  <si>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</si>
  <si>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</si>
  <si>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</si>
  <si>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</si>
  <si>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</si>
  <si>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</si>
  <si>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</si>
  <si>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</si>
  <si>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</si>
  <si>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</si>
  <si>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</si>
  <si>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</si>
  <si>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</si>
  <si>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</si>
  <si>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</si>
  <si>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</si>
  <si>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</si>
  <si>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</si>
  <si>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</si>
  <si>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</si>
  <si>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</si>
  <si>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</si>
  <si>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</si>
  <si>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</si>
  <si>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</si>
  <si>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</si>
  <si>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</si>
  <si>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</si>
  <si>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</si>
  <si>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</si>
  <si>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</si>
  <si>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</si>
  <si>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</si>
  <si>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</si>
  <si>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</si>
  <si>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</si>
  <si>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</si>
  <si>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</si>
  <si>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</si>
  <si>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</si>
  <si>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</si>
  <si>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</si>
  <si>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</si>
  <si>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</si>
  <si>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</si>
  <si>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</si>
  <si>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</si>
  <si>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</si>
  <si>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</si>
  <si>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</si>
  <si>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</si>
  <si>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</si>
  <si>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</si>
  <si>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</si>
  <si>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</si>
  <si>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</si>
  <si>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</si>
  <si>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</si>
  <si>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</si>
  <si>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</si>
  <si>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</si>
  <si>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</si>
  <si>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</si>
  <si>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</si>
  <si>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</si>
  <si>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</si>
  <si>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</si>
  <si>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</si>
  <si>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</si>
  <si>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</si>
  <si>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</si>
  <si>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</si>
  <si>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</si>
  <si>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</si>
  <si>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</si>
  <si>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</si>
  <si>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</si>
  <si>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</si>
  <si>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</si>
  <si>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</si>
  <si>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</si>
  <si>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</si>
  <si>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</si>
  <si>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</si>
  <si>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</si>
  <si>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</si>
  <si>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</si>
  <si>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</si>
  <si>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</si>
  <si>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</si>
  <si>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</si>
  <si>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</si>
  <si>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</si>
  <si>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</si>
  <si>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</si>
  <si>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</si>
  <si>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</si>
  <si>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</si>
  <si>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</si>
  <si>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</si>
  <si>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</si>
  <si>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</si>
  <si>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</si>
  <si>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</si>
  <si>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</si>
  <si>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</si>
  <si>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</si>
  <si>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</si>
  <si>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</si>
  <si>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</si>
  <si>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</si>
  <si>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</si>
  <si>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</si>
  <si>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</si>
  <si>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</si>
  <si>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</si>
  <si>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</si>
  <si>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</si>
  <si>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</si>
  <si>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</si>
  <si>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</si>
  <si>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</si>
  <si>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</si>
  <si>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</si>
  <si>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</si>
  <si>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</si>
  <si>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</si>
  <si>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</si>
  <si>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</si>
  <si>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</si>
  <si>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</si>
  <si>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</si>
  <si>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</si>
  <si>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</si>
  <si>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</si>
  <si>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</si>
  <si>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</si>
  <si>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</si>
  <si>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</si>
  <si>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</si>
  <si>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</si>
  <si>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</si>
  <si>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</si>
  <si>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</si>
  <si>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</si>
  <si>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</si>
  <si>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</si>
  <si>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</si>
  <si>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</si>
  <si>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</si>
  <si>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</si>
  <si>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</si>
  <si>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</si>
  <si>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</si>
  <si>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</si>
  <si>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</si>
  <si>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</si>
  <si>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</si>
  <si>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</si>
  <si>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</si>
  <si>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</si>
  <si>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</si>
  <si>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</si>
  <si>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</si>
  <si>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</si>
  <si>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</si>
  <si>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</si>
  <si>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</si>
  <si>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</si>
  <si>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</si>
  <si>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</si>
  <si>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</si>
  <si>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</si>
  <si>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</si>
  <si>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</si>
  <si>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</si>
  <si>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</si>
  <si>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</si>
  <si>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</si>
  <si>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</si>
  <si>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</si>
  <si>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</si>
  <si>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</si>
  <si>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</si>
  <si>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</si>
  <si>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</si>
  <si>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</si>
  <si>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</si>
  <si>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</si>
  <si>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</si>
  <si>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</si>
  <si>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</si>
  <si>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</si>
  <si>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</si>
  <si>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</si>
  <si>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</si>
  <si>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</si>
  <si>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</si>
  <si>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</si>
  <si>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</si>
  <si>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</si>
  <si>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</si>
  <si>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</si>
  <si>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</si>
  <si>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</si>
  <si>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</si>
  <si>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</si>
  <si>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</si>
  <si>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</si>
  <si>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</si>
  <si>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</si>
  <si>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</si>
  <si>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</si>
  <si>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</si>
  <si>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</si>
  <si>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</si>
  <si>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</si>
  <si>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</si>
  <si>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</si>
  <si>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</si>
  <si>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</si>
  <si>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</si>
  <si>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</si>
  <si>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</si>
  <si>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</si>
  <si>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</si>
  <si>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</si>
  <si>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</si>
  <si>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</si>
  <si>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</si>
  <si>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</si>
  <si>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</si>
  <si>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</si>
  <si>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</si>
  <si>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</si>
  <si>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</si>
  <si>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</si>
  <si>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</si>
  <si>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</si>
  <si>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</si>
  <si>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</si>
  <si>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</si>
  <si>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</si>
  <si>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</si>
  <si>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</si>
  <si>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</si>
  <si>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</si>
  <si>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</si>
  <si>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</si>
  <si>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</si>
  <si>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</si>
  <si>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</si>
  <si>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</si>
  <si>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</si>
  <si>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</si>
  <si>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</si>
  <si>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</si>
  <si>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</si>
  <si>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</si>
  <si>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</si>
  <si>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</si>
  <si>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</si>
  <si>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</si>
  <si>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</si>
  <si>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</si>
  <si>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</si>
  <si>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</si>
  <si>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</si>
  <si>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</si>
  <si>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</si>
  <si>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</si>
  <si>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</si>
  <si>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</si>
  <si>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</si>
  <si>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</si>
  <si>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</si>
  <si>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</si>
  <si>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</si>
  <si>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</si>
  <si>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</si>
  <si>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</si>
  <si>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</si>
  <si>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</si>
  <si>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</si>
  <si>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</si>
  <si>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</si>
  <si>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</si>
  <si>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</si>
  <si>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</si>
  <si>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</si>
  <si>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</si>
  <si>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</si>
  <si>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</si>
  <si>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</si>
  <si>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</si>
  <si>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</si>
  <si>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</si>
  <si>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</si>
  <si>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</si>
  <si>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</si>
  <si>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</si>
  <si>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</si>
  <si>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</si>
  <si>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</si>
  <si>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</si>
  <si>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</si>
  <si>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</si>
  <si>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</si>
  <si>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</si>
  <si>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</si>
  <si>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</si>
  <si>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</si>
  <si>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</si>
  <si>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</si>
  <si>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</si>
  <si>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</si>
  <si>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</si>
  <si>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</si>
  <si>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</si>
  <si>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</si>
  <si>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</si>
  <si>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</si>
  <si>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</si>
  <si>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</si>
  <si>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</si>
  <si>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</si>
  <si>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</si>
  <si>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</si>
  <si>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</si>
  <si>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</si>
  <si>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</si>
  <si>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</si>
  <si>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</si>
  <si>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</si>
  <si>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</si>
  <si>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</si>
  <si>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</si>
  <si>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</si>
  <si>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</si>
  <si>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</si>
  <si>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</si>
  <si>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</si>
  <si>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</si>
  <si>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</si>
  <si>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</si>
  <si>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</si>
  <si>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</si>
  <si>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</si>
  <si>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</si>
  <si>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</si>
  <si>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</si>
  <si>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</si>
  <si>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</si>
  <si>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</si>
  <si>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</si>
  <si>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</si>
  <si>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</si>
  <si>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</si>
  <si>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</si>
  <si>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</si>
  <si>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</si>
  <si>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</si>
  <si>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</si>
  <si>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</si>
  <si>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</si>
  <si>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</si>
  <si>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</si>
  <si>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</si>
  <si>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</si>
  <si>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</si>
  <si>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</si>
  <si>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</si>
  <si>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</si>
  <si>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</si>
  <si>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</si>
  <si>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</si>
  <si>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</si>
  <si>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</si>
  <si>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</si>
  <si>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</si>
  <si>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</si>
  <si>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</si>
  <si>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</si>
  <si>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</si>
  <si>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</si>
  <si>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</si>
  <si>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</si>
  <si>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</si>
  <si>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</si>
  <si>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</si>
  <si>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</si>
  <si>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</si>
  <si>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</si>
  <si>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</si>
  <si>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</si>
  <si>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</si>
  <si>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</si>
  <si>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</si>
  <si>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</si>
  <si>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</si>
  <si>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</si>
  <si>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</si>
  <si>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</si>
  <si>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</si>
  <si>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</si>
  <si>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</si>
  <si>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</si>
  <si>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</si>
  <si>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</si>
  <si>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</si>
  <si>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</si>
  <si>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</si>
  <si>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</si>
  <si>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</si>
  <si>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</si>
  <si>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</si>
  <si>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</si>
  <si>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</si>
  <si>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</si>
  <si>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</si>
  <si>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</si>
  <si>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</si>
  <si>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</si>
  <si>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</si>
  <si>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</si>
  <si>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</si>
  <si>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</si>
  <si>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</si>
  <si>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</si>
  <si>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</si>
  <si>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</si>
  <si>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</si>
  <si>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</si>
  <si>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</si>
  <si>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</si>
  <si>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</si>
  <si>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</si>
  <si>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</si>
  <si>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</si>
  <si>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</si>
  <si>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</si>
  <si>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</si>
  <si>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</si>
  <si>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</si>
  <si>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</si>
  <si>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</si>
  <si>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</si>
  <si>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</si>
  <si>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</si>
  <si>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</si>
  <si>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</si>
  <si>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</si>
  <si>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</si>
  <si>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</si>
  <si>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</si>
  <si>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</si>
  <si>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</si>
  <si>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</si>
  <si>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</si>
  <si>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</si>
  <si>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</si>
  <si>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</si>
  <si>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</si>
  <si>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</si>
  <si>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</si>
  <si>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</si>
  <si>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</si>
  <si>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</si>
  <si>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</si>
  <si>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</si>
  <si>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</si>
  <si>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</si>
  <si>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</si>
  <si>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</si>
  <si>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</si>
  <si>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</si>
  <si>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</si>
  <si>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</si>
  <si>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</si>
  <si>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</si>
  <si>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</si>
  <si>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</si>
  <si>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</si>
  <si>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</si>
  <si>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</si>
  <si>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</si>
  <si>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</si>
  <si>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</si>
  <si>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</si>
  <si>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</si>
  <si>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</si>
  <si>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</si>
  <si>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</si>
  <si>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</si>
  <si>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</si>
  <si>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</si>
  <si>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</si>
  <si>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</si>
  <si>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</si>
  <si>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</si>
  <si>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</si>
  <si>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</si>
  <si>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</si>
  <si>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</si>
  <si>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</si>
  <si>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</si>
  <si>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</si>
  <si>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</si>
  <si>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</si>
  <si>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</si>
  <si>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</si>
  <si>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</si>
  <si>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</si>
  <si>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</si>
  <si>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</si>
  <si>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</si>
  <si>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</si>
  <si>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</si>
  <si>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</si>
  <si>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</si>
  <si>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</si>
  <si>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</si>
  <si>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</si>
  <si>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</si>
  <si>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</si>
  <si>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</si>
  <si>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</si>
  <si>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</si>
  <si>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</si>
  <si>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</si>
  <si>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</si>
  <si>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</si>
  <si>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</si>
  <si>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</si>
  <si>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</si>
  <si>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</si>
  <si>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</si>
  <si>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</si>
  <si>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</si>
  <si>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</si>
  <si>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</si>
  <si>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</si>
  <si>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</si>
  <si>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</si>
  <si>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</si>
  <si>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</si>
  <si>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</si>
  <si>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</si>
  <si>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</si>
  <si>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</si>
  <si>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</si>
  <si>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</si>
  <si>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</si>
  <si>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</si>
  <si>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</si>
  <si>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</si>
  <si>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</si>
  <si>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</si>
  <si>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</si>
  <si>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</si>
  <si>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</si>
  <si>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</si>
  <si>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</si>
  <si>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</si>
  <si>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</si>
  <si>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</si>
  <si>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</si>
  <si>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</si>
  <si>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</si>
  <si>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</si>
  <si>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</si>
  <si>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</si>
  <si>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</si>
  <si>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</si>
  <si>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</si>
  <si>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</si>
  <si>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</si>
  <si>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</si>
  <si>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</si>
  <si>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</si>
  <si>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</si>
  <si>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</si>
  <si>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</si>
  <si>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</si>
  <si>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</si>
  <si>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</si>
  <si>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</si>
  <si>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</si>
  <si>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</si>
  <si>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</si>
  <si>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</si>
  <si>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</si>
  <si>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</si>
  <si>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</si>
  <si>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</si>
  <si>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</si>
  <si>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</si>
  <si>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</si>
  <si>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</si>
  <si>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</si>
  <si>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</si>
  <si>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</si>
  <si>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</si>
  <si>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</si>
  <si>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</si>
  <si>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</si>
  <si>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</si>
  <si>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</si>
  <si>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</si>
  <si>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</si>
  <si>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</si>
  <si>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</si>
  <si>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</si>
  <si>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</si>
  <si>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</si>
  <si>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</si>
  <si>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</si>
  <si>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</si>
  <si>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</si>
  <si>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</si>
  <si>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</si>
  <si>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</si>
  <si>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</si>
  <si>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</si>
  <si>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</si>
  <si>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</si>
  <si>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</si>
  <si>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</si>
  <si>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</si>
  <si>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</si>
  <si>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</si>
  <si>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</si>
  <si>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</si>
  <si>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</si>
  <si>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</si>
  <si>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</si>
  <si>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</si>
  <si>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</si>
  <si>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</si>
  <si>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</si>
  <si>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</si>
  <si>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</si>
  <si>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</si>
  <si>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</si>
  <si>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</si>
  <si>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</si>
  <si>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</si>
  <si>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</si>
  <si>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</si>
  <si>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</si>
  <si>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</si>
  <si>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</si>
  <si>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</si>
  <si>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</si>
  <si>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</si>
  <si>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</si>
  <si>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</si>
  <si>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</si>
  <si>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</si>
  <si>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</si>
  <si>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</si>
  <si>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</si>
  <si>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</si>
  <si>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</si>
  <si>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</si>
  <si>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</si>
  <si>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</si>
  <si>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</si>
  <si>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</si>
  <si>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</si>
  <si>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</si>
  <si>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</si>
  <si>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</si>
  <si>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</si>
  <si>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</si>
  <si>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</si>
  <si>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</si>
  <si>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</si>
  <si>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</si>
  <si>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</si>
  <si>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</si>
  <si>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</si>
  <si>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</si>
  <si>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</si>
  <si>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</si>
  <si>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</si>
  <si>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</si>
  <si>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</si>
  <si>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</si>
  <si>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</si>
  <si>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</si>
  <si>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</si>
  <si>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</si>
  <si>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</si>
  <si>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</si>
  <si>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</si>
  <si>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</si>
  <si>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</si>
  <si>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</si>
  <si>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</si>
  <si>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</si>
  <si>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</si>
  <si>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</si>
  <si>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</si>
  <si>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</si>
  <si>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</si>
  <si>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</si>
  <si>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</si>
  <si>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</si>
  <si>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</si>
  <si>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</si>
  <si>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</si>
  <si>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</si>
  <si>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</si>
  <si>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</si>
  <si>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</si>
  <si>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</si>
  <si>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</si>
  <si>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</si>
  <si>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</si>
  <si>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</si>
  <si>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</si>
  <si>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</si>
  <si>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</si>
  <si>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</si>
  <si>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</si>
  <si>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</si>
  <si>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</si>
  <si>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</si>
  <si>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</si>
  <si>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</si>
  <si>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</si>
  <si>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</si>
  <si>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</si>
  <si>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</si>
  <si>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</si>
  <si>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</si>
  <si>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</si>
  <si>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</si>
  <si>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</si>
  <si>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</si>
  <si>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</si>
  <si>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</si>
  <si>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</si>
  <si>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</si>
  <si>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</si>
  <si>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</si>
  <si>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</si>
  <si>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</si>
  <si>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</si>
  <si>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</si>
  <si>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</si>
  <si>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</si>
  <si>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</si>
  <si>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</si>
  <si>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</si>
  <si>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</si>
  <si>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</si>
  <si>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</si>
  <si>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</si>
  <si>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</si>
  <si>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</si>
  <si>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</si>
  <si>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</si>
  <si>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</si>
  <si>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</si>
  <si>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</si>
  <si>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</si>
  <si>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</si>
  <si>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</si>
  <si>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</si>
  <si>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</si>
  <si>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</si>
  <si>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</si>
  <si>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</si>
  <si>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</si>
  <si>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</si>
  <si>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</si>
  <si>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</si>
  <si>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</si>
  <si>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</si>
  <si>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</si>
  <si>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</si>
  <si>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</si>
  <si>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</si>
  <si>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</si>
  <si>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</si>
  <si>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</si>
  <si>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</si>
  <si>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</si>
  <si>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</si>
  <si>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</si>
  <si>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</si>
  <si>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</si>
  <si>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</si>
  <si>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</si>
  <si>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</si>
  <si>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</si>
  <si>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</si>
  <si>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</si>
  <si>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</si>
  <si>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</si>
  <si>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</si>
  <si>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</si>
  <si>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</si>
  <si>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</si>
  <si>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</si>
  <si>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</si>
  <si>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</si>
  <si>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</si>
  <si>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</si>
  <si>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</si>
  <si>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</si>
  <si>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</si>
  <si>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</si>
  <si>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</si>
  <si>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</si>
  <si>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</si>
  <si>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</si>
  <si>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</si>
  <si>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</si>
  <si>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</si>
  <si>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</si>
  <si>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</si>
  <si>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</si>
  <si>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</si>
  <si>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</si>
  <si>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</si>
  <si>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</si>
  <si>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</si>
  <si>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</si>
  <si>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</si>
  <si>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</si>
  <si>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</si>
  <si>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</si>
  <si>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</si>
  <si>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</si>
  <si>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</si>
  <si>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</si>
  <si>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</si>
  <si>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</si>
  <si>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</si>
  <si>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</si>
  <si>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</si>
  <si>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</si>
  <si>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</si>
  <si>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</si>
  <si>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</si>
  <si>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</si>
  <si>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</si>
  <si>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</si>
  <si>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</si>
  <si>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</si>
  <si>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</si>
  <si>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</si>
  <si>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</si>
  <si>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</si>
  <si>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</si>
  <si>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</si>
  <si>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</si>
  <si>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</si>
  <si>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</si>
  <si>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</si>
  <si>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</si>
  <si>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</si>
  <si>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</si>
  <si>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</si>
  <si>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</si>
  <si>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</si>
  <si>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</si>
  <si>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</si>
  <si>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</si>
  <si>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</si>
  <si>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</si>
  <si>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</si>
  <si>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</si>
  <si>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</si>
  <si>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</si>
  <si>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</si>
  <si>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</si>
  <si>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</si>
  <si>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</si>
  <si>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</si>
  <si>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</si>
  <si>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</si>
  <si>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</si>
  <si>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</si>
  <si>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</si>
  <si>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</si>
  <si>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</si>
  <si>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</si>
  <si>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</si>
  <si>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</si>
  <si>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</si>
  <si>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</si>
  <si>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</si>
  <si>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</si>
  <si>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</si>
  <si>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</si>
  <si>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</si>
  <si>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</si>
  <si>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</si>
  <si>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</si>
  <si>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</si>
  <si>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</si>
  <si>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</si>
  <si>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</si>
  <si>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</si>
  <si>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</si>
  <si>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</si>
  <si>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</si>
  <si>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</si>
  <si>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</si>
  <si>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</si>
  <si>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</si>
  <si>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</si>
  <si>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</si>
  <si>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</si>
  <si>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</si>
  <si>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</si>
  <si>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</si>
  <si>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</si>
  <si>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</si>
  <si>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</si>
  <si>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</si>
  <si>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</si>
  <si>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</si>
  <si>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</si>
  <si>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</si>
  <si>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</si>
  <si>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</si>
  <si>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</si>
  <si>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</si>
  <si>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</si>
  <si>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</si>
  <si>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</si>
  <si>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</si>
  <si>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</si>
  <si>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</si>
  <si>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</si>
  <si>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</si>
  <si>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</si>
  <si>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</si>
  <si>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</si>
  <si>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</si>
  <si>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</si>
  <si>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</si>
  <si>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</si>
  <si>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</si>
  <si>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</si>
  <si>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</si>
  <si>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</si>
  <si>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</si>
  <si>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</si>
  <si>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</si>
  <si>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</si>
  <si>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</si>
  <si>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</si>
  <si>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</si>
  <si>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</si>
  <si>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</si>
  <si>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</si>
  <si>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</si>
  <si>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</si>
  <si>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</si>
  <si>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</si>
  <si>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</si>
  <si>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</si>
  <si>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</si>
  <si>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</si>
  <si>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</si>
  <si>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</si>
  <si>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</si>
  <si>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</si>
  <si>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</si>
  <si>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</si>
  <si>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</si>
  <si>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</si>
  <si>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</si>
  <si>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</si>
  <si>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</si>
  <si>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</si>
  <si>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</si>
  <si>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</si>
  <si>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</si>
  <si>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</si>
  <si>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</si>
  <si>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</si>
  <si>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</si>
  <si>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</si>
  <si>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</si>
  <si>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</si>
  <si>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</si>
  <si>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</si>
  <si>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</si>
  <si>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</si>
  <si>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</si>
  <si>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</si>
  <si>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</si>
  <si>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</si>
  <si>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</si>
  <si>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</si>
  <si>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</si>
  <si>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</si>
  <si>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</si>
  <si>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</si>
  <si>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</si>
  <si>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</si>
  <si>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</si>
  <si>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</si>
  <si>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</si>
  <si>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</si>
  <si>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</si>
  <si>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</si>
  <si>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</si>
  <si>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</si>
  <si>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</si>
  <si>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</si>
  <si>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</si>
  <si>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</si>
  <si>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</si>
  <si>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</si>
  <si>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</si>
  <si>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</si>
  <si>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</si>
  <si>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</si>
  <si>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</si>
  <si>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</si>
  <si>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</si>
  <si>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</si>
  <si>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</si>
  <si>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</si>
  <si>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</si>
  <si>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</si>
  <si>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</si>
  <si>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</si>
  <si>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</si>
  <si>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</si>
  <si>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</si>
  <si>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</si>
  <si>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</si>
  <si>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</si>
  <si>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</si>
  <si>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</si>
  <si>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</si>
  <si>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</si>
  <si>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</si>
  <si>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</si>
  <si>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</si>
  <si>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</si>
  <si>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</si>
  <si>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</si>
  <si>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</si>
  <si>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</si>
  <si>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</si>
  <si>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</si>
  <si>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</si>
  <si>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</si>
  <si>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</si>
  <si>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</si>
  <si>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</si>
  <si>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</si>
  <si>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</si>
  <si>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</si>
  <si>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</si>
  <si>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</si>
  <si>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</si>
  <si>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</si>
  <si>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</si>
  <si>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</si>
  <si>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</si>
  <si>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</si>
  <si>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</si>
  <si>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</si>
  <si>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</si>
  <si>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</si>
  <si>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</si>
  <si>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</si>
  <si>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</si>
  <si>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</si>
  <si>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</si>
  <si>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</si>
  <si>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</si>
  <si>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</si>
  <si>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</si>
  <si>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</si>
  <si>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</si>
  <si>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</si>
  <si>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</si>
  <si>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</si>
  <si>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</si>
  <si>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</si>
  <si>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</si>
  <si>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</si>
  <si>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</si>
  <si>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</si>
  <si>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</si>
  <si>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</si>
  <si>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</si>
  <si>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</si>
  <si>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</si>
  <si>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</si>
  <si>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</si>
  <si>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</si>
  <si>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</si>
  <si>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</si>
  <si>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</si>
  <si>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</si>
  <si>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</si>
  <si>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</si>
  <si>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</si>
  <si>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</si>
  <si>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</si>
  <si>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</si>
  <si>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</si>
  <si>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</si>
  <si>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</si>
  <si>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</si>
  <si>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</si>
  <si>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</si>
  <si>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</si>
  <si>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</si>
  <si>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</si>
  <si>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</si>
  <si>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</si>
  <si>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</si>
  <si>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</si>
  <si>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</si>
  <si>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</si>
  <si>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</si>
  <si>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</si>
  <si>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</si>
  <si>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</si>
  <si>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</si>
  <si>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</si>
  <si>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</si>
  <si>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</si>
  <si>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</si>
  <si>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</si>
  <si>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</si>
  <si>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</si>
  <si>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</si>
  <si>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</si>
  <si>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</si>
  <si>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</si>
  <si>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</si>
  <si>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</si>
  <si>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</si>
  <si>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</si>
  <si>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</si>
  <si>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</si>
  <si>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</si>
  <si>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</si>
  <si>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</si>
  <si>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</si>
  <si>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</si>
  <si>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</si>
  <si>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</si>
  <si>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</si>
  <si>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</si>
  <si>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</si>
  <si>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</si>
  <si>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</si>
  <si>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</si>
  <si>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</si>
  <si>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</si>
  <si>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</si>
  <si>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</si>
  <si>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</si>
  <si>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</si>
  <si>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</si>
  <si>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</si>
  <si>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</si>
  <si>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</si>
  <si>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</si>
  <si>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</si>
  <si>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</si>
  <si>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</si>
  <si>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</si>
  <si>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</si>
  <si>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</si>
  <si>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</si>
  <si>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</si>
  <si>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</si>
  <si>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</si>
  <si>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</si>
  <si>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</si>
  <si>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</si>
  <si>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</si>
  <si>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</si>
  <si>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</si>
  <si>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</si>
  <si>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</si>
  <si>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</si>
  <si>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</si>
  <si>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</si>
  <si>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</si>
  <si>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</si>
  <si>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</si>
  <si>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</si>
  <si>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</si>
  <si>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</si>
  <si>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</si>
  <si>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</si>
  <si>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</si>
  <si>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</si>
  <si>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</si>
  <si>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</si>
  <si>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</si>
  <si>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</si>
  <si>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</si>
  <si>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</si>
  <si>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</si>
  <si>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</si>
  <si>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</si>
  <si>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</si>
  <si>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</si>
  <si>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</si>
  <si>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</si>
  <si>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</si>
  <si>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</si>
  <si>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</si>
  <si>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</si>
  <si>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</si>
  <si>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</si>
  <si>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</si>
  <si>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</si>
  <si>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</si>
  <si>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</si>
  <si>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</si>
  <si>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</si>
  <si>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</si>
  <si>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</si>
  <si>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</si>
  <si>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</si>
  <si>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</si>
  <si>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</si>
  <si>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</si>
  <si>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</si>
  <si>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</si>
  <si>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</si>
  <si>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</si>
  <si>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</si>
  <si>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</si>
  <si>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</si>
  <si>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</si>
  <si>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</si>
  <si>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</si>
  <si>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</si>
  <si>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</si>
  <si>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</si>
  <si>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</si>
  <si>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</si>
  <si>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</si>
  <si>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</si>
  <si>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</si>
  <si>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</si>
  <si>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</si>
  <si>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</si>
  <si>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</si>
  <si>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</si>
  <si>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</si>
  <si>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</si>
  <si>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</si>
  <si>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</si>
  <si>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</si>
  <si>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</si>
  <si>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</si>
  <si>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</si>
  <si>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</si>
  <si>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</si>
  <si>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</si>
  <si>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</si>
  <si>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</si>
  <si>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</si>
  <si>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</si>
  <si>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</si>
  <si>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</si>
  <si>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</si>
  <si>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</si>
  <si>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</si>
  <si>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</si>
  <si>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</si>
  <si>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</si>
  <si>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</si>
  <si>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</si>
  <si>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</si>
  <si>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</si>
  <si>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</si>
  <si>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</si>
  <si>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</si>
  <si>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 xml:space="preserve">CÔNG TY CỔ PHẦN VIỄN THÔNG DI ĐỘNG TOÀN CẦU
GTEL</t>
  </si>
  <si>
    <t xml:space="preserve">  Độ cao từng anten (tính từ mặt đất
  đến mép thấp nhất của anten)</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</si>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</sst>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s>
  <fonts count="106">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sz val="10"/>
      <name val="Arial"/>
      <family val="2"/>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tint="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right style="thin"/>
      <top style="thin"/>
      <bottom style="thin"/>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1"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27">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1"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98" applyFont="1" fillId="0" applyFill="1" borderId="1" applyBorder="1" xfId="0" applyAlignment="1">
      <alignment vertical="center" wrapText="1"/>
      <protection locked="0"/>
    </xf>
    <xf numFmtId="0" applyNumberFormat="1" fontId="1" applyFont="1" fillId="42" applyFill="1" borderId="1" applyBorder="1" xfId="127" applyAlignment="1">
      <alignment vertical="center" wrapText="1"/>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0" applyNumberFormat="1" fontId="102"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2" applyFont="1" fillId="0" applyFill="1" borderId="1" applyBorder="1" xfId="0" applyAlignment="1">
      <alignment horizontal="left" vertical="center" wrapText="1"/>
      <protection locked="0"/>
    </xf>
    <xf numFmtId="0" applyNumberFormat="1" fontId="102" applyFont="1" fillId="0" applyFill="1" borderId="1" applyBorder="1" xfId="0" applyAlignment="1">
      <alignment horizontal="left" vertical="center" wrapText="1"/>
      <protection locked="0"/>
    </xf>
    <xf numFmtId="14" applyNumberFormat="1" fontId="102" applyFont="1" fillId="0" applyFill="1" borderId="1" applyBorder="1" xfId="0" applyAlignment="1">
      <alignment horizontal="left" vertical="center" wrapText="1"/>
      <protection locked="0"/>
    </xf>
    <xf numFmtId="0" applyNumberFormat="1" fontId="103" applyFont="1" fillId="0" applyFill="1" borderId="1" applyBorder="1" xfId="0" applyAlignment="1">
      <alignment horizontal="left" vertical="center" wrapText="1"/>
      <protection locked="0"/>
    </xf>
    <xf numFmtId="1" applyNumberFormat="1" fontId="102" applyFont="1" fillId="0" applyFill="1" borderId="1" applyBorder="1" xfId="0" applyAlignment="1">
      <alignment horizontal="left" vertical="center" wrapText="1"/>
      <protection locked="0"/>
    </xf>
    <xf numFmtId="199" applyNumberFormat="1" fontId="102"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left" vertical="center" wrapText="1"/>
      <protection locked="0"/>
    </xf>
    <xf numFmtId="2" applyNumberFormat="1" fontId="102" applyFont="1" fillId="0" applyFill="1" borderId="1" applyBorder="1" xfId="0" quotePrefix="1"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05"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2"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83" applyFont="1" fillId="0" applyFill="1" borderId="0" applyBorder="1" xfId="0" applyAlignment="1">
      <alignment horizontal="left" wrapText="1"/>
      <protection locked="0"/>
    </xf>
    <xf numFmtId="0" applyNumberFormat="1" fontId="2" applyFont="1" fillId="0" applyFill="1" borderId="17"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0"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8.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35" width="9.140625" customWidth="1" style="207"/>
    <col min="36" max="16384" width="9.140625" customWidth="1" style="207"/>
  </cols>
  <sheetData>
    <row r="1" ht="45.75" customHeight="1">
      <c r="A1" s="390" t="s">
        <v>92</v>
      </c>
      <c r="B1" s="390"/>
      <c r="C1" s="390"/>
      <c r="D1" s="390"/>
      <c r="E1" s="390"/>
      <c r="F1" s="390"/>
      <c r="G1" s="390"/>
      <c r="H1" s="390"/>
      <c r="I1" s="390"/>
      <c r="J1" s="390"/>
      <c r="K1" s="390"/>
      <c r="L1" s="390"/>
      <c r="M1" s="390"/>
      <c r="N1" s="390"/>
      <c r="O1" s="390"/>
      <c r="P1" s="390"/>
      <c r="Q1" s="390"/>
      <c r="R1" s="390"/>
      <c r="S1" s="390"/>
      <c r="T1" s="390"/>
      <c r="U1" s="390"/>
      <c r="V1" s="390"/>
      <c r="W1" s="390"/>
      <c r="X1" s="390"/>
    </row>
    <row r="2">
      <c r="A2" s="204" t="s">
        <v>93</v>
      </c>
    </row>
    <row r="3">
      <c r="A3" s="204" t="s">
        <v>94</v>
      </c>
      <c r="C3" s="206">
        <v>1</v>
      </c>
      <c r="D3" s="205" t="s">
        <v>95</v>
      </c>
    </row>
    <row r="4">
      <c r="A4" s="204"/>
      <c r="D4" s="205" t="s">
        <v>96</v>
      </c>
    </row>
    <row r="5">
      <c r="A5" s="204"/>
      <c r="C5" s="206">
        <v>2</v>
      </c>
      <c r="D5" s="205" t="s">
        <v>97</v>
      </c>
    </row>
    <row r="6">
      <c r="A6" s="204"/>
      <c r="D6" s="205" t="s">
        <v>98</v>
      </c>
    </row>
    <row r="7">
      <c r="A7" s="206" t="s">
        <v>99</v>
      </c>
      <c r="B7" s="205" t="s">
        <v>100</v>
      </c>
    </row>
    <row r="8">
      <c r="A8" s="206"/>
      <c r="B8" s="205" t="s">
        <v>101</v>
      </c>
    </row>
    <row r="9">
      <c r="A9" s="206"/>
      <c r="B9" s="205" t="s">
        <v>102</v>
      </c>
    </row>
    <row r="10">
      <c r="A10" s="206"/>
      <c r="B10" s="205" t="s">
        <v>103</v>
      </c>
    </row>
    <row r="11">
      <c r="A11" s="206" t="s">
        <v>104</v>
      </c>
      <c r="B11" s="205" t="s">
        <v>105</v>
      </c>
    </row>
    <row r="12">
      <c r="A12" s="206" t="s">
        <v>106</v>
      </c>
      <c r="B12" s="205" t="s">
        <v>107</v>
      </c>
    </row>
    <row r="13">
      <c r="A13" s="206"/>
      <c r="B13" s="205" t="s">
        <v>108</v>
      </c>
    </row>
    <row r="14">
      <c r="A14" s="206"/>
      <c r="B14" s="205" t="s">
        <v>109</v>
      </c>
    </row>
    <row r="15">
      <c r="A15" s="206"/>
      <c r="B15" s="205" t="s">
        <v>110</v>
      </c>
    </row>
    <row r="16">
      <c r="A16" s="206"/>
      <c r="B16" s="205" t="s">
        <v>111</v>
      </c>
    </row>
    <row r="17">
      <c r="A17" s="206" t="s">
        <v>112</v>
      </c>
      <c r="B17" s="205" t="s">
        <v>113</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114</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115</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111</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116</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B2" sqref="B2"/>
    </sheetView>
  </sheetViews>
  <sheetFormatPr defaultRowHeight="15"/>
  <cols>
    <col min="1" max="1" width="6.19376182556152" customWidth="1"/>
    <col min="2" max="2" width="5.33950233459473" customWidth="1"/>
    <col min="3" max="3" width="25.1478140694754" customWidth="1"/>
  </cols>
  <sheetData>
    <row r="1">
      <c r="A1" s="514" t="s">
        <v>0</v>
      </c>
      <c r="B1" s="514" t="s">
        <v>1</v>
      </c>
      <c r="C1" s="514" t="s">
        <v>2</v>
      </c>
    </row>
    <row r="2">
      <c r="A2" s="513">
        <v>1</v>
      </c>
      <c r="B2" s="513">
        <v>1</v>
      </c>
      <c r="C2" s="513" t="s">
        <v>88</v>
      </c>
    </row>
    <row r="3">
      <c r="A3" s="513">
        <v>2</v>
      </c>
      <c r="B3" s="513">
        <v>2</v>
      </c>
      <c r="C3" s="513" t="s">
        <v>89</v>
      </c>
    </row>
    <row r="4">
      <c r="A4" s="513">
        <v>3</v>
      </c>
      <c r="B4" s="513">
        <v>3</v>
      </c>
      <c r="C4" s="513" t="s">
        <v>90</v>
      </c>
    </row>
    <row r="5">
      <c r="A5" s="513">
        <v>4</v>
      </c>
      <c r="B5" s="513">
        <v>4</v>
      </c>
      <c r="C5" s="513" t="s">
        <v>91</v>
      </c>
    </row>
  </sheetData>
  <sheetProtection formatCells="0" formatColumns="0" formatRows="0" sort="0" autoFilter="0" pivotTables="0"/>
  <autoFilter ref="A1:C5"/>
  <dataConsolidate/>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5"/>
  <sheetViews>
    <sheetView workbookViewId="0">
      <selection activeCell="D11" sqref="D11"/>
    </sheetView>
  </sheetViews>
  <sheetFormatPr defaultRowHeight="15"/>
  <cols>
    <col min="1" max="1" width="6.19376182556152" customWidth="1"/>
    <col min="2" max="2" width="13.9288787841797" customWidth="1"/>
    <col min="3" max="3" width="42.0191824776786" customWidth="1"/>
    <col min="4" max="4" width="44.2760663713728" customWidth="1"/>
    <col min="5" max="5" width="18.0119334629604" customWidth="1"/>
    <col min="6" max="6" width="18.0119334629604" customWidth="1"/>
  </cols>
  <sheetData>
    <row r="1">
      <c r="A1" s="516" t="s">
        <v>0</v>
      </c>
      <c r="B1" s="516" t="s">
        <v>1</v>
      </c>
      <c r="C1" s="516" t="s">
        <v>2</v>
      </c>
      <c r="D1" s="516" t="s">
        <v>72</v>
      </c>
      <c r="E1" s="516" t="s">
        <v>73</v>
      </c>
      <c r="F1" s="516" t="s">
        <v>74</v>
      </c>
    </row>
    <row r="2" ht="30">
      <c r="A2" s="515">
        <v>1</v>
      </c>
      <c r="B2" s="515" t="s">
        <v>75</v>
      </c>
      <c r="C2" s="515" t="s">
        <v>76</v>
      </c>
      <c r="D2" s="515" t="s">
        <v>77</v>
      </c>
      <c r="E2" s="515" t="s">
        <v>77</v>
      </c>
      <c r="F2" s="515" t="s">
        <v>77</v>
      </c>
    </row>
    <row r="3">
      <c r="A3" s="515">
        <v>2</v>
      </c>
      <c r="B3" s="515" t="s">
        <v>78</v>
      </c>
      <c r="C3" s="515" t="s">
        <v>79</v>
      </c>
      <c r="D3" s="515" t="s">
        <v>80</v>
      </c>
      <c r="E3" s="515" t="s">
        <v>77</v>
      </c>
      <c r="F3" s="515" t="s">
        <v>77</v>
      </c>
    </row>
    <row r="4">
      <c r="A4" s="515">
        <v>3</v>
      </c>
      <c r="B4" s="515" t="s">
        <v>81</v>
      </c>
      <c r="C4" s="515" t="s">
        <v>82</v>
      </c>
      <c r="D4" s="515" t="s">
        <v>77</v>
      </c>
      <c r="E4" s="515" t="s">
        <v>77</v>
      </c>
      <c r="F4" s="515" t="s">
        <v>77</v>
      </c>
    </row>
    <row r="5">
      <c r="A5" s="515">
        <v>4</v>
      </c>
      <c r="B5" s="515" t="s">
        <v>83</v>
      </c>
      <c r="C5" s="515" t="s">
        <v>84</v>
      </c>
      <c r="D5" s="515" t="s">
        <v>85</v>
      </c>
      <c r="E5" s="515" t="s">
        <v>86</v>
      </c>
      <c r="F5" s="515" t="s">
        <v>87</v>
      </c>
    </row>
  </sheetData>
  <sheetProtection formatCells="0" formatColumns="0" formatRows="0" sort="0" autoFilter="0" pivotTables="0"/>
  <autoFilter ref="A1:F5"/>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23"/>
  <sheetViews>
    <sheetView workbookViewId="0">
      <selection activeCell="C13" sqref="C13"/>
    </sheetView>
  </sheetViews>
  <sheetFormatPr defaultRowHeight="15"/>
  <cols>
    <col min="1" max="1" width="6.19376182556152" customWidth="1"/>
    <col min="2" max="2" width="5.79346357073103" customWidth="1"/>
    <col min="3" max="3" width="16.6584178379604" customWidth="1"/>
    <col min="4" max="4" width="10.5998240879604" customWidth="1"/>
    <col min="5" max="5" width="8.1590701511928" customWidth="1"/>
  </cols>
  <sheetData>
    <row r="1">
      <c r="A1" s="518" t="s">
        <v>0</v>
      </c>
      <c r="B1" s="518" t="s">
        <v>1</v>
      </c>
      <c r="C1" s="518" t="s">
        <v>2</v>
      </c>
      <c r="D1" s="518" t="s">
        <v>3</v>
      </c>
      <c r="E1" s="518" t="s">
        <v>4</v>
      </c>
    </row>
    <row r="2">
      <c r="A2" s="517">
        <v>1</v>
      </c>
      <c r="B2" s="517" t="s">
        <v>5</v>
      </c>
      <c r="C2" s="517" t="s">
        <v>6</v>
      </c>
      <c r="D2" s="517" t="s">
        <v>7</v>
      </c>
      <c r="E2" s="517" t="s">
        <v>8</v>
      </c>
    </row>
    <row r="3">
      <c r="A3" s="517">
        <v>2</v>
      </c>
      <c r="B3" s="517" t="s">
        <v>9</v>
      </c>
      <c r="C3" s="517" t="s">
        <v>10</v>
      </c>
      <c r="D3" s="517" t="s">
        <v>7</v>
      </c>
      <c r="E3" s="517" t="s">
        <v>11</v>
      </c>
    </row>
    <row r="4">
      <c r="A4" s="517">
        <v>3</v>
      </c>
      <c r="B4" s="517" t="s">
        <v>12</v>
      </c>
      <c r="C4" s="517" t="s">
        <v>13</v>
      </c>
      <c r="D4" s="517" t="s">
        <v>7</v>
      </c>
      <c r="E4" s="517" t="s">
        <v>14</v>
      </c>
    </row>
    <row r="5">
      <c r="A5" s="517">
        <v>4</v>
      </c>
      <c r="B5" s="517" t="s">
        <v>15</v>
      </c>
      <c r="C5" s="517" t="s">
        <v>16</v>
      </c>
      <c r="D5" s="517" t="s">
        <v>7</v>
      </c>
      <c r="E5" s="517" t="s">
        <v>17</v>
      </c>
    </row>
    <row r="6">
      <c r="A6" s="517">
        <v>5</v>
      </c>
      <c r="B6" s="517" t="s">
        <v>18</v>
      </c>
      <c r="C6" s="517" t="s">
        <v>19</v>
      </c>
      <c r="D6" s="517" t="s">
        <v>7</v>
      </c>
      <c r="E6" s="517" t="s">
        <v>20</v>
      </c>
    </row>
    <row r="7">
      <c r="A7" s="517">
        <v>6</v>
      </c>
      <c r="B7" s="517" t="s">
        <v>21</v>
      </c>
      <c r="C7" s="517" t="s">
        <v>22</v>
      </c>
      <c r="D7" s="517" t="s">
        <v>7</v>
      </c>
      <c r="E7" s="517" t="s">
        <v>23</v>
      </c>
    </row>
    <row r="8">
      <c r="A8" s="517">
        <v>7</v>
      </c>
      <c r="B8" s="517" t="s">
        <v>24</v>
      </c>
      <c r="C8" s="517" t="s">
        <v>25</v>
      </c>
      <c r="D8" s="517" t="s">
        <v>7</v>
      </c>
      <c r="E8" s="517" t="s">
        <v>26</v>
      </c>
    </row>
    <row r="9">
      <c r="A9" s="517">
        <v>8</v>
      </c>
      <c r="B9" s="517" t="s">
        <v>27</v>
      </c>
      <c r="C9" s="517" t="s">
        <v>28</v>
      </c>
      <c r="D9" s="517" t="s">
        <v>7</v>
      </c>
      <c r="E9" s="517" t="s">
        <v>29</v>
      </c>
    </row>
    <row r="10">
      <c r="A10" s="517">
        <v>9</v>
      </c>
      <c r="B10" s="517" t="s">
        <v>30</v>
      </c>
      <c r="C10" s="517" t="s">
        <v>31</v>
      </c>
      <c r="D10" s="517" t="s">
        <v>7</v>
      </c>
      <c r="E10" s="517" t="s">
        <v>32</v>
      </c>
    </row>
    <row r="11">
      <c r="A11" s="517">
        <v>10</v>
      </c>
      <c r="B11" s="517" t="s">
        <v>33</v>
      </c>
      <c r="C11" s="517" t="s">
        <v>34</v>
      </c>
      <c r="D11" s="517" t="s">
        <v>7</v>
      </c>
      <c r="E11" s="517" t="s">
        <v>35</v>
      </c>
    </row>
    <row r="12">
      <c r="A12" s="517">
        <v>11</v>
      </c>
      <c r="B12" s="517" t="s">
        <v>36</v>
      </c>
      <c r="C12" s="517" t="s">
        <v>37</v>
      </c>
      <c r="D12" s="517" t="s">
        <v>7</v>
      </c>
      <c r="E12" s="517" t="s">
        <v>38</v>
      </c>
    </row>
    <row r="13">
      <c r="A13" s="517">
        <v>12</v>
      </c>
      <c r="B13" s="517" t="s">
        <v>39</v>
      </c>
      <c r="C13" s="517" t="s">
        <v>40</v>
      </c>
      <c r="D13" s="517" t="s">
        <v>7</v>
      </c>
      <c r="E13" s="517" t="s">
        <v>41</v>
      </c>
    </row>
    <row r="14">
      <c r="A14" s="517">
        <v>13</v>
      </c>
      <c r="B14" s="517" t="s">
        <v>42</v>
      </c>
      <c r="C14" s="517" t="s">
        <v>43</v>
      </c>
      <c r="D14" s="517" t="s">
        <v>7</v>
      </c>
      <c r="E14" s="517" t="s">
        <v>44</v>
      </c>
    </row>
    <row r="15">
      <c r="A15" s="517">
        <v>14</v>
      </c>
      <c r="B15" s="517" t="s">
        <v>45</v>
      </c>
      <c r="C15" s="517" t="s">
        <v>46</v>
      </c>
      <c r="D15" s="517" t="s">
        <v>7</v>
      </c>
      <c r="E15" s="517" t="s">
        <v>47</v>
      </c>
    </row>
    <row r="16">
      <c r="A16" s="517">
        <v>15</v>
      </c>
      <c r="B16" s="517" t="s">
        <v>48</v>
      </c>
      <c r="C16" s="517" t="s">
        <v>49</v>
      </c>
      <c r="D16" s="517" t="s">
        <v>7</v>
      </c>
      <c r="E16" s="517" t="s">
        <v>50</v>
      </c>
    </row>
    <row r="17">
      <c r="A17" s="517">
        <v>16</v>
      </c>
      <c r="B17" s="517" t="s">
        <v>51</v>
      </c>
      <c r="C17" s="517" t="s">
        <v>52</v>
      </c>
      <c r="D17" s="517" t="s">
        <v>7</v>
      </c>
      <c r="E17" s="517" t="s">
        <v>53</v>
      </c>
    </row>
    <row r="18">
      <c r="A18" s="517">
        <v>17</v>
      </c>
      <c r="B18" s="517" t="s">
        <v>54</v>
      </c>
      <c r="C18" s="517" t="s">
        <v>55</v>
      </c>
      <c r="D18" s="517" t="s">
        <v>7</v>
      </c>
      <c r="E18" s="517" t="s">
        <v>56</v>
      </c>
    </row>
    <row r="19">
      <c r="A19" s="517">
        <v>18</v>
      </c>
      <c r="B19" s="517" t="s">
        <v>57</v>
      </c>
      <c r="C19" s="517" t="s">
        <v>58</v>
      </c>
      <c r="D19" s="517" t="s">
        <v>7</v>
      </c>
      <c r="E19" s="517" t="s">
        <v>59</v>
      </c>
    </row>
    <row r="20">
      <c r="A20" s="517">
        <v>19</v>
      </c>
      <c r="B20" s="517" t="s">
        <v>60</v>
      </c>
      <c r="C20" s="517" t="s">
        <v>61</v>
      </c>
      <c r="D20" s="517" t="s">
        <v>7</v>
      </c>
      <c r="E20" s="517" t="s">
        <v>62</v>
      </c>
    </row>
    <row r="21">
      <c r="A21" s="517">
        <v>20</v>
      </c>
      <c r="B21" s="517" t="s">
        <v>63</v>
      </c>
      <c r="C21" s="517" t="s">
        <v>64</v>
      </c>
      <c r="D21" s="517" t="s">
        <v>7</v>
      </c>
      <c r="E21" s="517" t="s">
        <v>65</v>
      </c>
    </row>
    <row r="22">
      <c r="A22" s="517">
        <v>21</v>
      </c>
      <c r="B22" s="517" t="s">
        <v>66</v>
      </c>
      <c r="C22" s="517" t="s">
        <v>67</v>
      </c>
      <c r="D22" s="517" t="s">
        <v>7</v>
      </c>
      <c r="E22" s="517" t="s">
        <v>68</v>
      </c>
    </row>
    <row r="23">
      <c r="A23" s="517">
        <v>22</v>
      </c>
      <c r="B23" s="517" t="s">
        <v>69</v>
      </c>
      <c r="C23" s="517" t="s">
        <v>70</v>
      </c>
      <c r="D23" s="517" t="s">
        <v>7</v>
      </c>
      <c r="E23" s="517" t="s">
        <v>71</v>
      </c>
    </row>
  </sheetData>
  <sheetProtection formatCells="0" formatColumns="0" formatRows="0" sort="0" autoFilter="0" pivotTables="0"/>
  <autoFilter ref="A1:E23"/>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activeCell="D9" sqref="D9"/>
    </sheetView>
  </sheetViews>
  <sheetFormatPr defaultRowHeight="15"/>
  <cols>
    <col min="1" max="1" width="6.19376182556152" customWidth="1"/>
    <col min="2" max="2" width="12.1589758736747" customWidth="1"/>
    <col min="3" max="3" width="12.1589758736747" customWidth="1"/>
    <col min="4" max="4" width="48.03173828125" customWidth="1"/>
  </cols>
  <sheetData>
    <row r="1">
      <c r="A1" s="520" t="s">
        <v>0</v>
      </c>
      <c r="B1" s="520" t="s">
        <v>1</v>
      </c>
      <c r="C1" s="520" t="s">
        <v>708</v>
      </c>
      <c r="D1" s="520" t="s">
        <v>2</v>
      </c>
    </row>
    <row r="2">
      <c r="A2" s="519">
        <v>1</v>
      </c>
      <c r="B2" s="519" t="s">
        <v>521</v>
      </c>
      <c r="C2" s="519" t="s">
        <v>521</v>
      </c>
      <c r="D2" s="519" t="s">
        <v>596</v>
      </c>
    </row>
    <row r="3">
      <c r="A3" s="519">
        <v>2</v>
      </c>
      <c r="B3" s="519" t="s">
        <v>709</v>
      </c>
      <c r="C3" s="519" t="s">
        <v>709</v>
      </c>
      <c r="D3" s="519" t="s">
        <v>710</v>
      </c>
    </row>
    <row r="4">
      <c r="A4" s="519">
        <v>3</v>
      </c>
      <c r="B4" s="519" t="s">
        <v>636</v>
      </c>
      <c r="C4" s="519" t="s">
        <v>636</v>
      </c>
      <c r="D4" s="519" t="s">
        <v>644</v>
      </c>
    </row>
    <row r="5">
      <c r="A5" s="519">
        <v>4</v>
      </c>
      <c r="B5" s="519" t="s">
        <v>711</v>
      </c>
      <c r="C5" s="519" t="s">
        <v>711</v>
      </c>
      <c r="D5" s="519" t="s">
        <v>712</v>
      </c>
    </row>
    <row r="6">
      <c r="A6" s="519">
        <v>5</v>
      </c>
      <c r="B6" s="519" t="s">
        <v>197</v>
      </c>
      <c r="C6" s="519" t="s">
        <v>197</v>
      </c>
      <c r="D6" s="519" t="s">
        <v>516</v>
      </c>
    </row>
  </sheetData>
  <sheetProtection formatCells="0" formatColumns="0" formatRows="0" sort="0" autoFilter="0" pivotTables="0"/>
  <autoFilter ref="A1:D6"/>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topLeftCell="D1" workbookViewId="0">
      <selection activeCell="H2" sqref="H2"/>
    </sheetView>
  </sheetViews>
  <sheetFormatPr defaultRowHeight="15"/>
  <cols>
    <col min="1" max="1" width="6.19376182556152" customWidth="1"/>
    <col min="2" max="2" width="17.1607426234654" customWidth="1"/>
    <col min="3" max="3" width="50" customWidth="1"/>
    <col min="4" max="4" width="50" customWidth="1"/>
    <col min="5" max="5" width="14.7524468558175" customWidth="1"/>
    <col min="6" max="6" width="13.9309256417411" customWidth="1"/>
    <col min="7" max="7" width="15.7021309988839" customWidth="1"/>
    <col min="8" max="8" width="13.5690394810268" customWidth="1"/>
  </cols>
  <sheetData>
    <row r="1">
      <c r="A1" s="522" t="s">
        <v>0</v>
      </c>
      <c r="B1" s="522" t="s">
        <v>1</v>
      </c>
      <c r="C1" s="522" t="s">
        <v>2</v>
      </c>
      <c r="D1" s="522" t="s">
        <v>72</v>
      </c>
      <c r="E1" s="522" t="s">
        <v>73</v>
      </c>
      <c r="F1" s="522" t="s">
        <v>74</v>
      </c>
      <c r="G1" s="522" t="s">
        <v>713</v>
      </c>
      <c r="H1" s="522" t="s">
        <v>164</v>
      </c>
    </row>
    <row r="2" ht="45">
      <c r="A2" s="521">
        <v>1</v>
      </c>
      <c r="B2" s="521" t="s">
        <v>714</v>
      </c>
      <c r="C2" s="521" t="s">
        <v>715</v>
      </c>
      <c r="D2" s="521" t="s">
        <v>716</v>
      </c>
      <c r="E2" s="521" t="s">
        <v>717</v>
      </c>
      <c r="F2" s="521" t="s">
        <v>718</v>
      </c>
      <c r="G2" s="521" t="s">
        <v>719</v>
      </c>
      <c r="H2" s="521" t="s">
        <v>709</v>
      </c>
    </row>
    <row r="3" ht="30">
      <c r="A3" s="521">
        <v>2</v>
      </c>
      <c r="B3" s="521" t="s">
        <v>635</v>
      </c>
      <c r="C3" s="521" t="s">
        <v>720</v>
      </c>
      <c r="D3" s="521" t="s">
        <v>721</v>
      </c>
      <c r="E3" s="521" t="s">
        <v>77</v>
      </c>
      <c r="F3" s="521" t="s">
        <v>77</v>
      </c>
      <c r="G3" s="521" t="s">
        <v>77</v>
      </c>
      <c r="H3" s="521" t="s">
        <v>636</v>
      </c>
    </row>
    <row r="4">
      <c r="A4" s="521">
        <v>3</v>
      </c>
      <c r="B4" s="521" t="s">
        <v>722</v>
      </c>
      <c r="C4" s="521" t="s">
        <v>723</v>
      </c>
      <c r="D4" s="521" t="s">
        <v>724</v>
      </c>
      <c r="E4" s="521" t="s">
        <v>725</v>
      </c>
      <c r="F4" s="521" t="s">
        <v>718</v>
      </c>
      <c r="G4" s="521" t="s">
        <v>726</v>
      </c>
      <c r="H4" s="521" t="s">
        <v>711</v>
      </c>
    </row>
    <row r="5" ht="30">
      <c r="A5" s="521">
        <v>4</v>
      </c>
      <c r="B5" s="521" t="s">
        <v>727</v>
      </c>
      <c r="C5" s="521" t="s">
        <v>728</v>
      </c>
      <c r="D5" s="521" t="s">
        <v>729</v>
      </c>
      <c r="E5" s="521" t="s">
        <v>730</v>
      </c>
      <c r="F5" s="521" t="s">
        <v>731</v>
      </c>
      <c r="G5" s="521" t="s">
        <v>732</v>
      </c>
      <c r="H5" s="521" t="s">
        <v>197</v>
      </c>
    </row>
    <row r="6" ht="30">
      <c r="A6" s="521">
        <v>5</v>
      </c>
      <c r="B6" s="521" t="s">
        <v>196</v>
      </c>
      <c r="C6" s="521" t="s">
        <v>515</v>
      </c>
      <c r="D6" s="521" t="s">
        <v>733</v>
      </c>
      <c r="E6" s="521" t="s">
        <v>734</v>
      </c>
      <c r="F6" s="521" t="s">
        <v>735</v>
      </c>
      <c r="G6" s="521" t="s">
        <v>736</v>
      </c>
      <c r="H6" s="521" t="s">
        <v>197</v>
      </c>
    </row>
    <row r="7" ht="30">
      <c r="A7" s="521">
        <v>6</v>
      </c>
      <c r="B7" s="521" t="s">
        <v>737</v>
      </c>
      <c r="C7" s="521" t="s">
        <v>738</v>
      </c>
      <c r="D7" s="521" t="s">
        <v>739</v>
      </c>
      <c r="E7" s="521" t="s">
        <v>740</v>
      </c>
      <c r="F7" s="521" t="s">
        <v>741</v>
      </c>
      <c r="G7" s="521" t="s">
        <v>742</v>
      </c>
      <c r="H7" s="521" t="s">
        <v>711</v>
      </c>
    </row>
    <row r="8" ht="30">
      <c r="A8" s="521">
        <v>7</v>
      </c>
      <c r="B8" s="521" t="s">
        <v>743</v>
      </c>
      <c r="C8" s="521" t="s">
        <v>744</v>
      </c>
      <c r="D8" s="521" t="s">
        <v>745</v>
      </c>
      <c r="E8" s="521" t="s">
        <v>746</v>
      </c>
      <c r="F8" s="521" t="s">
        <v>747</v>
      </c>
      <c r="G8" s="521" t="s">
        <v>748</v>
      </c>
      <c r="H8" s="521" t="s">
        <v>636</v>
      </c>
    </row>
    <row r="9" ht="30">
      <c r="A9" s="521">
        <v>8</v>
      </c>
      <c r="B9" s="521" t="s">
        <v>749</v>
      </c>
      <c r="C9" s="521" t="s">
        <v>750</v>
      </c>
      <c r="D9" s="521" t="s">
        <v>751</v>
      </c>
      <c r="E9" s="521" t="s">
        <v>752</v>
      </c>
      <c r="F9" s="521" t="s">
        <v>77</v>
      </c>
      <c r="G9" s="521" t="s">
        <v>753</v>
      </c>
      <c r="H9" s="521" t="s">
        <v>636</v>
      </c>
    </row>
    <row r="10" ht="30">
      <c r="A10" s="521">
        <v>9</v>
      </c>
      <c r="B10" s="521" t="s">
        <v>754</v>
      </c>
      <c r="C10" s="521" t="s">
        <v>755</v>
      </c>
      <c r="D10" s="521" t="s">
        <v>756</v>
      </c>
      <c r="E10" s="521" t="s">
        <v>757</v>
      </c>
      <c r="F10" s="521" t="s">
        <v>758</v>
      </c>
      <c r="G10" s="521" t="s">
        <v>759</v>
      </c>
      <c r="H10" s="521" t="s">
        <v>636</v>
      </c>
    </row>
    <row r="11" ht="30">
      <c r="A11" s="521">
        <v>10</v>
      </c>
      <c r="B11" s="521" t="s">
        <v>760</v>
      </c>
      <c r="C11" s="521" t="s">
        <v>761</v>
      </c>
      <c r="D11" s="521" t="s">
        <v>762</v>
      </c>
      <c r="E11" s="521" t="s">
        <v>763</v>
      </c>
      <c r="F11" s="521" t="s">
        <v>764</v>
      </c>
      <c r="G11" s="521" t="s">
        <v>765</v>
      </c>
      <c r="H11" s="521" t="s">
        <v>636</v>
      </c>
    </row>
    <row r="12" ht="30">
      <c r="A12" s="521">
        <v>11</v>
      </c>
      <c r="B12" s="521" t="s">
        <v>766</v>
      </c>
      <c r="C12" s="521" t="s">
        <v>767</v>
      </c>
      <c r="D12" s="521" t="s">
        <v>768</v>
      </c>
      <c r="E12" s="521" t="s">
        <v>769</v>
      </c>
      <c r="F12" s="521" t="s">
        <v>77</v>
      </c>
      <c r="G12" s="521" t="s">
        <v>770</v>
      </c>
      <c r="H12" s="521" t="s">
        <v>636</v>
      </c>
    </row>
    <row r="13" ht="30">
      <c r="A13" s="521">
        <v>12</v>
      </c>
      <c r="B13" s="521" t="s">
        <v>771</v>
      </c>
      <c r="C13" s="521" t="s">
        <v>772</v>
      </c>
      <c r="D13" s="521" t="s">
        <v>773</v>
      </c>
      <c r="E13" s="521" t="s">
        <v>774</v>
      </c>
      <c r="F13" s="521" t="s">
        <v>77</v>
      </c>
      <c r="G13" s="521" t="s">
        <v>775</v>
      </c>
      <c r="H13" s="521" t="s">
        <v>636</v>
      </c>
    </row>
    <row r="14" ht="30">
      <c r="A14" s="521">
        <v>13</v>
      </c>
      <c r="B14" s="521" t="s">
        <v>776</v>
      </c>
      <c r="C14" s="521" t="s">
        <v>777</v>
      </c>
      <c r="D14" s="521" t="s">
        <v>778</v>
      </c>
      <c r="E14" s="521" t="s">
        <v>779</v>
      </c>
      <c r="F14" s="521" t="s">
        <v>77</v>
      </c>
      <c r="G14" s="521" t="s">
        <v>753</v>
      </c>
      <c r="H14" s="521" t="s">
        <v>636</v>
      </c>
    </row>
    <row r="15" ht="30">
      <c r="A15" s="521">
        <v>14</v>
      </c>
      <c r="B15" s="521" t="s">
        <v>780</v>
      </c>
      <c r="C15" s="521" t="s">
        <v>781</v>
      </c>
      <c r="D15" s="521" t="s">
        <v>782</v>
      </c>
      <c r="E15" s="521" t="s">
        <v>783</v>
      </c>
      <c r="F15" s="521" t="s">
        <v>784</v>
      </c>
      <c r="G15" s="521" t="s">
        <v>785</v>
      </c>
      <c r="H15" s="521" t="s">
        <v>636</v>
      </c>
    </row>
    <row r="16" ht="30">
      <c r="A16" s="521">
        <v>15</v>
      </c>
      <c r="B16" s="521" t="s">
        <v>786</v>
      </c>
      <c r="C16" s="521" t="s">
        <v>787</v>
      </c>
      <c r="D16" s="521" t="s">
        <v>788</v>
      </c>
      <c r="E16" s="521" t="s">
        <v>789</v>
      </c>
      <c r="F16" s="521" t="s">
        <v>789</v>
      </c>
      <c r="G16" s="521" t="s">
        <v>790</v>
      </c>
      <c r="H16" s="521" t="s">
        <v>636</v>
      </c>
    </row>
    <row r="17" ht="30">
      <c r="A17" s="521">
        <v>16</v>
      </c>
      <c r="B17" s="521" t="s">
        <v>791</v>
      </c>
      <c r="C17" s="521" t="s">
        <v>792</v>
      </c>
      <c r="D17" s="521" t="s">
        <v>793</v>
      </c>
      <c r="E17" s="521" t="s">
        <v>794</v>
      </c>
      <c r="F17" s="521" t="s">
        <v>77</v>
      </c>
      <c r="G17" s="521" t="s">
        <v>795</v>
      </c>
      <c r="H17" s="521" t="s">
        <v>636</v>
      </c>
    </row>
    <row r="18" ht="30">
      <c r="A18" s="521">
        <v>17</v>
      </c>
      <c r="B18" s="521" t="s">
        <v>796</v>
      </c>
      <c r="C18" s="521" t="s">
        <v>797</v>
      </c>
      <c r="D18" s="521" t="s">
        <v>798</v>
      </c>
      <c r="E18" s="521" t="s">
        <v>799</v>
      </c>
      <c r="F18" s="521" t="s">
        <v>800</v>
      </c>
      <c r="G18" s="521" t="s">
        <v>801</v>
      </c>
      <c r="H18" s="521" t="s">
        <v>636</v>
      </c>
    </row>
    <row r="19" ht="30">
      <c r="A19" s="521">
        <v>18</v>
      </c>
      <c r="B19" s="521" t="s">
        <v>802</v>
      </c>
      <c r="C19" s="521" t="s">
        <v>803</v>
      </c>
      <c r="D19" s="521" t="s">
        <v>804</v>
      </c>
      <c r="E19" s="521" t="s">
        <v>805</v>
      </c>
      <c r="F19" s="521" t="s">
        <v>77</v>
      </c>
      <c r="G19" s="521" t="s">
        <v>806</v>
      </c>
      <c r="H19" s="521" t="s">
        <v>636</v>
      </c>
    </row>
    <row r="20" ht="30">
      <c r="A20" s="521">
        <v>19</v>
      </c>
      <c r="B20" s="521" t="s">
        <v>807</v>
      </c>
      <c r="C20" s="521" t="s">
        <v>808</v>
      </c>
      <c r="D20" s="521" t="s">
        <v>809</v>
      </c>
      <c r="E20" s="521" t="s">
        <v>810</v>
      </c>
      <c r="F20" s="521" t="s">
        <v>77</v>
      </c>
      <c r="G20" s="521" t="s">
        <v>811</v>
      </c>
      <c r="H20" s="521" t="s">
        <v>636</v>
      </c>
    </row>
    <row r="21" ht="30">
      <c r="A21" s="521">
        <v>20</v>
      </c>
      <c r="B21" s="521" t="s">
        <v>812</v>
      </c>
      <c r="C21" s="521" t="s">
        <v>813</v>
      </c>
      <c r="D21" s="521" t="s">
        <v>814</v>
      </c>
      <c r="E21" s="521" t="s">
        <v>815</v>
      </c>
      <c r="F21" s="521" t="s">
        <v>77</v>
      </c>
      <c r="G21" s="521" t="s">
        <v>816</v>
      </c>
      <c r="H21" s="521" t="s">
        <v>636</v>
      </c>
    </row>
    <row r="22" ht="30">
      <c r="A22" s="521">
        <v>21</v>
      </c>
      <c r="B22" s="521" t="s">
        <v>817</v>
      </c>
      <c r="C22" s="521" t="s">
        <v>818</v>
      </c>
      <c r="D22" s="521" t="s">
        <v>819</v>
      </c>
      <c r="E22" s="521" t="s">
        <v>820</v>
      </c>
      <c r="F22" s="521" t="s">
        <v>77</v>
      </c>
      <c r="G22" s="521" t="s">
        <v>821</v>
      </c>
      <c r="H22" s="521" t="s">
        <v>636</v>
      </c>
    </row>
    <row r="23" ht="30">
      <c r="A23" s="521">
        <v>22</v>
      </c>
      <c r="B23" s="521" t="s">
        <v>822</v>
      </c>
      <c r="C23" s="521" t="s">
        <v>823</v>
      </c>
      <c r="D23" s="521" t="s">
        <v>824</v>
      </c>
      <c r="E23" s="521" t="s">
        <v>77</v>
      </c>
      <c r="F23" s="521" t="s">
        <v>825</v>
      </c>
      <c r="G23" s="521" t="s">
        <v>826</v>
      </c>
      <c r="H23" s="521" t="s">
        <v>636</v>
      </c>
    </row>
    <row r="24" ht="30">
      <c r="A24" s="521">
        <v>23</v>
      </c>
      <c r="B24" s="521" t="s">
        <v>827</v>
      </c>
      <c r="C24" s="521" t="s">
        <v>828</v>
      </c>
      <c r="D24" s="521" t="s">
        <v>829</v>
      </c>
      <c r="E24" s="521" t="s">
        <v>830</v>
      </c>
      <c r="F24" s="521" t="s">
        <v>77</v>
      </c>
      <c r="G24" s="521" t="s">
        <v>831</v>
      </c>
      <c r="H24" s="521" t="s">
        <v>636</v>
      </c>
    </row>
    <row r="25" ht="30">
      <c r="A25" s="521">
        <v>24</v>
      </c>
      <c r="B25" s="521" t="s">
        <v>832</v>
      </c>
      <c r="C25" s="521" t="s">
        <v>833</v>
      </c>
      <c r="D25" s="521" t="s">
        <v>834</v>
      </c>
      <c r="E25" s="521" t="s">
        <v>835</v>
      </c>
      <c r="F25" s="521" t="s">
        <v>836</v>
      </c>
      <c r="G25" s="521" t="s">
        <v>837</v>
      </c>
      <c r="H25" s="521" t="s">
        <v>636</v>
      </c>
    </row>
    <row r="26" ht="30">
      <c r="A26" s="521">
        <v>25</v>
      </c>
      <c r="B26" s="521" t="s">
        <v>838</v>
      </c>
      <c r="C26" s="521" t="s">
        <v>839</v>
      </c>
      <c r="D26" s="521" t="s">
        <v>840</v>
      </c>
      <c r="E26" s="521" t="s">
        <v>841</v>
      </c>
      <c r="F26" s="521" t="s">
        <v>77</v>
      </c>
      <c r="G26" s="521" t="s">
        <v>842</v>
      </c>
      <c r="H26" s="521" t="s">
        <v>636</v>
      </c>
    </row>
    <row r="27" ht="30">
      <c r="A27" s="521">
        <v>26</v>
      </c>
      <c r="B27" s="521" t="s">
        <v>843</v>
      </c>
      <c r="C27" s="521" t="s">
        <v>844</v>
      </c>
      <c r="D27" s="521" t="s">
        <v>845</v>
      </c>
      <c r="E27" s="521" t="s">
        <v>846</v>
      </c>
      <c r="F27" s="521" t="s">
        <v>847</v>
      </c>
      <c r="G27" s="521" t="s">
        <v>848</v>
      </c>
      <c r="H27" s="521" t="s">
        <v>636</v>
      </c>
    </row>
    <row r="28" ht="30">
      <c r="A28" s="521">
        <v>27</v>
      </c>
      <c r="B28" s="521" t="s">
        <v>849</v>
      </c>
      <c r="C28" s="521" t="s">
        <v>850</v>
      </c>
      <c r="D28" s="521" t="s">
        <v>851</v>
      </c>
      <c r="E28" s="521" t="s">
        <v>852</v>
      </c>
      <c r="F28" s="521" t="s">
        <v>77</v>
      </c>
      <c r="G28" s="521" t="s">
        <v>853</v>
      </c>
      <c r="H28" s="521" t="s">
        <v>636</v>
      </c>
    </row>
    <row r="29" ht="30">
      <c r="A29" s="521">
        <v>28</v>
      </c>
      <c r="B29" s="521" t="s">
        <v>854</v>
      </c>
      <c r="C29" s="521" t="s">
        <v>855</v>
      </c>
      <c r="D29" s="521" t="s">
        <v>856</v>
      </c>
      <c r="E29" s="521" t="s">
        <v>857</v>
      </c>
      <c r="F29" s="521" t="s">
        <v>857</v>
      </c>
      <c r="G29" s="521" t="s">
        <v>858</v>
      </c>
      <c r="H29" s="521" t="s">
        <v>636</v>
      </c>
    </row>
    <row r="30" ht="30">
      <c r="A30" s="521">
        <v>29</v>
      </c>
      <c r="B30" s="521" t="s">
        <v>859</v>
      </c>
      <c r="C30" s="521" t="s">
        <v>860</v>
      </c>
      <c r="D30" s="521" t="s">
        <v>861</v>
      </c>
      <c r="E30" s="521" t="s">
        <v>77</v>
      </c>
      <c r="F30" s="521" t="s">
        <v>77</v>
      </c>
      <c r="G30" s="521" t="s">
        <v>821</v>
      </c>
      <c r="H30" s="521" t="s">
        <v>636</v>
      </c>
    </row>
  </sheetData>
  <sheetProtection formatCells="0" formatColumns="0" formatRows="0" sort="0" autoFilter="0" pivotTables="0"/>
  <autoFilter ref="A1:H30"/>
  <dataConsolidate/>
  <dataValidations count="1">
    <dataValidation type="list" allowBlank="1" showInputMessage="1" showErrorMessage="1" sqref="B1:B1048576" xr:uid="{08B1F006-5CE5-4184-BBB7-AD72AC37667B}">
      <formula1 xml:space="preserve"> OperatorIDList</formula1>
    </dataValidation>
  </dataValidations>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FFC000"/>
  </sheetPr>
  <dimension ref="A1:F2832"/>
  <sheetViews>
    <sheetView showGridLines="0" topLeftCell="A2817" zoomScale="130" zoomScaleNormal="130" workbookViewId="0">
      <selection activeCell="C2832" sqref="C2832"/>
    </sheetView>
  </sheetViews>
  <sheetFormatPr defaultColWidth="10" defaultRowHeight="15"/>
  <cols>
    <col min="1" max="1" width="6.19376182556152" customWidth="1"/>
    <col min="2" max="2" width="10.178600856236" customWidth="1"/>
    <col min="3" max="3" width="24.7723475864955" customWidth="1"/>
    <col min="4" max="4" width="11.6129384722028" customWidth="1"/>
    <col min="5" max="5" width="31.7271466936384" customWidth="1"/>
    <col min="6" max="6" width="8.68594850812639" customWidth="1"/>
  </cols>
  <sheetData>
    <row r="1">
      <c r="A1" s="524" t="s">
        <v>0</v>
      </c>
      <c r="B1" s="524" t="s">
        <v>862</v>
      </c>
      <c r="C1" s="524" t="s">
        <v>863</v>
      </c>
      <c r="D1" s="524" t="s">
        <v>864</v>
      </c>
      <c r="E1" s="524" t="s">
        <v>865</v>
      </c>
      <c r="F1" s="524" t="s">
        <v>866</v>
      </c>
    </row>
    <row r="2">
      <c r="A2" s="523">
        <v>1</v>
      </c>
      <c r="B2" s="523" t="s">
        <v>867</v>
      </c>
      <c r="C2" s="523" t="s">
        <v>868</v>
      </c>
      <c r="D2" s="523" t="s">
        <v>869</v>
      </c>
      <c r="E2" s="523" t="s">
        <v>870</v>
      </c>
      <c r="F2" s="523" t="s">
        <v>5</v>
      </c>
    </row>
    <row r="3">
      <c r="A3" s="523">
        <v>2</v>
      </c>
      <c r="B3" s="523" t="s">
        <v>871</v>
      </c>
      <c r="C3" s="523" t="s">
        <v>872</v>
      </c>
      <c r="D3" s="523" t="s">
        <v>869</v>
      </c>
      <c r="E3" s="523" t="s">
        <v>870</v>
      </c>
      <c r="F3" s="523" t="s">
        <v>5</v>
      </c>
    </row>
    <row r="4">
      <c r="A4" s="523">
        <v>3</v>
      </c>
      <c r="B4" s="523" t="s">
        <v>873</v>
      </c>
      <c r="C4" s="523" t="s">
        <v>874</v>
      </c>
      <c r="D4" s="523" t="s">
        <v>869</v>
      </c>
      <c r="E4" s="523" t="s">
        <v>870</v>
      </c>
      <c r="F4" s="523" t="s">
        <v>5</v>
      </c>
    </row>
    <row r="5">
      <c r="A5" s="523">
        <v>4</v>
      </c>
      <c r="B5" s="523" t="s">
        <v>875</v>
      </c>
      <c r="C5" s="523" t="s">
        <v>876</v>
      </c>
      <c r="D5" s="523" t="s">
        <v>869</v>
      </c>
      <c r="E5" s="523" t="s">
        <v>870</v>
      </c>
      <c r="F5" s="523" t="s">
        <v>5</v>
      </c>
    </row>
    <row r="6">
      <c r="A6" s="523">
        <v>5</v>
      </c>
      <c r="B6" s="523" t="s">
        <v>877</v>
      </c>
      <c r="C6" s="523" t="s">
        <v>878</v>
      </c>
      <c r="D6" s="523" t="s">
        <v>869</v>
      </c>
      <c r="E6" s="523" t="s">
        <v>870</v>
      </c>
      <c r="F6" s="523" t="s">
        <v>5</v>
      </c>
    </row>
    <row r="7">
      <c r="A7" s="523">
        <v>6</v>
      </c>
      <c r="B7" s="523" t="s">
        <v>879</v>
      </c>
      <c r="C7" s="523" t="s">
        <v>880</v>
      </c>
      <c r="D7" s="523" t="s">
        <v>869</v>
      </c>
      <c r="E7" s="523" t="s">
        <v>870</v>
      </c>
      <c r="F7" s="523" t="s">
        <v>5</v>
      </c>
    </row>
    <row r="8">
      <c r="A8" s="523">
        <v>7</v>
      </c>
      <c r="B8" s="523" t="s">
        <v>881</v>
      </c>
      <c r="C8" s="523" t="s">
        <v>882</v>
      </c>
      <c r="D8" s="523" t="s">
        <v>869</v>
      </c>
      <c r="E8" s="523" t="s">
        <v>870</v>
      </c>
      <c r="F8" s="523" t="s">
        <v>5</v>
      </c>
    </row>
    <row r="9">
      <c r="A9" s="523">
        <v>8</v>
      </c>
      <c r="B9" s="523" t="s">
        <v>883</v>
      </c>
      <c r="C9" s="523" t="s">
        <v>884</v>
      </c>
      <c r="D9" s="523" t="s">
        <v>869</v>
      </c>
      <c r="E9" s="523" t="s">
        <v>870</v>
      </c>
      <c r="F9" s="523" t="s">
        <v>5</v>
      </c>
    </row>
    <row r="10">
      <c r="A10" s="523">
        <v>9</v>
      </c>
      <c r="B10" s="523" t="s">
        <v>885</v>
      </c>
      <c r="C10" s="523" t="s">
        <v>886</v>
      </c>
      <c r="D10" s="523" t="s">
        <v>869</v>
      </c>
      <c r="E10" s="523" t="s">
        <v>870</v>
      </c>
      <c r="F10" s="523" t="s">
        <v>5</v>
      </c>
    </row>
    <row r="11">
      <c r="A11" s="523">
        <v>10</v>
      </c>
      <c r="B11" s="523" t="s">
        <v>887</v>
      </c>
      <c r="C11" s="523" t="s">
        <v>888</v>
      </c>
      <c r="D11" s="523" t="s">
        <v>869</v>
      </c>
      <c r="E11" s="523" t="s">
        <v>870</v>
      </c>
      <c r="F11" s="523" t="s">
        <v>5</v>
      </c>
    </row>
    <row r="12">
      <c r="A12" s="523">
        <v>11</v>
      </c>
      <c r="B12" s="523" t="s">
        <v>889</v>
      </c>
      <c r="C12" s="523" t="s">
        <v>890</v>
      </c>
      <c r="D12" s="523" t="s">
        <v>869</v>
      </c>
      <c r="E12" s="523" t="s">
        <v>870</v>
      </c>
      <c r="F12" s="523" t="s">
        <v>5</v>
      </c>
    </row>
    <row r="13">
      <c r="A13" s="523">
        <v>12</v>
      </c>
      <c r="B13" s="523" t="s">
        <v>891</v>
      </c>
      <c r="C13" s="523" t="s">
        <v>892</v>
      </c>
      <c r="D13" s="523" t="s">
        <v>869</v>
      </c>
      <c r="E13" s="523" t="s">
        <v>870</v>
      </c>
      <c r="F13" s="523" t="s">
        <v>5</v>
      </c>
    </row>
    <row r="14">
      <c r="A14" s="523">
        <v>13</v>
      </c>
      <c r="B14" s="523" t="s">
        <v>893</v>
      </c>
      <c r="C14" s="523" t="s">
        <v>894</v>
      </c>
      <c r="D14" s="523" t="s">
        <v>869</v>
      </c>
      <c r="E14" s="523" t="s">
        <v>870</v>
      </c>
      <c r="F14" s="523" t="s">
        <v>5</v>
      </c>
    </row>
    <row r="15">
      <c r="A15" s="523">
        <v>14</v>
      </c>
      <c r="B15" s="523" t="s">
        <v>895</v>
      </c>
      <c r="C15" s="523" t="s">
        <v>896</v>
      </c>
      <c r="D15" s="523" t="s">
        <v>869</v>
      </c>
      <c r="E15" s="523" t="s">
        <v>870</v>
      </c>
      <c r="F15" s="523" t="s">
        <v>5</v>
      </c>
    </row>
    <row r="16">
      <c r="A16" s="523">
        <v>15</v>
      </c>
      <c r="B16" s="523" t="s">
        <v>897</v>
      </c>
      <c r="C16" s="523" t="s">
        <v>898</v>
      </c>
      <c r="D16" s="523" t="s">
        <v>899</v>
      </c>
      <c r="E16" s="523" t="s">
        <v>900</v>
      </c>
      <c r="F16" s="523" t="s">
        <v>5</v>
      </c>
    </row>
    <row r="17">
      <c r="A17" s="523">
        <v>16</v>
      </c>
      <c r="B17" s="523" t="s">
        <v>901</v>
      </c>
      <c r="C17" s="523" t="s">
        <v>902</v>
      </c>
      <c r="D17" s="523" t="s">
        <v>899</v>
      </c>
      <c r="E17" s="523" t="s">
        <v>900</v>
      </c>
      <c r="F17" s="523" t="s">
        <v>5</v>
      </c>
    </row>
    <row r="18">
      <c r="A18" s="523">
        <v>17</v>
      </c>
      <c r="B18" s="523" t="s">
        <v>903</v>
      </c>
      <c r="C18" s="523" t="s">
        <v>904</v>
      </c>
      <c r="D18" s="523" t="s">
        <v>899</v>
      </c>
      <c r="E18" s="523" t="s">
        <v>900</v>
      </c>
      <c r="F18" s="523" t="s">
        <v>5</v>
      </c>
    </row>
    <row r="19">
      <c r="A19" s="523">
        <v>18</v>
      </c>
      <c r="B19" s="523" t="s">
        <v>905</v>
      </c>
      <c r="C19" s="523" t="s">
        <v>906</v>
      </c>
      <c r="D19" s="523" t="s">
        <v>899</v>
      </c>
      <c r="E19" s="523" t="s">
        <v>900</v>
      </c>
      <c r="F19" s="523" t="s">
        <v>5</v>
      </c>
    </row>
    <row r="20">
      <c r="A20" s="523">
        <v>19</v>
      </c>
      <c r="B20" s="523" t="s">
        <v>907</v>
      </c>
      <c r="C20" s="523" t="s">
        <v>908</v>
      </c>
      <c r="D20" s="523" t="s">
        <v>899</v>
      </c>
      <c r="E20" s="523" t="s">
        <v>900</v>
      </c>
      <c r="F20" s="523" t="s">
        <v>5</v>
      </c>
    </row>
    <row r="21">
      <c r="A21" s="523">
        <v>20</v>
      </c>
      <c r="B21" s="523" t="s">
        <v>909</v>
      </c>
      <c r="C21" s="523" t="s">
        <v>910</v>
      </c>
      <c r="D21" s="523" t="s">
        <v>899</v>
      </c>
      <c r="E21" s="523" t="s">
        <v>900</v>
      </c>
      <c r="F21" s="523" t="s">
        <v>5</v>
      </c>
    </row>
    <row r="22">
      <c r="A22" s="523">
        <v>21</v>
      </c>
      <c r="B22" s="523" t="s">
        <v>911</v>
      </c>
      <c r="C22" s="523" t="s">
        <v>912</v>
      </c>
      <c r="D22" s="523" t="s">
        <v>899</v>
      </c>
      <c r="E22" s="523" t="s">
        <v>900</v>
      </c>
      <c r="F22" s="523" t="s">
        <v>5</v>
      </c>
    </row>
    <row r="23">
      <c r="A23" s="523">
        <v>22</v>
      </c>
      <c r="B23" s="523" t="s">
        <v>913</v>
      </c>
      <c r="C23" s="523" t="s">
        <v>914</v>
      </c>
      <c r="D23" s="523" t="s">
        <v>899</v>
      </c>
      <c r="E23" s="523" t="s">
        <v>900</v>
      </c>
      <c r="F23" s="523" t="s">
        <v>5</v>
      </c>
    </row>
    <row r="24">
      <c r="A24" s="523">
        <v>23</v>
      </c>
      <c r="B24" s="523" t="s">
        <v>915</v>
      </c>
      <c r="C24" s="523" t="s">
        <v>916</v>
      </c>
      <c r="D24" s="523" t="s">
        <v>899</v>
      </c>
      <c r="E24" s="523" t="s">
        <v>900</v>
      </c>
      <c r="F24" s="523" t="s">
        <v>5</v>
      </c>
    </row>
    <row r="25">
      <c r="A25" s="523">
        <v>24</v>
      </c>
      <c r="B25" s="523" t="s">
        <v>917</v>
      </c>
      <c r="C25" s="523" t="s">
        <v>918</v>
      </c>
      <c r="D25" s="523" t="s">
        <v>899</v>
      </c>
      <c r="E25" s="523" t="s">
        <v>900</v>
      </c>
      <c r="F25" s="523" t="s">
        <v>5</v>
      </c>
    </row>
    <row r="26">
      <c r="A26" s="523">
        <v>25</v>
      </c>
      <c r="B26" s="523" t="s">
        <v>919</v>
      </c>
      <c r="C26" s="523" t="s">
        <v>920</v>
      </c>
      <c r="D26" s="523" t="s">
        <v>899</v>
      </c>
      <c r="E26" s="523" t="s">
        <v>900</v>
      </c>
      <c r="F26" s="523" t="s">
        <v>5</v>
      </c>
    </row>
    <row r="27">
      <c r="A27" s="523">
        <v>26</v>
      </c>
      <c r="B27" s="523" t="s">
        <v>921</v>
      </c>
      <c r="C27" s="523" t="s">
        <v>922</v>
      </c>
      <c r="D27" s="523" t="s">
        <v>899</v>
      </c>
      <c r="E27" s="523" t="s">
        <v>900</v>
      </c>
      <c r="F27" s="523" t="s">
        <v>5</v>
      </c>
    </row>
    <row r="28">
      <c r="A28" s="523">
        <v>27</v>
      </c>
      <c r="B28" s="523" t="s">
        <v>923</v>
      </c>
      <c r="C28" s="523" t="s">
        <v>924</v>
      </c>
      <c r="D28" s="523" t="s">
        <v>899</v>
      </c>
      <c r="E28" s="523" t="s">
        <v>900</v>
      </c>
      <c r="F28" s="523" t="s">
        <v>5</v>
      </c>
    </row>
    <row r="29">
      <c r="A29" s="523">
        <v>28</v>
      </c>
      <c r="B29" s="523" t="s">
        <v>925</v>
      </c>
      <c r="C29" s="523" t="s">
        <v>926</v>
      </c>
      <c r="D29" s="523" t="s">
        <v>927</v>
      </c>
      <c r="E29" s="523" t="s">
        <v>928</v>
      </c>
      <c r="F29" s="523" t="s">
        <v>5</v>
      </c>
    </row>
    <row r="30">
      <c r="A30" s="523">
        <v>29</v>
      </c>
      <c r="B30" s="523" t="s">
        <v>929</v>
      </c>
      <c r="C30" s="523" t="s">
        <v>930</v>
      </c>
      <c r="D30" s="523" t="s">
        <v>927</v>
      </c>
      <c r="E30" s="523" t="s">
        <v>928</v>
      </c>
      <c r="F30" s="523" t="s">
        <v>5</v>
      </c>
    </row>
    <row r="31">
      <c r="A31" s="523">
        <v>30</v>
      </c>
      <c r="B31" s="523" t="s">
        <v>931</v>
      </c>
      <c r="C31" s="523" t="s">
        <v>932</v>
      </c>
      <c r="D31" s="523" t="s">
        <v>927</v>
      </c>
      <c r="E31" s="523" t="s">
        <v>928</v>
      </c>
      <c r="F31" s="523" t="s">
        <v>5</v>
      </c>
    </row>
    <row r="32">
      <c r="A32" s="523">
        <v>31</v>
      </c>
      <c r="B32" s="523" t="s">
        <v>933</v>
      </c>
      <c r="C32" s="523" t="s">
        <v>934</v>
      </c>
      <c r="D32" s="523" t="s">
        <v>927</v>
      </c>
      <c r="E32" s="523" t="s">
        <v>928</v>
      </c>
      <c r="F32" s="523" t="s">
        <v>5</v>
      </c>
    </row>
    <row r="33">
      <c r="A33" s="523">
        <v>32</v>
      </c>
      <c r="B33" s="523" t="s">
        <v>935</v>
      </c>
      <c r="C33" s="523" t="s">
        <v>936</v>
      </c>
      <c r="D33" s="523" t="s">
        <v>927</v>
      </c>
      <c r="E33" s="523" t="s">
        <v>928</v>
      </c>
      <c r="F33" s="523" t="s">
        <v>5</v>
      </c>
    </row>
    <row r="34">
      <c r="A34" s="523">
        <v>33</v>
      </c>
      <c r="B34" s="523" t="s">
        <v>937</v>
      </c>
      <c r="C34" s="523" t="s">
        <v>938</v>
      </c>
      <c r="D34" s="523" t="s">
        <v>927</v>
      </c>
      <c r="E34" s="523" t="s">
        <v>928</v>
      </c>
      <c r="F34" s="523" t="s">
        <v>5</v>
      </c>
    </row>
    <row r="35">
      <c r="A35" s="523">
        <v>34</v>
      </c>
      <c r="B35" s="523" t="s">
        <v>939</v>
      </c>
      <c r="C35" s="523" t="s">
        <v>940</v>
      </c>
      <c r="D35" s="523" t="s">
        <v>927</v>
      </c>
      <c r="E35" s="523" t="s">
        <v>928</v>
      </c>
      <c r="F35" s="523" t="s">
        <v>5</v>
      </c>
    </row>
    <row r="36">
      <c r="A36" s="523">
        <v>35</v>
      </c>
      <c r="B36" s="523" t="s">
        <v>941</v>
      </c>
      <c r="C36" s="523" t="s">
        <v>942</v>
      </c>
      <c r="D36" s="523" t="s">
        <v>927</v>
      </c>
      <c r="E36" s="523" t="s">
        <v>928</v>
      </c>
      <c r="F36" s="523" t="s">
        <v>5</v>
      </c>
    </row>
    <row r="37">
      <c r="A37" s="523">
        <v>36</v>
      </c>
      <c r="B37" s="523" t="s">
        <v>943</v>
      </c>
      <c r="C37" s="523" t="s">
        <v>944</v>
      </c>
      <c r="D37" s="523" t="s">
        <v>927</v>
      </c>
      <c r="E37" s="523" t="s">
        <v>928</v>
      </c>
      <c r="F37" s="523" t="s">
        <v>5</v>
      </c>
    </row>
    <row r="38">
      <c r="A38" s="523">
        <v>37</v>
      </c>
      <c r="B38" s="523" t="s">
        <v>945</v>
      </c>
      <c r="C38" s="523" t="s">
        <v>946</v>
      </c>
      <c r="D38" s="523" t="s">
        <v>927</v>
      </c>
      <c r="E38" s="523" t="s">
        <v>928</v>
      </c>
      <c r="F38" s="523" t="s">
        <v>5</v>
      </c>
    </row>
    <row r="39">
      <c r="A39" s="523">
        <v>38</v>
      </c>
      <c r="B39" s="523" t="s">
        <v>947</v>
      </c>
      <c r="C39" s="523" t="s">
        <v>948</v>
      </c>
      <c r="D39" s="523" t="s">
        <v>927</v>
      </c>
      <c r="E39" s="523" t="s">
        <v>928</v>
      </c>
      <c r="F39" s="523" t="s">
        <v>5</v>
      </c>
    </row>
    <row r="40">
      <c r="A40" s="523">
        <v>39</v>
      </c>
      <c r="B40" s="523" t="s">
        <v>949</v>
      </c>
      <c r="C40" s="523" t="s">
        <v>950</v>
      </c>
      <c r="D40" s="523" t="s">
        <v>927</v>
      </c>
      <c r="E40" s="523" t="s">
        <v>928</v>
      </c>
      <c r="F40" s="523" t="s">
        <v>5</v>
      </c>
    </row>
    <row r="41">
      <c r="A41" s="523">
        <v>40</v>
      </c>
      <c r="B41" s="523" t="s">
        <v>951</v>
      </c>
      <c r="C41" s="523" t="s">
        <v>952</v>
      </c>
      <c r="D41" s="523" t="s">
        <v>927</v>
      </c>
      <c r="E41" s="523" t="s">
        <v>928</v>
      </c>
      <c r="F41" s="523" t="s">
        <v>5</v>
      </c>
    </row>
    <row r="42">
      <c r="A42" s="523">
        <v>41</v>
      </c>
      <c r="B42" s="523" t="s">
        <v>953</v>
      </c>
      <c r="C42" s="523" t="s">
        <v>954</v>
      </c>
      <c r="D42" s="523" t="s">
        <v>955</v>
      </c>
      <c r="E42" s="523" t="s">
        <v>956</v>
      </c>
      <c r="F42" s="523" t="s">
        <v>5</v>
      </c>
    </row>
    <row r="43">
      <c r="A43" s="523">
        <v>42</v>
      </c>
      <c r="B43" s="523" t="s">
        <v>957</v>
      </c>
      <c r="C43" s="523" t="s">
        <v>958</v>
      </c>
      <c r="D43" s="523" t="s">
        <v>955</v>
      </c>
      <c r="E43" s="523" t="s">
        <v>956</v>
      </c>
      <c r="F43" s="523" t="s">
        <v>5</v>
      </c>
    </row>
    <row r="44">
      <c r="A44" s="523">
        <v>43</v>
      </c>
      <c r="B44" s="523" t="s">
        <v>959</v>
      </c>
      <c r="C44" s="523" t="s">
        <v>960</v>
      </c>
      <c r="D44" s="523" t="s">
        <v>955</v>
      </c>
      <c r="E44" s="523" t="s">
        <v>956</v>
      </c>
      <c r="F44" s="523" t="s">
        <v>5</v>
      </c>
    </row>
    <row r="45">
      <c r="A45" s="523">
        <v>44</v>
      </c>
      <c r="B45" s="523" t="s">
        <v>961</v>
      </c>
      <c r="C45" s="523" t="s">
        <v>962</v>
      </c>
      <c r="D45" s="523" t="s">
        <v>955</v>
      </c>
      <c r="E45" s="523" t="s">
        <v>956</v>
      </c>
      <c r="F45" s="523" t="s">
        <v>5</v>
      </c>
    </row>
    <row r="46">
      <c r="A46" s="523">
        <v>45</v>
      </c>
      <c r="B46" s="523" t="s">
        <v>963</v>
      </c>
      <c r="C46" s="523" t="s">
        <v>964</v>
      </c>
      <c r="D46" s="523" t="s">
        <v>955</v>
      </c>
      <c r="E46" s="523" t="s">
        <v>956</v>
      </c>
      <c r="F46" s="523" t="s">
        <v>5</v>
      </c>
    </row>
    <row r="47">
      <c r="A47" s="523">
        <v>46</v>
      </c>
      <c r="B47" s="523" t="s">
        <v>965</v>
      </c>
      <c r="C47" s="523" t="s">
        <v>966</v>
      </c>
      <c r="D47" s="523" t="s">
        <v>955</v>
      </c>
      <c r="E47" s="523" t="s">
        <v>956</v>
      </c>
      <c r="F47" s="523" t="s">
        <v>5</v>
      </c>
    </row>
    <row r="48">
      <c r="A48" s="523">
        <v>47</v>
      </c>
      <c r="B48" s="523" t="s">
        <v>967</v>
      </c>
      <c r="C48" s="523" t="s">
        <v>968</v>
      </c>
      <c r="D48" s="523" t="s">
        <v>955</v>
      </c>
      <c r="E48" s="523" t="s">
        <v>956</v>
      </c>
      <c r="F48" s="523" t="s">
        <v>5</v>
      </c>
    </row>
    <row r="49">
      <c r="A49" s="523">
        <v>48</v>
      </c>
      <c r="B49" s="523" t="s">
        <v>969</v>
      </c>
      <c r="C49" s="523" t="s">
        <v>970</v>
      </c>
      <c r="D49" s="523" t="s">
        <v>955</v>
      </c>
      <c r="E49" s="523" t="s">
        <v>956</v>
      </c>
      <c r="F49" s="523" t="s">
        <v>5</v>
      </c>
    </row>
    <row r="50">
      <c r="A50" s="523">
        <v>49</v>
      </c>
      <c r="B50" s="523" t="s">
        <v>971</v>
      </c>
      <c r="C50" s="523" t="s">
        <v>972</v>
      </c>
      <c r="D50" s="523" t="s">
        <v>955</v>
      </c>
      <c r="E50" s="523" t="s">
        <v>956</v>
      </c>
      <c r="F50" s="523" t="s">
        <v>5</v>
      </c>
    </row>
    <row r="51">
      <c r="A51" s="523">
        <v>50</v>
      </c>
      <c r="B51" s="523" t="s">
        <v>973</v>
      </c>
      <c r="C51" s="523" t="s">
        <v>974</v>
      </c>
      <c r="D51" s="523" t="s">
        <v>955</v>
      </c>
      <c r="E51" s="523" t="s">
        <v>956</v>
      </c>
      <c r="F51" s="523" t="s">
        <v>5</v>
      </c>
    </row>
    <row r="52">
      <c r="A52" s="523">
        <v>51</v>
      </c>
      <c r="B52" s="523" t="s">
        <v>975</v>
      </c>
      <c r="C52" s="523" t="s">
        <v>976</v>
      </c>
      <c r="D52" s="523" t="s">
        <v>955</v>
      </c>
      <c r="E52" s="523" t="s">
        <v>956</v>
      </c>
      <c r="F52" s="523" t="s">
        <v>5</v>
      </c>
    </row>
    <row r="53">
      <c r="A53" s="523">
        <v>52</v>
      </c>
      <c r="B53" s="523" t="s">
        <v>977</v>
      </c>
      <c r="C53" s="523" t="s">
        <v>978</v>
      </c>
      <c r="D53" s="523" t="s">
        <v>955</v>
      </c>
      <c r="E53" s="523" t="s">
        <v>956</v>
      </c>
      <c r="F53" s="523" t="s">
        <v>5</v>
      </c>
    </row>
    <row r="54">
      <c r="A54" s="523">
        <v>53</v>
      </c>
      <c r="B54" s="523" t="s">
        <v>979</v>
      </c>
      <c r="C54" s="523" t="s">
        <v>980</v>
      </c>
      <c r="D54" s="523" t="s">
        <v>955</v>
      </c>
      <c r="E54" s="523" t="s">
        <v>956</v>
      </c>
      <c r="F54" s="523" t="s">
        <v>5</v>
      </c>
    </row>
    <row r="55">
      <c r="A55" s="523">
        <v>54</v>
      </c>
      <c r="B55" s="523" t="s">
        <v>981</v>
      </c>
      <c r="C55" s="523" t="s">
        <v>982</v>
      </c>
      <c r="D55" s="523" t="s">
        <v>955</v>
      </c>
      <c r="E55" s="523" t="s">
        <v>956</v>
      </c>
      <c r="F55" s="523" t="s">
        <v>5</v>
      </c>
    </row>
    <row r="56">
      <c r="A56" s="523">
        <v>55</v>
      </c>
      <c r="B56" s="523" t="s">
        <v>983</v>
      </c>
      <c r="C56" s="523" t="s">
        <v>984</v>
      </c>
      <c r="D56" s="523" t="s">
        <v>955</v>
      </c>
      <c r="E56" s="523" t="s">
        <v>956</v>
      </c>
      <c r="F56" s="523" t="s">
        <v>5</v>
      </c>
    </row>
    <row r="57">
      <c r="A57" s="523">
        <v>56</v>
      </c>
      <c r="B57" s="523" t="s">
        <v>985</v>
      </c>
      <c r="C57" s="523" t="s">
        <v>986</v>
      </c>
      <c r="D57" s="523" t="s">
        <v>955</v>
      </c>
      <c r="E57" s="523" t="s">
        <v>956</v>
      </c>
      <c r="F57" s="523" t="s">
        <v>5</v>
      </c>
    </row>
    <row r="58">
      <c r="A58" s="523">
        <v>57</v>
      </c>
      <c r="B58" s="523" t="s">
        <v>987</v>
      </c>
      <c r="C58" s="523" t="s">
        <v>988</v>
      </c>
      <c r="D58" s="523" t="s">
        <v>955</v>
      </c>
      <c r="E58" s="523" t="s">
        <v>956</v>
      </c>
      <c r="F58" s="523" t="s">
        <v>5</v>
      </c>
    </row>
    <row r="59">
      <c r="A59" s="523">
        <v>58</v>
      </c>
      <c r="B59" s="523" t="s">
        <v>989</v>
      </c>
      <c r="C59" s="523" t="s">
        <v>990</v>
      </c>
      <c r="D59" s="523" t="s">
        <v>955</v>
      </c>
      <c r="E59" s="523" t="s">
        <v>956</v>
      </c>
      <c r="F59" s="523" t="s">
        <v>5</v>
      </c>
    </row>
    <row r="60">
      <c r="A60" s="523">
        <v>59</v>
      </c>
      <c r="B60" s="523" t="s">
        <v>991</v>
      </c>
      <c r="C60" s="523" t="s">
        <v>992</v>
      </c>
      <c r="D60" s="523" t="s">
        <v>993</v>
      </c>
      <c r="E60" s="523" t="s">
        <v>994</v>
      </c>
      <c r="F60" s="523" t="s">
        <v>5</v>
      </c>
    </row>
    <row r="61">
      <c r="A61" s="523">
        <v>60</v>
      </c>
      <c r="B61" s="523" t="s">
        <v>995</v>
      </c>
      <c r="C61" s="523" t="s">
        <v>996</v>
      </c>
      <c r="D61" s="523" t="s">
        <v>993</v>
      </c>
      <c r="E61" s="523" t="s">
        <v>994</v>
      </c>
      <c r="F61" s="523" t="s">
        <v>5</v>
      </c>
    </row>
    <row r="62">
      <c r="A62" s="523">
        <v>61</v>
      </c>
      <c r="B62" s="523" t="s">
        <v>997</v>
      </c>
      <c r="C62" s="523" t="s">
        <v>998</v>
      </c>
      <c r="D62" s="523" t="s">
        <v>993</v>
      </c>
      <c r="E62" s="523" t="s">
        <v>994</v>
      </c>
      <c r="F62" s="523" t="s">
        <v>5</v>
      </c>
    </row>
    <row r="63">
      <c r="A63" s="523">
        <v>62</v>
      </c>
      <c r="B63" s="523" t="s">
        <v>999</v>
      </c>
      <c r="C63" s="523" t="s">
        <v>1000</v>
      </c>
      <c r="D63" s="523" t="s">
        <v>993</v>
      </c>
      <c r="E63" s="523" t="s">
        <v>994</v>
      </c>
      <c r="F63" s="523" t="s">
        <v>5</v>
      </c>
    </row>
    <row r="64">
      <c r="A64" s="523">
        <v>63</v>
      </c>
      <c r="B64" s="523" t="s">
        <v>1001</v>
      </c>
      <c r="C64" s="523" t="s">
        <v>1002</v>
      </c>
      <c r="D64" s="523" t="s">
        <v>993</v>
      </c>
      <c r="E64" s="523" t="s">
        <v>994</v>
      </c>
      <c r="F64" s="523" t="s">
        <v>5</v>
      </c>
    </row>
    <row r="65">
      <c r="A65" s="523">
        <v>64</v>
      </c>
      <c r="B65" s="523" t="s">
        <v>1003</v>
      </c>
      <c r="C65" s="523" t="s">
        <v>1004</v>
      </c>
      <c r="D65" s="523" t="s">
        <v>993</v>
      </c>
      <c r="E65" s="523" t="s">
        <v>994</v>
      </c>
      <c r="F65" s="523" t="s">
        <v>5</v>
      </c>
    </row>
    <row r="66">
      <c r="A66" s="523">
        <v>65</v>
      </c>
      <c r="B66" s="523" t="s">
        <v>1005</v>
      </c>
      <c r="C66" s="523" t="s">
        <v>1006</v>
      </c>
      <c r="D66" s="523" t="s">
        <v>993</v>
      </c>
      <c r="E66" s="523" t="s">
        <v>994</v>
      </c>
      <c r="F66" s="523" t="s">
        <v>5</v>
      </c>
    </row>
    <row r="67">
      <c r="A67" s="523">
        <v>66</v>
      </c>
      <c r="B67" s="523" t="s">
        <v>1007</v>
      </c>
      <c r="C67" s="523" t="s">
        <v>1008</v>
      </c>
      <c r="D67" s="523" t="s">
        <v>993</v>
      </c>
      <c r="E67" s="523" t="s">
        <v>994</v>
      </c>
      <c r="F67" s="523" t="s">
        <v>5</v>
      </c>
    </row>
    <row r="68">
      <c r="A68" s="523">
        <v>67</v>
      </c>
      <c r="B68" s="523" t="s">
        <v>1009</v>
      </c>
      <c r="C68" s="523" t="s">
        <v>1010</v>
      </c>
      <c r="D68" s="523" t="s">
        <v>993</v>
      </c>
      <c r="E68" s="523" t="s">
        <v>994</v>
      </c>
      <c r="F68" s="523" t="s">
        <v>5</v>
      </c>
    </row>
    <row r="69">
      <c r="A69" s="523">
        <v>68</v>
      </c>
      <c r="B69" s="523" t="s">
        <v>1011</v>
      </c>
      <c r="C69" s="523" t="s">
        <v>1012</v>
      </c>
      <c r="D69" s="523" t="s">
        <v>993</v>
      </c>
      <c r="E69" s="523" t="s">
        <v>994</v>
      </c>
      <c r="F69" s="523" t="s">
        <v>5</v>
      </c>
    </row>
    <row r="70">
      <c r="A70" s="523">
        <v>69</v>
      </c>
      <c r="B70" s="523" t="s">
        <v>1013</v>
      </c>
      <c r="C70" s="523" t="s">
        <v>1014</v>
      </c>
      <c r="D70" s="523" t="s">
        <v>993</v>
      </c>
      <c r="E70" s="523" t="s">
        <v>994</v>
      </c>
      <c r="F70" s="523" t="s">
        <v>5</v>
      </c>
    </row>
    <row r="71">
      <c r="A71" s="523">
        <v>70</v>
      </c>
      <c r="B71" s="523" t="s">
        <v>1015</v>
      </c>
      <c r="C71" s="523" t="s">
        <v>1016</v>
      </c>
      <c r="D71" s="523" t="s">
        <v>993</v>
      </c>
      <c r="E71" s="523" t="s">
        <v>994</v>
      </c>
      <c r="F71" s="523" t="s">
        <v>5</v>
      </c>
    </row>
    <row r="72">
      <c r="A72" s="523">
        <v>71</v>
      </c>
      <c r="B72" s="523" t="s">
        <v>1017</v>
      </c>
      <c r="C72" s="523" t="s">
        <v>1018</v>
      </c>
      <c r="D72" s="523" t="s">
        <v>993</v>
      </c>
      <c r="E72" s="523" t="s">
        <v>994</v>
      </c>
      <c r="F72" s="523" t="s">
        <v>5</v>
      </c>
    </row>
    <row r="73">
      <c r="A73" s="523">
        <v>72</v>
      </c>
      <c r="B73" s="523" t="s">
        <v>1019</v>
      </c>
      <c r="C73" s="523" t="s">
        <v>1020</v>
      </c>
      <c r="D73" s="523" t="s">
        <v>993</v>
      </c>
      <c r="E73" s="523" t="s">
        <v>994</v>
      </c>
      <c r="F73" s="523" t="s">
        <v>5</v>
      </c>
    </row>
    <row r="74">
      <c r="A74" s="523">
        <v>73</v>
      </c>
      <c r="B74" s="523" t="s">
        <v>1021</v>
      </c>
      <c r="C74" s="523" t="s">
        <v>1022</v>
      </c>
      <c r="D74" s="523" t="s">
        <v>993</v>
      </c>
      <c r="E74" s="523" t="s">
        <v>994</v>
      </c>
      <c r="F74" s="523" t="s">
        <v>5</v>
      </c>
    </row>
    <row r="75">
      <c r="A75" s="523">
        <v>74</v>
      </c>
      <c r="B75" s="523" t="s">
        <v>1023</v>
      </c>
      <c r="C75" s="523" t="s">
        <v>1024</v>
      </c>
      <c r="D75" s="523" t="s">
        <v>993</v>
      </c>
      <c r="E75" s="523" t="s">
        <v>994</v>
      </c>
      <c r="F75" s="523" t="s">
        <v>5</v>
      </c>
    </row>
    <row r="76">
      <c r="A76" s="523">
        <v>75</v>
      </c>
      <c r="B76" s="523" t="s">
        <v>1025</v>
      </c>
      <c r="C76" s="523" t="s">
        <v>1026</v>
      </c>
      <c r="D76" s="523" t="s">
        <v>993</v>
      </c>
      <c r="E76" s="523" t="s">
        <v>994</v>
      </c>
      <c r="F76" s="523" t="s">
        <v>5</v>
      </c>
    </row>
    <row r="77">
      <c r="A77" s="523">
        <v>76</v>
      </c>
      <c r="B77" s="523" t="s">
        <v>1027</v>
      </c>
      <c r="C77" s="523" t="s">
        <v>1028</v>
      </c>
      <c r="D77" s="523" t="s">
        <v>1029</v>
      </c>
      <c r="E77" s="523" t="s">
        <v>1030</v>
      </c>
      <c r="F77" s="523" t="s">
        <v>5</v>
      </c>
    </row>
    <row r="78">
      <c r="A78" s="523">
        <v>77</v>
      </c>
      <c r="B78" s="523" t="s">
        <v>1031</v>
      </c>
      <c r="C78" s="523" t="s">
        <v>1032</v>
      </c>
      <c r="D78" s="523" t="s">
        <v>1029</v>
      </c>
      <c r="E78" s="523" t="s">
        <v>1030</v>
      </c>
      <c r="F78" s="523" t="s">
        <v>5</v>
      </c>
    </row>
    <row r="79">
      <c r="A79" s="523">
        <v>78</v>
      </c>
      <c r="B79" s="523" t="s">
        <v>1033</v>
      </c>
      <c r="C79" s="523" t="s">
        <v>1034</v>
      </c>
      <c r="D79" s="523" t="s">
        <v>1029</v>
      </c>
      <c r="E79" s="523" t="s">
        <v>1030</v>
      </c>
      <c r="F79" s="523" t="s">
        <v>5</v>
      </c>
    </row>
    <row r="80">
      <c r="A80" s="523">
        <v>79</v>
      </c>
      <c r="B80" s="523" t="s">
        <v>1035</v>
      </c>
      <c r="C80" s="523" t="s">
        <v>1036</v>
      </c>
      <c r="D80" s="523" t="s">
        <v>1029</v>
      </c>
      <c r="E80" s="523" t="s">
        <v>1030</v>
      </c>
      <c r="F80" s="523" t="s">
        <v>5</v>
      </c>
    </row>
    <row r="81">
      <c r="A81" s="523">
        <v>80</v>
      </c>
      <c r="B81" s="523" t="s">
        <v>1037</v>
      </c>
      <c r="C81" s="523" t="s">
        <v>1038</v>
      </c>
      <c r="D81" s="523" t="s">
        <v>1029</v>
      </c>
      <c r="E81" s="523" t="s">
        <v>1030</v>
      </c>
      <c r="F81" s="523" t="s">
        <v>5</v>
      </c>
    </row>
    <row r="82">
      <c r="A82" s="523">
        <v>81</v>
      </c>
      <c r="B82" s="523" t="s">
        <v>1039</v>
      </c>
      <c r="C82" s="523" t="s">
        <v>1040</v>
      </c>
      <c r="D82" s="523" t="s">
        <v>1029</v>
      </c>
      <c r="E82" s="523" t="s">
        <v>1030</v>
      </c>
      <c r="F82" s="523" t="s">
        <v>5</v>
      </c>
    </row>
    <row r="83">
      <c r="A83" s="523">
        <v>82</v>
      </c>
      <c r="B83" s="523" t="s">
        <v>1041</v>
      </c>
      <c r="C83" s="523" t="s">
        <v>1042</v>
      </c>
      <c r="D83" s="523" t="s">
        <v>1029</v>
      </c>
      <c r="E83" s="523" t="s">
        <v>1030</v>
      </c>
      <c r="F83" s="523" t="s">
        <v>5</v>
      </c>
    </row>
    <row r="84">
      <c r="A84" s="523">
        <v>83</v>
      </c>
      <c r="B84" s="523" t="s">
        <v>1043</v>
      </c>
      <c r="C84" s="523" t="s">
        <v>1044</v>
      </c>
      <c r="D84" s="523" t="s">
        <v>1029</v>
      </c>
      <c r="E84" s="523" t="s">
        <v>1030</v>
      </c>
      <c r="F84" s="523" t="s">
        <v>5</v>
      </c>
    </row>
    <row r="85">
      <c r="A85" s="523">
        <v>84</v>
      </c>
      <c r="B85" s="523" t="s">
        <v>1045</v>
      </c>
      <c r="C85" s="523" t="s">
        <v>1046</v>
      </c>
      <c r="D85" s="523" t="s">
        <v>1029</v>
      </c>
      <c r="E85" s="523" t="s">
        <v>1030</v>
      </c>
      <c r="F85" s="523" t="s">
        <v>5</v>
      </c>
    </row>
    <row r="86">
      <c r="A86" s="523">
        <v>85</v>
      </c>
      <c r="B86" s="523" t="s">
        <v>1047</v>
      </c>
      <c r="C86" s="523" t="s">
        <v>1048</v>
      </c>
      <c r="D86" s="523" t="s">
        <v>1029</v>
      </c>
      <c r="E86" s="523" t="s">
        <v>1030</v>
      </c>
      <c r="F86" s="523" t="s">
        <v>5</v>
      </c>
    </row>
    <row r="87">
      <c r="A87" s="523">
        <v>86</v>
      </c>
      <c r="B87" s="523" t="s">
        <v>1049</v>
      </c>
      <c r="C87" s="523" t="s">
        <v>1050</v>
      </c>
      <c r="D87" s="523" t="s">
        <v>1029</v>
      </c>
      <c r="E87" s="523" t="s">
        <v>1030</v>
      </c>
      <c r="F87" s="523" t="s">
        <v>5</v>
      </c>
    </row>
    <row r="88">
      <c r="A88" s="523">
        <v>87</v>
      </c>
      <c r="B88" s="523" t="s">
        <v>1051</v>
      </c>
      <c r="C88" s="523" t="s">
        <v>1052</v>
      </c>
      <c r="D88" s="523" t="s">
        <v>1029</v>
      </c>
      <c r="E88" s="523" t="s">
        <v>1030</v>
      </c>
      <c r="F88" s="523" t="s">
        <v>5</v>
      </c>
    </row>
    <row r="89">
      <c r="A89" s="523">
        <v>88</v>
      </c>
      <c r="B89" s="523" t="s">
        <v>1053</v>
      </c>
      <c r="C89" s="523" t="s">
        <v>1054</v>
      </c>
      <c r="D89" s="523" t="s">
        <v>1029</v>
      </c>
      <c r="E89" s="523" t="s">
        <v>1030</v>
      </c>
      <c r="F89" s="523" t="s">
        <v>5</v>
      </c>
    </row>
    <row r="90">
      <c r="A90" s="523">
        <v>89</v>
      </c>
      <c r="B90" s="523" t="s">
        <v>1055</v>
      </c>
      <c r="C90" s="523" t="s">
        <v>1056</v>
      </c>
      <c r="D90" s="523" t="s">
        <v>1029</v>
      </c>
      <c r="E90" s="523" t="s">
        <v>1030</v>
      </c>
      <c r="F90" s="523" t="s">
        <v>5</v>
      </c>
    </row>
    <row r="91">
      <c r="A91" s="523">
        <v>90</v>
      </c>
      <c r="B91" s="523" t="s">
        <v>1057</v>
      </c>
      <c r="C91" s="523" t="s">
        <v>1058</v>
      </c>
      <c r="D91" s="523" t="s">
        <v>1029</v>
      </c>
      <c r="E91" s="523" t="s">
        <v>1030</v>
      </c>
      <c r="F91" s="523" t="s">
        <v>5</v>
      </c>
    </row>
    <row r="92">
      <c r="A92" s="523">
        <v>91</v>
      </c>
      <c r="B92" s="523" t="s">
        <v>1059</v>
      </c>
      <c r="C92" s="523" t="s">
        <v>1060</v>
      </c>
      <c r="D92" s="523" t="s">
        <v>1029</v>
      </c>
      <c r="E92" s="523" t="s">
        <v>1030</v>
      </c>
      <c r="F92" s="523" t="s">
        <v>5</v>
      </c>
    </row>
    <row r="93">
      <c r="A93" s="523">
        <v>92</v>
      </c>
      <c r="B93" s="523" t="s">
        <v>1061</v>
      </c>
      <c r="C93" s="523" t="s">
        <v>1062</v>
      </c>
      <c r="D93" s="523" t="s">
        <v>1029</v>
      </c>
      <c r="E93" s="523" t="s">
        <v>1030</v>
      </c>
      <c r="F93" s="523" t="s">
        <v>5</v>
      </c>
    </row>
    <row r="94">
      <c r="A94" s="523">
        <v>93</v>
      </c>
      <c r="B94" s="523" t="s">
        <v>1063</v>
      </c>
      <c r="C94" s="523" t="s">
        <v>1064</v>
      </c>
      <c r="D94" s="523" t="s">
        <v>1065</v>
      </c>
      <c r="E94" s="523" t="s">
        <v>1066</v>
      </c>
      <c r="F94" s="523" t="s">
        <v>5</v>
      </c>
    </row>
    <row r="95">
      <c r="A95" s="523">
        <v>94</v>
      </c>
      <c r="B95" s="523" t="s">
        <v>1067</v>
      </c>
      <c r="C95" s="523" t="s">
        <v>1068</v>
      </c>
      <c r="D95" s="523" t="s">
        <v>1065</v>
      </c>
      <c r="E95" s="523" t="s">
        <v>1066</v>
      </c>
      <c r="F95" s="523" t="s">
        <v>5</v>
      </c>
    </row>
    <row r="96">
      <c r="A96" s="523">
        <v>95</v>
      </c>
      <c r="B96" s="523" t="s">
        <v>1069</v>
      </c>
      <c r="C96" s="523" t="s">
        <v>1070</v>
      </c>
      <c r="D96" s="523" t="s">
        <v>1065</v>
      </c>
      <c r="E96" s="523" t="s">
        <v>1066</v>
      </c>
      <c r="F96" s="523" t="s">
        <v>5</v>
      </c>
    </row>
    <row r="97">
      <c r="A97" s="523">
        <v>96</v>
      </c>
      <c r="B97" s="523" t="s">
        <v>1071</v>
      </c>
      <c r="C97" s="523" t="s">
        <v>1072</v>
      </c>
      <c r="D97" s="523" t="s">
        <v>1065</v>
      </c>
      <c r="E97" s="523" t="s">
        <v>1066</v>
      </c>
      <c r="F97" s="523" t="s">
        <v>5</v>
      </c>
    </row>
    <row r="98">
      <c r="A98" s="523">
        <v>97</v>
      </c>
      <c r="B98" s="523" t="s">
        <v>1073</v>
      </c>
      <c r="C98" s="523" t="s">
        <v>1074</v>
      </c>
      <c r="D98" s="523" t="s">
        <v>1065</v>
      </c>
      <c r="E98" s="523" t="s">
        <v>1066</v>
      </c>
      <c r="F98" s="523" t="s">
        <v>5</v>
      </c>
    </row>
    <row r="99">
      <c r="A99" s="523">
        <v>98</v>
      </c>
      <c r="B99" s="523" t="s">
        <v>1075</v>
      </c>
      <c r="C99" s="523" t="s">
        <v>1076</v>
      </c>
      <c r="D99" s="523" t="s">
        <v>1065</v>
      </c>
      <c r="E99" s="523" t="s">
        <v>1066</v>
      </c>
      <c r="F99" s="523" t="s">
        <v>5</v>
      </c>
    </row>
    <row r="100">
      <c r="A100" s="523">
        <v>99</v>
      </c>
      <c r="B100" s="523" t="s">
        <v>1077</v>
      </c>
      <c r="C100" s="523" t="s">
        <v>1078</v>
      </c>
      <c r="D100" s="523" t="s">
        <v>1065</v>
      </c>
      <c r="E100" s="523" t="s">
        <v>1066</v>
      </c>
      <c r="F100" s="523" t="s">
        <v>5</v>
      </c>
    </row>
    <row r="101">
      <c r="A101" s="523">
        <v>100</v>
      </c>
      <c r="B101" s="523" t="s">
        <v>1079</v>
      </c>
      <c r="C101" s="523" t="s">
        <v>1080</v>
      </c>
      <c r="D101" s="523" t="s">
        <v>1065</v>
      </c>
      <c r="E101" s="523" t="s">
        <v>1066</v>
      </c>
      <c r="F101" s="523" t="s">
        <v>5</v>
      </c>
    </row>
    <row r="102">
      <c r="A102" s="523">
        <v>101</v>
      </c>
      <c r="B102" s="523" t="s">
        <v>1081</v>
      </c>
      <c r="C102" s="523" t="s">
        <v>1082</v>
      </c>
      <c r="D102" s="523" t="s">
        <v>1065</v>
      </c>
      <c r="E102" s="523" t="s">
        <v>1066</v>
      </c>
      <c r="F102" s="523" t="s">
        <v>5</v>
      </c>
    </row>
    <row r="103">
      <c r="A103" s="523">
        <v>102</v>
      </c>
      <c r="B103" s="523" t="s">
        <v>1083</v>
      </c>
      <c r="C103" s="523" t="s">
        <v>1084</v>
      </c>
      <c r="D103" s="523" t="s">
        <v>1065</v>
      </c>
      <c r="E103" s="523" t="s">
        <v>1066</v>
      </c>
      <c r="F103" s="523" t="s">
        <v>5</v>
      </c>
    </row>
    <row r="104">
      <c r="A104" s="523">
        <v>103</v>
      </c>
      <c r="B104" s="523" t="s">
        <v>1085</v>
      </c>
      <c r="C104" s="523" t="s">
        <v>1086</v>
      </c>
      <c r="D104" s="523" t="s">
        <v>1065</v>
      </c>
      <c r="E104" s="523" t="s">
        <v>1066</v>
      </c>
      <c r="F104" s="523" t="s">
        <v>5</v>
      </c>
    </row>
    <row r="105">
      <c r="A105" s="523">
        <v>104</v>
      </c>
      <c r="B105" s="523" t="s">
        <v>1087</v>
      </c>
      <c r="C105" s="523" t="s">
        <v>1088</v>
      </c>
      <c r="D105" s="523" t="s">
        <v>1065</v>
      </c>
      <c r="E105" s="523" t="s">
        <v>1066</v>
      </c>
      <c r="F105" s="523" t="s">
        <v>5</v>
      </c>
    </row>
    <row r="106">
      <c r="A106" s="523">
        <v>105</v>
      </c>
      <c r="B106" s="523" t="s">
        <v>1089</v>
      </c>
      <c r="C106" s="523" t="s">
        <v>1090</v>
      </c>
      <c r="D106" s="523" t="s">
        <v>1065</v>
      </c>
      <c r="E106" s="523" t="s">
        <v>1066</v>
      </c>
      <c r="F106" s="523" t="s">
        <v>5</v>
      </c>
    </row>
    <row r="107">
      <c r="A107" s="523">
        <v>106</v>
      </c>
      <c r="B107" s="523" t="s">
        <v>1091</v>
      </c>
      <c r="C107" s="523" t="s">
        <v>1092</v>
      </c>
      <c r="D107" s="523" t="s">
        <v>1065</v>
      </c>
      <c r="E107" s="523" t="s">
        <v>1066</v>
      </c>
      <c r="F107" s="523" t="s">
        <v>5</v>
      </c>
    </row>
    <row r="108">
      <c r="A108" s="523">
        <v>107</v>
      </c>
      <c r="B108" s="523" t="s">
        <v>1093</v>
      </c>
      <c r="C108" s="523" t="s">
        <v>1094</v>
      </c>
      <c r="D108" s="523" t="s">
        <v>1095</v>
      </c>
      <c r="E108" s="523" t="s">
        <v>1096</v>
      </c>
      <c r="F108" s="523" t="s">
        <v>5</v>
      </c>
    </row>
    <row r="109">
      <c r="A109" s="523">
        <v>108</v>
      </c>
      <c r="B109" s="523" t="s">
        <v>1097</v>
      </c>
      <c r="C109" s="523" t="s">
        <v>1098</v>
      </c>
      <c r="D109" s="523" t="s">
        <v>1095</v>
      </c>
      <c r="E109" s="523" t="s">
        <v>1096</v>
      </c>
      <c r="F109" s="523" t="s">
        <v>5</v>
      </c>
    </row>
    <row r="110">
      <c r="A110" s="523">
        <v>109</v>
      </c>
      <c r="B110" s="523" t="s">
        <v>1099</v>
      </c>
      <c r="C110" s="523" t="s">
        <v>1100</v>
      </c>
      <c r="D110" s="523" t="s">
        <v>1095</v>
      </c>
      <c r="E110" s="523" t="s">
        <v>1096</v>
      </c>
      <c r="F110" s="523" t="s">
        <v>5</v>
      </c>
    </row>
    <row r="111">
      <c r="A111" s="523">
        <v>110</v>
      </c>
      <c r="B111" s="523" t="s">
        <v>1101</v>
      </c>
      <c r="C111" s="523" t="s">
        <v>1102</v>
      </c>
      <c r="D111" s="523" t="s">
        <v>1095</v>
      </c>
      <c r="E111" s="523" t="s">
        <v>1096</v>
      </c>
      <c r="F111" s="523" t="s">
        <v>5</v>
      </c>
    </row>
    <row r="112">
      <c r="A112" s="523">
        <v>111</v>
      </c>
      <c r="B112" s="523" t="s">
        <v>1103</v>
      </c>
      <c r="C112" s="523" t="s">
        <v>1104</v>
      </c>
      <c r="D112" s="523" t="s">
        <v>1095</v>
      </c>
      <c r="E112" s="523" t="s">
        <v>1096</v>
      </c>
      <c r="F112" s="523" t="s">
        <v>5</v>
      </c>
    </row>
    <row r="113">
      <c r="A113" s="523">
        <v>112</v>
      </c>
      <c r="B113" s="523" t="s">
        <v>1105</v>
      </c>
      <c r="C113" s="523" t="s">
        <v>1106</v>
      </c>
      <c r="D113" s="523" t="s">
        <v>1095</v>
      </c>
      <c r="E113" s="523" t="s">
        <v>1096</v>
      </c>
      <c r="F113" s="523" t="s">
        <v>5</v>
      </c>
    </row>
    <row r="114">
      <c r="A114" s="523">
        <v>113</v>
      </c>
      <c r="B114" s="523" t="s">
        <v>1107</v>
      </c>
      <c r="C114" s="523" t="s">
        <v>1108</v>
      </c>
      <c r="D114" s="523" t="s">
        <v>1095</v>
      </c>
      <c r="E114" s="523" t="s">
        <v>1096</v>
      </c>
      <c r="F114" s="523" t="s">
        <v>5</v>
      </c>
    </row>
    <row r="115">
      <c r="A115" s="523">
        <v>114</v>
      </c>
      <c r="B115" s="523" t="s">
        <v>1109</v>
      </c>
      <c r="C115" s="523" t="s">
        <v>1110</v>
      </c>
      <c r="D115" s="523" t="s">
        <v>1095</v>
      </c>
      <c r="E115" s="523" t="s">
        <v>1096</v>
      </c>
      <c r="F115" s="523" t="s">
        <v>5</v>
      </c>
    </row>
    <row r="116">
      <c r="A116" s="523">
        <v>115</v>
      </c>
      <c r="B116" s="523" t="s">
        <v>1111</v>
      </c>
      <c r="C116" s="523" t="s">
        <v>1112</v>
      </c>
      <c r="D116" s="523" t="s">
        <v>1095</v>
      </c>
      <c r="E116" s="523" t="s">
        <v>1096</v>
      </c>
      <c r="F116" s="523" t="s">
        <v>5</v>
      </c>
    </row>
    <row r="117">
      <c r="A117" s="523">
        <v>116</v>
      </c>
      <c r="B117" s="523" t="s">
        <v>1113</v>
      </c>
      <c r="C117" s="523" t="s">
        <v>1114</v>
      </c>
      <c r="D117" s="523" t="s">
        <v>1095</v>
      </c>
      <c r="E117" s="523" t="s">
        <v>1096</v>
      </c>
      <c r="F117" s="523" t="s">
        <v>5</v>
      </c>
    </row>
    <row r="118">
      <c r="A118" s="523">
        <v>117</v>
      </c>
      <c r="B118" s="523" t="s">
        <v>1115</v>
      </c>
      <c r="C118" s="523" t="s">
        <v>1116</v>
      </c>
      <c r="D118" s="523" t="s">
        <v>1095</v>
      </c>
      <c r="E118" s="523" t="s">
        <v>1096</v>
      </c>
      <c r="F118" s="523" t="s">
        <v>5</v>
      </c>
    </row>
    <row r="119">
      <c r="A119" s="523">
        <v>118</v>
      </c>
      <c r="B119" s="523" t="s">
        <v>1117</v>
      </c>
      <c r="C119" s="523" t="s">
        <v>1118</v>
      </c>
      <c r="D119" s="523" t="s">
        <v>1095</v>
      </c>
      <c r="E119" s="523" t="s">
        <v>1096</v>
      </c>
      <c r="F119" s="523" t="s">
        <v>5</v>
      </c>
    </row>
    <row r="120">
      <c r="A120" s="523">
        <v>119</v>
      </c>
      <c r="B120" s="523" t="s">
        <v>1119</v>
      </c>
      <c r="C120" s="523" t="s">
        <v>1120</v>
      </c>
      <c r="D120" s="523" t="s">
        <v>1095</v>
      </c>
      <c r="E120" s="523" t="s">
        <v>1096</v>
      </c>
      <c r="F120" s="523" t="s">
        <v>5</v>
      </c>
    </row>
    <row r="121">
      <c r="A121" s="523">
        <v>120</v>
      </c>
      <c r="B121" s="523" t="s">
        <v>1121</v>
      </c>
      <c r="C121" s="523" t="s">
        <v>1122</v>
      </c>
      <c r="D121" s="523" t="s">
        <v>1095</v>
      </c>
      <c r="E121" s="523" t="s">
        <v>1096</v>
      </c>
      <c r="F121" s="523" t="s">
        <v>5</v>
      </c>
    </row>
    <row r="122">
      <c r="A122" s="523">
        <v>121</v>
      </c>
      <c r="B122" s="523" t="s">
        <v>1123</v>
      </c>
      <c r="C122" s="523" t="s">
        <v>1124</v>
      </c>
      <c r="D122" s="523" t="s">
        <v>1095</v>
      </c>
      <c r="E122" s="523" t="s">
        <v>1096</v>
      </c>
      <c r="F122" s="523" t="s">
        <v>5</v>
      </c>
    </row>
    <row r="123">
      <c r="A123" s="523">
        <v>122</v>
      </c>
      <c r="B123" s="523" t="s">
        <v>1125</v>
      </c>
      <c r="C123" s="523" t="s">
        <v>1126</v>
      </c>
      <c r="D123" s="523" t="s">
        <v>1127</v>
      </c>
      <c r="E123" s="523" t="s">
        <v>1128</v>
      </c>
      <c r="F123" s="523" t="s">
        <v>5</v>
      </c>
    </row>
    <row r="124">
      <c r="A124" s="523">
        <v>123</v>
      </c>
      <c r="B124" s="523" t="s">
        <v>1129</v>
      </c>
      <c r="C124" s="523" t="s">
        <v>1130</v>
      </c>
      <c r="D124" s="523" t="s">
        <v>1127</v>
      </c>
      <c r="E124" s="523" t="s">
        <v>1128</v>
      </c>
      <c r="F124" s="523" t="s">
        <v>5</v>
      </c>
    </row>
    <row r="125">
      <c r="A125" s="523">
        <v>124</v>
      </c>
      <c r="B125" s="523" t="s">
        <v>1131</v>
      </c>
      <c r="C125" s="523" t="s">
        <v>1132</v>
      </c>
      <c r="D125" s="523" t="s">
        <v>1127</v>
      </c>
      <c r="E125" s="523" t="s">
        <v>1128</v>
      </c>
      <c r="F125" s="523" t="s">
        <v>5</v>
      </c>
    </row>
    <row r="126">
      <c r="A126" s="523">
        <v>125</v>
      </c>
      <c r="B126" s="523" t="s">
        <v>1133</v>
      </c>
      <c r="C126" s="523" t="s">
        <v>1134</v>
      </c>
      <c r="D126" s="523" t="s">
        <v>1127</v>
      </c>
      <c r="E126" s="523" t="s">
        <v>1128</v>
      </c>
      <c r="F126" s="523" t="s">
        <v>5</v>
      </c>
    </row>
    <row r="127">
      <c r="A127" s="523">
        <v>126</v>
      </c>
      <c r="B127" s="523" t="s">
        <v>1135</v>
      </c>
      <c r="C127" s="523" t="s">
        <v>1136</v>
      </c>
      <c r="D127" s="523" t="s">
        <v>1127</v>
      </c>
      <c r="E127" s="523" t="s">
        <v>1128</v>
      </c>
      <c r="F127" s="523" t="s">
        <v>5</v>
      </c>
    </row>
    <row r="128">
      <c r="A128" s="523">
        <v>127</v>
      </c>
      <c r="B128" s="523" t="s">
        <v>1137</v>
      </c>
      <c r="C128" s="523" t="s">
        <v>1138</v>
      </c>
      <c r="D128" s="523" t="s">
        <v>1127</v>
      </c>
      <c r="E128" s="523" t="s">
        <v>1128</v>
      </c>
      <c r="F128" s="523" t="s">
        <v>5</v>
      </c>
    </row>
    <row r="129">
      <c r="A129" s="523">
        <v>128</v>
      </c>
      <c r="B129" s="523" t="s">
        <v>1139</v>
      </c>
      <c r="C129" s="523" t="s">
        <v>1140</v>
      </c>
      <c r="D129" s="523" t="s">
        <v>1127</v>
      </c>
      <c r="E129" s="523" t="s">
        <v>1128</v>
      </c>
      <c r="F129" s="523" t="s">
        <v>5</v>
      </c>
    </row>
    <row r="130">
      <c r="A130" s="523">
        <v>129</v>
      </c>
      <c r="B130" s="523" t="s">
        <v>1141</v>
      </c>
      <c r="C130" s="523" t="s">
        <v>1142</v>
      </c>
      <c r="D130" s="523" t="s">
        <v>1143</v>
      </c>
      <c r="E130" s="523" t="s">
        <v>1144</v>
      </c>
      <c r="F130" s="523" t="s">
        <v>5</v>
      </c>
    </row>
    <row r="131">
      <c r="A131" s="523">
        <v>130</v>
      </c>
      <c r="B131" s="523" t="s">
        <v>1145</v>
      </c>
      <c r="C131" s="523" t="s">
        <v>1146</v>
      </c>
      <c r="D131" s="523" t="s">
        <v>1143</v>
      </c>
      <c r="E131" s="523" t="s">
        <v>1144</v>
      </c>
      <c r="F131" s="523" t="s">
        <v>5</v>
      </c>
    </row>
    <row r="132">
      <c r="A132" s="523">
        <v>131</v>
      </c>
      <c r="B132" s="523" t="s">
        <v>1147</v>
      </c>
      <c r="C132" s="523" t="s">
        <v>1148</v>
      </c>
      <c r="D132" s="523" t="s">
        <v>1143</v>
      </c>
      <c r="E132" s="523" t="s">
        <v>1144</v>
      </c>
      <c r="F132" s="523" t="s">
        <v>5</v>
      </c>
    </row>
    <row r="133">
      <c r="A133" s="523">
        <v>132</v>
      </c>
      <c r="B133" s="523" t="s">
        <v>1149</v>
      </c>
      <c r="C133" s="523" t="s">
        <v>1150</v>
      </c>
      <c r="D133" s="523" t="s">
        <v>1143</v>
      </c>
      <c r="E133" s="523" t="s">
        <v>1144</v>
      </c>
      <c r="F133" s="523" t="s">
        <v>5</v>
      </c>
    </row>
    <row r="134">
      <c r="A134" s="523">
        <v>133</v>
      </c>
      <c r="B134" s="523" t="s">
        <v>1151</v>
      </c>
      <c r="C134" s="523" t="s">
        <v>1152</v>
      </c>
      <c r="D134" s="523" t="s">
        <v>1143</v>
      </c>
      <c r="E134" s="523" t="s">
        <v>1144</v>
      </c>
      <c r="F134" s="523" t="s">
        <v>5</v>
      </c>
    </row>
    <row r="135">
      <c r="A135" s="523">
        <v>134</v>
      </c>
      <c r="B135" s="523" t="s">
        <v>1153</v>
      </c>
      <c r="C135" s="523" t="s">
        <v>1154</v>
      </c>
      <c r="D135" s="523" t="s">
        <v>1143</v>
      </c>
      <c r="E135" s="523" t="s">
        <v>1144</v>
      </c>
      <c r="F135" s="523" t="s">
        <v>5</v>
      </c>
    </row>
    <row r="136">
      <c r="A136" s="523">
        <v>135</v>
      </c>
      <c r="B136" s="523" t="s">
        <v>1155</v>
      </c>
      <c r="C136" s="523" t="s">
        <v>1156</v>
      </c>
      <c r="D136" s="523" t="s">
        <v>1143</v>
      </c>
      <c r="E136" s="523" t="s">
        <v>1144</v>
      </c>
      <c r="F136" s="523" t="s">
        <v>5</v>
      </c>
    </row>
    <row r="137">
      <c r="A137" s="523">
        <v>136</v>
      </c>
      <c r="B137" s="523" t="s">
        <v>1157</v>
      </c>
      <c r="C137" s="523" t="s">
        <v>1158</v>
      </c>
      <c r="D137" s="523" t="s">
        <v>1143</v>
      </c>
      <c r="E137" s="523" t="s">
        <v>1144</v>
      </c>
      <c r="F137" s="523" t="s">
        <v>5</v>
      </c>
    </row>
    <row r="138">
      <c r="A138" s="523">
        <v>137</v>
      </c>
      <c r="B138" s="523" t="s">
        <v>1159</v>
      </c>
      <c r="C138" s="523" t="s">
        <v>1160</v>
      </c>
      <c r="D138" s="523" t="s">
        <v>1143</v>
      </c>
      <c r="E138" s="523" t="s">
        <v>1144</v>
      </c>
      <c r="F138" s="523" t="s">
        <v>5</v>
      </c>
    </row>
    <row r="139">
      <c r="A139" s="523">
        <v>138</v>
      </c>
      <c r="B139" s="523" t="s">
        <v>1161</v>
      </c>
      <c r="C139" s="523" t="s">
        <v>1162</v>
      </c>
      <c r="D139" s="523" t="s">
        <v>1143</v>
      </c>
      <c r="E139" s="523" t="s">
        <v>1144</v>
      </c>
      <c r="F139" s="523" t="s">
        <v>5</v>
      </c>
    </row>
    <row r="140">
      <c r="A140" s="523">
        <v>139</v>
      </c>
      <c r="B140" s="523" t="s">
        <v>1163</v>
      </c>
      <c r="C140" s="523" t="s">
        <v>1164</v>
      </c>
      <c r="D140" s="523" t="s">
        <v>1143</v>
      </c>
      <c r="E140" s="523" t="s">
        <v>1144</v>
      </c>
      <c r="F140" s="523" t="s">
        <v>5</v>
      </c>
    </row>
    <row r="141">
      <c r="A141" s="523">
        <v>140</v>
      </c>
      <c r="B141" s="523" t="s">
        <v>1165</v>
      </c>
      <c r="C141" s="523" t="s">
        <v>1166</v>
      </c>
      <c r="D141" s="523" t="s">
        <v>1143</v>
      </c>
      <c r="E141" s="523" t="s">
        <v>1144</v>
      </c>
      <c r="F141" s="523" t="s">
        <v>5</v>
      </c>
    </row>
    <row r="142">
      <c r="A142" s="523">
        <v>141</v>
      </c>
      <c r="B142" s="523" t="s">
        <v>1167</v>
      </c>
      <c r="C142" s="523" t="s">
        <v>1168</v>
      </c>
      <c r="D142" s="523" t="s">
        <v>1143</v>
      </c>
      <c r="E142" s="523" t="s">
        <v>1144</v>
      </c>
      <c r="F142" s="523" t="s">
        <v>5</v>
      </c>
    </row>
    <row r="143">
      <c r="A143" s="523">
        <v>142</v>
      </c>
      <c r="B143" s="523" t="s">
        <v>1169</v>
      </c>
      <c r="C143" s="523" t="s">
        <v>1170</v>
      </c>
      <c r="D143" s="523" t="s">
        <v>1171</v>
      </c>
      <c r="E143" s="523" t="s">
        <v>1172</v>
      </c>
      <c r="F143" s="523" t="s">
        <v>5</v>
      </c>
    </row>
    <row r="144">
      <c r="A144" s="523">
        <v>143</v>
      </c>
      <c r="B144" s="523" t="s">
        <v>1173</v>
      </c>
      <c r="C144" s="523" t="s">
        <v>1174</v>
      </c>
      <c r="D144" s="523" t="s">
        <v>1171</v>
      </c>
      <c r="E144" s="523" t="s">
        <v>1172</v>
      </c>
      <c r="F144" s="523" t="s">
        <v>5</v>
      </c>
    </row>
    <row r="145">
      <c r="A145" s="523">
        <v>144</v>
      </c>
      <c r="B145" s="523" t="s">
        <v>1175</v>
      </c>
      <c r="C145" s="523" t="s">
        <v>1176</v>
      </c>
      <c r="D145" s="523" t="s">
        <v>1171</v>
      </c>
      <c r="E145" s="523" t="s">
        <v>1172</v>
      </c>
      <c r="F145" s="523" t="s">
        <v>5</v>
      </c>
    </row>
    <row r="146">
      <c r="A146" s="523">
        <v>145</v>
      </c>
      <c r="B146" s="523" t="s">
        <v>1177</v>
      </c>
      <c r="C146" s="523" t="s">
        <v>1178</v>
      </c>
      <c r="D146" s="523" t="s">
        <v>1171</v>
      </c>
      <c r="E146" s="523" t="s">
        <v>1172</v>
      </c>
      <c r="F146" s="523" t="s">
        <v>5</v>
      </c>
    </row>
    <row r="147">
      <c r="A147" s="523">
        <v>146</v>
      </c>
      <c r="B147" s="523" t="s">
        <v>1179</v>
      </c>
      <c r="C147" s="523" t="s">
        <v>1180</v>
      </c>
      <c r="D147" s="523" t="s">
        <v>1171</v>
      </c>
      <c r="E147" s="523" t="s">
        <v>1172</v>
      </c>
      <c r="F147" s="523" t="s">
        <v>5</v>
      </c>
    </row>
    <row r="148">
      <c r="A148" s="523">
        <v>147</v>
      </c>
      <c r="B148" s="523" t="s">
        <v>1181</v>
      </c>
      <c r="C148" s="523" t="s">
        <v>1182</v>
      </c>
      <c r="D148" s="523" t="s">
        <v>1171</v>
      </c>
      <c r="E148" s="523" t="s">
        <v>1172</v>
      </c>
      <c r="F148" s="523" t="s">
        <v>5</v>
      </c>
    </row>
    <row r="149">
      <c r="A149" s="523">
        <v>148</v>
      </c>
      <c r="B149" s="523" t="s">
        <v>1183</v>
      </c>
      <c r="C149" s="523" t="s">
        <v>1184</v>
      </c>
      <c r="D149" s="523" t="s">
        <v>1171</v>
      </c>
      <c r="E149" s="523" t="s">
        <v>1172</v>
      </c>
      <c r="F149" s="523" t="s">
        <v>5</v>
      </c>
    </row>
    <row r="150">
      <c r="A150" s="523">
        <v>149</v>
      </c>
      <c r="B150" s="523" t="s">
        <v>1185</v>
      </c>
      <c r="C150" s="523" t="s">
        <v>1186</v>
      </c>
      <c r="D150" s="523" t="s">
        <v>1171</v>
      </c>
      <c r="E150" s="523" t="s">
        <v>1172</v>
      </c>
      <c r="F150" s="523" t="s">
        <v>5</v>
      </c>
    </row>
    <row r="151">
      <c r="A151" s="523">
        <v>150</v>
      </c>
      <c r="B151" s="523" t="s">
        <v>1187</v>
      </c>
      <c r="C151" s="523" t="s">
        <v>1188</v>
      </c>
      <c r="D151" s="523" t="s">
        <v>1171</v>
      </c>
      <c r="E151" s="523" t="s">
        <v>1172</v>
      </c>
      <c r="F151" s="523" t="s">
        <v>5</v>
      </c>
    </row>
    <row r="152">
      <c r="A152" s="523">
        <v>151</v>
      </c>
      <c r="B152" s="523" t="s">
        <v>1189</v>
      </c>
      <c r="C152" s="523" t="s">
        <v>1190</v>
      </c>
      <c r="D152" s="523" t="s">
        <v>1171</v>
      </c>
      <c r="E152" s="523" t="s">
        <v>1172</v>
      </c>
      <c r="F152" s="523" t="s">
        <v>5</v>
      </c>
    </row>
    <row r="153">
      <c r="A153" s="523">
        <v>152</v>
      </c>
      <c r="B153" s="523" t="s">
        <v>1191</v>
      </c>
      <c r="C153" s="523" t="s">
        <v>1192</v>
      </c>
      <c r="D153" s="523" t="s">
        <v>1171</v>
      </c>
      <c r="E153" s="523" t="s">
        <v>1172</v>
      </c>
      <c r="F153" s="523" t="s">
        <v>5</v>
      </c>
    </row>
    <row r="154">
      <c r="A154" s="523">
        <v>153</v>
      </c>
      <c r="B154" s="523" t="s">
        <v>1193</v>
      </c>
      <c r="C154" s="523" t="s">
        <v>1194</v>
      </c>
      <c r="D154" s="523" t="s">
        <v>1171</v>
      </c>
      <c r="E154" s="523" t="s">
        <v>1172</v>
      </c>
      <c r="F154" s="523" t="s">
        <v>5</v>
      </c>
    </row>
    <row r="155">
      <c r="A155" s="523">
        <v>154</v>
      </c>
      <c r="B155" s="523" t="s">
        <v>1195</v>
      </c>
      <c r="C155" s="523" t="s">
        <v>1196</v>
      </c>
      <c r="D155" s="523" t="s">
        <v>1171</v>
      </c>
      <c r="E155" s="523" t="s">
        <v>1172</v>
      </c>
      <c r="F155" s="523" t="s">
        <v>5</v>
      </c>
    </row>
    <row r="156">
      <c r="A156" s="523">
        <v>155</v>
      </c>
      <c r="B156" s="523" t="s">
        <v>1197</v>
      </c>
      <c r="C156" s="523" t="s">
        <v>1198</v>
      </c>
      <c r="D156" s="523" t="s">
        <v>1171</v>
      </c>
      <c r="E156" s="523" t="s">
        <v>1172</v>
      </c>
      <c r="F156" s="523" t="s">
        <v>5</v>
      </c>
    </row>
    <row r="157">
      <c r="A157" s="523">
        <v>156</v>
      </c>
      <c r="B157" s="523" t="s">
        <v>1199</v>
      </c>
      <c r="C157" s="523" t="s">
        <v>906</v>
      </c>
      <c r="D157" s="523" t="s">
        <v>1200</v>
      </c>
      <c r="E157" s="523" t="s">
        <v>1201</v>
      </c>
      <c r="F157" s="523" t="s">
        <v>9</v>
      </c>
    </row>
    <row r="158">
      <c r="A158" s="523">
        <v>157</v>
      </c>
      <c r="B158" s="523" t="s">
        <v>1202</v>
      </c>
      <c r="C158" s="523" t="s">
        <v>1203</v>
      </c>
      <c r="D158" s="523" t="s">
        <v>1200</v>
      </c>
      <c r="E158" s="523" t="s">
        <v>1201</v>
      </c>
      <c r="F158" s="523" t="s">
        <v>9</v>
      </c>
    </row>
    <row r="159">
      <c r="A159" s="523">
        <v>158</v>
      </c>
      <c r="B159" s="523" t="s">
        <v>1204</v>
      </c>
      <c r="C159" s="523" t="s">
        <v>1205</v>
      </c>
      <c r="D159" s="523" t="s">
        <v>1200</v>
      </c>
      <c r="E159" s="523" t="s">
        <v>1201</v>
      </c>
      <c r="F159" s="523" t="s">
        <v>9</v>
      </c>
    </row>
    <row r="160">
      <c r="A160" s="523">
        <v>159</v>
      </c>
      <c r="B160" s="523" t="s">
        <v>1206</v>
      </c>
      <c r="C160" s="523" t="s">
        <v>1207</v>
      </c>
      <c r="D160" s="523" t="s">
        <v>1200</v>
      </c>
      <c r="E160" s="523" t="s">
        <v>1201</v>
      </c>
      <c r="F160" s="523" t="s">
        <v>9</v>
      </c>
    </row>
    <row r="161">
      <c r="A161" s="523">
        <v>160</v>
      </c>
      <c r="B161" s="523" t="s">
        <v>1208</v>
      </c>
      <c r="C161" s="523" t="s">
        <v>1084</v>
      </c>
      <c r="D161" s="523" t="s">
        <v>1200</v>
      </c>
      <c r="E161" s="523" t="s">
        <v>1201</v>
      </c>
      <c r="F161" s="523" t="s">
        <v>9</v>
      </c>
    </row>
    <row r="162">
      <c r="A162" s="523">
        <v>161</v>
      </c>
      <c r="B162" s="523" t="s">
        <v>1209</v>
      </c>
      <c r="C162" s="523" t="s">
        <v>1210</v>
      </c>
      <c r="D162" s="523" t="s">
        <v>1200</v>
      </c>
      <c r="E162" s="523" t="s">
        <v>1201</v>
      </c>
      <c r="F162" s="523" t="s">
        <v>9</v>
      </c>
    </row>
    <row r="163">
      <c r="A163" s="523">
        <v>162</v>
      </c>
      <c r="B163" s="523" t="s">
        <v>1211</v>
      </c>
      <c r="C163" s="523" t="s">
        <v>1212</v>
      </c>
      <c r="D163" s="523" t="s">
        <v>1200</v>
      </c>
      <c r="E163" s="523" t="s">
        <v>1201</v>
      </c>
      <c r="F163" s="523" t="s">
        <v>9</v>
      </c>
    </row>
    <row r="164">
      <c r="A164" s="523">
        <v>163</v>
      </c>
      <c r="B164" s="523" t="s">
        <v>1213</v>
      </c>
      <c r="C164" s="523" t="s">
        <v>1214</v>
      </c>
      <c r="D164" s="523" t="s">
        <v>1200</v>
      </c>
      <c r="E164" s="523" t="s">
        <v>1201</v>
      </c>
      <c r="F164" s="523" t="s">
        <v>9</v>
      </c>
    </row>
    <row r="165">
      <c r="A165" s="523">
        <v>164</v>
      </c>
      <c r="B165" s="523" t="s">
        <v>1215</v>
      </c>
      <c r="C165" s="523" t="s">
        <v>1216</v>
      </c>
      <c r="D165" s="523" t="s">
        <v>1200</v>
      </c>
      <c r="E165" s="523" t="s">
        <v>1201</v>
      </c>
      <c r="F165" s="523" t="s">
        <v>9</v>
      </c>
    </row>
    <row r="166">
      <c r="A166" s="523">
        <v>165</v>
      </c>
      <c r="B166" s="523" t="s">
        <v>1217</v>
      </c>
      <c r="C166" s="523" t="s">
        <v>1218</v>
      </c>
      <c r="D166" s="523" t="s">
        <v>1200</v>
      </c>
      <c r="E166" s="523" t="s">
        <v>1201</v>
      </c>
      <c r="F166" s="523" t="s">
        <v>9</v>
      </c>
    </row>
    <row r="167">
      <c r="A167" s="523">
        <v>166</v>
      </c>
      <c r="B167" s="523" t="s">
        <v>1219</v>
      </c>
      <c r="C167" s="523" t="s">
        <v>1220</v>
      </c>
      <c r="D167" s="523" t="s">
        <v>1221</v>
      </c>
      <c r="E167" s="523" t="s">
        <v>1222</v>
      </c>
      <c r="F167" s="523" t="s">
        <v>9</v>
      </c>
    </row>
    <row r="168">
      <c r="A168" s="523">
        <v>167</v>
      </c>
      <c r="B168" s="523" t="s">
        <v>1223</v>
      </c>
      <c r="C168" s="523" t="s">
        <v>1224</v>
      </c>
      <c r="D168" s="523" t="s">
        <v>1221</v>
      </c>
      <c r="E168" s="523" t="s">
        <v>1222</v>
      </c>
      <c r="F168" s="523" t="s">
        <v>9</v>
      </c>
    </row>
    <row r="169">
      <c r="A169" s="523">
        <v>168</v>
      </c>
      <c r="B169" s="523" t="s">
        <v>1225</v>
      </c>
      <c r="C169" s="523" t="s">
        <v>1226</v>
      </c>
      <c r="D169" s="523" t="s">
        <v>1221</v>
      </c>
      <c r="E169" s="523" t="s">
        <v>1222</v>
      </c>
      <c r="F169" s="523" t="s">
        <v>9</v>
      </c>
    </row>
    <row r="170">
      <c r="A170" s="523">
        <v>169</v>
      </c>
      <c r="B170" s="523" t="s">
        <v>1227</v>
      </c>
      <c r="C170" s="523" t="s">
        <v>1228</v>
      </c>
      <c r="D170" s="523" t="s">
        <v>1221</v>
      </c>
      <c r="E170" s="523" t="s">
        <v>1222</v>
      </c>
      <c r="F170" s="523" t="s">
        <v>9</v>
      </c>
    </row>
    <row r="171">
      <c r="A171" s="523">
        <v>170</v>
      </c>
      <c r="B171" s="523" t="s">
        <v>1229</v>
      </c>
      <c r="C171" s="523" t="s">
        <v>1230</v>
      </c>
      <c r="D171" s="523" t="s">
        <v>1221</v>
      </c>
      <c r="E171" s="523" t="s">
        <v>1222</v>
      </c>
      <c r="F171" s="523" t="s">
        <v>9</v>
      </c>
    </row>
    <row r="172">
      <c r="A172" s="523">
        <v>171</v>
      </c>
      <c r="B172" s="523" t="s">
        <v>1231</v>
      </c>
      <c r="C172" s="523" t="s">
        <v>1232</v>
      </c>
      <c r="D172" s="523" t="s">
        <v>1221</v>
      </c>
      <c r="E172" s="523" t="s">
        <v>1222</v>
      </c>
      <c r="F172" s="523" t="s">
        <v>9</v>
      </c>
    </row>
    <row r="173">
      <c r="A173" s="523">
        <v>172</v>
      </c>
      <c r="B173" s="523" t="s">
        <v>1233</v>
      </c>
      <c r="C173" s="523" t="s">
        <v>1234</v>
      </c>
      <c r="D173" s="523" t="s">
        <v>1221</v>
      </c>
      <c r="E173" s="523" t="s">
        <v>1222</v>
      </c>
      <c r="F173" s="523" t="s">
        <v>9</v>
      </c>
    </row>
    <row r="174">
      <c r="A174" s="523">
        <v>173</v>
      </c>
      <c r="B174" s="523" t="s">
        <v>1235</v>
      </c>
      <c r="C174" s="523" t="s">
        <v>1236</v>
      </c>
      <c r="D174" s="523" t="s">
        <v>1237</v>
      </c>
      <c r="E174" s="523" t="s">
        <v>1238</v>
      </c>
      <c r="F174" s="523" t="s">
        <v>9</v>
      </c>
    </row>
    <row r="175">
      <c r="A175" s="523">
        <v>174</v>
      </c>
      <c r="B175" s="523" t="s">
        <v>1239</v>
      </c>
      <c r="C175" s="523" t="s">
        <v>1240</v>
      </c>
      <c r="D175" s="523" t="s">
        <v>1237</v>
      </c>
      <c r="E175" s="523" t="s">
        <v>1238</v>
      </c>
      <c r="F175" s="523" t="s">
        <v>9</v>
      </c>
    </row>
    <row r="176">
      <c r="A176" s="523">
        <v>175</v>
      </c>
      <c r="B176" s="523" t="s">
        <v>1241</v>
      </c>
      <c r="C176" s="523" t="s">
        <v>1004</v>
      </c>
      <c r="D176" s="523" t="s">
        <v>1237</v>
      </c>
      <c r="E176" s="523" t="s">
        <v>1238</v>
      </c>
      <c r="F176" s="523" t="s">
        <v>9</v>
      </c>
    </row>
    <row r="177">
      <c r="A177" s="523">
        <v>176</v>
      </c>
      <c r="B177" s="523" t="s">
        <v>1242</v>
      </c>
      <c r="C177" s="523" t="s">
        <v>1243</v>
      </c>
      <c r="D177" s="523" t="s">
        <v>1237</v>
      </c>
      <c r="E177" s="523" t="s">
        <v>1238</v>
      </c>
      <c r="F177" s="523" t="s">
        <v>9</v>
      </c>
    </row>
    <row r="178">
      <c r="A178" s="523">
        <v>177</v>
      </c>
      <c r="B178" s="523" t="s">
        <v>1244</v>
      </c>
      <c r="C178" s="523" t="s">
        <v>1245</v>
      </c>
      <c r="D178" s="523" t="s">
        <v>1237</v>
      </c>
      <c r="E178" s="523" t="s">
        <v>1238</v>
      </c>
      <c r="F178" s="523" t="s">
        <v>9</v>
      </c>
    </row>
    <row r="179">
      <c r="A179" s="523">
        <v>178</v>
      </c>
      <c r="B179" s="523" t="s">
        <v>1246</v>
      </c>
      <c r="C179" s="523" t="s">
        <v>1247</v>
      </c>
      <c r="D179" s="523" t="s">
        <v>1237</v>
      </c>
      <c r="E179" s="523" t="s">
        <v>1238</v>
      </c>
      <c r="F179" s="523" t="s">
        <v>9</v>
      </c>
    </row>
    <row r="180">
      <c r="A180" s="523">
        <v>179</v>
      </c>
      <c r="B180" s="523" t="s">
        <v>1248</v>
      </c>
      <c r="C180" s="523" t="s">
        <v>1249</v>
      </c>
      <c r="D180" s="523" t="s">
        <v>1237</v>
      </c>
      <c r="E180" s="523" t="s">
        <v>1238</v>
      </c>
      <c r="F180" s="523" t="s">
        <v>9</v>
      </c>
    </row>
    <row r="181">
      <c r="A181" s="523">
        <v>180</v>
      </c>
      <c r="B181" s="523" t="s">
        <v>1250</v>
      </c>
      <c r="C181" s="523" t="s">
        <v>1251</v>
      </c>
      <c r="D181" s="523" t="s">
        <v>1237</v>
      </c>
      <c r="E181" s="523" t="s">
        <v>1238</v>
      </c>
      <c r="F181" s="523" t="s">
        <v>9</v>
      </c>
    </row>
    <row r="182">
      <c r="A182" s="523">
        <v>181</v>
      </c>
      <c r="B182" s="523" t="s">
        <v>1252</v>
      </c>
      <c r="C182" s="523" t="s">
        <v>1253</v>
      </c>
      <c r="D182" s="523" t="s">
        <v>1237</v>
      </c>
      <c r="E182" s="523" t="s">
        <v>1238</v>
      </c>
      <c r="F182" s="523" t="s">
        <v>9</v>
      </c>
    </row>
    <row r="183">
      <c r="A183" s="523">
        <v>182</v>
      </c>
      <c r="B183" s="523" t="s">
        <v>1254</v>
      </c>
      <c r="C183" s="523" t="s">
        <v>1255</v>
      </c>
      <c r="D183" s="523" t="s">
        <v>1237</v>
      </c>
      <c r="E183" s="523" t="s">
        <v>1238</v>
      </c>
      <c r="F183" s="523" t="s">
        <v>9</v>
      </c>
    </row>
    <row r="184">
      <c r="A184" s="523">
        <v>183</v>
      </c>
      <c r="B184" s="523" t="s">
        <v>1256</v>
      </c>
      <c r="C184" s="523" t="s">
        <v>1257</v>
      </c>
      <c r="D184" s="523" t="s">
        <v>1237</v>
      </c>
      <c r="E184" s="523" t="s">
        <v>1238</v>
      </c>
      <c r="F184" s="523" t="s">
        <v>9</v>
      </c>
    </row>
    <row r="185">
      <c r="A185" s="523">
        <v>184</v>
      </c>
      <c r="B185" s="523" t="s">
        <v>1258</v>
      </c>
      <c r="C185" s="523" t="s">
        <v>1062</v>
      </c>
      <c r="D185" s="523" t="s">
        <v>1237</v>
      </c>
      <c r="E185" s="523" t="s">
        <v>1238</v>
      </c>
      <c r="F185" s="523" t="s">
        <v>9</v>
      </c>
    </row>
    <row r="186">
      <c r="A186" s="523">
        <v>185</v>
      </c>
      <c r="B186" s="523" t="s">
        <v>1259</v>
      </c>
      <c r="C186" s="523" t="s">
        <v>1260</v>
      </c>
      <c r="D186" s="523" t="s">
        <v>1261</v>
      </c>
      <c r="E186" s="523" t="s">
        <v>1262</v>
      </c>
      <c r="F186" s="523" t="s">
        <v>9</v>
      </c>
    </row>
    <row r="187">
      <c r="A187" s="523">
        <v>186</v>
      </c>
      <c r="B187" s="523" t="s">
        <v>1263</v>
      </c>
      <c r="C187" s="523" t="s">
        <v>1036</v>
      </c>
      <c r="D187" s="523" t="s">
        <v>1261</v>
      </c>
      <c r="E187" s="523" t="s">
        <v>1262</v>
      </c>
      <c r="F187" s="523" t="s">
        <v>9</v>
      </c>
    </row>
    <row r="188">
      <c r="A188" s="523">
        <v>187</v>
      </c>
      <c r="B188" s="523" t="s">
        <v>1264</v>
      </c>
      <c r="C188" s="523" t="s">
        <v>1265</v>
      </c>
      <c r="D188" s="523" t="s">
        <v>1261</v>
      </c>
      <c r="E188" s="523" t="s">
        <v>1262</v>
      </c>
      <c r="F188" s="523" t="s">
        <v>9</v>
      </c>
    </row>
    <row r="189">
      <c r="A189" s="523">
        <v>188</v>
      </c>
      <c r="B189" s="523" t="s">
        <v>1266</v>
      </c>
      <c r="C189" s="523" t="s">
        <v>1267</v>
      </c>
      <c r="D189" s="523" t="s">
        <v>1261</v>
      </c>
      <c r="E189" s="523" t="s">
        <v>1262</v>
      </c>
      <c r="F189" s="523" t="s">
        <v>9</v>
      </c>
    </row>
    <row r="190">
      <c r="A190" s="523">
        <v>189</v>
      </c>
      <c r="B190" s="523" t="s">
        <v>1268</v>
      </c>
      <c r="C190" s="523" t="s">
        <v>1269</v>
      </c>
      <c r="D190" s="523" t="s">
        <v>1261</v>
      </c>
      <c r="E190" s="523" t="s">
        <v>1262</v>
      </c>
      <c r="F190" s="523" t="s">
        <v>9</v>
      </c>
    </row>
    <row r="191">
      <c r="A191" s="523">
        <v>190</v>
      </c>
      <c r="B191" s="523" t="s">
        <v>1270</v>
      </c>
      <c r="C191" s="523" t="s">
        <v>1271</v>
      </c>
      <c r="D191" s="523" t="s">
        <v>1261</v>
      </c>
      <c r="E191" s="523" t="s">
        <v>1262</v>
      </c>
      <c r="F191" s="523" t="s">
        <v>9</v>
      </c>
    </row>
    <row r="192">
      <c r="A192" s="523">
        <v>191</v>
      </c>
      <c r="B192" s="523" t="s">
        <v>1272</v>
      </c>
      <c r="C192" s="523" t="s">
        <v>1273</v>
      </c>
      <c r="D192" s="523" t="s">
        <v>1261</v>
      </c>
      <c r="E192" s="523" t="s">
        <v>1262</v>
      </c>
      <c r="F192" s="523" t="s">
        <v>9</v>
      </c>
    </row>
    <row r="193">
      <c r="A193" s="523">
        <v>192</v>
      </c>
      <c r="B193" s="523" t="s">
        <v>1274</v>
      </c>
      <c r="C193" s="523" t="s">
        <v>1275</v>
      </c>
      <c r="D193" s="523" t="s">
        <v>1261</v>
      </c>
      <c r="E193" s="523" t="s">
        <v>1262</v>
      </c>
      <c r="F193" s="523" t="s">
        <v>9</v>
      </c>
    </row>
    <row r="194">
      <c r="A194" s="523">
        <v>193</v>
      </c>
      <c r="B194" s="523" t="s">
        <v>1276</v>
      </c>
      <c r="C194" s="523" t="s">
        <v>1277</v>
      </c>
      <c r="D194" s="523" t="s">
        <v>1261</v>
      </c>
      <c r="E194" s="523" t="s">
        <v>1262</v>
      </c>
      <c r="F194" s="523" t="s">
        <v>9</v>
      </c>
    </row>
    <row r="195">
      <c r="A195" s="523">
        <v>194</v>
      </c>
      <c r="B195" s="523" t="s">
        <v>1278</v>
      </c>
      <c r="C195" s="523" t="s">
        <v>1279</v>
      </c>
      <c r="D195" s="523" t="s">
        <v>1261</v>
      </c>
      <c r="E195" s="523" t="s">
        <v>1262</v>
      </c>
      <c r="F195" s="523" t="s">
        <v>9</v>
      </c>
    </row>
    <row r="196">
      <c r="A196" s="523">
        <v>195</v>
      </c>
      <c r="B196" s="523" t="s">
        <v>1280</v>
      </c>
      <c r="C196" s="523" t="s">
        <v>1196</v>
      </c>
      <c r="D196" s="523" t="s">
        <v>1261</v>
      </c>
      <c r="E196" s="523" t="s">
        <v>1262</v>
      </c>
      <c r="F196" s="523" t="s">
        <v>9</v>
      </c>
    </row>
    <row r="197">
      <c r="A197" s="523">
        <v>196</v>
      </c>
      <c r="B197" s="523" t="s">
        <v>1281</v>
      </c>
      <c r="C197" s="523" t="s">
        <v>1282</v>
      </c>
      <c r="D197" s="523" t="s">
        <v>1283</v>
      </c>
      <c r="E197" s="523" t="s">
        <v>1284</v>
      </c>
      <c r="F197" s="523" t="s">
        <v>9</v>
      </c>
    </row>
    <row r="198">
      <c r="A198" s="523">
        <v>197</v>
      </c>
      <c r="B198" s="523" t="s">
        <v>1285</v>
      </c>
      <c r="C198" s="523" t="s">
        <v>1286</v>
      </c>
      <c r="D198" s="523" t="s">
        <v>1283</v>
      </c>
      <c r="E198" s="523" t="s">
        <v>1284</v>
      </c>
      <c r="F198" s="523" t="s">
        <v>9</v>
      </c>
    </row>
    <row r="199">
      <c r="A199" s="523">
        <v>198</v>
      </c>
      <c r="B199" s="523" t="s">
        <v>1287</v>
      </c>
      <c r="C199" s="523" t="s">
        <v>1288</v>
      </c>
      <c r="D199" s="523" t="s">
        <v>1283</v>
      </c>
      <c r="E199" s="523" t="s">
        <v>1284</v>
      </c>
      <c r="F199" s="523" t="s">
        <v>9</v>
      </c>
    </row>
    <row r="200">
      <c r="A200" s="523">
        <v>199</v>
      </c>
      <c r="B200" s="523" t="s">
        <v>1289</v>
      </c>
      <c r="C200" s="523" t="s">
        <v>1290</v>
      </c>
      <c r="D200" s="523" t="s">
        <v>1283</v>
      </c>
      <c r="E200" s="523" t="s">
        <v>1284</v>
      </c>
      <c r="F200" s="523" t="s">
        <v>9</v>
      </c>
    </row>
    <row r="201">
      <c r="A201" s="523">
        <v>200</v>
      </c>
      <c r="B201" s="523" t="s">
        <v>1291</v>
      </c>
      <c r="C201" s="523" t="s">
        <v>1292</v>
      </c>
      <c r="D201" s="523" t="s">
        <v>1283</v>
      </c>
      <c r="E201" s="523" t="s">
        <v>1284</v>
      </c>
      <c r="F201" s="523" t="s">
        <v>9</v>
      </c>
    </row>
    <row r="202">
      <c r="A202" s="523">
        <v>201</v>
      </c>
      <c r="B202" s="523" t="s">
        <v>1293</v>
      </c>
      <c r="C202" s="523" t="s">
        <v>1294</v>
      </c>
      <c r="D202" s="523" t="s">
        <v>1283</v>
      </c>
      <c r="E202" s="523" t="s">
        <v>1284</v>
      </c>
      <c r="F202" s="523" t="s">
        <v>9</v>
      </c>
    </row>
    <row r="203">
      <c r="A203" s="523">
        <v>202</v>
      </c>
      <c r="B203" s="523" t="s">
        <v>1295</v>
      </c>
      <c r="C203" s="523" t="s">
        <v>1296</v>
      </c>
      <c r="D203" s="523" t="s">
        <v>1283</v>
      </c>
      <c r="E203" s="523" t="s">
        <v>1284</v>
      </c>
      <c r="F203" s="523" t="s">
        <v>9</v>
      </c>
    </row>
    <row r="204">
      <c r="A204" s="523">
        <v>203</v>
      </c>
      <c r="B204" s="523" t="s">
        <v>1297</v>
      </c>
      <c r="C204" s="523" t="s">
        <v>1298</v>
      </c>
      <c r="D204" s="523" t="s">
        <v>1283</v>
      </c>
      <c r="E204" s="523" t="s">
        <v>1284</v>
      </c>
      <c r="F204" s="523" t="s">
        <v>9</v>
      </c>
    </row>
    <row r="205">
      <c r="A205" s="523">
        <v>204</v>
      </c>
      <c r="B205" s="523" t="s">
        <v>1299</v>
      </c>
      <c r="C205" s="523" t="s">
        <v>1300</v>
      </c>
      <c r="D205" s="523" t="s">
        <v>1283</v>
      </c>
      <c r="E205" s="523" t="s">
        <v>1284</v>
      </c>
      <c r="F205" s="523" t="s">
        <v>9</v>
      </c>
    </row>
    <row r="206">
      <c r="A206" s="523">
        <v>205</v>
      </c>
      <c r="B206" s="523" t="s">
        <v>1301</v>
      </c>
      <c r="C206" s="523" t="s">
        <v>1302</v>
      </c>
      <c r="D206" s="523" t="s">
        <v>1283</v>
      </c>
      <c r="E206" s="523" t="s">
        <v>1284</v>
      </c>
      <c r="F206" s="523" t="s">
        <v>9</v>
      </c>
    </row>
    <row r="207">
      <c r="A207" s="523">
        <v>206</v>
      </c>
      <c r="B207" s="523" t="s">
        <v>1303</v>
      </c>
      <c r="C207" s="523" t="s">
        <v>1304</v>
      </c>
      <c r="D207" s="523" t="s">
        <v>1283</v>
      </c>
      <c r="E207" s="523" t="s">
        <v>1284</v>
      </c>
      <c r="F207" s="523" t="s">
        <v>9</v>
      </c>
    </row>
    <row r="208">
      <c r="A208" s="523">
        <v>207</v>
      </c>
      <c r="B208" s="523" t="s">
        <v>1305</v>
      </c>
      <c r="C208" s="523" t="s">
        <v>1306</v>
      </c>
      <c r="D208" s="523" t="s">
        <v>1283</v>
      </c>
      <c r="E208" s="523" t="s">
        <v>1284</v>
      </c>
      <c r="F208" s="523" t="s">
        <v>9</v>
      </c>
    </row>
    <row r="209">
      <c r="A209" s="523">
        <v>208</v>
      </c>
      <c r="B209" s="523" t="s">
        <v>1307</v>
      </c>
      <c r="C209" s="523" t="s">
        <v>1308</v>
      </c>
      <c r="D209" s="523" t="s">
        <v>1283</v>
      </c>
      <c r="E209" s="523" t="s">
        <v>1284</v>
      </c>
      <c r="F209" s="523" t="s">
        <v>9</v>
      </c>
    </row>
    <row r="210">
      <c r="A210" s="523">
        <v>209</v>
      </c>
      <c r="B210" s="523" t="s">
        <v>1309</v>
      </c>
      <c r="C210" s="523" t="s">
        <v>1310</v>
      </c>
      <c r="D210" s="523" t="s">
        <v>1283</v>
      </c>
      <c r="E210" s="523" t="s">
        <v>1284</v>
      </c>
      <c r="F210" s="523" t="s">
        <v>9</v>
      </c>
    </row>
    <row r="211">
      <c r="A211" s="523">
        <v>210</v>
      </c>
      <c r="B211" s="523" t="s">
        <v>1311</v>
      </c>
      <c r="C211" s="523" t="s">
        <v>1312</v>
      </c>
      <c r="D211" s="523" t="s">
        <v>1313</v>
      </c>
      <c r="E211" s="523" t="s">
        <v>1314</v>
      </c>
      <c r="F211" s="523" t="s">
        <v>9</v>
      </c>
    </row>
    <row r="212">
      <c r="A212" s="523">
        <v>211</v>
      </c>
      <c r="B212" s="523" t="s">
        <v>1315</v>
      </c>
      <c r="C212" s="523" t="s">
        <v>1316</v>
      </c>
      <c r="D212" s="523" t="s">
        <v>1313</v>
      </c>
      <c r="E212" s="523" t="s">
        <v>1314</v>
      </c>
      <c r="F212" s="523" t="s">
        <v>9</v>
      </c>
    </row>
    <row r="213">
      <c r="A213" s="523">
        <v>212</v>
      </c>
      <c r="B213" s="523" t="s">
        <v>1317</v>
      </c>
      <c r="C213" s="523" t="s">
        <v>1154</v>
      </c>
      <c r="D213" s="523" t="s">
        <v>1313</v>
      </c>
      <c r="E213" s="523" t="s">
        <v>1314</v>
      </c>
      <c r="F213" s="523" t="s">
        <v>9</v>
      </c>
    </row>
    <row r="214">
      <c r="A214" s="523">
        <v>213</v>
      </c>
      <c r="B214" s="523" t="s">
        <v>1318</v>
      </c>
      <c r="C214" s="523" t="s">
        <v>1319</v>
      </c>
      <c r="D214" s="523" t="s">
        <v>1313</v>
      </c>
      <c r="E214" s="523" t="s">
        <v>1314</v>
      </c>
      <c r="F214" s="523" t="s">
        <v>9</v>
      </c>
    </row>
    <row r="215">
      <c r="A215" s="523">
        <v>214</v>
      </c>
      <c r="B215" s="523" t="s">
        <v>1320</v>
      </c>
      <c r="C215" s="523" t="s">
        <v>1321</v>
      </c>
      <c r="D215" s="523" t="s">
        <v>1313</v>
      </c>
      <c r="E215" s="523" t="s">
        <v>1314</v>
      </c>
      <c r="F215" s="523" t="s">
        <v>9</v>
      </c>
    </row>
    <row r="216">
      <c r="A216" s="523">
        <v>215</v>
      </c>
      <c r="B216" s="523" t="s">
        <v>1322</v>
      </c>
      <c r="C216" s="523" t="s">
        <v>1323</v>
      </c>
      <c r="D216" s="523" t="s">
        <v>1313</v>
      </c>
      <c r="E216" s="523" t="s">
        <v>1314</v>
      </c>
      <c r="F216" s="523" t="s">
        <v>9</v>
      </c>
    </row>
    <row r="217">
      <c r="A217" s="523">
        <v>216</v>
      </c>
      <c r="B217" s="523" t="s">
        <v>1324</v>
      </c>
      <c r="C217" s="523" t="s">
        <v>1325</v>
      </c>
      <c r="D217" s="523" t="s">
        <v>1313</v>
      </c>
      <c r="E217" s="523" t="s">
        <v>1314</v>
      </c>
      <c r="F217" s="523" t="s">
        <v>9</v>
      </c>
    </row>
    <row r="218">
      <c r="A218" s="523">
        <v>217</v>
      </c>
      <c r="B218" s="523" t="s">
        <v>1326</v>
      </c>
      <c r="C218" s="523" t="s">
        <v>1006</v>
      </c>
      <c r="D218" s="523" t="s">
        <v>1313</v>
      </c>
      <c r="E218" s="523" t="s">
        <v>1314</v>
      </c>
      <c r="F218" s="523" t="s">
        <v>9</v>
      </c>
    </row>
    <row r="219">
      <c r="A219" s="523">
        <v>218</v>
      </c>
      <c r="B219" s="523" t="s">
        <v>1327</v>
      </c>
      <c r="C219" s="523" t="s">
        <v>1328</v>
      </c>
      <c r="D219" s="523" t="s">
        <v>1329</v>
      </c>
      <c r="E219" s="523" t="s">
        <v>1330</v>
      </c>
      <c r="F219" s="523" t="s">
        <v>9</v>
      </c>
    </row>
    <row r="220">
      <c r="A220" s="523">
        <v>219</v>
      </c>
      <c r="B220" s="523" t="s">
        <v>1331</v>
      </c>
      <c r="C220" s="523" t="s">
        <v>1332</v>
      </c>
      <c r="D220" s="523" t="s">
        <v>1329</v>
      </c>
      <c r="E220" s="523" t="s">
        <v>1330</v>
      </c>
      <c r="F220" s="523" t="s">
        <v>9</v>
      </c>
    </row>
    <row r="221">
      <c r="A221" s="523">
        <v>220</v>
      </c>
      <c r="B221" s="523" t="s">
        <v>1333</v>
      </c>
      <c r="C221" s="523" t="s">
        <v>1334</v>
      </c>
      <c r="D221" s="523" t="s">
        <v>1329</v>
      </c>
      <c r="E221" s="523" t="s">
        <v>1330</v>
      </c>
      <c r="F221" s="523" t="s">
        <v>9</v>
      </c>
    </row>
    <row r="222">
      <c r="A222" s="523">
        <v>221</v>
      </c>
      <c r="B222" s="523" t="s">
        <v>1335</v>
      </c>
      <c r="C222" s="523" t="s">
        <v>1336</v>
      </c>
      <c r="D222" s="523" t="s">
        <v>1329</v>
      </c>
      <c r="E222" s="523" t="s">
        <v>1330</v>
      </c>
      <c r="F222" s="523" t="s">
        <v>9</v>
      </c>
    </row>
    <row r="223">
      <c r="A223" s="523">
        <v>222</v>
      </c>
      <c r="B223" s="523" t="s">
        <v>1337</v>
      </c>
      <c r="C223" s="523" t="s">
        <v>1338</v>
      </c>
      <c r="D223" s="523" t="s">
        <v>1329</v>
      </c>
      <c r="E223" s="523" t="s">
        <v>1330</v>
      </c>
      <c r="F223" s="523" t="s">
        <v>9</v>
      </c>
    </row>
    <row r="224">
      <c r="A224" s="523">
        <v>223</v>
      </c>
      <c r="B224" s="523" t="s">
        <v>1339</v>
      </c>
      <c r="C224" s="523" t="s">
        <v>1340</v>
      </c>
      <c r="D224" s="523" t="s">
        <v>1329</v>
      </c>
      <c r="E224" s="523" t="s">
        <v>1330</v>
      </c>
      <c r="F224" s="523" t="s">
        <v>9</v>
      </c>
    </row>
    <row r="225">
      <c r="A225" s="523">
        <v>224</v>
      </c>
      <c r="B225" s="523" t="s">
        <v>1341</v>
      </c>
      <c r="C225" s="523" t="s">
        <v>1342</v>
      </c>
      <c r="D225" s="523" t="s">
        <v>1329</v>
      </c>
      <c r="E225" s="523" t="s">
        <v>1330</v>
      </c>
      <c r="F225" s="523" t="s">
        <v>9</v>
      </c>
    </row>
    <row r="226">
      <c r="A226" s="523">
        <v>225</v>
      </c>
      <c r="B226" s="523" t="s">
        <v>1343</v>
      </c>
      <c r="C226" s="523" t="s">
        <v>1344</v>
      </c>
      <c r="D226" s="523" t="s">
        <v>1345</v>
      </c>
      <c r="E226" s="523" t="s">
        <v>1346</v>
      </c>
      <c r="F226" s="523" t="s">
        <v>9</v>
      </c>
    </row>
    <row r="227">
      <c r="A227" s="523">
        <v>226</v>
      </c>
      <c r="B227" s="523" t="s">
        <v>1347</v>
      </c>
      <c r="C227" s="523" t="s">
        <v>1348</v>
      </c>
      <c r="D227" s="523" t="s">
        <v>1345</v>
      </c>
      <c r="E227" s="523" t="s">
        <v>1346</v>
      </c>
      <c r="F227" s="523" t="s">
        <v>9</v>
      </c>
    </row>
    <row r="228">
      <c r="A228" s="523">
        <v>227</v>
      </c>
      <c r="B228" s="523" t="s">
        <v>1349</v>
      </c>
      <c r="C228" s="523" t="s">
        <v>1350</v>
      </c>
      <c r="D228" s="523" t="s">
        <v>1345</v>
      </c>
      <c r="E228" s="523" t="s">
        <v>1346</v>
      </c>
      <c r="F228" s="523" t="s">
        <v>9</v>
      </c>
    </row>
    <row r="229">
      <c r="A229" s="523">
        <v>228</v>
      </c>
      <c r="B229" s="523" t="s">
        <v>1351</v>
      </c>
      <c r="C229" s="523" t="s">
        <v>1352</v>
      </c>
      <c r="D229" s="523" t="s">
        <v>1345</v>
      </c>
      <c r="E229" s="523" t="s">
        <v>1346</v>
      </c>
      <c r="F229" s="523" t="s">
        <v>9</v>
      </c>
    </row>
    <row r="230">
      <c r="A230" s="523">
        <v>229</v>
      </c>
      <c r="B230" s="523" t="s">
        <v>1353</v>
      </c>
      <c r="C230" s="523" t="s">
        <v>1354</v>
      </c>
      <c r="D230" s="523" t="s">
        <v>1345</v>
      </c>
      <c r="E230" s="523" t="s">
        <v>1346</v>
      </c>
      <c r="F230" s="523" t="s">
        <v>9</v>
      </c>
    </row>
    <row r="231">
      <c r="A231" s="523">
        <v>230</v>
      </c>
      <c r="B231" s="523" t="s">
        <v>1355</v>
      </c>
      <c r="C231" s="523" t="s">
        <v>1356</v>
      </c>
      <c r="D231" s="523" t="s">
        <v>1345</v>
      </c>
      <c r="E231" s="523" t="s">
        <v>1346</v>
      </c>
      <c r="F231" s="523" t="s">
        <v>9</v>
      </c>
    </row>
    <row r="232">
      <c r="A232" s="523">
        <v>231</v>
      </c>
      <c r="B232" s="523" t="s">
        <v>1357</v>
      </c>
      <c r="C232" s="523" t="s">
        <v>1358</v>
      </c>
      <c r="D232" s="523" t="s">
        <v>1345</v>
      </c>
      <c r="E232" s="523" t="s">
        <v>1346</v>
      </c>
      <c r="F232" s="523" t="s">
        <v>9</v>
      </c>
    </row>
    <row r="233">
      <c r="A233" s="523">
        <v>232</v>
      </c>
      <c r="B233" s="523" t="s">
        <v>1359</v>
      </c>
      <c r="C233" s="523" t="s">
        <v>1360</v>
      </c>
      <c r="D233" s="523" t="s">
        <v>1345</v>
      </c>
      <c r="E233" s="523" t="s">
        <v>1346</v>
      </c>
      <c r="F233" s="523" t="s">
        <v>9</v>
      </c>
    </row>
    <row r="234">
      <c r="A234" s="523">
        <v>233</v>
      </c>
      <c r="B234" s="523" t="s">
        <v>1361</v>
      </c>
      <c r="C234" s="523" t="s">
        <v>1362</v>
      </c>
      <c r="D234" s="523" t="s">
        <v>1345</v>
      </c>
      <c r="E234" s="523" t="s">
        <v>1346</v>
      </c>
      <c r="F234" s="523" t="s">
        <v>9</v>
      </c>
    </row>
    <row r="235">
      <c r="A235" s="523">
        <v>234</v>
      </c>
      <c r="B235" s="523" t="s">
        <v>1363</v>
      </c>
      <c r="C235" s="523" t="s">
        <v>1364</v>
      </c>
      <c r="D235" s="523" t="s">
        <v>1345</v>
      </c>
      <c r="E235" s="523" t="s">
        <v>1346</v>
      </c>
      <c r="F235" s="523" t="s">
        <v>9</v>
      </c>
    </row>
    <row r="236">
      <c r="A236" s="523">
        <v>235</v>
      </c>
      <c r="B236" s="523" t="s">
        <v>1365</v>
      </c>
      <c r="C236" s="523" t="s">
        <v>1366</v>
      </c>
      <c r="D236" s="523" t="s">
        <v>1345</v>
      </c>
      <c r="E236" s="523" t="s">
        <v>1346</v>
      </c>
      <c r="F236" s="523" t="s">
        <v>9</v>
      </c>
    </row>
    <row r="237">
      <c r="A237" s="523">
        <v>236</v>
      </c>
      <c r="B237" s="523" t="s">
        <v>1367</v>
      </c>
      <c r="C237" s="523" t="s">
        <v>1368</v>
      </c>
      <c r="D237" s="523" t="s">
        <v>1345</v>
      </c>
      <c r="E237" s="523" t="s">
        <v>1346</v>
      </c>
      <c r="F237" s="523" t="s">
        <v>9</v>
      </c>
    </row>
    <row r="238">
      <c r="A238" s="523">
        <v>237</v>
      </c>
      <c r="B238" s="523" t="s">
        <v>1369</v>
      </c>
      <c r="C238" s="523" t="s">
        <v>1370</v>
      </c>
      <c r="D238" s="523" t="s">
        <v>1371</v>
      </c>
      <c r="E238" s="523" t="s">
        <v>1372</v>
      </c>
      <c r="F238" s="523" t="s">
        <v>9</v>
      </c>
    </row>
    <row r="239">
      <c r="A239" s="523">
        <v>238</v>
      </c>
      <c r="B239" s="523" t="s">
        <v>1373</v>
      </c>
      <c r="C239" s="523" t="s">
        <v>1374</v>
      </c>
      <c r="D239" s="523" t="s">
        <v>1371</v>
      </c>
      <c r="E239" s="523" t="s">
        <v>1372</v>
      </c>
      <c r="F239" s="523" t="s">
        <v>9</v>
      </c>
    </row>
    <row r="240">
      <c r="A240" s="523">
        <v>239</v>
      </c>
      <c r="B240" s="523" t="s">
        <v>1375</v>
      </c>
      <c r="C240" s="523" t="s">
        <v>1376</v>
      </c>
      <c r="D240" s="523" t="s">
        <v>1371</v>
      </c>
      <c r="E240" s="523" t="s">
        <v>1372</v>
      </c>
      <c r="F240" s="523" t="s">
        <v>9</v>
      </c>
    </row>
    <row r="241">
      <c r="A241" s="523">
        <v>240</v>
      </c>
      <c r="B241" s="523" t="s">
        <v>1377</v>
      </c>
      <c r="C241" s="523" t="s">
        <v>1378</v>
      </c>
      <c r="D241" s="523" t="s">
        <v>1371</v>
      </c>
      <c r="E241" s="523" t="s">
        <v>1372</v>
      </c>
      <c r="F241" s="523" t="s">
        <v>9</v>
      </c>
    </row>
    <row r="242">
      <c r="A242" s="523">
        <v>241</v>
      </c>
      <c r="B242" s="523" t="s">
        <v>1379</v>
      </c>
      <c r="C242" s="523" t="s">
        <v>1380</v>
      </c>
      <c r="D242" s="523" t="s">
        <v>1371</v>
      </c>
      <c r="E242" s="523" t="s">
        <v>1372</v>
      </c>
      <c r="F242" s="523" t="s">
        <v>9</v>
      </c>
    </row>
    <row r="243">
      <c r="A243" s="523">
        <v>242</v>
      </c>
      <c r="B243" s="523" t="s">
        <v>1381</v>
      </c>
      <c r="C243" s="523" t="s">
        <v>1382</v>
      </c>
      <c r="D243" s="523" t="s">
        <v>1371</v>
      </c>
      <c r="E243" s="523" t="s">
        <v>1372</v>
      </c>
      <c r="F243" s="523" t="s">
        <v>9</v>
      </c>
    </row>
    <row r="244">
      <c r="A244" s="523">
        <v>243</v>
      </c>
      <c r="B244" s="523" t="s">
        <v>1383</v>
      </c>
      <c r="C244" s="523" t="s">
        <v>1384</v>
      </c>
      <c r="D244" s="523" t="s">
        <v>1371</v>
      </c>
      <c r="E244" s="523" t="s">
        <v>1372</v>
      </c>
      <c r="F244" s="523" t="s">
        <v>9</v>
      </c>
    </row>
    <row r="245">
      <c r="A245" s="523">
        <v>244</v>
      </c>
      <c r="B245" s="523" t="s">
        <v>1385</v>
      </c>
      <c r="C245" s="523" t="s">
        <v>1386</v>
      </c>
      <c r="D245" s="523" t="s">
        <v>1371</v>
      </c>
      <c r="E245" s="523" t="s">
        <v>1372</v>
      </c>
      <c r="F245" s="523" t="s">
        <v>9</v>
      </c>
    </row>
    <row r="246">
      <c r="A246" s="523">
        <v>245</v>
      </c>
      <c r="B246" s="523" t="s">
        <v>1387</v>
      </c>
      <c r="C246" s="523" t="s">
        <v>1388</v>
      </c>
      <c r="D246" s="523" t="s">
        <v>1371</v>
      </c>
      <c r="E246" s="523" t="s">
        <v>1372</v>
      </c>
      <c r="F246" s="523" t="s">
        <v>9</v>
      </c>
    </row>
    <row r="247">
      <c r="A247" s="523">
        <v>246</v>
      </c>
      <c r="B247" s="523" t="s">
        <v>1389</v>
      </c>
      <c r="C247" s="523" t="s">
        <v>1390</v>
      </c>
      <c r="D247" s="523" t="s">
        <v>1371</v>
      </c>
      <c r="E247" s="523" t="s">
        <v>1372</v>
      </c>
      <c r="F247" s="523" t="s">
        <v>9</v>
      </c>
    </row>
    <row r="248">
      <c r="A248" s="523">
        <v>247</v>
      </c>
      <c r="B248" s="523" t="s">
        <v>1391</v>
      </c>
      <c r="C248" s="523" t="s">
        <v>1392</v>
      </c>
      <c r="D248" s="523" t="s">
        <v>1393</v>
      </c>
      <c r="E248" s="523" t="s">
        <v>1394</v>
      </c>
      <c r="F248" s="523" t="s">
        <v>12</v>
      </c>
    </row>
    <row r="249">
      <c r="A249" s="523">
        <v>248</v>
      </c>
      <c r="B249" s="523" t="s">
        <v>1395</v>
      </c>
      <c r="C249" s="523" t="s">
        <v>1396</v>
      </c>
      <c r="D249" s="523" t="s">
        <v>1393</v>
      </c>
      <c r="E249" s="523" t="s">
        <v>1394</v>
      </c>
      <c r="F249" s="523" t="s">
        <v>12</v>
      </c>
    </row>
    <row r="250">
      <c r="A250" s="523">
        <v>249</v>
      </c>
      <c r="B250" s="523" t="s">
        <v>1397</v>
      </c>
      <c r="C250" s="523" t="s">
        <v>944</v>
      </c>
      <c r="D250" s="523" t="s">
        <v>1393</v>
      </c>
      <c r="E250" s="523" t="s">
        <v>1394</v>
      </c>
      <c r="F250" s="523" t="s">
        <v>12</v>
      </c>
    </row>
    <row r="251">
      <c r="A251" s="523">
        <v>250</v>
      </c>
      <c r="B251" s="523" t="s">
        <v>1398</v>
      </c>
      <c r="C251" s="523" t="s">
        <v>888</v>
      </c>
      <c r="D251" s="523" t="s">
        <v>1393</v>
      </c>
      <c r="E251" s="523" t="s">
        <v>1394</v>
      </c>
      <c r="F251" s="523" t="s">
        <v>12</v>
      </c>
    </row>
    <row r="252">
      <c r="A252" s="523">
        <v>251</v>
      </c>
      <c r="B252" s="523" t="s">
        <v>1399</v>
      </c>
      <c r="C252" s="523" t="s">
        <v>1400</v>
      </c>
      <c r="D252" s="523" t="s">
        <v>1393</v>
      </c>
      <c r="E252" s="523" t="s">
        <v>1394</v>
      </c>
      <c r="F252" s="523" t="s">
        <v>12</v>
      </c>
    </row>
    <row r="253">
      <c r="A253" s="523">
        <v>252</v>
      </c>
      <c r="B253" s="523" t="s">
        <v>1401</v>
      </c>
      <c r="C253" s="523" t="s">
        <v>1402</v>
      </c>
      <c r="D253" s="523" t="s">
        <v>1393</v>
      </c>
      <c r="E253" s="523" t="s">
        <v>1394</v>
      </c>
      <c r="F253" s="523" t="s">
        <v>12</v>
      </c>
    </row>
    <row r="254">
      <c r="A254" s="523">
        <v>253</v>
      </c>
      <c r="B254" s="523" t="s">
        <v>1403</v>
      </c>
      <c r="C254" s="523" t="s">
        <v>1404</v>
      </c>
      <c r="D254" s="523" t="s">
        <v>1393</v>
      </c>
      <c r="E254" s="523" t="s">
        <v>1394</v>
      </c>
      <c r="F254" s="523" t="s">
        <v>12</v>
      </c>
    </row>
    <row r="255">
      <c r="A255" s="523">
        <v>254</v>
      </c>
      <c r="B255" s="523" t="s">
        <v>1405</v>
      </c>
      <c r="C255" s="523" t="s">
        <v>1406</v>
      </c>
      <c r="D255" s="523" t="s">
        <v>1393</v>
      </c>
      <c r="E255" s="523" t="s">
        <v>1394</v>
      </c>
      <c r="F255" s="523" t="s">
        <v>12</v>
      </c>
    </row>
    <row r="256">
      <c r="A256" s="523">
        <v>255</v>
      </c>
      <c r="B256" s="523" t="s">
        <v>1407</v>
      </c>
      <c r="C256" s="523" t="s">
        <v>1408</v>
      </c>
      <c r="D256" s="523" t="s">
        <v>1409</v>
      </c>
      <c r="E256" s="523" t="s">
        <v>1410</v>
      </c>
      <c r="F256" s="523" t="s">
        <v>12</v>
      </c>
    </row>
    <row r="257">
      <c r="A257" s="523">
        <v>256</v>
      </c>
      <c r="B257" s="523" t="s">
        <v>1411</v>
      </c>
      <c r="C257" s="523" t="s">
        <v>1412</v>
      </c>
      <c r="D257" s="523" t="s">
        <v>1409</v>
      </c>
      <c r="E257" s="523" t="s">
        <v>1410</v>
      </c>
      <c r="F257" s="523" t="s">
        <v>12</v>
      </c>
    </row>
    <row r="258">
      <c r="A258" s="523">
        <v>257</v>
      </c>
      <c r="B258" s="523" t="s">
        <v>1413</v>
      </c>
      <c r="C258" s="523" t="s">
        <v>1414</v>
      </c>
      <c r="D258" s="523" t="s">
        <v>1409</v>
      </c>
      <c r="E258" s="523" t="s">
        <v>1410</v>
      </c>
      <c r="F258" s="523" t="s">
        <v>12</v>
      </c>
    </row>
    <row r="259">
      <c r="A259" s="523">
        <v>258</v>
      </c>
      <c r="B259" s="523" t="s">
        <v>1415</v>
      </c>
      <c r="C259" s="523" t="s">
        <v>1416</v>
      </c>
      <c r="D259" s="523" t="s">
        <v>1409</v>
      </c>
      <c r="E259" s="523" t="s">
        <v>1410</v>
      </c>
      <c r="F259" s="523" t="s">
        <v>12</v>
      </c>
    </row>
    <row r="260">
      <c r="A260" s="523">
        <v>259</v>
      </c>
      <c r="B260" s="523" t="s">
        <v>1417</v>
      </c>
      <c r="C260" s="523" t="s">
        <v>1418</v>
      </c>
      <c r="D260" s="523" t="s">
        <v>1409</v>
      </c>
      <c r="E260" s="523" t="s">
        <v>1410</v>
      </c>
      <c r="F260" s="523" t="s">
        <v>12</v>
      </c>
    </row>
    <row r="261">
      <c r="A261" s="523">
        <v>260</v>
      </c>
      <c r="B261" s="523" t="s">
        <v>1419</v>
      </c>
      <c r="C261" s="523" t="s">
        <v>1420</v>
      </c>
      <c r="D261" s="523" t="s">
        <v>1409</v>
      </c>
      <c r="E261" s="523" t="s">
        <v>1410</v>
      </c>
      <c r="F261" s="523" t="s">
        <v>12</v>
      </c>
    </row>
    <row r="262">
      <c r="A262" s="523">
        <v>261</v>
      </c>
      <c r="B262" s="523" t="s">
        <v>1421</v>
      </c>
      <c r="C262" s="523" t="s">
        <v>1422</v>
      </c>
      <c r="D262" s="523" t="s">
        <v>1409</v>
      </c>
      <c r="E262" s="523" t="s">
        <v>1410</v>
      </c>
      <c r="F262" s="523" t="s">
        <v>12</v>
      </c>
    </row>
    <row r="263">
      <c r="A263" s="523">
        <v>262</v>
      </c>
      <c r="B263" s="523" t="s">
        <v>1423</v>
      </c>
      <c r="C263" s="523" t="s">
        <v>892</v>
      </c>
      <c r="D263" s="523" t="s">
        <v>1409</v>
      </c>
      <c r="E263" s="523" t="s">
        <v>1410</v>
      </c>
      <c r="F263" s="523" t="s">
        <v>12</v>
      </c>
    </row>
    <row r="264">
      <c r="A264" s="523">
        <v>263</v>
      </c>
      <c r="B264" s="523" t="s">
        <v>1424</v>
      </c>
      <c r="C264" s="523" t="s">
        <v>1425</v>
      </c>
      <c r="D264" s="523" t="s">
        <v>1409</v>
      </c>
      <c r="E264" s="523" t="s">
        <v>1410</v>
      </c>
      <c r="F264" s="523" t="s">
        <v>12</v>
      </c>
    </row>
    <row r="265">
      <c r="A265" s="523">
        <v>264</v>
      </c>
      <c r="B265" s="523" t="s">
        <v>1426</v>
      </c>
      <c r="C265" s="523" t="s">
        <v>1427</v>
      </c>
      <c r="D265" s="523" t="s">
        <v>1428</v>
      </c>
      <c r="E265" s="523" t="s">
        <v>1429</v>
      </c>
      <c r="F265" s="523" t="s">
        <v>12</v>
      </c>
    </row>
    <row r="266">
      <c r="A266" s="523">
        <v>265</v>
      </c>
      <c r="B266" s="523" t="s">
        <v>1430</v>
      </c>
      <c r="C266" s="523" t="s">
        <v>1431</v>
      </c>
      <c r="D266" s="523" t="s">
        <v>1428</v>
      </c>
      <c r="E266" s="523" t="s">
        <v>1429</v>
      </c>
      <c r="F266" s="523" t="s">
        <v>12</v>
      </c>
    </row>
    <row r="267">
      <c r="A267" s="523">
        <v>266</v>
      </c>
      <c r="B267" s="523" t="s">
        <v>1432</v>
      </c>
      <c r="C267" s="523" t="s">
        <v>1433</v>
      </c>
      <c r="D267" s="523" t="s">
        <v>1428</v>
      </c>
      <c r="E267" s="523" t="s">
        <v>1429</v>
      </c>
      <c r="F267" s="523" t="s">
        <v>12</v>
      </c>
    </row>
    <row r="268">
      <c r="A268" s="523">
        <v>267</v>
      </c>
      <c r="B268" s="523" t="s">
        <v>1434</v>
      </c>
      <c r="C268" s="523" t="s">
        <v>1435</v>
      </c>
      <c r="D268" s="523" t="s">
        <v>1428</v>
      </c>
      <c r="E268" s="523" t="s">
        <v>1429</v>
      </c>
      <c r="F268" s="523" t="s">
        <v>12</v>
      </c>
    </row>
    <row r="269">
      <c r="A269" s="523">
        <v>268</v>
      </c>
      <c r="B269" s="523" t="s">
        <v>1436</v>
      </c>
      <c r="C269" s="523" t="s">
        <v>1437</v>
      </c>
      <c r="D269" s="523" t="s">
        <v>1428</v>
      </c>
      <c r="E269" s="523" t="s">
        <v>1429</v>
      </c>
      <c r="F269" s="523" t="s">
        <v>12</v>
      </c>
    </row>
    <row r="270">
      <c r="A270" s="523">
        <v>269</v>
      </c>
      <c r="B270" s="523" t="s">
        <v>1438</v>
      </c>
      <c r="C270" s="523" t="s">
        <v>1439</v>
      </c>
      <c r="D270" s="523" t="s">
        <v>1428</v>
      </c>
      <c r="E270" s="523" t="s">
        <v>1429</v>
      </c>
      <c r="F270" s="523" t="s">
        <v>12</v>
      </c>
    </row>
    <row r="271">
      <c r="A271" s="523">
        <v>270</v>
      </c>
      <c r="B271" s="523" t="s">
        <v>1440</v>
      </c>
      <c r="C271" s="523" t="s">
        <v>1441</v>
      </c>
      <c r="D271" s="523" t="s">
        <v>1428</v>
      </c>
      <c r="E271" s="523" t="s">
        <v>1429</v>
      </c>
      <c r="F271" s="523" t="s">
        <v>12</v>
      </c>
    </row>
    <row r="272">
      <c r="A272" s="523">
        <v>271</v>
      </c>
      <c r="B272" s="523" t="s">
        <v>1442</v>
      </c>
      <c r="C272" s="523" t="s">
        <v>1443</v>
      </c>
      <c r="D272" s="523" t="s">
        <v>1428</v>
      </c>
      <c r="E272" s="523" t="s">
        <v>1429</v>
      </c>
      <c r="F272" s="523" t="s">
        <v>12</v>
      </c>
    </row>
    <row r="273">
      <c r="A273" s="523">
        <v>272</v>
      </c>
      <c r="B273" s="523" t="s">
        <v>1444</v>
      </c>
      <c r="C273" s="523" t="s">
        <v>1445</v>
      </c>
      <c r="D273" s="523" t="s">
        <v>1446</v>
      </c>
      <c r="E273" s="523" t="s">
        <v>1447</v>
      </c>
      <c r="F273" s="523" t="s">
        <v>12</v>
      </c>
    </row>
    <row r="274">
      <c r="A274" s="523">
        <v>273</v>
      </c>
      <c r="B274" s="523" t="s">
        <v>1448</v>
      </c>
      <c r="C274" s="523" t="s">
        <v>1449</v>
      </c>
      <c r="D274" s="523" t="s">
        <v>1446</v>
      </c>
      <c r="E274" s="523" t="s">
        <v>1447</v>
      </c>
      <c r="F274" s="523" t="s">
        <v>12</v>
      </c>
    </row>
    <row r="275">
      <c r="A275" s="523">
        <v>274</v>
      </c>
      <c r="B275" s="523" t="s">
        <v>1450</v>
      </c>
      <c r="C275" s="523" t="s">
        <v>1451</v>
      </c>
      <c r="D275" s="523" t="s">
        <v>1446</v>
      </c>
      <c r="E275" s="523" t="s">
        <v>1447</v>
      </c>
      <c r="F275" s="523" t="s">
        <v>12</v>
      </c>
    </row>
    <row r="276">
      <c r="A276" s="523">
        <v>275</v>
      </c>
      <c r="B276" s="523" t="s">
        <v>1452</v>
      </c>
      <c r="C276" s="523" t="s">
        <v>1453</v>
      </c>
      <c r="D276" s="523" t="s">
        <v>1446</v>
      </c>
      <c r="E276" s="523" t="s">
        <v>1447</v>
      </c>
      <c r="F276" s="523" t="s">
        <v>12</v>
      </c>
    </row>
    <row r="277">
      <c r="A277" s="523">
        <v>276</v>
      </c>
      <c r="B277" s="523" t="s">
        <v>1454</v>
      </c>
      <c r="C277" s="523" t="s">
        <v>1455</v>
      </c>
      <c r="D277" s="523" t="s">
        <v>1446</v>
      </c>
      <c r="E277" s="523" t="s">
        <v>1447</v>
      </c>
      <c r="F277" s="523" t="s">
        <v>12</v>
      </c>
    </row>
    <row r="278">
      <c r="A278" s="523">
        <v>277</v>
      </c>
      <c r="B278" s="523" t="s">
        <v>1456</v>
      </c>
      <c r="C278" s="523" t="s">
        <v>1457</v>
      </c>
      <c r="D278" s="523" t="s">
        <v>1446</v>
      </c>
      <c r="E278" s="523" t="s">
        <v>1447</v>
      </c>
      <c r="F278" s="523" t="s">
        <v>12</v>
      </c>
    </row>
    <row r="279">
      <c r="A279" s="523">
        <v>278</v>
      </c>
      <c r="B279" s="523" t="s">
        <v>1458</v>
      </c>
      <c r="C279" s="523" t="s">
        <v>1459</v>
      </c>
      <c r="D279" s="523" t="s">
        <v>1446</v>
      </c>
      <c r="E279" s="523" t="s">
        <v>1447</v>
      </c>
      <c r="F279" s="523" t="s">
        <v>12</v>
      </c>
    </row>
    <row r="280">
      <c r="A280" s="523">
        <v>279</v>
      </c>
      <c r="B280" s="523" t="s">
        <v>1460</v>
      </c>
      <c r="C280" s="523" t="s">
        <v>1461</v>
      </c>
      <c r="D280" s="523" t="s">
        <v>1446</v>
      </c>
      <c r="E280" s="523" t="s">
        <v>1447</v>
      </c>
      <c r="F280" s="523" t="s">
        <v>12</v>
      </c>
    </row>
    <row r="281">
      <c r="A281" s="523">
        <v>280</v>
      </c>
      <c r="B281" s="523" t="s">
        <v>1462</v>
      </c>
      <c r="C281" s="523" t="s">
        <v>1463</v>
      </c>
      <c r="D281" s="523" t="s">
        <v>1464</v>
      </c>
      <c r="E281" s="523" t="s">
        <v>1465</v>
      </c>
      <c r="F281" s="523" t="s">
        <v>12</v>
      </c>
    </row>
    <row r="282">
      <c r="A282" s="523">
        <v>281</v>
      </c>
      <c r="B282" s="523" t="s">
        <v>1466</v>
      </c>
      <c r="C282" s="523" t="s">
        <v>1467</v>
      </c>
      <c r="D282" s="523" t="s">
        <v>1464</v>
      </c>
      <c r="E282" s="523" t="s">
        <v>1465</v>
      </c>
      <c r="F282" s="523" t="s">
        <v>12</v>
      </c>
    </row>
    <row r="283">
      <c r="A283" s="523">
        <v>282</v>
      </c>
      <c r="B283" s="523" t="s">
        <v>1468</v>
      </c>
      <c r="C283" s="523" t="s">
        <v>1469</v>
      </c>
      <c r="D283" s="523" t="s">
        <v>1464</v>
      </c>
      <c r="E283" s="523" t="s">
        <v>1465</v>
      </c>
      <c r="F283" s="523" t="s">
        <v>12</v>
      </c>
    </row>
    <row r="284">
      <c r="A284" s="523">
        <v>283</v>
      </c>
      <c r="B284" s="523" t="s">
        <v>1470</v>
      </c>
      <c r="C284" s="523" t="s">
        <v>1471</v>
      </c>
      <c r="D284" s="523" t="s">
        <v>1464</v>
      </c>
      <c r="E284" s="523" t="s">
        <v>1465</v>
      </c>
      <c r="F284" s="523" t="s">
        <v>12</v>
      </c>
    </row>
    <row r="285">
      <c r="A285" s="523">
        <v>284</v>
      </c>
      <c r="B285" s="523" t="s">
        <v>1472</v>
      </c>
      <c r="C285" s="523" t="s">
        <v>1473</v>
      </c>
      <c r="D285" s="523" t="s">
        <v>1464</v>
      </c>
      <c r="E285" s="523" t="s">
        <v>1465</v>
      </c>
      <c r="F285" s="523" t="s">
        <v>12</v>
      </c>
    </row>
    <row r="286">
      <c r="A286" s="523">
        <v>285</v>
      </c>
      <c r="B286" s="523" t="s">
        <v>1474</v>
      </c>
      <c r="C286" s="523" t="s">
        <v>1475</v>
      </c>
      <c r="D286" s="523" t="s">
        <v>1464</v>
      </c>
      <c r="E286" s="523" t="s">
        <v>1465</v>
      </c>
      <c r="F286" s="523" t="s">
        <v>12</v>
      </c>
    </row>
    <row r="287">
      <c r="A287" s="523">
        <v>286</v>
      </c>
      <c r="B287" s="523" t="s">
        <v>1476</v>
      </c>
      <c r="C287" s="523" t="s">
        <v>1477</v>
      </c>
      <c r="D287" s="523" t="s">
        <v>1464</v>
      </c>
      <c r="E287" s="523" t="s">
        <v>1465</v>
      </c>
      <c r="F287" s="523" t="s">
        <v>12</v>
      </c>
    </row>
    <row r="288">
      <c r="A288" s="523">
        <v>287</v>
      </c>
      <c r="B288" s="523" t="s">
        <v>1478</v>
      </c>
      <c r="C288" s="523" t="s">
        <v>1479</v>
      </c>
      <c r="D288" s="523" t="s">
        <v>1464</v>
      </c>
      <c r="E288" s="523" t="s">
        <v>1465</v>
      </c>
      <c r="F288" s="523" t="s">
        <v>12</v>
      </c>
    </row>
    <row r="289">
      <c r="A289" s="523">
        <v>288</v>
      </c>
      <c r="B289" s="523" t="s">
        <v>1480</v>
      </c>
      <c r="C289" s="523" t="s">
        <v>1481</v>
      </c>
      <c r="D289" s="523" t="s">
        <v>1464</v>
      </c>
      <c r="E289" s="523" t="s">
        <v>1465</v>
      </c>
      <c r="F289" s="523" t="s">
        <v>12</v>
      </c>
    </row>
    <row r="290">
      <c r="A290" s="523">
        <v>289</v>
      </c>
      <c r="B290" s="523" t="s">
        <v>1482</v>
      </c>
      <c r="C290" s="523" t="s">
        <v>1062</v>
      </c>
      <c r="D290" s="523" t="s">
        <v>1464</v>
      </c>
      <c r="E290" s="523" t="s">
        <v>1465</v>
      </c>
      <c r="F290" s="523" t="s">
        <v>12</v>
      </c>
    </row>
    <row r="291">
      <c r="A291" s="523">
        <v>290</v>
      </c>
      <c r="B291" s="523" t="s">
        <v>1483</v>
      </c>
      <c r="C291" s="523" t="s">
        <v>1484</v>
      </c>
      <c r="D291" s="523" t="s">
        <v>1464</v>
      </c>
      <c r="E291" s="523" t="s">
        <v>1465</v>
      </c>
      <c r="F291" s="523" t="s">
        <v>12</v>
      </c>
    </row>
    <row r="292">
      <c r="A292" s="523">
        <v>291</v>
      </c>
      <c r="B292" s="523" t="s">
        <v>1485</v>
      </c>
      <c r="C292" s="523" t="s">
        <v>1486</v>
      </c>
      <c r="D292" s="523" t="s">
        <v>1487</v>
      </c>
      <c r="E292" s="523" t="s">
        <v>1488</v>
      </c>
      <c r="F292" s="523" t="s">
        <v>12</v>
      </c>
    </row>
    <row r="293">
      <c r="A293" s="523">
        <v>292</v>
      </c>
      <c r="B293" s="523" t="s">
        <v>1489</v>
      </c>
      <c r="C293" s="523" t="s">
        <v>1490</v>
      </c>
      <c r="D293" s="523" t="s">
        <v>1487</v>
      </c>
      <c r="E293" s="523" t="s">
        <v>1488</v>
      </c>
      <c r="F293" s="523" t="s">
        <v>12</v>
      </c>
    </row>
    <row r="294">
      <c r="A294" s="523">
        <v>293</v>
      </c>
      <c r="B294" s="523" t="s">
        <v>1491</v>
      </c>
      <c r="C294" s="523" t="s">
        <v>1492</v>
      </c>
      <c r="D294" s="523" t="s">
        <v>1487</v>
      </c>
      <c r="E294" s="523" t="s">
        <v>1488</v>
      </c>
      <c r="F294" s="523" t="s">
        <v>12</v>
      </c>
    </row>
    <row r="295">
      <c r="A295" s="523">
        <v>294</v>
      </c>
      <c r="B295" s="523" t="s">
        <v>1493</v>
      </c>
      <c r="C295" s="523" t="s">
        <v>1494</v>
      </c>
      <c r="D295" s="523" t="s">
        <v>1487</v>
      </c>
      <c r="E295" s="523" t="s">
        <v>1488</v>
      </c>
      <c r="F295" s="523" t="s">
        <v>12</v>
      </c>
    </row>
    <row r="296">
      <c r="A296" s="523">
        <v>295</v>
      </c>
      <c r="B296" s="523" t="s">
        <v>1495</v>
      </c>
      <c r="C296" s="523" t="s">
        <v>1496</v>
      </c>
      <c r="D296" s="523" t="s">
        <v>1487</v>
      </c>
      <c r="E296" s="523" t="s">
        <v>1488</v>
      </c>
      <c r="F296" s="523" t="s">
        <v>12</v>
      </c>
    </row>
    <row r="297">
      <c r="A297" s="523">
        <v>296</v>
      </c>
      <c r="B297" s="523" t="s">
        <v>1497</v>
      </c>
      <c r="C297" s="523" t="s">
        <v>654</v>
      </c>
      <c r="D297" s="523" t="s">
        <v>1487</v>
      </c>
      <c r="E297" s="523" t="s">
        <v>1488</v>
      </c>
      <c r="F297" s="523" t="s">
        <v>12</v>
      </c>
    </row>
    <row r="298">
      <c r="A298" s="523">
        <v>297</v>
      </c>
      <c r="B298" s="523" t="s">
        <v>1498</v>
      </c>
      <c r="C298" s="523" t="s">
        <v>1499</v>
      </c>
      <c r="D298" s="523" t="s">
        <v>1487</v>
      </c>
      <c r="E298" s="523" t="s">
        <v>1488</v>
      </c>
      <c r="F298" s="523" t="s">
        <v>12</v>
      </c>
    </row>
    <row r="299">
      <c r="A299" s="523">
        <v>298</v>
      </c>
      <c r="B299" s="523" t="s">
        <v>1500</v>
      </c>
      <c r="C299" s="523" t="s">
        <v>1501</v>
      </c>
      <c r="D299" s="523" t="s">
        <v>1487</v>
      </c>
      <c r="E299" s="523" t="s">
        <v>1488</v>
      </c>
      <c r="F299" s="523" t="s">
        <v>12</v>
      </c>
    </row>
    <row r="300">
      <c r="A300" s="523">
        <v>299</v>
      </c>
      <c r="B300" s="523" t="s">
        <v>1502</v>
      </c>
      <c r="C300" s="523" t="s">
        <v>1054</v>
      </c>
      <c r="D300" s="523" t="s">
        <v>1487</v>
      </c>
      <c r="E300" s="523" t="s">
        <v>1488</v>
      </c>
      <c r="F300" s="523" t="s">
        <v>12</v>
      </c>
    </row>
    <row r="301">
      <c r="A301" s="523">
        <v>300</v>
      </c>
      <c r="B301" s="523" t="s">
        <v>1503</v>
      </c>
      <c r="C301" s="523" t="s">
        <v>1504</v>
      </c>
      <c r="D301" s="523" t="s">
        <v>1487</v>
      </c>
      <c r="E301" s="523" t="s">
        <v>1488</v>
      </c>
      <c r="F301" s="523" t="s">
        <v>12</v>
      </c>
    </row>
    <row r="302">
      <c r="A302" s="523">
        <v>301</v>
      </c>
      <c r="B302" s="523" t="s">
        <v>1505</v>
      </c>
      <c r="C302" s="523" t="s">
        <v>1486</v>
      </c>
      <c r="D302" s="523" t="s">
        <v>1506</v>
      </c>
      <c r="E302" s="523" t="s">
        <v>1507</v>
      </c>
      <c r="F302" s="523" t="s">
        <v>12</v>
      </c>
    </row>
    <row r="303">
      <c r="A303" s="523">
        <v>302</v>
      </c>
      <c r="B303" s="523" t="s">
        <v>1508</v>
      </c>
      <c r="C303" s="523" t="s">
        <v>1509</v>
      </c>
      <c r="D303" s="523" t="s">
        <v>1506</v>
      </c>
      <c r="E303" s="523" t="s">
        <v>1507</v>
      </c>
      <c r="F303" s="523" t="s">
        <v>12</v>
      </c>
    </row>
    <row r="304">
      <c r="A304" s="523">
        <v>303</v>
      </c>
      <c r="B304" s="523" t="s">
        <v>1510</v>
      </c>
      <c r="C304" s="523" t="s">
        <v>1511</v>
      </c>
      <c r="D304" s="523" t="s">
        <v>1506</v>
      </c>
      <c r="E304" s="523" t="s">
        <v>1507</v>
      </c>
      <c r="F304" s="523" t="s">
        <v>12</v>
      </c>
    </row>
    <row r="305">
      <c r="A305" s="523">
        <v>304</v>
      </c>
      <c r="B305" s="523" t="s">
        <v>1512</v>
      </c>
      <c r="C305" s="523" t="s">
        <v>1513</v>
      </c>
      <c r="D305" s="523" t="s">
        <v>1506</v>
      </c>
      <c r="E305" s="523" t="s">
        <v>1507</v>
      </c>
      <c r="F305" s="523" t="s">
        <v>12</v>
      </c>
    </row>
    <row r="306">
      <c r="A306" s="523">
        <v>305</v>
      </c>
      <c r="B306" s="523" t="s">
        <v>1514</v>
      </c>
      <c r="C306" s="523" t="s">
        <v>1515</v>
      </c>
      <c r="D306" s="523" t="s">
        <v>1506</v>
      </c>
      <c r="E306" s="523" t="s">
        <v>1507</v>
      </c>
      <c r="F306" s="523" t="s">
        <v>12</v>
      </c>
    </row>
    <row r="307">
      <c r="A307" s="523">
        <v>306</v>
      </c>
      <c r="B307" s="523" t="s">
        <v>1516</v>
      </c>
      <c r="C307" s="523" t="s">
        <v>1517</v>
      </c>
      <c r="D307" s="523" t="s">
        <v>1506</v>
      </c>
      <c r="E307" s="523" t="s">
        <v>1507</v>
      </c>
      <c r="F307" s="523" t="s">
        <v>12</v>
      </c>
    </row>
    <row r="308">
      <c r="A308" s="523">
        <v>307</v>
      </c>
      <c r="B308" s="523" t="s">
        <v>1518</v>
      </c>
      <c r="C308" s="523" t="s">
        <v>1519</v>
      </c>
      <c r="D308" s="523" t="s">
        <v>1506</v>
      </c>
      <c r="E308" s="523" t="s">
        <v>1507</v>
      </c>
      <c r="F308" s="523" t="s">
        <v>12</v>
      </c>
    </row>
    <row r="309">
      <c r="A309" s="523">
        <v>308</v>
      </c>
      <c r="B309" s="523" t="s">
        <v>1520</v>
      </c>
      <c r="C309" s="523" t="s">
        <v>1521</v>
      </c>
      <c r="D309" s="523" t="s">
        <v>1506</v>
      </c>
      <c r="E309" s="523" t="s">
        <v>1507</v>
      </c>
      <c r="F309" s="523" t="s">
        <v>12</v>
      </c>
    </row>
    <row r="310">
      <c r="A310" s="523">
        <v>309</v>
      </c>
      <c r="B310" s="523" t="s">
        <v>1522</v>
      </c>
      <c r="C310" s="523" t="s">
        <v>1523</v>
      </c>
      <c r="D310" s="523" t="s">
        <v>1506</v>
      </c>
      <c r="E310" s="523" t="s">
        <v>1507</v>
      </c>
      <c r="F310" s="523" t="s">
        <v>12</v>
      </c>
    </row>
    <row r="311">
      <c r="A311" s="523">
        <v>310</v>
      </c>
      <c r="B311" s="523" t="s">
        <v>1524</v>
      </c>
      <c r="C311" s="523" t="s">
        <v>1194</v>
      </c>
      <c r="D311" s="523" t="s">
        <v>1506</v>
      </c>
      <c r="E311" s="523" t="s">
        <v>1507</v>
      </c>
      <c r="F311" s="523" t="s">
        <v>12</v>
      </c>
    </row>
    <row r="312">
      <c r="A312" s="523">
        <v>311</v>
      </c>
      <c r="B312" s="523" t="s">
        <v>1525</v>
      </c>
      <c r="C312" s="523" t="s">
        <v>1526</v>
      </c>
      <c r="D312" s="523" t="s">
        <v>1527</v>
      </c>
      <c r="E312" s="523" t="s">
        <v>1528</v>
      </c>
      <c r="F312" s="523" t="s">
        <v>15</v>
      </c>
    </row>
    <row r="313">
      <c r="A313" s="523">
        <v>312</v>
      </c>
      <c r="B313" s="523" t="s">
        <v>1529</v>
      </c>
      <c r="C313" s="523" t="s">
        <v>1530</v>
      </c>
      <c r="D313" s="523" t="s">
        <v>1527</v>
      </c>
      <c r="E313" s="523" t="s">
        <v>1528</v>
      </c>
      <c r="F313" s="523" t="s">
        <v>15</v>
      </c>
    </row>
    <row r="314">
      <c r="A314" s="523">
        <v>313</v>
      </c>
      <c r="B314" s="523" t="s">
        <v>1531</v>
      </c>
      <c r="C314" s="523" t="s">
        <v>1532</v>
      </c>
      <c r="D314" s="523" t="s">
        <v>1527</v>
      </c>
      <c r="E314" s="523" t="s">
        <v>1528</v>
      </c>
      <c r="F314" s="523" t="s">
        <v>15</v>
      </c>
    </row>
    <row r="315">
      <c r="A315" s="523">
        <v>314</v>
      </c>
      <c r="B315" s="523" t="s">
        <v>1533</v>
      </c>
      <c r="C315" s="523" t="s">
        <v>1534</v>
      </c>
      <c r="D315" s="523" t="s">
        <v>1527</v>
      </c>
      <c r="E315" s="523" t="s">
        <v>1528</v>
      </c>
      <c r="F315" s="523" t="s">
        <v>15</v>
      </c>
    </row>
    <row r="316">
      <c r="A316" s="523">
        <v>315</v>
      </c>
      <c r="B316" s="523" t="s">
        <v>1535</v>
      </c>
      <c r="C316" s="523" t="s">
        <v>1536</v>
      </c>
      <c r="D316" s="523" t="s">
        <v>1527</v>
      </c>
      <c r="E316" s="523" t="s">
        <v>1528</v>
      </c>
      <c r="F316" s="523" t="s">
        <v>15</v>
      </c>
    </row>
    <row r="317">
      <c r="A317" s="523">
        <v>316</v>
      </c>
      <c r="B317" s="523" t="s">
        <v>1537</v>
      </c>
      <c r="C317" s="523" t="s">
        <v>1538</v>
      </c>
      <c r="D317" s="523" t="s">
        <v>1527</v>
      </c>
      <c r="E317" s="523" t="s">
        <v>1528</v>
      </c>
      <c r="F317" s="523" t="s">
        <v>15</v>
      </c>
    </row>
    <row r="318">
      <c r="A318" s="523">
        <v>317</v>
      </c>
      <c r="B318" s="523" t="s">
        <v>1539</v>
      </c>
      <c r="C318" s="523" t="s">
        <v>1540</v>
      </c>
      <c r="D318" s="523" t="s">
        <v>1527</v>
      </c>
      <c r="E318" s="523" t="s">
        <v>1528</v>
      </c>
      <c r="F318" s="523" t="s">
        <v>15</v>
      </c>
    </row>
    <row r="319">
      <c r="A319" s="523">
        <v>318</v>
      </c>
      <c r="B319" s="523" t="s">
        <v>1541</v>
      </c>
      <c r="C319" s="523" t="s">
        <v>1542</v>
      </c>
      <c r="D319" s="523" t="s">
        <v>1527</v>
      </c>
      <c r="E319" s="523" t="s">
        <v>1528</v>
      </c>
      <c r="F319" s="523" t="s">
        <v>15</v>
      </c>
    </row>
    <row r="320">
      <c r="A320" s="523">
        <v>319</v>
      </c>
      <c r="B320" s="523" t="s">
        <v>1543</v>
      </c>
      <c r="C320" s="523" t="s">
        <v>1544</v>
      </c>
      <c r="D320" s="523" t="s">
        <v>1545</v>
      </c>
      <c r="E320" s="523" t="s">
        <v>1546</v>
      </c>
      <c r="F320" s="523" t="s">
        <v>15</v>
      </c>
    </row>
    <row r="321">
      <c r="A321" s="523">
        <v>320</v>
      </c>
      <c r="B321" s="523" t="s">
        <v>1547</v>
      </c>
      <c r="C321" s="523" t="s">
        <v>1548</v>
      </c>
      <c r="D321" s="523" t="s">
        <v>1545</v>
      </c>
      <c r="E321" s="523" t="s">
        <v>1546</v>
      </c>
      <c r="F321" s="523" t="s">
        <v>15</v>
      </c>
    </row>
    <row r="322">
      <c r="A322" s="523">
        <v>321</v>
      </c>
      <c r="B322" s="523" t="s">
        <v>1549</v>
      </c>
      <c r="C322" s="523" t="s">
        <v>1550</v>
      </c>
      <c r="D322" s="523" t="s">
        <v>1545</v>
      </c>
      <c r="E322" s="523" t="s">
        <v>1546</v>
      </c>
      <c r="F322" s="523" t="s">
        <v>15</v>
      </c>
    </row>
    <row r="323">
      <c r="A323" s="523">
        <v>322</v>
      </c>
      <c r="B323" s="523" t="s">
        <v>1551</v>
      </c>
      <c r="C323" s="523" t="s">
        <v>1552</v>
      </c>
      <c r="D323" s="523" t="s">
        <v>1545</v>
      </c>
      <c r="E323" s="523" t="s">
        <v>1546</v>
      </c>
      <c r="F323" s="523" t="s">
        <v>15</v>
      </c>
    </row>
    <row r="324">
      <c r="A324" s="523">
        <v>323</v>
      </c>
      <c r="B324" s="523" t="s">
        <v>1553</v>
      </c>
      <c r="C324" s="523" t="s">
        <v>1554</v>
      </c>
      <c r="D324" s="523" t="s">
        <v>1545</v>
      </c>
      <c r="E324" s="523" t="s">
        <v>1546</v>
      </c>
      <c r="F324" s="523" t="s">
        <v>15</v>
      </c>
    </row>
    <row r="325">
      <c r="A325" s="523">
        <v>324</v>
      </c>
      <c r="B325" s="523" t="s">
        <v>1555</v>
      </c>
      <c r="C325" s="523" t="s">
        <v>1556</v>
      </c>
      <c r="D325" s="523" t="s">
        <v>1545</v>
      </c>
      <c r="E325" s="523" t="s">
        <v>1546</v>
      </c>
      <c r="F325" s="523" t="s">
        <v>15</v>
      </c>
    </row>
    <row r="326">
      <c r="A326" s="523">
        <v>325</v>
      </c>
      <c r="B326" s="523" t="s">
        <v>1557</v>
      </c>
      <c r="C326" s="523" t="s">
        <v>1558</v>
      </c>
      <c r="D326" s="523" t="s">
        <v>1545</v>
      </c>
      <c r="E326" s="523" t="s">
        <v>1546</v>
      </c>
      <c r="F326" s="523" t="s">
        <v>15</v>
      </c>
    </row>
    <row r="327">
      <c r="A327" s="523">
        <v>326</v>
      </c>
      <c r="B327" s="523" t="s">
        <v>1559</v>
      </c>
      <c r="C327" s="523" t="s">
        <v>1560</v>
      </c>
      <c r="D327" s="523" t="s">
        <v>1545</v>
      </c>
      <c r="E327" s="523" t="s">
        <v>1546</v>
      </c>
      <c r="F327" s="523" t="s">
        <v>15</v>
      </c>
    </row>
    <row r="328">
      <c r="A328" s="523">
        <v>327</v>
      </c>
      <c r="B328" s="523" t="s">
        <v>1561</v>
      </c>
      <c r="C328" s="523" t="s">
        <v>1562</v>
      </c>
      <c r="D328" s="523" t="s">
        <v>1545</v>
      </c>
      <c r="E328" s="523" t="s">
        <v>1546</v>
      </c>
      <c r="F328" s="523" t="s">
        <v>15</v>
      </c>
    </row>
    <row r="329">
      <c r="A329" s="523">
        <v>328</v>
      </c>
      <c r="B329" s="523" t="s">
        <v>1563</v>
      </c>
      <c r="C329" s="523" t="s">
        <v>1564</v>
      </c>
      <c r="D329" s="523" t="s">
        <v>1545</v>
      </c>
      <c r="E329" s="523" t="s">
        <v>1546</v>
      </c>
      <c r="F329" s="523" t="s">
        <v>15</v>
      </c>
    </row>
    <row r="330">
      <c r="A330" s="523">
        <v>329</v>
      </c>
      <c r="B330" s="523" t="s">
        <v>1565</v>
      </c>
      <c r="C330" s="523" t="s">
        <v>1566</v>
      </c>
      <c r="D330" s="523" t="s">
        <v>1545</v>
      </c>
      <c r="E330" s="523" t="s">
        <v>1546</v>
      </c>
      <c r="F330" s="523" t="s">
        <v>15</v>
      </c>
    </row>
    <row r="331">
      <c r="A331" s="523">
        <v>330</v>
      </c>
      <c r="B331" s="523" t="s">
        <v>1567</v>
      </c>
      <c r="C331" s="523" t="s">
        <v>1568</v>
      </c>
      <c r="D331" s="523" t="s">
        <v>1545</v>
      </c>
      <c r="E331" s="523" t="s">
        <v>1546</v>
      </c>
      <c r="F331" s="523" t="s">
        <v>15</v>
      </c>
    </row>
    <row r="332">
      <c r="A332" s="523">
        <v>331</v>
      </c>
      <c r="B332" s="523" t="s">
        <v>1569</v>
      </c>
      <c r="C332" s="523" t="s">
        <v>1570</v>
      </c>
      <c r="D332" s="523" t="s">
        <v>1545</v>
      </c>
      <c r="E332" s="523" t="s">
        <v>1546</v>
      </c>
      <c r="F332" s="523" t="s">
        <v>15</v>
      </c>
    </row>
    <row r="333">
      <c r="A333" s="523">
        <v>332</v>
      </c>
      <c r="B333" s="523" t="s">
        <v>1571</v>
      </c>
      <c r="C333" s="523" t="s">
        <v>1572</v>
      </c>
      <c r="D333" s="523" t="s">
        <v>1545</v>
      </c>
      <c r="E333" s="523" t="s">
        <v>1546</v>
      </c>
      <c r="F333" s="523" t="s">
        <v>15</v>
      </c>
    </row>
    <row r="334">
      <c r="A334" s="523">
        <v>333</v>
      </c>
      <c r="B334" s="523" t="s">
        <v>1573</v>
      </c>
      <c r="C334" s="523" t="s">
        <v>1574</v>
      </c>
      <c r="D334" s="523" t="s">
        <v>1545</v>
      </c>
      <c r="E334" s="523" t="s">
        <v>1546</v>
      </c>
      <c r="F334" s="523" t="s">
        <v>15</v>
      </c>
    </row>
    <row r="335">
      <c r="A335" s="523">
        <v>334</v>
      </c>
      <c r="B335" s="523" t="s">
        <v>1575</v>
      </c>
      <c r="C335" s="523" t="s">
        <v>1576</v>
      </c>
      <c r="D335" s="523" t="s">
        <v>1545</v>
      </c>
      <c r="E335" s="523" t="s">
        <v>1546</v>
      </c>
      <c r="F335" s="523" t="s">
        <v>15</v>
      </c>
    </row>
    <row r="336">
      <c r="A336" s="523">
        <v>335</v>
      </c>
      <c r="B336" s="523" t="s">
        <v>1577</v>
      </c>
      <c r="C336" s="523" t="s">
        <v>1578</v>
      </c>
      <c r="D336" s="523" t="s">
        <v>1579</v>
      </c>
      <c r="E336" s="523" t="s">
        <v>1580</v>
      </c>
      <c r="F336" s="523" t="s">
        <v>15</v>
      </c>
    </row>
    <row r="337">
      <c r="A337" s="523">
        <v>336</v>
      </c>
      <c r="B337" s="523" t="s">
        <v>1581</v>
      </c>
      <c r="C337" s="523" t="s">
        <v>1582</v>
      </c>
      <c r="D337" s="523" t="s">
        <v>1579</v>
      </c>
      <c r="E337" s="523" t="s">
        <v>1580</v>
      </c>
      <c r="F337" s="523" t="s">
        <v>15</v>
      </c>
    </row>
    <row r="338">
      <c r="A338" s="523">
        <v>337</v>
      </c>
      <c r="B338" s="523" t="s">
        <v>1583</v>
      </c>
      <c r="C338" s="523" t="s">
        <v>1584</v>
      </c>
      <c r="D338" s="523" t="s">
        <v>1579</v>
      </c>
      <c r="E338" s="523" t="s">
        <v>1580</v>
      </c>
      <c r="F338" s="523" t="s">
        <v>15</v>
      </c>
    </row>
    <row r="339">
      <c r="A339" s="523">
        <v>338</v>
      </c>
      <c r="B339" s="523" t="s">
        <v>1585</v>
      </c>
      <c r="C339" s="523" t="s">
        <v>1212</v>
      </c>
      <c r="D339" s="523" t="s">
        <v>1579</v>
      </c>
      <c r="E339" s="523" t="s">
        <v>1580</v>
      </c>
      <c r="F339" s="523" t="s">
        <v>15</v>
      </c>
    </row>
    <row r="340">
      <c r="A340" s="523">
        <v>339</v>
      </c>
      <c r="B340" s="523" t="s">
        <v>1586</v>
      </c>
      <c r="C340" s="523" t="s">
        <v>1587</v>
      </c>
      <c r="D340" s="523" t="s">
        <v>1579</v>
      </c>
      <c r="E340" s="523" t="s">
        <v>1580</v>
      </c>
      <c r="F340" s="523" t="s">
        <v>15</v>
      </c>
    </row>
    <row r="341">
      <c r="A341" s="523">
        <v>340</v>
      </c>
      <c r="B341" s="523" t="s">
        <v>1588</v>
      </c>
      <c r="C341" s="523" t="s">
        <v>1589</v>
      </c>
      <c r="D341" s="523" t="s">
        <v>1579</v>
      </c>
      <c r="E341" s="523" t="s">
        <v>1580</v>
      </c>
      <c r="F341" s="523" t="s">
        <v>15</v>
      </c>
    </row>
    <row r="342">
      <c r="A342" s="523">
        <v>341</v>
      </c>
      <c r="B342" s="523" t="s">
        <v>1590</v>
      </c>
      <c r="C342" s="523" t="s">
        <v>1591</v>
      </c>
      <c r="D342" s="523" t="s">
        <v>1579</v>
      </c>
      <c r="E342" s="523" t="s">
        <v>1580</v>
      </c>
      <c r="F342" s="523" t="s">
        <v>15</v>
      </c>
    </row>
    <row r="343">
      <c r="A343" s="523">
        <v>342</v>
      </c>
      <c r="B343" s="523" t="s">
        <v>1592</v>
      </c>
      <c r="C343" s="523" t="s">
        <v>1593</v>
      </c>
      <c r="D343" s="523" t="s">
        <v>1594</v>
      </c>
      <c r="E343" s="523" t="s">
        <v>1595</v>
      </c>
      <c r="F343" s="523" t="s">
        <v>15</v>
      </c>
    </row>
    <row r="344">
      <c r="A344" s="523">
        <v>343</v>
      </c>
      <c r="B344" s="523" t="s">
        <v>1596</v>
      </c>
      <c r="C344" s="523" t="s">
        <v>1552</v>
      </c>
      <c r="D344" s="523" t="s">
        <v>1594</v>
      </c>
      <c r="E344" s="523" t="s">
        <v>1595</v>
      </c>
      <c r="F344" s="523" t="s">
        <v>15</v>
      </c>
    </row>
    <row r="345">
      <c r="A345" s="523">
        <v>344</v>
      </c>
      <c r="B345" s="523" t="s">
        <v>1597</v>
      </c>
      <c r="C345" s="523" t="s">
        <v>1598</v>
      </c>
      <c r="D345" s="523" t="s">
        <v>1594</v>
      </c>
      <c r="E345" s="523" t="s">
        <v>1595</v>
      </c>
      <c r="F345" s="523" t="s">
        <v>15</v>
      </c>
    </row>
    <row r="346">
      <c r="A346" s="523">
        <v>345</v>
      </c>
      <c r="B346" s="523" t="s">
        <v>1599</v>
      </c>
      <c r="C346" s="523" t="s">
        <v>1600</v>
      </c>
      <c r="D346" s="523" t="s">
        <v>1594</v>
      </c>
      <c r="E346" s="523" t="s">
        <v>1595</v>
      </c>
      <c r="F346" s="523" t="s">
        <v>15</v>
      </c>
    </row>
    <row r="347">
      <c r="A347" s="523">
        <v>346</v>
      </c>
      <c r="B347" s="523" t="s">
        <v>1601</v>
      </c>
      <c r="C347" s="523" t="s">
        <v>1602</v>
      </c>
      <c r="D347" s="523" t="s">
        <v>1594</v>
      </c>
      <c r="E347" s="523" t="s">
        <v>1595</v>
      </c>
      <c r="F347" s="523" t="s">
        <v>15</v>
      </c>
    </row>
    <row r="348">
      <c r="A348" s="523">
        <v>347</v>
      </c>
      <c r="B348" s="523" t="s">
        <v>1603</v>
      </c>
      <c r="C348" s="523" t="s">
        <v>1604</v>
      </c>
      <c r="D348" s="523" t="s">
        <v>1594</v>
      </c>
      <c r="E348" s="523" t="s">
        <v>1595</v>
      </c>
      <c r="F348" s="523" t="s">
        <v>15</v>
      </c>
    </row>
    <row r="349">
      <c r="A349" s="523">
        <v>348</v>
      </c>
      <c r="B349" s="523" t="s">
        <v>1605</v>
      </c>
      <c r="C349" s="523" t="s">
        <v>1606</v>
      </c>
      <c r="D349" s="523" t="s">
        <v>1594</v>
      </c>
      <c r="E349" s="523" t="s">
        <v>1595</v>
      </c>
      <c r="F349" s="523" t="s">
        <v>15</v>
      </c>
    </row>
    <row r="350">
      <c r="A350" s="523">
        <v>349</v>
      </c>
      <c r="B350" s="523" t="s">
        <v>1607</v>
      </c>
      <c r="C350" s="523" t="s">
        <v>1608</v>
      </c>
      <c r="D350" s="523" t="s">
        <v>1594</v>
      </c>
      <c r="E350" s="523" t="s">
        <v>1595</v>
      </c>
      <c r="F350" s="523" t="s">
        <v>15</v>
      </c>
    </row>
    <row r="351">
      <c r="A351" s="523">
        <v>350</v>
      </c>
      <c r="B351" s="523" t="s">
        <v>1609</v>
      </c>
      <c r="C351" s="523" t="s">
        <v>1610</v>
      </c>
      <c r="D351" s="523" t="s">
        <v>1594</v>
      </c>
      <c r="E351" s="523" t="s">
        <v>1595</v>
      </c>
      <c r="F351" s="523" t="s">
        <v>15</v>
      </c>
    </row>
    <row r="352">
      <c r="A352" s="523">
        <v>351</v>
      </c>
      <c r="B352" s="523" t="s">
        <v>1611</v>
      </c>
      <c r="C352" s="523" t="s">
        <v>1612</v>
      </c>
      <c r="D352" s="523" t="s">
        <v>1613</v>
      </c>
      <c r="E352" s="523" t="s">
        <v>1614</v>
      </c>
      <c r="F352" s="523" t="s">
        <v>15</v>
      </c>
    </row>
    <row r="353">
      <c r="A353" s="523">
        <v>352</v>
      </c>
      <c r="B353" s="523" t="s">
        <v>1615</v>
      </c>
      <c r="C353" s="523" t="s">
        <v>1078</v>
      </c>
      <c r="D353" s="523" t="s">
        <v>1613</v>
      </c>
      <c r="E353" s="523" t="s">
        <v>1614</v>
      </c>
      <c r="F353" s="523" t="s">
        <v>15</v>
      </c>
    </row>
    <row r="354">
      <c r="A354" s="523">
        <v>353</v>
      </c>
      <c r="B354" s="523" t="s">
        <v>1616</v>
      </c>
      <c r="C354" s="523" t="s">
        <v>1617</v>
      </c>
      <c r="D354" s="523" t="s">
        <v>1613</v>
      </c>
      <c r="E354" s="523" t="s">
        <v>1614</v>
      </c>
      <c r="F354" s="523" t="s">
        <v>15</v>
      </c>
    </row>
    <row r="355">
      <c r="A355" s="523">
        <v>354</v>
      </c>
      <c r="B355" s="523" t="s">
        <v>1618</v>
      </c>
      <c r="C355" s="523" t="s">
        <v>1619</v>
      </c>
      <c r="D355" s="523" t="s">
        <v>1613</v>
      </c>
      <c r="E355" s="523" t="s">
        <v>1614</v>
      </c>
      <c r="F355" s="523" t="s">
        <v>15</v>
      </c>
    </row>
    <row r="356">
      <c r="A356" s="523">
        <v>355</v>
      </c>
      <c r="B356" s="523" t="s">
        <v>1620</v>
      </c>
      <c r="C356" s="523" t="s">
        <v>1621</v>
      </c>
      <c r="D356" s="523" t="s">
        <v>1613</v>
      </c>
      <c r="E356" s="523" t="s">
        <v>1614</v>
      </c>
      <c r="F356" s="523" t="s">
        <v>15</v>
      </c>
    </row>
    <row r="357">
      <c r="A357" s="523">
        <v>356</v>
      </c>
      <c r="B357" s="523" t="s">
        <v>1622</v>
      </c>
      <c r="C357" s="523" t="s">
        <v>1277</v>
      </c>
      <c r="D357" s="523" t="s">
        <v>1613</v>
      </c>
      <c r="E357" s="523" t="s">
        <v>1614</v>
      </c>
      <c r="F357" s="523" t="s">
        <v>15</v>
      </c>
    </row>
    <row r="358">
      <c r="A358" s="523">
        <v>357</v>
      </c>
      <c r="B358" s="523" t="s">
        <v>1623</v>
      </c>
      <c r="C358" s="523" t="s">
        <v>1232</v>
      </c>
      <c r="D358" s="523" t="s">
        <v>1613</v>
      </c>
      <c r="E358" s="523" t="s">
        <v>1614</v>
      </c>
      <c r="F358" s="523" t="s">
        <v>15</v>
      </c>
    </row>
    <row r="359">
      <c r="A359" s="523">
        <v>358</v>
      </c>
      <c r="B359" s="523" t="s">
        <v>1624</v>
      </c>
      <c r="C359" s="523" t="s">
        <v>1625</v>
      </c>
      <c r="D359" s="523" t="s">
        <v>1613</v>
      </c>
      <c r="E359" s="523" t="s">
        <v>1614</v>
      </c>
      <c r="F359" s="523" t="s">
        <v>15</v>
      </c>
    </row>
    <row r="360">
      <c r="A360" s="523">
        <v>359</v>
      </c>
      <c r="B360" s="523" t="s">
        <v>1626</v>
      </c>
      <c r="C360" s="523" t="s">
        <v>1086</v>
      </c>
      <c r="D360" s="523" t="s">
        <v>1613</v>
      </c>
      <c r="E360" s="523" t="s">
        <v>1614</v>
      </c>
      <c r="F360" s="523" t="s">
        <v>15</v>
      </c>
    </row>
    <row r="361">
      <c r="A361" s="523">
        <v>360</v>
      </c>
      <c r="B361" s="523" t="s">
        <v>1627</v>
      </c>
      <c r="C361" s="523" t="s">
        <v>1628</v>
      </c>
      <c r="D361" s="523" t="s">
        <v>1613</v>
      </c>
      <c r="E361" s="523" t="s">
        <v>1614</v>
      </c>
      <c r="F361" s="523" t="s">
        <v>15</v>
      </c>
    </row>
    <row r="362">
      <c r="A362" s="523">
        <v>361</v>
      </c>
      <c r="B362" s="523" t="s">
        <v>1629</v>
      </c>
      <c r="C362" s="523" t="s">
        <v>1251</v>
      </c>
      <c r="D362" s="523" t="s">
        <v>1613</v>
      </c>
      <c r="E362" s="523" t="s">
        <v>1614</v>
      </c>
      <c r="F362" s="523" t="s">
        <v>15</v>
      </c>
    </row>
    <row r="363">
      <c r="A363" s="523">
        <v>362</v>
      </c>
      <c r="B363" s="523" t="s">
        <v>1630</v>
      </c>
      <c r="C363" s="523" t="s">
        <v>1631</v>
      </c>
      <c r="D363" s="523" t="s">
        <v>1613</v>
      </c>
      <c r="E363" s="523" t="s">
        <v>1614</v>
      </c>
      <c r="F363" s="523" t="s">
        <v>15</v>
      </c>
    </row>
    <row r="364">
      <c r="A364" s="523">
        <v>363</v>
      </c>
      <c r="B364" s="523" t="s">
        <v>1632</v>
      </c>
      <c r="C364" s="523" t="s">
        <v>1633</v>
      </c>
      <c r="D364" s="523" t="s">
        <v>1613</v>
      </c>
      <c r="E364" s="523" t="s">
        <v>1614</v>
      </c>
      <c r="F364" s="523" t="s">
        <v>15</v>
      </c>
    </row>
    <row r="365">
      <c r="A365" s="523">
        <v>364</v>
      </c>
      <c r="B365" s="523" t="s">
        <v>1634</v>
      </c>
      <c r="C365" s="523" t="s">
        <v>1635</v>
      </c>
      <c r="D365" s="523" t="s">
        <v>1636</v>
      </c>
      <c r="E365" s="523" t="s">
        <v>1637</v>
      </c>
      <c r="F365" s="523" t="s">
        <v>15</v>
      </c>
    </row>
    <row r="366">
      <c r="A366" s="523">
        <v>365</v>
      </c>
      <c r="B366" s="523" t="s">
        <v>1638</v>
      </c>
      <c r="C366" s="523" t="s">
        <v>1639</v>
      </c>
      <c r="D366" s="523" t="s">
        <v>1636</v>
      </c>
      <c r="E366" s="523" t="s">
        <v>1637</v>
      </c>
      <c r="F366" s="523" t="s">
        <v>15</v>
      </c>
    </row>
    <row r="367">
      <c r="A367" s="523">
        <v>366</v>
      </c>
      <c r="B367" s="523" t="s">
        <v>1640</v>
      </c>
      <c r="C367" s="523" t="s">
        <v>1641</v>
      </c>
      <c r="D367" s="523" t="s">
        <v>1636</v>
      </c>
      <c r="E367" s="523" t="s">
        <v>1637</v>
      </c>
      <c r="F367" s="523" t="s">
        <v>15</v>
      </c>
    </row>
    <row r="368">
      <c r="A368" s="523">
        <v>367</v>
      </c>
      <c r="B368" s="523" t="s">
        <v>1642</v>
      </c>
      <c r="C368" s="523" t="s">
        <v>1643</v>
      </c>
      <c r="D368" s="523" t="s">
        <v>1636</v>
      </c>
      <c r="E368" s="523" t="s">
        <v>1637</v>
      </c>
      <c r="F368" s="523" t="s">
        <v>15</v>
      </c>
    </row>
    <row r="369">
      <c r="A369" s="523">
        <v>368</v>
      </c>
      <c r="B369" s="523" t="s">
        <v>1644</v>
      </c>
      <c r="C369" s="523" t="s">
        <v>1645</v>
      </c>
      <c r="D369" s="523" t="s">
        <v>1636</v>
      </c>
      <c r="E369" s="523" t="s">
        <v>1637</v>
      </c>
      <c r="F369" s="523" t="s">
        <v>15</v>
      </c>
    </row>
    <row r="370">
      <c r="A370" s="523">
        <v>369</v>
      </c>
      <c r="B370" s="523" t="s">
        <v>1646</v>
      </c>
      <c r="C370" s="523" t="s">
        <v>1647</v>
      </c>
      <c r="D370" s="523" t="s">
        <v>1636</v>
      </c>
      <c r="E370" s="523" t="s">
        <v>1637</v>
      </c>
      <c r="F370" s="523" t="s">
        <v>15</v>
      </c>
    </row>
    <row r="371">
      <c r="A371" s="523">
        <v>370</v>
      </c>
      <c r="B371" s="523" t="s">
        <v>1648</v>
      </c>
      <c r="C371" s="523" t="s">
        <v>1649</v>
      </c>
      <c r="D371" s="523" t="s">
        <v>1636</v>
      </c>
      <c r="E371" s="523" t="s">
        <v>1637</v>
      </c>
      <c r="F371" s="523" t="s">
        <v>15</v>
      </c>
    </row>
    <row r="372">
      <c r="A372" s="523">
        <v>371</v>
      </c>
      <c r="B372" s="523" t="s">
        <v>1650</v>
      </c>
      <c r="C372" s="523" t="s">
        <v>1651</v>
      </c>
      <c r="D372" s="523" t="s">
        <v>1636</v>
      </c>
      <c r="E372" s="523" t="s">
        <v>1637</v>
      </c>
      <c r="F372" s="523" t="s">
        <v>15</v>
      </c>
    </row>
    <row r="373">
      <c r="A373" s="523">
        <v>372</v>
      </c>
      <c r="B373" s="523" t="s">
        <v>1652</v>
      </c>
      <c r="C373" s="523" t="s">
        <v>1653</v>
      </c>
      <c r="D373" s="523" t="s">
        <v>1636</v>
      </c>
      <c r="E373" s="523" t="s">
        <v>1637</v>
      </c>
      <c r="F373" s="523" t="s">
        <v>15</v>
      </c>
    </row>
    <row r="374">
      <c r="A374" s="523">
        <v>373</v>
      </c>
      <c r="B374" s="523" t="s">
        <v>1654</v>
      </c>
      <c r="C374" s="523" t="s">
        <v>1655</v>
      </c>
      <c r="D374" s="523" t="s">
        <v>1636</v>
      </c>
      <c r="E374" s="523" t="s">
        <v>1637</v>
      </c>
      <c r="F374" s="523" t="s">
        <v>15</v>
      </c>
    </row>
    <row r="375">
      <c r="A375" s="523">
        <v>374</v>
      </c>
      <c r="B375" s="523" t="s">
        <v>1656</v>
      </c>
      <c r="C375" s="523" t="s">
        <v>1657</v>
      </c>
      <c r="D375" s="523" t="s">
        <v>1636</v>
      </c>
      <c r="E375" s="523" t="s">
        <v>1637</v>
      </c>
      <c r="F375" s="523" t="s">
        <v>15</v>
      </c>
    </row>
    <row r="376">
      <c r="A376" s="523">
        <v>375</v>
      </c>
      <c r="B376" s="523" t="s">
        <v>1658</v>
      </c>
      <c r="C376" s="523" t="s">
        <v>1659</v>
      </c>
      <c r="D376" s="523" t="s">
        <v>1636</v>
      </c>
      <c r="E376" s="523" t="s">
        <v>1637</v>
      </c>
      <c r="F376" s="523" t="s">
        <v>15</v>
      </c>
    </row>
    <row r="377">
      <c r="A377" s="523">
        <v>376</v>
      </c>
      <c r="B377" s="523" t="s">
        <v>1660</v>
      </c>
      <c r="C377" s="523" t="s">
        <v>1661</v>
      </c>
      <c r="D377" s="523" t="s">
        <v>1636</v>
      </c>
      <c r="E377" s="523" t="s">
        <v>1637</v>
      </c>
      <c r="F377" s="523" t="s">
        <v>15</v>
      </c>
    </row>
    <row r="378">
      <c r="A378" s="523">
        <v>377</v>
      </c>
      <c r="B378" s="523" t="s">
        <v>1662</v>
      </c>
      <c r="C378" s="523" t="s">
        <v>1663</v>
      </c>
      <c r="D378" s="523" t="s">
        <v>1636</v>
      </c>
      <c r="E378" s="523" t="s">
        <v>1637</v>
      </c>
      <c r="F378" s="523" t="s">
        <v>15</v>
      </c>
    </row>
    <row r="379">
      <c r="A379" s="523">
        <v>378</v>
      </c>
      <c r="B379" s="523" t="s">
        <v>1664</v>
      </c>
      <c r="C379" s="523" t="s">
        <v>1665</v>
      </c>
      <c r="D379" s="523" t="s">
        <v>1636</v>
      </c>
      <c r="E379" s="523" t="s">
        <v>1637</v>
      </c>
      <c r="F379" s="523" t="s">
        <v>15</v>
      </c>
    </row>
    <row r="380">
      <c r="A380" s="523">
        <v>379</v>
      </c>
      <c r="B380" s="523" t="s">
        <v>1666</v>
      </c>
      <c r="C380" s="523" t="s">
        <v>1667</v>
      </c>
      <c r="D380" s="523" t="s">
        <v>1668</v>
      </c>
      <c r="E380" s="523" t="s">
        <v>1669</v>
      </c>
      <c r="F380" s="523" t="s">
        <v>15</v>
      </c>
    </row>
    <row r="381">
      <c r="A381" s="523">
        <v>380</v>
      </c>
      <c r="B381" s="523" t="s">
        <v>1670</v>
      </c>
      <c r="C381" s="523" t="s">
        <v>1671</v>
      </c>
      <c r="D381" s="523" t="s">
        <v>1668</v>
      </c>
      <c r="E381" s="523" t="s">
        <v>1669</v>
      </c>
      <c r="F381" s="523" t="s">
        <v>15</v>
      </c>
    </row>
    <row r="382">
      <c r="A382" s="523">
        <v>381</v>
      </c>
      <c r="B382" s="523" t="s">
        <v>1672</v>
      </c>
      <c r="C382" s="523" t="s">
        <v>1673</v>
      </c>
      <c r="D382" s="523" t="s">
        <v>1668</v>
      </c>
      <c r="E382" s="523" t="s">
        <v>1669</v>
      </c>
      <c r="F382" s="523" t="s">
        <v>15</v>
      </c>
    </row>
    <row r="383">
      <c r="A383" s="523">
        <v>382</v>
      </c>
      <c r="B383" s="523" t="s">
        <v>1674</v>
      </c>
      <c r="C383" s="523" t="s">
        <v>1675</v>
      </c>
      <c r="D383" s="523" t="s">
        <v>1668</v>
      </c>
      <c r="E383" s="523" t="s">
        <v>1669</v>
      </c>
      <c r="F383" s="523" t="s">
        <v>15</v>
      </c>
    </row>
    <row r="384">
      <c r="A384" s="523">
        <v>383</v>
      </c>
      <c r="B384" s="523" t="s">
        <v>1676</v>
      </c>
      <c r="C384" s="523" t="s">
        <v>1677</v>
      </c>
      <c r="D384" s="523" t="s">
        <v>1668</v>
      </c>
      <c r="E384" s="523" t="s">
        <v>1669</v>
      </c>
      <c r="F384" s="523" t="s">
        <v>15</v>
      </c>
    </row>
    <row r="385">
      <c r="A385" s="523">
        <v>384</v>
      </c>
      <c r="B385" s="523" t="s">
        <v>1678</v>
      </c>
      <c r="C385" s="523" t="s">
        <v>1679</v>
      </c>
      <c r="D385" s="523" t="s">
        <v>1668</v>
      </c>
      <c r="E385" s="523" t="s">
        <v>1669</v>
      </c>
      <c r="F385" s="523" t="s">
        <v>15</v>
      </c>
    </row>
    <row r="386">
      <c r="A386" s="523">
        <v>385</v>
      </c>
      <c r="B386" s="523" t="s">
        <v>1680</v>
      </c>
      <c r="C386" s="523" t="s">
        <v>1243</v>
      </c>
      <c r="D386" s="523" t="s">
        <v>1668</v>
      </c>
      <c r="E386" s="523" t="s">
        <v>1669</v>
      </c>
      <c r="F386" s="523" t="s">
        <v>15</v>
      </c>
    </row>
    <row r="387">
      <c r="A387" s="523">
        <v>386</v>
      </c>
      <c r="B387" s="523" t="s">
        <v>1681</v>
      </c>
      <c r="C387" s="523" t="s">
        <v>1682</v>
      </c>
      <c r="D387" s="523" t="s">
        <v>1668</v>
      </c>
      <c r="E387" s="523" t="s">
        <v>1669</v>
      </c>
      <c r="F387" s="523" t="s">
        <v>15</v>
      </c>
    </row>
    <row r="388">
      <c r="A388" s="523">
        <v>387</v>
      </c>
      <c r="B388" s="523" t="s">
        <v>1683</v>
      </c>
      <c r="C388" s="523" t="s">
        <v>1684</v>
      </c>
      <c r="D388" s="523" t="s">
        <v>1668</v>
      </c>
      <c r="E388" s="523" t="s">
        <v>1669</v>
      </c>
      <c r="F388" s="523" t="s">
        <v>15</v>
      </c>
    </row>
    <row r="389">
      <c r="A389" s="523">
        <v>388</v>
      </c>
      <c r="B389" s="523" t="s">
        <v>1685</v>
      </c>
      <c r="C389" s="523" t="s">
        <v>1686</v>
      </c>
      <c r="D389" s="523" t="s">
        <v>1668</v>
      </c>
      <c r="E389" s="523" t="s">
        <v>1669</v>
      </c>
      <c r="F389" s="523" t="s">
        <v>15</v>
      </c>
    </row>
    <row r="390">
      <c r="A390" s="523">
        <v>389</v>
      </c>
      <c r="B390" s="523" t="s">
        <v>1687</v>
      </c>
      <c r="C390" s="523" t="s">
        <v>1688</v>
      </c>
      <c r="D390" s="523" t="s">
        <v>1689</v>
      </c>
      <c r="E390" s="523" t="s">
        <v>1690</v>
      </c>
      <c r="F390" s="523" t="s">
        <v>15</v>
      </c>
    </row>
    <row r="391">
      <c r="A391" s="523">
        <v>390</v>
      </c>
      <c r="B391" s="523" t="s">
        <v>1691</v>
      </c>
      <c r="C391" s="523" t="s">
        <v>1024</v>
      </c>
      <c r="D391" s="523" t="s">
        <v>1689</v>
      </c>
      <c r="E391" s="523" t="s">
        <v>1690</v>
      </c>
      <c r="F391" s="523" t="s">
        <v>15</v>
      </c>
    </row>
    <row r="392">
      <c r="A392" s="523">
        <v>391</v>
      </c>
      <c r="B392" s="523" t="s">
        <v>1692</v>
      </c>
      <c r="C392" s="523" t="s">
        <v>1232</v>
      </c>
      <c r="D392" s="523" t="s">
        <v>1689</v>
      </c>
      <c r="E392" s="523" t="s">
        <v>1690</v>
      </c>
      <c r="F392" s="523" t="s">
        <v>15</v>
      </c>
    </row>
    <row r="393">
      <c r="A393" s="523">
        <v>392</v>
      </c>
      <c r="B393" s="523" t="s">
        <v>1693</v>
      </c>
      <c r="C393" s="523" t="s">
        <v>1084</v>
      </c>
      <c r="D393" s="523" t="s">
        <v>1689</v>
      </c>
      <c r="E393" s="523" t="s">
        <v>1690</v>
      </c>
      <c r="F393" s="523" t="s">
        <v>15</v>
      </c>
    </row>
    <row r="394">
      <c r="A394" s="523">
        <v>393</v>
      </c>
      <c r="B394" s="523" t="s">
        <v>1694</v>
      </c>
      <c r="C394" s="523" t="s">
        <v>1086</v>
      </c>
      <c r="D394" s="523" t="s">
        <v>1689</v>
      </c>
      <c r="E394" s="523" t="s">
        <v>1690</v>
      </c>
      <c r="F394" s="523" t="s">
        <v>15</v>
      </c>
    </row>
    <row r="395">
      <c r="A395" s="523">
        <v>394</v>
      </c>
      <c r="B395" s="523" t="s">
        <v>1695</v>
      </c>
      <c r="C395" s="523" t="s">
        <v>1696</v>
      </c>
      <c r="D395" s="523" t="s">
        <v>1689</v>
      </c>
      <c r="E395" s="523" t="s">
        <v>1690</v>
      </c>
      <c r="F395" s="523" t="s">
        <v>15</v>
      </c>
    </row>
    <row r="396">
      <c r="A396" s="523">
        <v>395</v>
      </c>
      <c r="B396" s="523" t="s">
        <v>1697</v>
      </c>
      <c r="C396" s="523" t="s">
        <v>1587</v>
      </c>
      <c r="D396" s="523" t="s">
        <v>1689</v>
      </c>
      <c r="E396" s="523" t="s">
        <v>1690</v>
      </c>
      <c r="F396" s="523" t="s">
        <v>15</v>
      </c>
    </row>
    <row r="397">
      <c r="A397" s="523">
        <v>396</v>
      </c>
      <c r="B397" s="523" t="s">
        <v>1698</v>
      </c>
      <c r="C397" s="523" t="s">
        <v>1699</v>
      </c>
      <c r="D397" s="523" t="s">
        <v>1689</v>
      </c>
      <c r="E397" s="523" t="s">
        <v>1690</v>
      </c>
      <c r="F397" s="523" t="s">
        <v>15</v>
      </c>
    </row>
    <row r="398">
      <c r="A398" s="523">
        <v>397</v>
      </c>
      <c r="B398" s="523" t="s">
        <v>1700</v>
      </c>
      <c r="C398" s="523" t="s">
        <v>1701</v>
      </c>
      <c r="D398" s="523" t="s">
        <v>1689</v>
      </c>
      <c r="E398" s="523" t="s">
        <v>1690</v>
      </c>
      <c r="F398" s="523" t="s">
        <v>15</v>
      </c>
    </row>
    <row r="399">
      <c r="A399" s="523">
        <v>398</v>
      </c>
      <c r="B399" s="523" t="s">
        <v>1702</v>
      </c>
      <c r="C399" s="523" t="s">
        <v>1703</v>
      </c>
      <c r="D399" s="523" t="s">
        <v>1689</v>
      </c>
      <c r="E399" s="523" t="s">
        <v>1690</v>
      </c>
      <c r="F399" s="523" t="s">
        <v>15</v>
      </c>
    </row>
    <row r="400">
      <c r="A400" s="523">
        <v>399</v>
      </c>
      <c r="B400" s="523" t="s">
        <v>1704</v>
      </c>
      <c r="C400" s="523" t="s">
        <v>1705</v>
      </c>
      <c r="D400" s="523" t="s">
        <v>1689</v>
      </c>
      <c r="E400" s="523" t="s">
        <v>1690</v>
      </c>
      <c r="F400" s="523" t="s">
        <v>15</v>
      </c>
    </row>
    <row r="401">
      <c r="A401" s="523">
        <v>400</v>
      </c>
      <c r="B401" s="523" t="s">
        <v>1706</v>
      </c>
      <c r="C401" s="523" t="s">
        <v>1707</v>
      </c>
      <c r="D401" s="523" t="s">
        <v>1708</v>
      </c>
      <c r="E401" s="523" t="s">
        <v>1709</v>
      </c>
      <c r="F401" s="523" t="s">
        <v>15</v>
      </c>
    </row>
    <row r="402">
      <c r="A402" s="523">
        <v>401</v>
      </c>
      <c r="B402" s="523" t="s">
        <v>1710</v>
      </c>
      <c r="C402" s="523" t="s">
        <v>1711</v>
      </c>
      <c r="D402" s="523" t="s">
        <v>1708</v>
      </c>
      <c r="E402" s="523" t="s">
        <v>1709</v>
      </c>
      <c r="F402" s="523" t="s">
        <v>15</v>
      </c>
    </row>
    <row r="403">
      <c r="A403" s="523">
        <v>402</v>
      </c>
      <c r="B403" s="523" t="s">
        <v>1712</v>
      </c>
      <c r="C403" s="523" t="s">
        <v>1713</v>
      </c>
      <c r="D403" s="523" t="s">
        <v>1708</v>
      </c>
      <c r="E403" s="523" t="s">
        <v>1709</v>
      </c>
      <c r="F403" s="523" t="s">
        <v>15</v>
      </c>
    </row>
    <row r="404">
      <c r="A404" s="523">
        <v>403</v>
      </c>
      <c r="B404" s="523" t="s">
        <v>1714</v>
      </c>
      <c r="C404" s="523" t="s">
        <v>1715</v>
      </c>
      <c r="D404" s="523" t="s">
        <v>1708</v>
      </c>
      <c r="E404" s="523" t="s">
        <v>1709</v>
      </c>
      <c r="F404" s="523" t="s">
        <v>15</v>
      </c>
    </row>
    <row r="405">
      <c r="A405" s="523">
        <v>404</v>
      </c>
      <c r="B405" s="523" t="s">
        <v>1716</v>
      </c>
      <c r="C405" s="523" t="s">
        <v>1717</v>
      </c>
      <c r="D405" s="523" t="s">
        <v>1708</v>
      </c>
      <c r="E405" s="523" t="s">
        <v>1709</v>
      </c>
      <c r="F405" s="523" t="s">
        <v>15</v>
      </c>
    </row>
    <row r="406">
      <c r="A406" s="523">
        <v>405</v>
      </c>
      <c r="B406" s="523" t="s">
        <v>1718</v>
      </c>
      <c r="C406" s="523" t="s">
        <v>1719</v>
      </c>
      <c r="D406" s="523" t="s">
        <v>1708</v>
      </c>
      <c r="E406" s="523" t="s">
        <v>1709</v>
      </c>
      <c r="F406" s="523" t="s">
        <v>15</v>
      </c>
    </row>
    <row r="407">
      <c r="A407" s="523">
        <v>406</v>
      </c>
      <c r="B407" s="523" t="s">
        <v>1720</v>
      </c>
      <c r="C407" s="523" t="s">
        <v>1721</v>
      </c>
      <c r="D407" s="523" t="s">
        <v>1722</v>
      </c>
      <c r="E407" s="523" t="s">
        <v>1723</v>
      </c>
      <c r="F407" s="523" t="s">
        <v>15</v>
      </c>
    </row>
    <row r="408">
      <c r="A408" s="523">
        <v>407</v>
      </c>
      <c r="B408" s="523" t="s">
        <v>1724</v>
      </c>
      <c r="C408" s="523" t="s">
        <v>1725</v>
      </c>
      <c r="D408" s="523" t="s">
        <v>1722</v>
      </c>
      <c r="E408" s="523" t="s">
        <v>1723</v>
      </c>
      <c r="F408" s="523" t="s">
        <v>15</v>
      </c>
    </row>
    <row r="409">
      <c r="A409" s="523">
        <v>408</v>
      </c>
      <c r="B409" s="523" t="s">
        <v>1726</v>
      </c>
      <c r="C409" s="523" t="s">
        <v>1727</v>
      </c>
      <c r="D409" s="523" t="s">
        <v>1722</v>
      </c>
      <c r="E409" s="523" t="s">
        <v>1723</v>
      </c>
      <c r="F409" s="523" t="s">
        <v>15</v>
      </c>
    </row>
    <row r="410">
      <c r="A410" s="523">
        <v>409</v>
      </c>
      <c r="B410" s="523" t="s">
        <v>1728</v>
      </c>
      <c r="C410" s="523" t="s">
        <v>1729</v>
      </c>
      <c r="D410" s="523" t="s">
        <v>1722</v>
      </c>
      <c r="E410" s="523" t="s">
        <v>1723</v>
      </c>
      <c r="F410" s="523" t="s">
        <v>15</v>
      </c>
    </row>
    <row r="411">
      <c r="A411" s="523">
        <v>410</v>
      </c>
      <c r="B411" s="523" t="s">
        <v>1730</v>
      </c>
      <c r="C411" s="523" t="s">
        <v>1731</v>
      </c>
      <c r="D411" s="523" t="s">
        <v>1722</v>
      </c>
      <c r="E411" s="523" t="s">
        <v>1723</v>
      </c>
      <c r="F411" s="523" t="s">
        <v>15</v>
      </c>
    </row>
    <row r="412">
      <c r="A412" s="523">
        <v>411</v>
      </c>
      <c r="B412" s="523" t="s">
        <v>1732</v>
      </c>
      <c r="C412" s="523" t="s">
        <v>974</v>
      </c>
      <c r="D412" s="523" t="s">
        <v>1722</v>
      </c>
      <c r="E412" s="523" t="s">
        <v>1723</v>
      </c>
      <c r="F412" s="523" t="s">
        <v>15</v>
      </c>
    </row>
    <row r="413">
      <c r="A413" s="523">
        <v>412</v>
      </c>
      <c r="B413" s="523" t="s">
        <v>1733</v>
      </c>
      <c r="C413" s="523" t="s">
        <v>1734</v>
      </c>
      <c r="D413" s="523" t="s">
        <v>1722</v>
      </c>
      <c r="E413" s="523" t="s">
        <v>1723</v>
      </c>
      <c r="F413" s="523" t="s">
        <v>15</v>
      </c>
    </row>
    <row r="414">
      <c r="A414" s="523">
        <v>413</v>
      </c>
      <c r="B414" s="523" t="s">
        <v>1735</v>
      </c>
      <c r="C414" s="523" t="s">
        <v>1338</v>
      </c>
      <c r="D414" s="523" t="s">
        <v>1736</v>
      </c>
      <c r="E414" s="523" t="s">
        <v>1737</v>
      </c>
      <c r="F414" s="523" t="s">
        <v>15</v>
      </c>
    </row>
    <row r="415">
      <c r="A415" s="523">
        <v>414</v>
      </c>
      <c r="B415" s="523" t="s">
        <v>1738</v>
      </c>
      <c r="C415" s="523" t="s">
        <v>1739</v>
      </c>
      <c r="D415" s="523" t="s">
        <v>1736</v>
      </c>
      <c r="E415" s="523" t="s">
        <v>1737</v>
      </c>
      <c r="F415" s="523" t="s">
        <v>15</v>
      </c>
    </row>
    <row r="416">
      <c r="A416" s="523">
        <v>415</v>
      </c>
      <c r="B416" s="523" t="s">
        <v>1740</v>
      </c>
      <c r="C416" s="523" t="s">
        <v>1741</v>
      </c>
      <c r="D416" s="523" t="s">
        <v>1736</v>
      </c>
      <c r="E416" s="523" t="s">
        <v>1737</v>
      </c>
      <c r="F416" s="523" t="s">
        <v>15</v>
      </c>
    </row>
    <row r="417">
      <c r="A417" s="523">
        <v>416</v>
      </c>
      <c r="B417" s="523" t="s">
        <v>1742</v>
      </c>
      <c r="C417" s="523" t="s">
        <v>1743</v>
      </c>
      <c r="D417" s="523" t="s">
        <v>1736</v>
      </c>
      <c r="E417" s="523" t="s">
        <v>1737</v>
      </c>
      <c r="F417" s="523" t="s">
        <v>15</v>
      </c>
    </row>
    <row r="418">
      <c r="A418" s="523">
        <v>417</v>
      </c>
      <c r="B418" s="523" t="s">
        <v>1744</v>
      </c>
      <c r="C418" s="523" t="s">
        <v>1745</v>
      </c>
      <c r="D418" s="523" t="s">
        <v>1736</v>
      </c>
      <c r="E418" s="523" t="s">
        <v>1737</v>
      </c>
      <c r="F418" s="523" t="s">
        <v>15</v>
      </c>
    </row>
    <row r="419">
      <c r="A419" s="523">
        <v>418</v>
      </c>
      <c r="B419" s="523" t="s">
        <v>1746</v>
      </c>
      <c r="C419" s="523" t="s">
        <v>1212</v>
      </c>
      <c r="D419" s="523" t="s">
        <v>1736</v>
      </c>
      <c r="E419" s="523" t="s">
        <v>1737</v>
      </c>
      <c r="F419" s="523" t="s">
        <v>15</v>
      </c>
    </row>
    <row r="420">
      <c r="A420" s="523">
        <v>419</v>
      </c>
      <c r="B420" s="523" t="s">
        <v>1747</v>
      </c>
      <c r="C420" s="523" t="s">
        <v>1748</v>
      </c>
      <c r="D420" s="523" t="s">
        <v>1736</v>
      </c>
      <c r="E420" s="523" t="s">
        <v>1737</v>
      </c>
      <c r="F420" s="523" t="s">
        <v>15</v>
      </c>
    </row>
    <row r="421">
      <c r="A421" s="523">
        <v>420</v>
      </c>
      <c r="B421" s="523" t="s">
        <v>1749</v>
      </c>
      <c r="C421" s="523" t="s">
        <v>1750</v>
      </c>
      <c r="D421" s="523" t="s">
        <v>1736</v>
      </c>
      <c r="E421" s="523" t="s">
        <v>1737</v>
      </c>
      <c r="F421" s="523" t="s">
        <v>15</v>
      </c>
    </row>
    <row r="422">
      <c r="A422" s="523">
        <v>421</v>
      </c>
      <c r="B422" s="523" t="s">
        <v>1751</v>
      </c>
      <c r="C422" s="523" t="s">
        <v>1752</v>
      </c>
      <c r="D422" s="523" t="s">
        <v>1753</v>
      </c>
      <c r="E422" s="523" t="s">
        <v>1754</v>
      </c>
      <c r="F422" s="523" t="s">
        <v>18</v>
      </c>
    </row>
    <row r="423">
      <c r="A423" s="523">
        <v>422</v>
      </c>
      <c r="B423" s="523" t="s">
        <v>1755</v>
      </c>
      <c r="C423" s="523" t="s">
        <v>1756</v>
      </c>
      <c r="D423" s="523" t="s">
        <v>1753</v>
      </c>
      <c r="E423" s="523" t="s">
        <v>1754</v>
      </c>
      <c r="F423" s="523" t="s">
        <v>18</v>
      </c>
    </row>
    <row r="424">
      <c r="A424" s="523">
        <v>423</v>
      </c>
      <c r="B424" s="523" t="s">
        <v>1757</v>
      </c>
      <c r="C424" s="523" t="s">
        <v>1758</v>
      </c>
      <c r="D424" s="523" t="s">
        <v>1753</v>
      </c>
      <c r="E424" s="523" t="s">
        <v>1754</v>
      </c>
      <c r="F424" s="523" t="s">
        <v>18</v>
      </c>
    </row>
    <row r="425">
      <c r="A425" s="523">
        <v>424</v>
      </c>
      <c r="B425" s="523" t="s">
        <v>1759</v>
      </c>
      <c r="C425" s="523" t="s">
        <v>1760</v>
      </c>
      <c r="D425" s="523" t="s">
        <v>1753</v>
      </c>
      <c r="E425" s="523" t="s">
        <v>1754</v>
      </c>
      <c r="F425" s="523" t="s">
        <v>18</v>
      </c>
    </row>
    <row r="426">
      <c r="A426" s="523">
        <v>425</v>
      </c>
      <c r="B426" s="523" t="s">
        <v>1761</v>
      </c>
      <c r="C426" s="523" t="s">
        <v>1762</v>
      </c>
      <c r="D426" s="523" t="s">
        <v>1753</v>
      </c>
      <c r="E426" s="523" t="s">
        <v>1754</v>
      </c>
      <c r="F426" s="523" t="s">
        <v>18</v>
      </c>
    </row>
    <row r="427">
      <c r="A427" s="523">
        <v>426</v>
      </c>
      <c r="B427" s="523" t="s">
        <v>1763</v>
      </c>
      <c r="C427" s="523" t="s">
        <v>1764</v>
      </c>
      <c r="D427" s="523" t="s">
        <v>1753</v>
      </c>
      <c r="E427" s="523" t="s">
        <v>1754</v>
      </c>
      <c r="F427" s="523" t="s">
        <v>18</v>
      </c>
    </row>
    <row r="428">
      <c r="A428" s="523">
        <v>427</v>
      </c>
      <c r="B428" s="523" t="s">
        <v>1765</v>
      </c>
      <c r="C428" s="523" t="s">
        <v>1766</v>
      </c>
      <c r="D428" s="523" t="s">
        <v>1753</v>
      </c>
      <c r="E428" s="523" t="s">
        <v>1754</v>
      </c>
      <c r="F428" s="523" t="s">
        <v>18</v>
      </c>
    </row>
    <row r="429">
      <c r="A429" s="523">
        <v>428</v>
      </c>
      <c r="B429" s="523" t="s">
        <v>1767</v>
      </c>
      <c r="C429" s="523" t="s">
        <v>1768</v>
      </c>
      <c r="D429" s="523" t="s">
        <v>1753</v>
      </c>
      <c r="E429" s="523" t="s">
        <v>1754</v>
      </c>
      <c r="F429" s="523" t="s">
        <v>18</v>
      </c>
    </row>
    <row r="430">
      <c r="A430" s="523">
        <v>429</v>
      </c>
      <c r="B430" s="523" t="s">
        <v>1769</v>
      </c>
      <c r="C430" s="523" t="s">
        <v>1770</v>
      </c>
      <c r="D430" s="523" t="s">
        <v>1753</v>
      </c>
      <c r="E430" s="523" t="s">
        <v>1754</v>
      </c>
      <c r="F430" s="523" t="s">
        <v>18</v>
      </c>
    </row>
    <row r="431">
      <c r="A431" s="523">
        <v>430</v>
      </c>
      <c r="B431" s="523" t="s">
        <v>1771</v>
      </c>
      <c r="C431" s="523" t="s">
        <v>1772</v>
      </c>
      <c r="D431" s="523" t="s">
        <v>1753</v>
      </c>
      <c r="E431" s="523" t="s">
        <v>1754</v>
      </c>
      <c r="F431" s="523" t="s">
        <v>18</v>
      </c>
    </row>
    <row r="432">
      <c r="A432" s="523">
        <v>431</v>
      </c>
      <c r="B432" s="523" t="s">
        <v>1773</v>
      </c>
      <c r="C432" s="523" t="s">
        <v>1774</v>
      </c>
      <c r="D432" s="523" t="s">
        <v>1753</v>
      </c>
      <c r="E432" s="523" t="s">
        <v>1754</v>
      </c>
      <c r="F432" s="523" t="s">
        <v>18</v>
      </c>
    </row>
    <row r="433">
      <c r="A433" s="523">
        <v>432</v>
      </c>
      <c r="B433" s="523" t="s">
        <v>1775</v>
      </c>
      <c r="C433" s="523" t="s">
        <v>1776</v>
      </c>
      <c r="D433" s="523" t="s">
        <v>1753</v>
      </c>
      <c r="E433" s="523" t="s">
        <v>1754</v>
      </c>
      <c r="F433" s="523" t="s">
        <v>18</v>
      </c>
    </row>
    <row r="434">
      <c r="A434" s="523">
        <v>433</v>
      </c>
      <c r="B434" s="523" t="s">
        <v>1777</v>
      </c>
      <c r="C434" s="523" t="s">
        <v>1778</v>
      </c>
      <c r="D434" s="523" t="s">
        <v>1753</v>
      </c>
      <c r="E434" s="523" t="s">
        <v>1754</v>
      </c>
      <c r="F434" s="523" t="s">
        <v>18</v>
      </c>
    </row>
    <row r="435">
      <c r="A435" s="523">
        <v>434</v>
      </c>
      <c r="B435" s="523" t="s">
        <v>1779</v>
      </c>
      <c r="C435" s="523" t="s">
        <v>1780</v>
      </c>
      <c r="D435" s="523" t="s">
        <v>1753</v>
      </c>
      <c r="E435" s="523" t="s">
        <v>1754</v>
      </c>
      <c r="F435" s="523" t="s">
        <v>18</v>
      </c>
    </row>
    <row r="436">
      <c r="A436" s="523">
        <v>435</v>
      </c>
      <c r="B436" s="523" t="s">
        <v>1781</v>
      </c>
      <c r="C436" s="523" t="s">
        <v>1782</v>
      </c>
      <c r="D436" s="523" t="s">
        <v>1753</v>
      </c>
      <c r="E436" s="523" t="s">
        <v>1754</v>
      </c>
      <c r="F436" s="523" t="s">
        <v>18</v>
      </c>
    </row>
    <row r="437">
      <c r="A437" s="523">
        <v>436</v>
      </c>
      <c r="B437" s="523" t="s">
        <v>1783</v>
      </c>
      <c r="C437" s="523" t="s">
        <v>1784</v>
      </c>
      <c r="D437" s="523" t="s">
        <v>1753</v>
      </c>
      <c r="E437" s="523" t="s">
        <v>1754</v>
      </c>
      <c r="F437" s="523" t="s">
        <v>18</v>
      </c>
    </row>
    <row r="438">
      <c r="A438" s="523">
        <v>437</v>
      </c>
      <c r="B438" s="523" t="s">
        <v>1785</v>
      </c>
      <c r="C438" s="523" t="s">
        <v>1786</v>
      </c>
      <c r="D438" s="523" t="s">
        <v>1753</v>
      </c>
      <c r="E438" s="523" t="s">
        <v>1754</v>
      </c>
      <c r="F438" s="523" t="s">
        <v>18</v>
      </c>
    </row>
    <row r="439">
      <c r="A439" s="523">
        <v>438</v>
      </c>
      <c r="B439" s="523" t="s">
        <v>1787</v>
      </c>
      <c r="C439" s="523" t="s">
        <v>1788</v>
      </c>
      <c r="D439" s="523" t="s">
        <v>1753</v>
      </c>
      <c r="E439" s="523" t="s">
        <v>1754</v>
      </c>
      <c r="F439" s="523" t="s">
        <v>18</v>
      </c>
    </row>
    <row r="440">
      <c r="A440" s="523">
        <v>439</v>
      </c>
      <c r="B440" s="523" t="s">
        <v>1789</v>
      </c>
      <c r="C440" s="523" t="s">
        <v>1232</v>
      </c>
      <c r="D440" s="523" t="s">
        <v>1753</v>
      </c>
      <c r="E440" s="523" t="s">
        <v>1754</v>
      </c>
      <c r="F440" s="523" t="s">
        <v>18</v>
      </c>
    </row>
    <row r="441">
      <c r="A441" s="523">
        <v>440</v>
      </c>
      <c r="B441" s="523" t="s">
        <v>1790</v>
      </c>
      <c r="C441" s="523" t="s">
        <v>1210</v>
      </c>
      <c r="D441" s="523" t="s">
        <v>1753</v>
      </c>
      <c r="E441" s="523" t="s">
        <v>1754</v>
      </c>
      <c r="F441" s="523" t="s">
        <v>18</v>
      </c>
    </row>
    <row r="442">
      <c r="A442" s="523">
        <v>441</v>
      </c>
      <c r="B442" s="523" t="s">
        <v>1791</v>
      </c>
      <c r="C442" s="523" t="s">
        <v>1792</v>
      </c>
      <c r="D442" s="523" t="s">
        <v>1753</v>
      </c>
      <c r="E442" s="523" t="s">
        <v>1754</v>
      </c>
      <c r="F442" s="523" t="s">
        <v>18</v>
      </c>
    </row>
    <row r="443">
      <c r="A443" s="523">
        <v>442</v>
      </c>
      <c r="B443" s="523" t="s">
        <v>1793</v>
      </c>
      <c r="C443" s="523" t="s">
        <v>1794</v>
      </c>
      <c r="D443" s="523" t="s">
        <v>1753</v>
      </c>
      <c r="E443" s="523" t="s">
        <v>1754</v>
      </c>
      <c r="F443" s="523" t="s">
        <v>18</v>
      </c>
    </row>
    <row r="444">
      <c r="A444" s="523">
        <v>443</v>
      </c>
      <c r="B444" s="523" t="s">
        <v>1795</v>
      </c>
      <c r="C444" s="523" t="s">
        <v>942</v>
      </c>
      <c r="D444" s="523" t="s">
        <v>1753</v>
      </c>
      <c r="E444" s="523" t="s">
        <v>1754</v>
      </c>
      <c r="F444" s="523" t="s">
        <v>18</v>
      </c>
    </row>
    <row r="445">
      <c r="A445" s="523">
        <v>444</v>
      </c>
      <c r="B445" s="523" t="s">
        <v>1796</v>
      </c>
      <c r="C445" s="523" t="s">
        <v>1196</v>
      </c>
      <c r="D445" s="523" t="s">
        <v>1753</v>
      </c>
      <c r="E445" s="523" t="s">
        <v>1754</v>
      </c>
      <c r="F445" s="523" t="s">
        <v>18</v>
      </c>
    </row>
    <row r="446">
      <c r="A446" s="523">
        <v>445</v>
      </c>
      <c r="B446" s="523" t="s">
        <v>1797</v>
      </c>
      <c r="C446" s="523" t="s">
        <v>1798</v>
      </c>
      <c r="D446" s="523" t="s">
        <v>1799</v>
      </c>
      <c r="E446" s="523" t="s">
        <v>1800</v>
      </c>
      <c r="F446" s="523" t="s">
        <v>18</v>
      </c>
    </row>
    <row r="447">
      <c r="A447" s="523">
        <v>446</v>
      </c>
      <c r="B447" s="523" t="s">
        <v>1801</v>
      </c>
      <c r="C447" s="523" t="s">
        <v>1526</v>
      </c>
      <c r="D447" s="523" t="s">
        <v>1799</v>
      </c>
      <c r="E447" s="523" t="s">
        <v>1800</v>
      </c>
      <c r="F447" s="523" t="s">
        <v>18</v>
      </c>
    </row>
    <row r="448">
      <c r="A448" s="523">
        <v>447</v>
      </c>
      <c r="B448" s="523" t="s">
        <v>1802</v>
      </c>
      <c r="C448" s="523" t="s">
        <v>1803</v>
      </c>
      <c r="D448" s="523" t="s">
        <v>1799</v>
      </c>
      <c r="E448" s="523" t="s">
        <v>1800</v>
      </c>
      <c r="F448" s="523" t="s">
        <v>18</v>
      </c>
    </row>
    <row r="449">
      <c r="A449" s="523">
        <v>448</v>
      </c>
      <c r="B449" s="523" t="s">
        <v>1804</v>
      </c>
      <c r="C449" s="523" t="s">
        <v>1805</v>
      </c>
      <c r="D449" s="523" t="s">
        <v>1799</v>
      </c>
      <c r="E449" s="523" t="s">
        <v>1800</v>
      </c>
      <c r="F449" s="523" t="s">
        <v>18</v>
      </c>
    </row>
    <row r="450">
      <c r="A450" s="523">
        <v>449</v>
      </c>
      <c r="B450" s="523" t="s">
        <v>1806</v>
      </c>
      <c r="C450" s="523" t="s">
        <v>1663</v>
      </c>
      <c r="D450" s="523" t="s">
        <v>1799</v>
      </c>
      <c r="E450" s="523" t="s">
        <v>1800</v>
      </c>
      <c r="F450" s="523" t="s">
        <v>18</v>
      </c>
    </row>
    <row r="451">
      <c r="A451" s="523">
        <v>450</v>
      </c>
      <c r="B451" s="523" t="s">
        <v>1807</v>
      </c>
      <c r="C451" s="523" t="s">
        <v>1004</v>
      </c>
      <c r="D451" s="523" t="s">
        <v>1799</v>
      </c>
      <c r="E451" s="523" t="s">
        <v>1800</v>
      </c>
      <c r="F451" s="523" t="s">
        <v>18</v>
      </c>
    </row>
    <row r="452">
      <c r="A452" s="523">
        <v>451</v>
      </c>
      <c r="B452" s="523" t="s">
        <v>1808</v>
      </c>
      <c r="C452" s="523" t="s">
        <v>1809</v>
      </c>
      <c r="D452" s="523" t="s">
        <v>1799</v>
      </c>
      <c r="E452" s="523" t="s">
        <v>1800</v>
      </c>
      <c r="F452" s="523" t="s">
        <v>18</v>
      </c>
    </row>
    <row r="453">
      <c r="A453" s="523">
        <v>452</v>
      </c>
      <c r="B453" s="523" t="s">
        <v>1810</v>
      </c>
      <c r="C453" s="523" t="s">
        <v>1016</v>
      </c>
      <c r="D453" s="523" t="s">
        <v>1799</v>
      </c>
      <c r="E453" s="523" t="s">
        <v>1800</v>
      </c>
      <c r="F453" s="523" t="s">
        <v>18</v>
      </c>
    </row>
    <row r="454">
      <c r="A454" s="523">
        <v>453</v>
      </c>
      <c r="B454" s="523" t="s">
        <v>1811</v>
      </c>
      <c r="C454" s="523" t="s">
        <v>1042</v>
      </c>
      <c r="D454" s="523" t="s">
        <v>1799</v>
      </c>
      <c r="E454" s="523" t="s">
        <v>1800</v>
      </c>
      <c r="F454" s="523" t="s">
        <v>18</v>
      </c>
    </row>
    <row r="455">
      <c r="A455" s="523">
        <v>454</v>
      </c>
      <c r="B455" s="523" t="s">
        <v>1812</v>
      </c>
      <c r="C455" s="523" t="s">
        <v>1813</v>
      </c>
      <c r="D455" s="523" t="s">
        <v>1799</v>
      </c>
      <c r="E455" s="523" t="s">
        <v>1800</v>
      </c>
      <c r="F455" s="523" t="s">
        <v>18</v>
      </c>
    </row>
    <row r="456">
      <c r="A456" s="523">
        <v>455</v>
      </c>
      <c r="B456" s="523" t="s">
        <v>1814</v>
      </c>
      <c r="C456" s="523" t="s">
        <v>1815</v>
      </c>
      <c r="D456" s="523" t="s">
        <v>1799</v>
      </c>
      <c r="E456" s="523" t="s">
        <v>1800</v>
      </c>
      <c r="F456" s="523" t="s">
        <v>18</v>
      </c>
    </row>
    <row r="457">
      <c r="A457" s="523">
        <v>456</v>
      </c>
      <c r="B457" s="523" t="s">
        <v>1816</v>
      </c>
      <c r="C457" s="523" t="s">
        <v>1817</v>
      </c>
      <c r="D457" s="523" t="s">
        <v>1799</v>
      </c>
      <c r="E457" s="523" t="s">
        <v>1800</v>
      </c>
      <c r="F457" s="523" t="s">
        <v>18</v>
      </c>
    </row>
    <row r="458">
      <c r="A458" s="523">
        <v>457</v>
      </c>
      <c r="B458" s="523" t="s">
        <v>1818</v>
      </c>
      <c r="C458" s="523" t="s">
        <v>1819</v>
      </c>
      <c r="D458" s="523" t="s">
        <v>1799</v>
      </c>
      <c r="E458" s="523" t="s">
        <v>1800</v>
      </c>
      <c r="F458" s="523" t="s">
        <v>18</v>
      </c>
    </row>
    <row r="459">
      <c r="A459" s="523">
        <v>458</v>
      </c>
      <c r="B459" s="523" t="s">
        <v>1820</v>
      </c>
      <c r="C459" s="523" t="s">
        <v>1821</v>
      </c>
      <c r="D459" s="523" t="s">
        <v>1799</v>
      </c>
      <c r="E459" s="523" t="s">
        <v>1800</v>
      </c>
      <c r="F459" s="523" t="s">
        <v>18</v>
      </c>
    </row>
    <row r="460">
      <c r="A460" s="523">
        <v>459</v>
      </c>
      <c r="B460" s="523" t="s">
        <v>1822</v>
      </c>
      <c r="C460" s="523" t="s">
        <v>1823</v>
      </c>
      <c r="D460" s="523" t="s">
        <v>1799</v>
      </c>
      <c r="E460" s="523" t="s">
        <v>1800</v>
      </c>
      <c r="F460" s="523" t="s">
        <v>18</v>
      </c>
    </row>
    <row r="461">
      <c r="A461" s="523">
        <v>460</v>
      </c>
      <c r="B461" s="523" t="s">
        <v>1824</v>
      </c>
      <c r="C461" s="523" t="s">
        <v>1825</v>
      </c>
      <c r="D461" s="523" t="s">
        <v>1799</v>
      </c>
      <c r="E461" s="523" t="s">
        <v>1800</v>
      </c>
      <c r="F461" s="523" t="s">
        <v>18</v>
      </c>
    </row>
    <row r="462">
      <c r="A462" s="523">
        <v>461</v>
      </c>
      <c r="B462" s="523" t="s">
        <v>1826</v>
      </c>
      <c r="C462" s="523" t="s">
        <v>1827</v>
      </c>
      <c r="D462" s="523" t="s">
        <v>1799</v>
      </c>
      <c r="E462" s="523" t="s">
        <v>1800</v>
      </c>
      <c r="F462" s="523" t="s">
        <v>18</v>
      </c>
    </row>
    <row r="463">
      <c r="A463" s="523">
        <v>462</v>
      </c>
      <c r="B463" s="523" t="s">
        <v>1828</v>
      </c>
      <c r="C463" s="523" t="s">
        <v>1829</v>
      </c>
      <c r="D463" s="523" t="s">
        <v>1799</v>
      </c>
      <c r="E463" s="523" t="s">
        <v>1800</v>
      </c>
      <c r="F463" s="523" t="s">
        <v>18</v>
      </c>
    </row>
    <row r="464">
      <c r="A464" s="523">
        <v>463</v>
      </c>
      <c r="B464" s="523" t="s">
        <v>1830</v>
      </c>
      <c r="C464" s="523" t="s">
        <v>1831</v>
      </c>
      <c r="D464" s="523" t="s">
        <v>1799</v>
      </c>
      <c r="E464" s="523" t="s">
        <v>1800</v>
      </c>
      <c r="F464" s="523" t="s">
        <v>18</v>
      </c>
    </row>
    <row r="465">
      <c r="A465" s="523">
        <v>464</v>
      </c>
      <c r="B465" s="523" t="s">
        <v>1832</v>
      </c>
      <c r="C465" s="523" t="s">
        <v>1833</v>
      </c>
      <c r="D465" s="523" t="s">
        <v>1799</v>
      </c>
      <c r="E465" s="523" t="s">
        <v>1800</v>
      </c>
      <c r="F465" s="523" t="s">
        <v>18</v>
      </c>
    </row>
    <row r="466">
      <c r="A466" s="523">
        <v>465</v>
      </c>
      <c r="B466" s="523" t="s">
        <v>1834</v>
      </c>
      <c r="C466" s="523" t="s">
        <v>1835</v>
      </c>
      <c r="D466" s="523" t="s">
        <v>1836</v>
      </c>
      <c r="E466" s="523" t="s">
        <v>928</v>
      </c>
      <c r="F466" s="523" t="s">
        <v>18</v>
      </c>
    </row>
    <row r="467">
      <c r="A467" s="523">
        <v>466</v>
      </c>
      <c r="B467" s="523" t="s">
        <v>1837</v>
      </c>
      <c r="C467" s="523" t="s">
        <v>1758</v>
      </c>
      <c r="D467" s="523" t="s">
        <v>1836</v>
      </c>
      <c r="E467" s="523" t="s">
        <v>928</v>
      </c>
      <c r="F467" s="523" t="s">
        <v>18</v>
      </c>
    </row>
    <row r="468">
      <c r="A468" s="523">
        <v>467</v>
      </c>
      <c r="B468" s="523" t="s">
        <v>1838</v>
      </c>
      <c r="C468" s="523" t="s">
        <v>1839</v>
      </c>
      <c r="D468" s="523" t="s">
        <v>1836</v>
      </c>
      <c r="E468" s="523" t="s">
        <v>928</v>
      </c>
      <c r="F468" s="523" t="s">
        <v>18</v>
      </c>
    </row>
    <row r="469">
      <c r="A469" s="523">
        <v>468</v>
      </c>
      <c r="B469" s="523" t="s">
        <v>1840</v>
      </c>
      <c r="C469" s="523" t="s">
        <v>1841</v>
      </c>
      <c r="D469" s="523" t="s">
        <v>1836</v>
      </c>
      <c r="E469" s="523" t="s">
        <v>928</v>
      </c>
      <c r="F469" s="523" t="s">
        <v>18</v>
      </c>
    </row>
    <row r="470">
      <c r="A470" s="523">
        <v>469</v>
      </c>
      <c r="B470" s="523" t="s">
        <v>1842</v>
      </c>
      <c r="C470" s="523" t="s">
        <v>1843</v>
      </c>
      <c r="D470" s="523" t="s">
        <v>1836</v>
      </c>
      <c r="E470" s="523" t="s">
        <v>928</v>
      </c>
      <c r="F470" s="523" t="s">
        <v>18</v>
      </c>
    </row>
    <row r="471">
      <c r="A471" s="523">
        <v>470</v>
      </c>
      <c r="B471" s="523" t="s">
        <v>1844</v>
      </c>
      <c r="C471" s="523" t="s">
        <v>1845</v>
      </c>
      <c r="D471" s="523" t="s">
        <v>1836</v>
      </c>
      <c r="E471" s="523" t="s">
        <v>928</v>
      </c>
      <c r="F471" s="523" t="s">
        <v>18</v>
      </c>
    </row>
    <row r="472">
      <c r="A472" s="523">
        <v>471</v>
      </c>
      <c r="B472" s="523" t="s">
        <v>1846</v>
      </c>
      <c r="C472" s="523" t="s">
        <v>1847</v>
      </c>
      <c r="D472" s="523" t="s">
        <v>1836</v>
      </c>
      <c r="E472" s="523" t="s">
        <v>928</v>
      </c>
      <c r="F472" s="523" t="s">
        <v>18</v>
      </c>
    </row>
    <row r="473">
      <c r="A473" s="523">
        <v>472</v>
      </c>
      <c r="B473" s="523" t="s">
        <v>1848</v>
      </c>
      <c r="C473" s="523" t="s">
        <v>1849</v>
      </c>
      <c r="D473" s="523" t="s">
        <v>1836</v>
      </c>
      <c r="E473" s="523" t="s">
        <v>928</v>
      </c>
      <c r="F473" s="523" t="s">
        <v>18</v>
      </c>
    </row>
    <row r="474">
      <c r="A474" s="523">
        <v>473</v>
      </c>
      <c r="B474" s="523" t="s">
        <v>1850</v>
      </c>
      <c r="C474" s="523" t="s">
        <v>1851</v>
      </c>
      <c r="D474" s="523" t="s">
        <v>1836</v>
      </c>
      <c r="E474" s="523" t="s">
        <v>928</v>
      </c>
      <c r="F474" s="523" t="s">
        <v>18</v>
      </c>
    </row>
    <row r="475">
      <c r="A475" s="523">
        <v>474</v>
      </c>
      <c r="B475" s="523" t="s">
        <v>1852</v>
      </c>
      <c r="C475" s="523" t="s">
        <v>1853</v>
      </c>
      <c r="D475" s="523" t="s">
        <v>1836</v>
      </c>
      <c r="E475" s="523" t="s">
        <v>928</v>
      </c>
      <c r="F475" s="523" t="s">
        <v>18</v>
      </c>
    </row>
    <row r="476">
      <c r="A476" s="523">
        <v>475</v>
      </c>
      <c r="B476" s="523" t="s">
        <v>1854</v>
      </c>
      <c r="C476" s="523" t="s">
        <v>1855</v>
      </c>
      <c r="D476" s="523" t="s">
        <v>1836</v>
      </c>
      <c r="E476" s="523" t="s">
        <v>928</v>
      </c>
      <c r="F476" s="523" t="s">
        <v>18</v>
      </c>
    </row>
    <row r="477">
      <c r="A477" s="523">
        <v>476</v>
      </c>
      <c r="B477" s="523" t="s">
        <v>1856</v>
      </c>
      <c r="C477" s="523" t="s">
        <v>1857</v>
      </c>
      <c r="D477" s="523" t="s">
        <v>1836</v>
      </c>
      <c r="E477" s="523" t="s">
        <v>928</v>
      </c>
      <c r="F477" s="523" t="s">
        <v>18</v>
      </c>
    </row>
    <row r="478">
      <c r="A478" s="523">
        <v>477</v>
      </c>
      <c r="B478" s="523" t="s">
        <v>1858</v>
      </c>
      <c r="C478" s="523" t="s">
        <v>1859</v>
      </c>
      <c r="D478" s="523" t="s">
        <v>1836</v>
      </c>
      <c r="E478" s="523" t="s">
        <v>928</v>
      </c>
      <c r="F478" s="523" t="s">
        <v>18</v>
      </c>
    </row>
    <row r="479">
      <c r="A479" s="523">
        <v>478</v>
      </c>
      <c r="B479" s="523" t="s">
        <v>1860</v>
      </c>
      <c r="C479" s="523" t="s">
        <v>1861</v>
      </c>
      <c r="D479" s="523" t="s">
        <v>1836</v>
      </c>
      <c r="E479" s="523" t="s">
        <v>928</v>
      </c>
      <c r="F479" s="523" t="s">
        <v>18</v>
      </c>
    </row>
    <row r="480">
      <c r="A480" s="523">
        <v>479</v>
      </c>
      <c r="B480" s="523" t="s">
        <v>1862</v>
      </c>
      <c r="C480" s="523" t="s">
        <v>1863</v>
      </c>
      <c r="D480" s="523" t="s">
        <v>1836</v>
      </c>
      <c r="E480" s="523" t="s">
        <v>928</v>
      </c>
      <c r="F480" s="523" t="s">
        <v>18</v>
      </c>
    </row>
    <row r="481">
      <c r="A481" s="523">
        <v>480</v>
      </c>
      <c r="B481" s="523" t="s">
        <v>1864</v>
      </c>
      <c r="C481" s="523" t="s">
        <v>1865</v>
      </c>
      <c r="D481" s="523" t="s">
        <v>1836</v>
      </c>
      <c r="E481" s="523" t="s">
        <v>928</v>
      </c>
      <c r="F481" s="523" t="s">
        <v>18</v>
      </c>
    </row>
    <row r="482">
      <c r="A482" s="523">
        <v>481</v>
      </c>
      <c r="B482" s="523" t="s">
        <v>1866</v>
      </c>
      <c r="C482" s="523" t="s">
        <v>940</v>
      </c>
      <c r="D482" s="523" t="s">
        <v>1836</v>
      </c>
      <c r="E482" s="523" t="s">
        <v>928</v>
      </c>
      <c r="F482" s="523" t="s">
        <v>18</v>
      </c>
    </row>
    <row r="483">
      <c r="A483" s="523">
        <v>482</v>
      </c>
      <c r="B483" s="523" t="s">
        <v>1867</v>
      </c>
      <c r="C483" s="523" t="s">
        <v>1868</v>
      </c>
      <c r="D483" s="523" t="s">
        <v>1836</v>
      </c>
      <c r="E483" s="523" t="s">
        <v>928</v>
      </c>
      <c r="F483" s="523" t="s">
        <v>18</v>
      </c>
    </row>
    <row r="484">
      <c r="A484" s="523">
        <v>483</v>
      </c>
      <c r="B484" s="523" t="s">
        <v>1869</v>
      </c>
      <c r="C484" s="523" t="s">
        <v>1870</v>
      </c>
      <c r="D484" s="523" t="s">
        <v>1836</v>
      </c>
      <c r="E484" s="523" t="s">
        <v>928</v>
      </c>
      <c r="F484" s="523" t="s">
        <v>18</v>
      </c>
    </row>
    <row r="485">
      <c r="A485" s="523">
        <v>484</v>
      </c>
      <c r="B485" s="523" t="s">
        <v>1871</v>
      </c>
      <c r="C485" s="523" t="s">
        <v>1872</v>
      </c>
      <c r="D485" s="523" t="s">
        <v>1836</v>
      </c>
      <c r="E485" s="523" t="s">
        <v>928</v>
      </c>
      <c r="F485" s="523" t="s">
        <v>18</v>
      </c>
    </row>
    <row r="486">
      <c r="A486" s="523">
        <v>485</v>
      </c>
      <c r="B486" s="523" t="s">
        <v>1873</v>
      </c>
      <c r="C486" s="523" t="s">
        <v>1874</v>
      </c>
      <c r="D486" s="523" t="s">
        <v>1836</v>
      </c>
      <c r="E486" s="523" t="s">
        <v>928</v>
      </c>
      <c r="F486" s="523" t="s">
        <v>18</v>
      </c>
    </row>
    <row r="487">
      <c r="A487" s="523">
        <v>486</v>
      </c>
      <c r="B487" s="523" t="s">
        <v>1875</v>
      </c>
      <c r="C487" s="523" t="s">
        <v>1876</v>
      </c>
      <c r="D487" s="523" t="s">
        <v>1836</v>
      </c>
      <c r="E487" s="523" t="s">
        <v>928</v>
      </c>
      <c r="F487" s="523" t="s">
        <v>18</v>
      </c>
    </row>
    <row r="488">
      <c r="A488" s="523">
        <v>487</v>
      </c>
      <c r="B488" s="523" t="s">
        <v>1877</v>
      </c>
      <c r="C488" s="523" t="s">
        <v>1878</v>
      </c>
      <c r="D488" s="523" t="s">
        <v>1879</v>
      </c>
      <c r="E488" s="523" t="s">
        <v>1880</v>
      </c>
      <c r="F488" s="523" t="s">
        <v>18</v>
      </c>
    </row>
    <row r="489">
      <c r="A489" s="523">
        <v>488</v>
      </c>
      <c r="B489" s="523" t="s">
        <v>1881</v>
      </c>
      <c r="C489" s="523" t="s">
        <v>1882</v>
      </c>
      <c r="D489" s="523" t="s">
        <v>1879</v>
      </c>
      <c r="E489" s="523" t="s">
        <v>1880</v>
      </c>
      <c r="F489" s="523" t="s">
        <v>18</v>
      </c>
    </row>
    <row r="490">
      <c r="A490" s="523">
        <v>489</v>
      </c>
      <c r="B490" s="523" t="s">
        <v>1883</v>
      </c>
      <c r="C490" s="523" t="s">
        <v>1884</v>
      </c>
      <c r="D490" s="523" t="s">
        <v>1879</v>
      </c>
      <c r="E490" s="523" t="s">
        <v>1880</v>
      </c>
      <c r="F490" s="523" t="s">
        <v>18</v>
      </c>
    </row>
    <row r="491">
      <c r="A491" s="523">
        <v>490</v>
      </c>
      <c r="B491" s="523" t="s">
        <v>1885</v>
      </c>
      <c r="C491" s="523" t="s">
        <v>1886</v>
      </c>
      <c r="D491" s="523" t="s">
        <v>1879</v>
      </c>
      <c r="E491" s="523" t="s">
        <v>1880</v>
      </c>
      <c r="F491" s="523" t="s">
        <v>18</v>
      </c>
    </row>
    <row r="492">
      <c r="A492" s="523">
        <v>491</v>
      </c>
      <c r="B492" s="523" t="s">
        <v>1887</v>
      </c>
      <c r="C492" s="523" t="s">
        <v>1888</v>
      </c>
      <c r="D492" s="523" t="s">
        <v>1879</v>
      </c>
      <c r="E492" s="523" t="s">
        <v>1880</v>
      </c>
      <c r="F492" s="523" t="s">
        <v>18</v>
      </c>
    </row>
    <row r="493">
      <c r="A493" s="523">
        <v>492</v>
      </c>
      <c r="B493" s="523" t="s">
        <v>1889</v>
      </c>
      <c r="C493" s="523" t="s">
        <v>1558</v>
      </c>
      <c r="D493" s="523" t="s">
        <v>1879</v>
      </c>
      <c r="E493" s="523" t="s">
        <v>1880</v>
      </c>
      <c r="F493" s="523" t="s">
        <v>18</v>
      </c>
    </row>
    <row r="494">
      <c r="A494" s="523">
        <v>493</v>
      </c>
      <c r="B494" s="523" t="s">
        <v>1890</v>
      </c>
      <c r="C494" s="523" t="s">
        <v>1891</v>
      </c>
      <c r="D494" s="523" t="s">
        <v>1879</v>
      </c>
      <c r="E494" s="523" t="s">
        <v>1880</v>
      </c>
      <c r="F494" s="523" t="s">
        <v>18</v>
      </c>
    </row>
    <row r="495">
      <c r="A495" s="523">
        <v>494</v>
      </c>
      <c r="B495" s="523" t="s">
        <v>1892</v>
      </c>
      <c r="C495" s="523" t="s">
        <v>1893</v>
      </c>
      <c r="D495" s="523" t="s">
        <v>1879</v>
      </c>
      <c r="E495" s="523" t="s">
        <v>1880</v>
      </c>
      <c r="F495" s="523" t="s">
        <v>18</v>
      </c>
    </row>
    <row r="496">
      <c r="A496" s="523">
        <v>495</v>
      </c>
      <c r="B496" s="523" t="s">
        <v>1894</v>
      </c>
      <c r="C496" s="523" t="s">
        <v>944</v>
      </c>
      <c r="D496" s="523" t="s">
        <v>1879</v>
      </c>
      <c r="E496" s="523" t="s">
        <v>1880</v>
      </c>
      <c r="F496" s="523" t="s">
        <v>18</v>
      </c>
    </row>
    <row r="497">
      <c r="A497" s="523">
        <v>496</v>
      </c>
      <c r="B497" s="523" t="s">
        <v>1895</v>
      </c>
      <c r="C497" s="523" t="s">
        <v>1196</v>
      </c>
      <c r="D497" s="523" t="s">
        <v>1879</v>
      </c>
      <c r="E497" s="523" t="s">
        <v>1880</v>
      </c>
      <c r="F497" s="523" t="s">
        <v>18</v>
      </c>
    </row>
    <row r="498">
      <c r="A498" s="523">
        <v>497</v>
      </c>
      <c r="B498" s="523" t="s">
        <v>1896</v>
      </c>
      <c r="C498" s="523" t="s">
        <v>952</v>
      </c>
      <c r="D498" s="523" t="s">
        <v>1879</v>
      </c>
      <c r="E498" s="523" t="s">
        <v>1880</v>
      </c>
      <c r="F498" s="523" t="s">
        <v>18</v>
      </c>
    </row>
    <row r="499">
      <c r="A499" s="523">
        <v>498</v>
      </c>
      <c r="B499" s="523" t="s">
        <v>1897</v>
      </c>
      <c r="C499" s="523" t="s">
        <v>1898</v>
      </c>
      <c r="D499" s="523" t="s">
        <v>1899</v>
      </c>
      <c r="E499" s="523" t="s">
        <v>1900</v>
      </c>
      <c r="F499" s="523" t="s">
        <v>18</v>
      </c>
    </row>
    <row r="500">
      <c r="A500" s="523">
        <v>499</v>
      </c>
      <c r="B500" s="523" t="s">
        <v>1901</v>
      </c>
      <c r="C500" s="523" t="s">
        <v>932</v>
      </c>
      <c r="D500" s="523" t="s">
        <v>1899</v>
      </c>
      <c r="E500" s="523" t="s">
        <v>1900</v>
      </c>
      <c r="F500" s="523" t="s">
        <v>18</v>
      </c>
    </row>
    <row r="501">
      <c r="A501" s="523">
        <v>500</v>
      </c>
      <c r="B501" s="523" t="s">
        <v>1902</v>
      </c>
      <c r="C501" s="523" t="s">
        <v>1038</v>
      </c>
      <c r="D501" s="523" t="s">
        <v>1899</v>
      </c>
      <c r="E501" s="523" t="s">
        <v>1900</v>
      </c>
      <c r="F501" s="523" t="s">
        <v>18</v>
      </c>
    </row>
    <row r="502">
      <c r="A502" s="523">
        <v>501</v>
      </c>
      <c r="B502" s="523" t="s">
        <v>1903</v>
      </c>
      <c r="C502" s="523" t="s">
        <v>1904</v>
      </c>
      <c r="D502" s="523" t="s">
        <v>1899</v>
      </c>
      <c r="E502" s="523" t="s">
        <v>1900</v>
      </c>
      <c r="F502" s="523" t="s">
        <v>18</v>
      </c>
    </row>
    <row r="503">
      <c r="A503" s="523">
        <v>502</v>
      </c>
      <c r="B503" s="523" t="s">
        <v>1905</v>
      </c>
      <c r="C503" s="523" t="s">
        <v>1906</v>
      </c>
      <c r="D503" s="523" t="s">
        <v>1899</v>
      </c>
      <c r="E503" s="523" t="s">
        <v>1900</v>
      </c>
      <c r="F503" s="523" t="s">
        <v>18</v>
      </c>
    </row>
    <row r="504">
      <c r="A504" s="523">
        <v>503</v>
      </c>
      <c r="B504" s="523" t="s">
        <v>1907</v>
      </c>
      <c r="C504" s="523" t="s">
        <v>1908</v>
      </c>
      <c r="D504" s="523" t="s">
        <v>1899</v>
      </c>
      <c r="E504" s="523" t="s">
        <v>1900</v>
      </c>
      <c r="F504" s="523" t="s">
        <v>18</v>
      </c>
    </row>
    <row r="505">
      <c r="A505" s="523">
        <v>504</v>
      </c>
      <c r="B505" s="523" t="s">
        <v>1909</v>
      </c>
      <c r="C505" s="523" t="s">
        <v>1910</v>
      </c>
      <c r="D505" s="523" t="s">
        <v>1899</v>
      </c>
      <c r="E505" s="523" t="s">
        <v>1900</v>
      </c>
      <c r="F505" s="523" t="s">
        <v>18</v>
      </c>
    </row>
    <row r="506">
      <c r="A506" s="523">
        <v>505</v>
      </c>
      <c r="B506" s="523" t="s">
        <v>1911</v>
      </c>
      <c r="C506" s="523" t="s">
        <v>1912</v>
      </c>
      <c r="D506" s="523" t="s">
        <v>1899</v>
      </c>
      <c r="E506" s="523" t="s">
        <v>1900</v>
      </c>
      <c r="F506" s="523" t="s">
        <v>18</v>
      </c>
    </row>
    <row r="507">
      <c r="A507" s="523">
        <v>506</v>
      </c>
      <c r="B507" s="523" t="s">
        <v>1913</v>
      </c>
      <c r="C507" s="523" t="s">
        <v>1914</v>
      </c>
      <c r="D507" s="523" t="s">
        <v>1899</v>
      </c>
      <c r="E507" s="523" t="s">
        <v>1900</v>
      </c>
      <c r="F507" s="523" t="s">
        <v>18</v>
      </c>
    </row>
    <row r="508">
      <c r="A508" s="523">
        <v>507</v>
      </c>
      <c r="B508" s="523" t="s">
        <v>1915</v>
      </c>
      <c r="C508" s="523" t="s">
        <v>1916</v>
      </c>
      <c r="D508" s="523" t="s">
        <v>1899</v>
      </c>
      <c r="E508" s="523" t="s">
        <v>1900</v>
      </c>
      <c r="F508" s="523" t="s">
        <v>18</v>
      </c>
    </row>
    <row r="509">
      <c r="A509" s="523">
        <v>508</v>
      </c>
      <c r="B509" s="523" t="s">
        <v>1917</v>
      </c>
      <c r="C509" s="523" t="s">
        <v>1918</v>
      </c>
      <c r="D509" s="523" t="s">
        <v>1899</v>
      </c>
      <c r="E509" s="523" t="s">
        <v>1900</v>
      </c>
      <c r="F509" s="523" t="s">
        <v>18</v>
      </c>
    </row>
    <row r="510">
      <c r="A510" s="523">
        <v>509</v>
      </c>
      <c r="B510" s="523" t="s">
        <v>1919</v>
      </c>
      <c r="C510" s="523" t="s">
        <v>1920</v>
      </c>
      <c r="D510" s="523" t="s">
        <v>1899</v>
      </c>
      <c r="E510" s="523" t="s">
        <v>1900</v>
      </c>
      <c r="F510" s="523" t="s">
        <v>18</v>
      </c>
    </row>
    <row r="511">
      <c r="A511" s="523">
        <v>510</v>
      </c>
      <c r="B511" s="523" t="s">
        <v>1921</v>
      </c>
      <c r="C511" s="523" t="s">
        <v>1782</v>
      </c>
      <c r="D511" s="523" t="s">
        <v>1899</v>
      </c>
      <c r="E511" s="523" t="s">
        <v>1900</v>
      </c>
      <c r="F511" s="523" t="s">
        <v>18</v>
      </c>
    </row>
    <row r="512">
      <c r="A512" s="523">
        <v>511</v>
      </c>
      <c r="B512" s="523" t="s">
        <v>1922</v>
      </c>
      <c r="C512" s="523" t="s">
        <v>1923</v>
      </c>
      <c r="D512" s="523" t="s">
        <v>1899</v>
      </c>
      <c r="E512" s="523" t="s">
        <v>1900</v>
      </c>
      <c r="F512" s="523" t="s">
        <v>18</v>
      </c>
    </row>
    <row r="513">
      <c r="A513" s="523">
        <v>512</v>
      </c>
      <c r="B513" s="523" t="s">
        <v>1924</v>
      </c>
      <c r="C513" s="523" t="s">
        <v>1925</v>
      </c>
      <c r="D513" s="523" t="s">
        <v>1899</v>
      </c>
      <c r="E513" s="523" t="s">
        <v>1900</v>
      </c>
      <c r="F513" s="523" t="s">
        <v>18</v>
      </c>
    </row>
    <row r="514">
      <c r="A514" s="523">
        <v>513</v>
      </c>
      <c r="B514" s="523" t="s">
        <v>1926</v>
      </c>
      <c r="C514" s="523" t="s">
        <v>1437</v>
      </c>
      <c r="D514" s="523" t="s">
        <v>1899</v>
      </c>
      <c r="E514" s="523" t="s">
        <v>1900</v>
      </c>
      <c r="F514" s="523" t="s">
        <v>18</v>
      </c>
    </row>
    <row r="515">
      <c r="A515" s="523">
        <v>514</v>
      </c>
      <c r="B515" s="523" t="s">
        <v>1927</v>
      </c>
      <c r="C515" s="523" t="s">
        <v>1928</v>
      </c>
      <c r="D515" s="523" t="s">
        <v>1899</v>
      </c>
      <c r="E515" s="523" t="s">
        <v>1900</v>
      </c>
      <c r="F515" s="523" t="s">
        <v>18</v>
      </c>
    </row>
    <row r="516">
      <c r="A516" s="523">
        <v>515</v>
      </c>
      <c r="B516" s="523" t="s">
        <v>1929</v>
      </c>
      <c r="C516" s="523" t="s">
        <v>1930</v>
      </c>
      <c r="D516" s="523" t="s">
        <v>1899</v>
      </c>
      <c r="E516" s="523" t="s">
        <v>1900</v>
      </c>
      <c r="F516" s="523" t="s">
        <v>18</v>
      </c>
    </row>
    <row r="517">
      <c r="A517" s="523">
        <v>516</v>
      </c>
      <c r="B517" s="523" t="s">
        <v>1931</v>
      </c>
      <c r="C517" s="523" t="s">
        <v>1932</v>
      </c>
      <c r="D517" s="523" t="s">
        <v>1899</v>
      </c>
      <c r="E517" s="523" t="s">
        <v>1900</v>
      </c>
      <c r="F517" s="523" t="s">
        <v>18</v>
      </c>
    </row>
    <row r="518">
      <c r="A518" s="523">
        <v>517</v>
      </c>
      <c r="B518" s="523" t="s">
        <v>1933</v>
      </c>
      <c r="C518" s="523" t="s">
        <v>1934</v>
      </c>
      <c r="D518" s="523" t="s">
        <v>1899</v>
      </c>
      <c r="E518" s="523" t="s">
        <v>1900</v>
      </c>
      <c r="F518" s="523" t="s">
        <v>18</v>
      </c>
    </row>
    <row r="519">
      <c r="A519" s="523">
        <v>518</v>
      </c>
      <c r="B519" s="523" t="s">
        <v>1935</v>
      </c>
      <c r="C519" s="523" t="s">
        <v>1936</v>
      </c>
      <c r="D519" s="523" t="s">
        <v>1899</v>
      </c>
      <c r="E519" s="523" t="s">
        <v>1900</v>
      </c>
      <c r="F519" s="523" t="s">
        <v>18</v>
      </c>
    </row>
    <row r="520">
      <c r="A520" s="523">
        <v>519</v>
      </c>
      <c r="B520" s="523" t="s">
        <v>1937</v>
      </c>
      <c r="C520" s="523" t="s">
        <v>1938</v>
      </c>
      <c r="D520" s="523" t="s">
        <v>1899</v>
      </c>
      <c r="E520" s="523" t="s">
        <v>1900</v>
      </c>
      <c r="F520" s="523" t="s">
        <v>18</v>
      </c>
    </row>
    <row r="521">
      <c r="A521" s="523">
        <v>520</v>
      </c>
      <c r="B521" s="523" t="s">
        <v>1939</v>
      </c>
      <c r="C521" s="523" t="s">
        <v>1940</v>
      </c>
      <c r="D521" s="523" t="s">
        <v>1941</v>
      </c>
      <c r="E521" s="523" t="s">
        <v>1942</v>
      </c>
      <c r="F521" s="523" t="s">
        <v>18</v>
      </c>
    </row>
    <row r="522">
      <c r="A522" s="523">
        <v>521</v>
      </c>
      <c r="B522" s="523" t="s">
        <v>1943</v>
      </c>
      <c r="C522" s="523" t="s">
        <v>1944</v>
      </c>
      <c r="D522" s="523" t="s">
        <v>1941</v>
      </c>
      <c r="E522" s="523" t="s">
        <v>1942</v>
      </c>
      <c r="F522" s="523" t="s">
        <v>18</v>
      </c>
    </row>
    <row r="523">
      <c r="A523" s="523">
        <v>522</v>
      </c>
      <c r="B523" s="523" t="s">
        <v>1945</v>
      </c>
      <c r="C523" s="523" t="s">
        <v>1946</v>
      </c>
      <c r="D523" s="523" t="s">
        <v>1941</v>
      </c>
      <c r="E523" s="523" t="s">
        <v>1942</v>
      </c>
      <c r="F523" s="523" t="s">
        <v>18</v>
      </c>
    </row>
    <row r="524">
      <c r="A524" s="523">
        <v>523</v>
      </c>
      <c r="B524" s="523" t="s">
        <v>1947</v>
      </c>
      <c r="C524" s="523" t="s">
        <v>1948</v>
      </c>
      <c r="D524" s="523" t="s">
        <v>1941</v>
      </c>
      <c r="E524" s="523" t="s">
        <v>1942</v>
      </c>
      <c r="F524" s="523" t="s">
        <v>18</v>
      </c>
    </row>
    <row r="525">
      <c r="A525" s="523">
        <v>524</v>
      </c>
      <c r="B525" s="523" t="s">
        <v>1949</v>
      </c>
      <c r="C525" s="523" t="s">
        <v>1950</v>
      </c>
      <c r="D525" s="523" t="s">
        <v>1941</v>
      </c>
      <c r="E525" s="523" t="s">
        <v>1942</v>
      </c>
      <c r="F525" s="523" t="s">
        <v>18</v>
      </c>
    </row>
    <row r="526">
      <c r="A526" s="523">
        <v>525</v>
      </c>
      <c r="B526" s="523" t="s">
        <v>1951</v>
      </c>
      <c r="C526" s="523" t="s">
        <v>1952</v>
      </c>
      <c r="D526" s="523" t="s">
        <v>1941</v>
      </c>
      <c r="E526" s="523" t="s">
        <v>1942</v>
      </c>
      <c r="F526" s="523" t="s">
        <v>18</v>
      </c>
    </row>
    <row r="527">
      <c r="A527" s="523">
        <v>526</v>
      </c>
      <c r="B527" s="523" t="s">
        <v>1953</v>
      </c>
      <c r="C527" s="523" t="s">
        <v>1207</v>
      </c>
      <c r="D527" s="523" t="s">
        <v>1941</v>
      </c>
      <c r="E527" s="523" t="s">
        <v>1942</v>
      </c>
      <c r="F527" s="523" t="s">
        <v>18</v>
      </c>
    </row>
    <row r="528">
      <c r="A528" s="523">
        <v>527</v>
      </c>
      <c r="B528" s="523" t="s">
        <v>1954</v>
      </c>
      <c r="C528" s="523" t="s">
        <v>1955</v>
      </c>
      <c r="D528" s="523" t="s">
        <v>1941</v>
      </c>
      <c r="E528" s="523" t="s">
        <v>1942</v>
      </c>
      <c r="F528" s="523" t="s">
        <v>18</v>
      </c>
    </row>
    <row r="529">
      <c r="A529" s="523">
        <v>528</v>
      </c>
      <c r="B529" s="523" t="s">
        <v>1956</v>
      </c>
      <c r="C529" s="523" t="s">
        <v>1957</v>
      </c>
      <c r="D529" s="523" t="s">
        <v>1941</v>
      </c>
      <c r="E529" s="523" t="s">
        <v>1942</v>
      </c>
      <c r="F529" s="523" t="s">
        <v>18</v>
      </c>
    </row>
    <row r="530">
      <c r="A530" s="523">
        <v>529</v>
      </c>
      <c r="B530" s="523" t="s">
        <v>1958</v>
      </c>
      <c r="C530" s="523" t="s">
        <v>1959</v>
      </c>
      <c r="D530" s="523" t="s">
        <v>1941</v>
      </c>
      <c r="E530" s="523" t="s">
        <v>1942</v>
      </c>
      <c r="F530" s="523" t="s">
        <v>18</v>
      </c>
    </row>
    <row r="531">
      <c r="A531" s="523">
        <v>530</v>
      </c>
      <c r="B531" s="523" t="s">
        <v>1960</v>
      </c>
      <c r="C531" s="523" t="s">
        <v>1961</v>
      </c>
      <c r="D531" s="523" t="s">
        <v>1941</v>
      </c>
      <c r="E531" s="523" t="s">
        <v>1942</v>
      </c>
      <c r="F531" s="523" t="s">
        <v>18</v>
      </c>
    </row>
    <row r="532">
      <c r="A532" s="523">
        <v>531</v>
      </c>
      <c r="B532" s="523" t="s">
        <v>1962</v>
      </c>
      <c r="C532" s="523" t="s">
        <v>1963</v>
      </c>
      <c r="D532" s="523" t="s">
        <v>1941</v>
      </c>
      <c r="E532" s="523" t="s">
        <v>1942</v>
      </c>
      <c r="F532" s="523" t="s">
        <v>18</v>
      </c>
    </row>
    <row r="533">
      <c r="A533" s="523">
        <v>532</v>
      </c>
      <c r="B533" s="523" t="s">
        <v>1964</v>
      </c>
      <c r="C533" s="523" t="s">
        <v>1965</v>
      </c>
      <c r="D533" s="523" t="s">
        <v>1941</v>
      </c>
      <c r="E533" s="523" t="s">
        <v>1942</v>
      </c>
      <c r="F533" s="523" t="s">
        <v>18</v>
      </c>
    </row>
    <row r="534">
      <c r="A534" s="523">
        <v>533</v>
      </c>
      <c r="B534" s="523" t="s">
        <v>1966</v>
      </c>
      <c r="C534" s="523" t="s">
        <v>1967</v>
      </c>
      <c r="D534" s="523" t="s">
        <v>1968</v>
      </c>
      <c r="E534" s="523" t="s">
        <v>1969</v>
      </c>
      <c r="F534" s="523" t="s">
        <v>18</v>
      </c>
    </row>
    <row r="535">
      <c r="A535" s="523">
        <v>534</v>
      </c>
      <c r="B535" s="523" t="s">
        <v>1970</v>
      </c>
      <c r="C535" s="523" t="s">
        <v>1971</v>
      </c>
      <c r="D535" s="523" t="s">
        <v>1968</v>
      </c>
      <c r="E535" s="523" t="s">
        <v>1969</v>
      </c>
      <c r="F535" s="523" t="s">
        <v>18</v>
      </c>
    </row>
    <row r="536">
      <c r="A536" s="523">
        <v>535</v>
      </c>
      <c r="B536" s="523" t="s">
        <v>1972</v>
      </c>
      <c r="C536" s="523" t="s">
        <v>1973</v>
      </c>
      <c r="D536" s="523" t="s">
        <v>1968</v>
      </c>
      <c r="E536" s="523" t="s">
        <v>1969</v>
      </c>
      <c r="F536" s="523" t="s">
        <v>18</v>
      </c>
    </row>
    <row r="537">
      <c r="A537" s="523">
        <v>536</v>
      </c>
      <c r="B537" s="523" t="s">
        <v>1974</v>
      </c>
      <c r="C537" s="523" t="s">
        <v>1975</v>
      </c>
      <c r="D537" s="523" t="s">
        <v>1968</v>
      </c>
      <c r="E537" s="523" t="s">
        <v>1969</v>
      </c>
      <c r="F537" s="523" t="s">
        <v>18</v>
      </c>
    </row>
    <row r="538">
      <c r="A538" s="523">
        <v>537</v>
      </c>
      <c r="B538" s="523" t="s">
        <v>1976</v>
      </c>
      <c r="C538" s="523" t="s">
        <v>1977</v>
      </c>
      <c r="D538" s="523" t="s">
        <v>1968</v>
      </c>
      <c r="E538" s="523" t="s">
        <v>1969</v>
      </c>
      <c r="F538" s="523" t="s">
        <v>18</v>
      </c>
    </row>
    <row r="539">
      <c r="A539" s="523">
        <v>538</v>
      </c>
      <c r="B539" s="523" t="s">
        <v>1978</v>
      </c>
      <c r="C539" s="523" t="s">
        <v>1979</v>
      </c>
      <c r="D539" s="523" t="s">
        <v>1968</v>
      </c>
      <c r="E539" s="523" t="s">
        <v>1969</v>
      </c>
      <c r="F539" s="523" t="s">
        <v>18</v>
      </c>
    </row>
    <row r="540">
      <c r="A540" s="523">
        <v>539</v>
      </c>
      <c r="B540" s="523" t="s">
        <v>1980</v>
      </c>
      <c r="C540" s="523" t="s">
        <v>1981</v>
      </c>
      <c r="D540" s="523" t="s">
        <v>1968</v>
      </c>
      <c r="E540" s="523" t="s">
        <v>1969</v>
      </c>
      <c r="F540" s="523" t="s">
        <v>18</v>
      </c>
    </row>
    <row r="541">
      <c r="A541" s="523">
        <v>540</v>
      </c>
      <c r="B541" s="523" t="s">
        <v>1982</v>
      </c>
      <c r="C541" s="523" t="s">
        <v>1983</v>
      </c>
      <c r="D541" s="523" t="s">
        <v>1968</v>
      </c>
      <c r="E541" s="523" t="s">
        <v>1969</v>
      </c>
      <c r="F541" s="523" t="s">
        <v>18</v>
      </c>
    </row>
    <row r="542">
      <c r="A542" s="523">
        <v>541</v>
      </c>
      <c r="B542" s="523" t="s">
        <v>1984</v>
      </c>
      <c r="C542" s="523" t="s">
        <v>1619</v>
      </c>
      <c r="D542" s="523" t="s">
        <v>1968</v>
      </c>
      <c r="E542" s="523" t="s">
        <v>1969</v>
      </c>
      <c r="F542" s="523" t="s">
        <v>18</v>
      </c>
    </row>
    <row r="543">
      <c r="A543" s="523">
        <v>542</v>
      </c>
      <c r="B543" s="523" t="s">
        <v>1985</v>
      </c>
      <c r="C543" s="523" t="s">
        <v>1986</v>
      </c>
      <c r="D543" s="523" t="s">
        <v>1968</v>
      </c>
      <c r="E543" s="523" t="s">
        <v>1969</v>
      </c>
      <c r="F543" s="523" t="s">
        <v>18</v>
      </c>
    </row>
    <row r="544">
      <c r="A544" s="523">
        <v>543</v>
      </c>
      <c r="B544" s="523" t="s">
        <v>1987</v>
      </c>
      <c r="C544" s="523" t="s">
        <v>1988</v>
      </c>
      <c r="D544" s="523" t="s">
        <v>1968</v>
      </c>
      <c r="E544" s="523" t="s">
        <v>1969</v>
      </c>
      <c r="F544" s="523" t="s">
        <v>18</v>
      </c>
    </row>
    <row r="545">
      <c r="A545" s="523">
        <v>544</v>
      </c>
      <c r="B545" s="523" t="s">
        <v>1989</v>
      </c>
      <c r="C545" s="523" t="s">
        <v>1990</v>
      </c>
      <c r="D545" s="523" t="s">
        <v>1968</v>
      </c>
      <c r="E545" s="523" t="s">
        <v>1969</v>
      </c>
      <c r="F545" s="523" t="s">
        <v>18</v>
      </c>
    </row>
    <row r="546">
      <c r="A546" s="523">
        <v>545</v>
      </c>
      <c r="B546" s="523" t="s">
        <v>1991</v>
      </c>
      <c r="C546" s="523" t="s">
        <v>1026</v>
      </c>
      <c r="D546" s="523" t="s">
        <v>1968</v>
      </c>
      <c r="E546" s="523" t="s">
        <v>1969</v>
      </c>
      <c r="F546" s="523" t="s">
        <v>18</v>
      </c>
    </row>
    <row r="547">
      <c r="A547" s="523">
        <v>546</v>
      </c>
      <c r="B547" s="523" t="s">
        <v>1992</v>
      </c>
      <c r="C547" s="523" t="s">
        <v>1993</v>
      </c>
      <c r="D547" s="523" t="s">
        <v>1968</v>
      </c>
      <c r="E547" s="523" t="s">
        <v>1969</v>
      </c>
      <c r="F547" s="523" t="s">
        <v>18</v>
      </c>
    </row>
    <row r="548">
      <c r="A548" s="523">
        <v>547</v>
      </c>
      <c r="B548" s="523" t="s">
        <v>1994</v>
      </c>
      <c r="C548" s="523" t="s">
        <v>1995</v>
      </c>
      <c r="D548" s="523" t="s">
        <v>1968</v>
      </c>
      <c r="E548" s="523" t="s">
        <v>1969</v>
      </c>
      <c r="F548" s="523" t="s">
        <v>18</v>
      </c>
    </row>
    <row r="549">
      <c r="A549" s="523">
        <v>548</v>
      </c>
      <c r="B549" s="523" t="s">
        <v>1996</v>
      </c>
      <c r="C549" s="523" t="s">
        <v>1997</v>
      </c>
      <c r="D549" s="523" t="s">
        <v>1968</v>
      </c>
      <c r="E549" s="523" t="s">
        <v>1969</v>
      </c>
      <c r="F549" s="523" t="s">
        <v>18</v>
      </c>
    </row>
    <row r="550">
      <c r="A550" s="523">
        <v>549</v>
      </c>
      <c r="B550" s="523" t="s">
        <v>1998</v>
      </c>
      <c r="C550" s="523" t="s">
        <v>1999</v>
      </c>
      <c r="D550" s="523" t="s">
        <v>1968</v>
      </c>
      <c r="E550" s="523" t="s">
        <v>1969</v>
      </c>
      <c r="F550" s="523" t="s">
        <v>18</v>
      </c>
    </row>
    <row r="551">
      <c r="A551" s="523">
        <v>550</v>
      </c>
      <c r="B551" s="523" t="s">
        <v>2000</v>
      </c>
      <c r="C551" s="523" t="s">
        <v>2001</v>
      </c>
      <c r="D551" s="523" t="s">
        <v>2002</v>
      </c>
      <c r="E551" s="523" t="s">
        <v>2003</v>
      </c>
      <c r="F551" s="523" t="s">
        <v>18</v>
      </c>
    </row>
    <row r="552">
      <c r="A552" s="523">
        <v>551</v>
      </c>
      <c r="B552" s="523" t="s">
        <v>2004</v>
      </c>
      <c r="C552" s="523" t="s">
        <v>2005</v>
      </c>
      <c r="D552" s="523" t="s">
        <v>2002</v>
      </c>
      <c r="E552" s="523" t="s">
        <v>2003</v>
      </c>
      <c r="F552" s="523" t="s">
        <v>18</v>
      </c>
    </row>
    <row r="553">
      <c r="A553" s="523">
        <v>552</v>
      </c>
      <c r="B553" s="523" t="s">
        <v>2006</v>
      </c>
      <c r="C553" s="523" t="s">
        <v>2007</v>
      </c>
      <c r="D553" s="523" t="s">
        <v>2002</v>
      </c>
      <c r="E553" s="523" t="s">
        <v>2003</v>
      </c>
      <c r="F553" s="523" t="s">
        <v>18</v>
      </c>
    </row>
    <row r="554">
      <c r="A554" s="523">
        <v>553</v>
      </c>
      <c r="B554" s="523" t="s">
        <v>2008</v>
      </c>
      <c r="C554" s="523" t="s">
        <v>1971</v>
      </c>
      <c r="D554" s="523" t="s">
        <v>2002</v>
      </c>
      <c r="E554" s="523" t="s">
        <v>2003</v>
      </c>
      <c r="F554" s="523" t="s">
        <v>18</v>
      </c>
    </row>
    <row r="555">
      <c r="A555" s="523">
        <v>554</v>
      </c>
      <c r="B555" s="523" t="s">
        <v>2009</v>
      </c>
      <c r="C555" s="523" t="s">
        <v>2010</v>
      </c>
      <c r="D555" s="523" t="s">
        <v>2002</v>
      </c>
      <c r="E555" s="523" t="s">
        <v>2003</v>
      </c>
      <c r="F555" s="523" t="s">
        <v>18</v>
      </c>
    </row>
    <row r="556">
      <c r="A556" s="523">
        <v>555</v>
      </c>
      <c r="B556" s="523" t="s">
        <v>2011</v>
      </c>
      <c r="C556" s="523" t="s">
        <v>1325</v>
      </c>
      <c r="D556" s="523" t="s">
        <v>2002</v>
      </c>
      <c r="E556" s="523" t="s">
        <v>2003</v>
      </c>
      <c r="F556" s="523" t="s">
        <v>18</v>
      </c>
    </row>
    <row r="557">
      <c r="A557" s="523">
        <v>556</v>
      </c>
      <c r="B557" s="523" t="s">
        <v>2012</v>
      </c>
      <c r="C557" s="523" t="s">
        <v>934</v>
      </c>
      <c r="D557" s="523" t="s">
        <v>2002</v>
      </c>
      <c r="E557" s="523" t="s">
        <v>2003</v>
      </c>
      <c r="F557" s="523" t="s">
        <v>18</v>
      </c>
    </row>
    <row r="558">
      <c r="A558" s="523">
        <v>557</v>
      </c>
      <c r="B558" s="523" t="s">
        <v>2013</v>
      </c>
      <c r="C558" s="523" t="s">
        <v>2014</v>
      </c>
      <c r="D558" s="523" t="s">
        <v>2002</v>
      </c>
      <c r="E558" s="523" t="s">
        <v>2003</v>
      </c>
      <c r="F558" s="523" t="s">
        <v>18</v>
      </c>
    </row>
    <row r="559">
      <c r="A559" s="523">
        <v>558</v>
      </c>
      <c r="B559" s="523" t="s">
        <v>2015</v>
      </c>
      <c r="C559" s="523" t="s">
        <v>2016</v>
      </c>
      <c r="D559" s="523" t="s">
        <v>2002</v>
      </c>
      <c r="E559" s="523" t="s">
        <v>2003</v>
      </c>
      <c r="F559" s="523" t="s">
        <v>18</v>
      </c>
    </row>
    <row r="560">
      <c r="A560" s="523">
        <v>559</v>
      </c>
      <c r="B560" s="523" t="s">
        <v>2017</v>
      </c>
      <c r="C560" s="523" t="s">
        <v>982</v>
      </c>
      <c r="D560" s="523" t="s">
        <v>2002</v>
      </c>
      <c r="E560" s="523" t="s">
        <v>2003</v>
      </c>
      <c r="F560" s="523" t="s">
        <v>18</v>
      </c>
    </row>
    <row r="561">
      <c r="A561" s="523">
        <v>560</v>
      </c>
      <c r="B561" s="523" t="s">
        <v>2018</v>
      </c>
      <c r="C561" s="523" t="s">
        <v>2019</v>
      </c>
      <c r="D561" s="523" t="s">
        <v>2002</v>
      </c>
      <c r="E561" s="523" t="s">
        <v>2003</v>
      </c>
      <c r="F561" s="523" t="s">
        <v>18</v>
      </c>
    </row>
    <row r="562">
      <c r="A562" s="523">
        <v>561</v>
      </c>
      <c r="B562" s="523" t="s">
        <v>2020</v>
      </c>
      <c r="C562" s="523" t="s">
        <v>2021</v>
      </c>
      <c r="D562" s="523" t="s">
        <v>2002</v>
      </c>
      <c r="E562" s="523" t="s">
        <v>2003</v>
      </c>
      <c r="F562" s="523" t="s">
        <v>18</v>
      </c>
    </row>
    <row r="563">
      <c r="A563" s="523">
        <v>562</v>
      </c>
      <c r="B563" s="523" t="s">
        <v>2022</v>
      </c>
      <c r="C563" s="523" t="s">
        <v>2023</v>
      </c>
      <c r="D563" s="523" t="s">
        <v>2002</v>
      </c>
      <c r="E563" s="523" t="s">
        <v>2003</v>
      </c>
      <c r="F563" s="523" t="s">
        <v>18</v>
      </c>
    </row>
    <row r="564">
      <c r="A564" s="523">
        <v>563</v>
      </c>
      <c r="B564" s="523" t="s">
        <v>2024</v>
      </c>
      <c r="C564" s="523" t="s">
        <v>1523</v>
      </c>
      <c r="D564" s="523" t="s">
        <v>2002</v>
      </c>
      <c r="E564" s="523" t="s">
        <v>2003</v>
      </c>
      <c r="F564" s="523" t="s">
        <v>18</v>
      </c>
    </row>
    <row r="565">
      <c r="A565" s="523">
        <v>564</v>
      </c>
      <c r="B565" s="523" t="s">
        <v>2025</v>
      </c>
      <c r="C565" s="523" t="s">
        <v>2026</v>
      </c>
      <c r="D565" s="523" t="s">
        <v>2002</v>
      </c>
      <c r="E565" s="523" t="s">
        <v>2003</v>
      </c>
      <c r="F565" s="523" t="s">
        <v>18</v>
      </c>
    </row>
    <row r="566">
      <c r="A566" s="523">
        <v>565</v>
      </c>
      <c r="B566" s="523" t="s">
        <v>2027</v>
      </c>
      <c r="C566" s="523" t="s">
        <v>2028</v>
      </c>
      <c r="D566" s="523" t="s">
        <v>2002</v>
      </c>
      <c r="E566" s="523" t="s">
        <v>2003</v>
      </c>
      <c r="F566" s="523" t="s">
        <v>18</v>
      </c>
    </row>
    <row r="567">
      <c r="A567" s="523">
        <v>566</v>
      </c>
      <c r="B567" s="523" t="s">
        <v>2029</v>
      </c>
      <c r="C567" s="523" t="s">
        <v>2030</v>
      </c>
      <c r="D567" s="523" t="s">
        <v>2002</v>
      </c>
      <c r="E567" s="523" t="s">
        <v>2003</v>
      </c>
      <c r="F567" s="523" t="s">
        <v>18</v>
      </c>
    </row>
    <row r="568">
      <c r="A568" s="523">
        <v>567</v>
      </c>
      <c r="B568" s="523" t="s">
        <v>2031</v>
      </c>
      <c r="C568" s="523" t="s">
        <v>2032</v>
      </c>
      <c r="D568" s="523" t="s">
        <v>2002</v>
      </c>
      <c r="E568" s="523" t="s">
        <v>2003</v>
      </c>
      <c r="F568" s="523" t="s">
        <v>18</v>
      </c>
    </row>
    <row r="569">
      <c r="A569" s="523">
        <v>568</v>
      </c>
      <c r="B569" s="523" t="s">
        <v>2033</v>
      </c>
      <c r="C569" s="523" t="s">
        <v>1486</v>
      </c>
      <c r="D569" s="523" t="s">
        <v>2034</v>
      </c>
      <c r="E569" s="523" t="s">
        <v>2035</v>
      </c>
      <c r="F569" s="523" t="s">
        <v>18</v>
      </c>
    </row>
    <row r="570">
      <c r="A570" s="523">
        <v>569</v>
      </c>
      <c r="B570" s="523" t="s">
        <v>2036</v>
      </c>
      <c r="C570" s="523" t="s">
        <v>1490</v>
      </c>
      <c r="D570" s="523" t="s">
        <v>2034</v>
      </c>
      <c r="E570" s="523" t="s">
        <v>2035</v>
      </c>
      <c r="F570" s="523" t="s">
        <v>18</v>
      </c>
    </row>
    <row r="571">
      <c r="A571" s="523">
        <v>570</v>
      </c>
      <c r="B571" s="523" t="s">
        <v>2037</v>
      </c>
      <c r="C571" s="523" t="s">
        <v>1492</v>
      </c>
      <c r="D571" s="523" t="s">
        <v>2034</v>
      </c>
      <c r="E571" s="523" t="s">
        <v>2035</v>
      </c>
      <c r="F571" s="523" t="s">
        <v>18</v>
      </c>
    </row>
    <row r="572">
      <c r="A572" s="523">
        <v>571</v>
      </c>
      <c r="B572" s="523" t="s">
        <v>2038</v>
      </c>
      <c r="C572" s="523" t="s">
        <v>2039</v>
      </c>
      <c r="D572" s="523" t="s">
        <v>2034</v>
      </c>
      <c r="E572" s="523" t="s">
        <v>2035</v>
      </c>
      <c r="F572" s="523" t="s">
        <v>18</v>
      </c>
    </row>
    <row r="573">
      <c r="A573" s="523">
        <v>572</v>
      </c>
      <c r="B573" s="523" t="s">
        <v>2040</v>
      </c>
      <c r="C573" s="523" t="s">
        <v>1494</v>
      </c>
      <c r="D573" s="523" t="s">
        <v>2034</v>
      </c>
      <c r="E573" s="523" t="s">
        <v>2035</v>
      </c>
      <c r="F573" s="523" t="s">
        <v>18</v>
      </c>
    </row>
    <row r="574">
      <c r="A574" s="523">
        <v>573</v>
      </c>
      <c r="B574" s="523" t="s">
        <v>2041</v>
      </c>
      <c r="C574" s="523" t="s">
        <v>2042</v>
      </c>
      <c r="D574" s="523" t="s">
        <v>2034</v>
      </c>
      <c r="E574" s="523" t="s">
        <v>2035</v>
      </c>
      <c r="F574" s="523" t="s">
        <v>18</v>
      </c>
    </row>
    <row r="575">
      <c r="A575" s="523">
        <v>574</v>
      </c>
      <c r="B575" s="523" t="s">
        <v>2043</v>
      </c>
      <c r="C575" s="523" t="s">
        <v>1496</v>
      </c>
      <c r="D575" s="523" t="s">
        <v>2034</v>
      </c>
      <c r="E575" s="523" t="s">
        <v>2035</v>
      </c>
      <c r="F575" s="523" t="s">
        <v>18</v>
      </c>
    </row>
    <row r="576">
      <c r="A576" s="523">
        <v>575</v>
      </c>
      <c r="B576" s="523" t="s">
        <v>2044</v>
      </c>
      <c r="C576" s="523" t="s">
        <v>654</v>
      </c>
      <c r="D576" s="523" t="s">
        <v>2034</v>
      </c>
      <c r="E576" s="523" t="s">
        <v>2035</v>
      </c>
      <c r="F576" s="523" t="s">
        <v>18</v>
      </c>
    </row>
    <row r="577">
      <c r="A577" s="523">
        <v>576</v>
      </c>
      <c r="B577" s="523" t="s">
        <v>2045</v>
      </c>
      <c r="C577" s="523" t="s">
        <v>2046</v>
      </c>
      <c r="D577" s="523" t="s">
        <v>2034</v>
      </c>
      <c r="E577" s="523" t="s">
        <v>2035</v>
      </c>
      <c r="F577" s="523" t="s">
        <v>18</v>
      </c>
    </row>
    <row r="578">
      <c r="A578" s="523">
        <v>577</v>
      </c>
      <c r="B578" s="523" t="s">
        <v>2047</v>
      </c>
      <c r="C578" s="523" t="s">
        <v>1302</v>
      </c>
      <c r="D578" s="523" t="s">
        <v>2034</v>
      </c>
      <c r="E578" s="523" t="s">
        <v>2035</v>
      </c>
      <c r="F578" s="523" t="s">
        <v>18</v>
      </c>
    </row>
    <row r="579">
      <c r="A579" s="523">
        <v>578</v>
      </c>
      <c r="B579" s="523" t="s">
        <v>2048</v>
      </c>
      <c r="C579" s="523" t="s">
        <v>908</v>
      </c>
      <c r="D579" s="523" t="s">
        <v>2034</v>
      </c>
      <c r="E579" s="523" t="s">
        <v>2035</v>
      </c>
      <c r="F579" s="523" t="s">
        <v>18</v>
      </c>
    </row>
    <row r="580">
      <c r="A580" s="523">
        <v>579</v>
      </c>
      <c r="B580" s="523" t="s">
        <v>2049</v>
      </c>
      <c r="C580" s="523" t="s">
        <v>2050</v>
      </c>
      <c r="D580" s="523" t="s">
        <v>2034</v>
      </c>
      <c r="E580" s="523" t="s">
        <v>2035</v>
      </c>
      <c r="F580" s="523" t="s">
        <v>18</v>
      </c>
    </row>
    <row r="581">
      <c r="A581" s="523">
        <v>580</v>
      </c>
      <c r="B581" s="523" t="s">
        <v>2051</v>
      </c>
      <c r="C581" s="523" t="s">
        <v>2052</v>
      </c>
      <c r="D581" s="523" t="s">
        <v>2034</v>
      </c>
      <c r="E581" s="523" t="s">
        <v>2035</v>
      </c>
      <c r="F581" s="523" t="s">
        <v>18</v>
      </c>
    </row>
    <row r="582">
      <c r="A582" s="523">
        <v>581</v>
      </c>
      <c r="B582" s="523" t="s">
        <v>2053</v>
      </c>
      <c r="C582" s="523" t="s">
        <v>2054</v>
      </c>
      <c r="D582" s="523" t="s">
        <v>2034</v>
      </c>
      <c r="E582" s="523" t="s">
        <v>2035</v>
      </c>
      <c r="F582" s="523" t="s">
        <v>18</v>
      </c>
    </row>
    <row r="583">
      <c r="A583" s="523">
        <v>582</v>
      </c>
      <c r="B583" s="523" t="s">
        <v>2055</v>
      </c>
      <c r="C583" s="523" t="s">
        <v>1012</v>
      </c>
      <c r="D583" s="523" t="s">
        <v>2034</v>
      </c>
      <c r="E583" s="523" t="s">
        <v>2035</v>
      </c>
      <c r="F583" s="523" t="s">
        <v>18</v>
      </c>
    </row>
    <row r="584">
      <c r="A584" s="523">
        <v>583</v>
      </c>
      <c r="B584" s="523" t="s">
        <v>2056</v>
      </c>
      <c r="C584" s="523" t="s">
        <v>2057</v>
      </c>
      <c r="D584" s="523" t="s">
        <v>2034</v>
      </c>
      <c r="E584" s="523" t="s">
        <v>2035</v>
      </c>
      <c r="F584" s="523" t="s">
        <v>18</v>
      </c>
    </row>
    <row r="585">
      <c r="A585" s="523">
        <v>584</v>
      </c>
      <c r="B585" s="523" t="s">
        <v>2058</v>
      </c>
      <c r="C585" s="523" t="s">
        <v>2059</v>
      </c>
      <c r="D585" s="523" t="s">
        <v>2034</v>
      </c>
      <c r="E585" s="523" t="s">
        <v>2035</v>
      </c>
      <c r="F585" s="523" t="s">
        <v>18</v>
      </c>
    </row>
    <row r="586">
      <c r="A586" s="523">
        <v>585</v>
      </c>
      <c r="B586" s="523" t="s">
        <v>2060</v>
      </c>
      <c r="C586" s="523" t="s">
        <v>2061</v>
      </c>
      <c r="D586" s="523" t="s">
        <v>2062</v>
      </c>
      <c r="E586" s="523" t="s">
        <v>2063</v>
      </c>
      <c r="F586" s="523" t="s">
        <v>21</v>
      </c>
    </row>
    <row r="587">
      <c r="A587" s="523">
        <v>586</v>
      </c>
      <c r="B587" s="523" t="s">
        <v>2064</v>
      </c>
      <c r="C587" s="523" t="s">
        <v>2065</v>
      </c>
      <c r="D587" s="523" t="s">
        <v>2062</v>
      </c>
      <c r="E587" s="523" t="s">
        <v>2063</v>
      </c>
      <c r="F587" s="523" t="s">
        <v>21</v>
      </c>
    </row>
    <row r="588">
      <c r="A588" s="523">
        <v>587</v>
      </c>
      <c r="B588" s="523" t="s">
        <v>2066</v>
      </c>
      <c r="C588" s="523" t="s">
        <v>2067</v>
      </c>
      <c r="D588" s="523" t="s">
        <v>2062</v>
      </c>
      <c r="E588" s="523" t="s">
        <v>2063</v>
      </c>
      <c r="F588" s="523" t="s">
        <v>21</v>
      </c>
    </row>
    <row r="589">
      <c r="A589" s="523">
        <v>588</v>
      </c>
      <c r="B589" s="523" t="s">
        <v>2068</v>
      </c>
      <c r="C589" s="523" t="s">
        <v>1671</v>
      </c>
      <c r="D589" s="523" t="s">
        <v>2062</v>
      </c>
      <c r="E589" s="523" t="s">
        <v>2063</v>
      </c>
      <c r="F589" s="523" t="s">
        <v>21</v>
      </c>
    </row>
    <row r="590">
      <c r="A590" s="523">
        <v>589</v>
      </c>
      <c r="B590" s="523" t="s">
        <v>2069</v>
      </c>
      <c r="C590" s="523" t="s">
        <v>2070</v>
      </c>
      <c r="D590" s="523" t="s">
        <v>2062</v>
      </c>
      <c r="E590" s="523" t="s">
        <v>2063</v>
      </c>
      <c r="F590" s="523" t="s">
        <v>21</v>
      </c>
    </row>
    <row r="591">
      <c r="A591" s="523">
        <v>590</v>
      </c>
      <c r="B591" s="523" t="s">
        <v>2071</v>
      </c>
      <c r="C591" s="523" t="s">
        <v>2072</v>
      </c>
      <c r="D591" s="523" t="s">
        <v>2062</v>
      </c>
      <c r="E591" s="523" t="s">
        <v>2063</v>
      </c>
      <c r="F591" s="523" t="s">
        <v>21</v>
      </c>
    </row>
    <row r="592">
      <c r="A592" s="523">
        <v>591</v>
      </c>
      <c r="B592" s="523" t="s">
        <v>2073</v>
      </c>
      <c r="C592" s="523" t="s">
        <v>2074</v>
      </c>
      <c r="D592" s="523" t="s">
        <v>2062</v>
      </c>
      <c r="E592" s="523" t="s">
        <v>2063</v>
      </c>
      <c r="F592" s="523" t="s">
        <v>21</v>
      </c>
    </row>
    <row r="593">
      <c r="A593" s="523">
        <v>592</v>
      </c>
      <c r="B593" s="523" t="s">
        <v>2075</v>
      </c>
      <c r="C593" s="523" t="s">
        <v>2076</v>
      </c>
      <c r="D593" s="523" t="s">
        <v>2062</v>
      </c>
      <c r="E593" s="523" t="s">
        <v>2063</v>
      </c>
      <c r="F593" s="523" t="s">
        <v>21</v>
      </c>
    </row>
    <row r="594">
      <c r="A594" s="523">
        <v>593</v>
      </c>
      <c r="B594" s="523" t="s">
        <v>2077</v>
      </c>
      <c r="C594" s="523" t="s">
        <v>2078</v>
      </c>
      <c r="D594" s="523" t="s">
        <v>2062</v>
      </c>
      <c r="E594" s="523" t="s">
        <v>2063</v>
      </c>
      <c r="F594" s="523" t="s">
        <v>21</v>
      </c>
    </row>
    <row r="595">
      <c r="A595" s="523">
        <v>594</v>
      </c>
      <c r="B595" s="523" t="s">
        <v>2079</v>
      </c>
      <c r="C595" s="523" t="s">
        <v>2080</v>
      </c>
      <c r="D595" s="523" t="s">
        <v>2062</v>
      </c>
      <c r="E595" s="523" t="s">
        <v>2063</v>
      </c>
      <c r="F595" s="523" t="s">
        <v>21</v>
      </c>
    </row>
    <row r="596">
      <c r="A596" s="523">
        <v>595</v>
      </c>
      <c r="B596" s="523" t="s">
        <v>2081</v>
      </c>
      <c r="C596" s="523" t="s">
        <v>2082</v>
      </c>
      <c r="D596" s="523" t="s">
        <v>2062</v>
      </c>
      <c r="E596" s="523" t="s">
        <v>2063</v>
      </c>
      <c r="F596" s="523" t="s">
        <v>21</v>
      </c>
    </row>
    <row r="597">
      <c r="A597" s="523">
        <v>596</v>
      </c>
      <c r="B597" s="523" t="s">
        <v>2083</v>
      </c>
      <c r="C597" s="523" t="s">
        <v>2084</v>
      </c>
      <c r="D597" s="523" t="s">
        <v>2062</v>
      </c>
      <c r="E597" s="523" t="s">
        <v>2063</v>
      </c>
      <c r="F597" s="523" t="s">
        <v>21</v>
      </c>
    </row>
    <row r="598">
      <c r="A598" s="523">
        <v>597</v>
      </c>
      <c r="B598" s="523" t="s">
        <v>2085</v>
      </c>
      <c r="C598" s="523" t="s">
        <v>2086</v>
      </c>
      <c r="D598" s="523" t="s">
        <v>2062</v>
      </c>
      <c r="E598" s="523" t="s">
        <v>2063</v>
      </c>
      <c r="F598" s="523" t="s">
        <v>21</v>
      </c>
    </row>
    <row r="599">
      <c r="A599" s="523">
        <v>598</v>
      </c>
      <c r="B599" s="523" t="s">
        <v>2087</v>
      </c>
      <c r="C599" s="523" t="s">
        <v>2088</v>
      </c>
      <c r="D599" s="523" t="s">
        <v>2062</v>
      </c>
      <c r="E599" s="523" t="s">
        <v>2063</v>
      </c>
      <c r="F599" s="523" t="s">
        <v>21</v>
      </c>
    </row>
    <row r="600">
      <c r="A600" s="523">
        <v>599</v>
      </c>
      <c r="B600" s="523" t="s">
        <v>2089</v>
      </c>
      <c r="C600" s="523" t="s">
        <v>2090</v>
      </c>
      <c r="D600" s="523" t="s">
        <v>2062</v>
      </c>
      <c r="E600" s="523" t="s">
        <v>2063</v>
      </c>
      <c r="F600" s="523" t="s">
        <v>21</v>
      </c>
    </row>
    <row r="601">
      <c r="A601" s="523">
        <v>600</v>
      </c>
      <c r="B601" s="523" t="s">
        <v>2091</v>
      </c>
      <c r="C601" s="523" t="s">
        <v>2092</v>
      </c>
      <c r="D601" s="523" t="s">
        <v>2062</v>
      </c>
      <c r="E601" s="523" t="s">
        <v>2063</v>
      </c>
      <c r="F601" s="523" t="s">
        <v>21</v>
      </c>
    </row>
    <row r="602">
      <c r="A602" s="523">
        <v>601</v>
      </c>
      <c r="B602" s="523" t="s">
        <v>2093</v>
      </c>
      <c r="C602" s="523" t="s">
        <v>2094</v>
      </c>
      <c r="D602" s="523" t="s">
        <v>2062</v>
      </c>
      <c r="E602" s="523" t="s">
        <v>2063</v>
      </c>
      <c r="F602" s="523" t="s">
        <v>21</v>
      </c>
    </row>
    <row r="603">
      <c r="A603" s="523">
        <v>602</v>
      </c>
      <c r="B603" s="523" t="s">
        <v>2095</v>
      </c>
      <c r="C603" s="523" t="s">
        <v>2096</v>
      </c>
      <c r="D603" s="523" t="s">
        <v>2062</v>
      </c>
      <c r="E603" s="523" t="s">
        <v>2063</v>
      </c>
      <c r="F603" s="523" t="s">
        <v>21</v>
      </c>
    </row>
    <row r="604">
      <c r="A604" s="523">
        <v>603</v>
      </c>
      <c r="B604" s="523" t="s">
        <v>2097</v>
      </c>
      <c r="C604" s="523" t="s">
        <v>2098</v>
      </c>
      <c r="D604" s="523" t="s">
        <v>2099</v>
      </c>
      <c r="E604" s="523" t="s">
        <v>2100</v>
      </c>
      <c r="F604" s="523" t="s">
        <v>21</v>
      </c>
    </row>
    <row r="605">
      <c r="A605" s="523">
        <v>604</v>
      </c>
      <c r="B605" s="523" t="s">
        <v>2101</v>
      </c>
      <c r="C605" s="523" t="s">
        <v>2102</v>
      </c>
      <c r="D605" s="523" t="s">
        <v>2099</v>
      </c>
      <c r="E605" s="523" t="s">
        <v>2100</v>
      </c>
      <c r="F605" s="523" t="s">
        <v>21</v>
      </c>
    </row>
    <row r="606">
      <c r="A606" s="523">
        <v>605</v>
      </c>
      <c r="B606" s="523" t="s">
        <v>2103</v>
      </c>
      <c r="C606" s="523" t="s">
        <v>2104</v>
      </c>
      <c r="D606" s="523" t="s">
        <v>2099</v>
      </c>
      <c r="E606" s="523" t="s">
        <v>2100</v>
      </c>
      <c r="F606" s="523" t="s">
        <v>21</v>
      </c>
    </row>
    <row r="607">
      <c r="A607" s="523">
        <v>606</v>
      </c>
      <c r="B607" s="523" t="s">
        <v>2105</v>
      </c>
      <c r="C607" s="523" t="s">
        <v>2106</v>
      </c>
      <c r="D607" s="523" t="s">
        <v>2099</v>
      </c>
      <c r="E607" s="523" t="s">
        <v>2100</v>
      </c>
      <c r="F607" s="523" t="s">
        <v>21</v>
      </c>
    </row>
    <row r="608">
      <c r="A608" s="523">
        <v>607</v>
      </c>
      <c r="B608" s="523" t="s">
        <v>2107</v>
      </c>
      <c r="C608" s="523" t="s">
        <v>2108</v>
      </c>
      <c r="D608" s="523" t="s">
        <v>2099</v>
      </c>
      <c r="E608" s="523" t="s">
        <v>2100</v>
      </c>
      <c r="F608" s="523" t="s">
        <v>21</v>
      </c>
    </row>
    <row r="609">
      <c r="A609" s="523">
        <v>608</v>
      </c>
      <c r="B609" s="523" t="s">
        <v>2109</v>
      </c>
      <c r="C609" s="523" t="s">
        <v>2110</v>
      </c>
      <c r="D609" s="523" t="s">
        <v>2099</v>
      </c>
      <c r="E609" s="523" t="s">
        <v>2100</v>
      </c>
      <c r="F609" s="523" t="s">
        <v>21</v>
      </c>
    </row>
    <row r="610">
      <c r="A610" s="523">
        <v>609</v>
      </c>
      <c r="B610" s="523" t="s">
        <v>2111</v>
      </c>
      <c r="C610" s="523" t="s">
        <v>2112</v>
      </c>
      <c r="D610" s="523" t="s">
        <v>2099</v>
      </c>
      <c r="E610" s="523" t="s">
        <v>2100</v>
      </c>
      <c r="F610" s="523" t="s">
        <v>21</v>
      </c>
    </row>
    <row r="611">
      <c r="A611" s="523">
        <v>610</v>
      </c>
      <c r="B611" s="523" t="s">
        <v>2113</v>
      </c>
      <c r="C611" s="523" t="s">
        <v>1794</v>
      </c>
      <c r="D611" s="523" t="s">
        <v>2099</v>
      </c>
      <c r="E611" s="523" t="s">
        <v>2100</v>
      </c>
      <c r="F611" s="523" t="s">
        <v>21</v>
      </c>
    </row>
    <row r="612">
      <c r="A612" s="523">
        <v>611</v>
      </c>
      <c r="B612" s="523" t="s">
        <v>2114</v>
      </c>
      <c r="C612" s="523" t="s">
        <v>2115</v>
      </c>
      <c r="D612" s="523" t="s">
        <v>2099</v>
      </c>
      <c r="E612" s="523" t="s">
        <v>2100</v>
      </c>
      <c r="F612" s="523" t="s">
        <v>21</v>
      </c>
    </row>
    <row r="613">
      <c r="A613" s="523">
        <v>612</v>
      </c>
      <c r="B613" s="523" t="s">
        <v>2116</v>
      </c>
      <c r="C613" s="523" t="s">
        <v>2117</v>
      </c>
      <c r="D613" s="523" t="s">
        <v>2099</v>
      </c>
      <c r="E613" s="523" t="s">
        <v>2100</v>
      </c>
      <c r="F613" s="523" t="s">
        <v>21</v>
      </c>
    </row>
    <row r="614">
      <c r="A614" s="523">
        <v>613</v>
      </c>
      <c r="B614" s="523" t="s">
        <v>2118</v>
      </c>
      <c r="C614" s="523" t="s">
        <v>2119</v>
      </c>
      <c r="D614" s="523" t="s">
        <v>2120</v>
      </c>
      <c r="E614" s="523" t="s">
        <v>2121</v>
      </c>
      <c r="F614" s="523" t="s">
        <v>21</v>
      </c>
    </row>
    <row r="615">
      <c r="A615" s="523">
        <v>614</v>
      </c>
      <c r="B615" s="523" t="s">
        <v>2122</v>
      </c>
      <c r="C615" s="523" t="s">
        <v>2123</v>
      </c>
      <c r="D615" s="523" t="s">
        <v>2120</v>
      </c>
      <c r="E615" s="523" t="s">
        <v>2121</v>
      </c>
      <c r="F615" s="523" t="s">
        <v>21</v>
      </c>
    </row>
    <row r="616">
      <c r="A616" s="523">
        <v>615</v>
      </c>
      <c r="B616" s="523" t="s">
        <v>2124</v>
      </c>
      <c r="C616" s="523" t="s">
        <v>2125</v>
      </c>
      <c r="D616" s="523" t="s">
        <v>2120</v>
      </c>
      <c r="E616" s="523" t="s">
        <v>2121</v>
      </c>
      <c r="F616" s="523" t="s">
        <v>21</v>
      </c>
    </row>
    <row r="617">
      <c r="A617" s="523">
        <v>616</v>
      </c>
      <c r="B617" s="523" t="s">
        <v>2126</v>
      </c>
      <c r="C617" s="523" t="s">
        <v>2127</v>
      </c>
      <c r="D617" s="523" t="s">
        <v>2120</v>
      </c>
      <c r="E617" s="523" t="s">
        <v>2121</v>
      </c>
      <c r="F617" s="523" t="s">
        <v>21</v>
      </c>
    </row>
    <row r="618">
      <c r="A618" s="523">
        <v>617</v>
      </c>
      <c r="B618" s="523" t="s">
        <v>2128</v>
      </c>
      <c r="C618" s="523" t="s">
        <v>2129</v>
      </c>
      <c r="D618" s="523" t="s">
        <v>2120</v>
      </c>
      <c r="E618" s="523" t="s">
        <v>2121</v>
      </c>
      <c r="F618" s="523" t="s">
        <v>21</v>
      </c>
    </row>
    <row r="619">
      <c r="A619" s="523">
        <v>618</v>
      </c>
      <c r="B619" s="523" t="s">
        <v>2130</v>
      </c>
      <c r="C619" s="523" t="s">
        <v>2131</v>
      </c>
      <c r="D619" s="523" t="s">
        <v>2120</v>
      </c>
      <c r="E619" s="523" t="s">
        <v>2121</v>
      </c>
      <c r="F619" s="523" t="s">
        <v>21</v>
      </c>
    </row>
    <row r="620">
      <c r="A620" s="523">
        <v>619</v>
      </c>
      <c r="B620" s="523" t="s">
        <v>2132</v>
      </c>
      <c r="C620" s="523" t="s">
        <v>2133</v>
      </c>
      <c r="D620" s="523" t="s">
        <v>2120</v>
      </c>
      <c r="E620" s="523" t="s">
        <v>2121</v>
      </c>
      <c r="F620" s="523" t="s">
        <v>21</v>
      </c>
    </row>
    <row r="621">
      <c r="A621" s="523">
        <v>620</v>
      </c>
      <c r="B621" s="523" t="s">
        <v>2134</v>
      </c>
      <c r="C621" s="523" t="s">
        <v>2135</v>
      </c>
      <c r="D621" s="523" t="s">
        <v>2120</v>
      </c>
      <c r="E621" s="523" t="s">
        <v>2121</v>
      </c>
      <c r="F621" s="523" t="s">
        <v>21</v>
      </c>
    </row>
    <row r="622">
      <c r="A622" s="523">
        <v>621</v>
      </c>
      <c r="B622" s="523" t="s">
        <v>2136</v>
      </c>
      <c r="C622" s="523" t="s">
        <v>2137</v>
      </c>
      <c r="D622" s="523" t="s">
        <v>2120</v>
      </c>
      <c r="E622" s="523" t="s">
        <v>2121</v>
      </c>
      <c r="F622" s="523" t="s">
        <v>21</v>
      </c>
    </row>
    <row r="623">
      <c r="A623" s="523">
        <v>622</v>
      </c>
      <c r="B623" s="523" t="s">
        <v>2138</v>
      </c>
      <c r="C623" s="523" t="s">
        <v>2139</v>
      </c>
      <c r="D623" s="523" t="s">
        <v>2120</v>
      </c>
      <c r="E623" s="523" t="s">
        <v>2121</v>
      </c>
      <c r="F623" s="523" t="s">
        <v>21</v>
      </c>
    </row>
    <row r="624">
      <c r="A624" s="523">
        <v>623</v>
      </c>
      <c r="B624" s="523" t="s">
        <v>2140</v>
      </c>
      <c r="C624" s="523" t="s">
        <v>2141</v>
      </c>
      <c r="D624" s="523" t="s">
        <v>2120</v>
      </c>
      <c r="E624" s="523" t="s">
        <v>2121</v>
      </c>
      <c r="F624" s="523" t="s">
        <v>21</v>
      </c>
    </row>
    <row r="625">
      <c r="A625" s="523">
        <v>624</v>
      </c>
      <c r="B625" s="523" t="s">
        <v>2142</v>
      </c>
      <c r="C625" s="523" t="s">
        <v>2143</v>
      </c>
      <c r="D625" s="523" t="s">
        <v>2120</v>
      </c>
      <c r="E625" s="523" t="s">
        <v>2121</v>
      </c>
      <c r="F625" s="523" t="s">
        <v>21</v>
      </c>
    </row>
    <row r="626">
      <c r="A626" s="523">
        <v>625</v>
      </c>
      <c r="B626" s="523" t="s">
        <v>2144</v>
      </c>
      <c r="C626" s="523" t="s">
        <v>2145</v>
      </c>
      <c r="D626" s="523" t="s">
        <v>2120</v>
      </c>
      <c r="E626" s="523" t="s">
        <v>2121</v>
      </c>
      <c r="F626" s="523" t="s">
        <v>21</v>
      </c>
    </row>
    <row r="627">
      <c r="A627" s="523">
        <v>626</v>
      </c>
      <c r="B627" s="523" t="s">
        <v>2146</v>
      </c>
      <c r="C627" s="523" t="s">
        <v>2147</v>
      </c>
      <c r="D627" s="523" t="s">
        <v>2120</v>
      </c>
      <c r="E627" s="523" t="s">
        <v>2121</v>
      </c>
      <c r="F627" s="523" t="s">
        <v>21</v>
      </c>
    </row>
    <row r="628">
      <c r="A628" s="523">
        <v>627</v>
      </c>
      <c r="B628" s="523" t="s">
        <v>2148</v>
      </c>
      <c r="C628" s="523" t="s">
        <v>2149</v>
      </c>
      <c r="D628" s="523" t="s">
        <v>2120</v>
      </c>
      <c r="E628" s="523" t="s">
        <v>2121</v>
      </c>
      <c r="F628" s="523" t="s">
        <v>21</v>
      </c>
    </row>
    <row r="629">
      <c r="A629" s="523">
        <v>628</v>
      </c>
      <c r="B629" s="523" t="s">
        <v>2150</v>
      </c>
      <c r="C629" s="523" t="s">
        <v>2151</v>
      </c>
      <c r="D629" s="523" t="s">
        <v>2120</v>
      </c>
      <c r="E629" s="523" t="s">
        <v>2121</v>
      </c>
      <c r="F629" s="523" t="s">
        <v>21</v>
      </c>
    </row>
    <row r="630">
      <c r="A630" s="523">
        <v>629</v>
      </c>
      <c r="B630" s="523" t="s">
        <v>2152</v>
      </c>
      <c r="C630" s="523" t="s">
        <v>2153</v>
      </c>
      <c r="D630" s="523" t="s">
        <v>2120</v>
      </c>
      <c r="E630" s="523" t="s">
        <v>2121</v>
      </c>
      <c r="F630" s="523" t="s">
        <v>21</v>
      </c>
    </row>
    <row r="631">
      <c r="A631" s="523">
        <v>630</v>
      </c>
      <c r="B631" s="523" t="s">
        <v>2154</v>
      </c>
      <c r="C631" s="523" t="s">
        <v>2155</v>
      </c>
      <c r="D631" s="523" t="s">
        <v>2156</v>
      </c>
      <c r="E631" s="523" t="s">
        <v>2157</v>
      </c>
      <c r="F631" s="523" t="s">
        <v>21</v>
      </c>
    </row>
    <row r="632">
      <c r="A632" s="523">
        <v>631</v>
      </c>
      <c r="B632" s="523" t="s">
        <v>2158</v>
      </c>
      <c r="C632" s="523" t="s">
        <v>2159</v>
      </c>
      <c r="D632" s="523" t="s">
        <v>2156</v>
      </c>
      <c r="E632" s="523" t="s">
        <v>2157</v>
      </c>
      <c r="F632" s="523" t="s">
        <v>21</v>
      </c>
    </row>
    <row r="633">
      <c r="A633" s="523">
        <v>632</v>
      </c>
      <c r="B633" s="523" t="s">
        <v>2160</v>
      </c>
      <c r="C633" s="523" t="s">
        <v>2161</v>
      </c>
      <c r="D633" s="523" t="s">
        <v>2156</v>
      </c>
      <c r="E633" s="523" t="s">
        <v>2157</v>
      </c>
      <c r="F633" s="523" t="s">
        <v>21</v>
      </c>
    </row>
    <row r="634">
      <c r="A634" s="523">
        <v>633</v>
      </c>
      <c r="B634" s="523" t="s">
        <v>2162</v>
      </c>
      <c r="C634" s="523" t="s">
        <v>2163</v>
      </c>
      <c r="D634" s="523" t="s">
        <v>2156</v>
      </c>
      <c r="E634" s="523" t="s">
        <v>2157</v>
      </c>
      <c r="F634" s="523" t="s">
        <v>21</v>
      </c>
    </row>
    <row r="635">
      <c r="A635" s="523">
        <v>634</v>
      </c>
      <c r="B635" s="523" t="s">
        <v>2164</v>
      </c>
      <c r="C635" s="523" t="s">
        <v>2165</v>
      </c>
      <c r="D635" s="523" t="s">
        <v>2156</v>
      </c>
      <c r="E635" s="523" t="s">
        <v>2157</v>
      </c>
      <c r="F635" s="523" t="s">
        <v>21</v>
      </c>
    </row>
    <row r="636">
      <c r="A636" s="523">
        <v>635</v>
      </c>
      <c r="B636" s="523" t="s">
        <v>2166</v>
      </c>
      <c r="C636" s="523" t="s">
        <v>2167</v>
      </c>
      <c r="D636" s="523" t="s">
        <v>2156</v>
      </c>
      <c r="E636" s="523" t="s">
        <v>2157</v>
      </c>
      <c r="F636" s="523" t="s">
        <v>21</v>
      </c>
    </row>
    <row r="637">
      <c r="A637" s="523">
        <v>636</v>
      </c>
      <c r="B637" s="523" t="s">
        <v>2168</v>
      </c>
      <c r="C637" s="523" t="s">
        <v>2169</v>
      </c>
      <c r="D637" s="523" t="s">
        <v>2156</v>
      </c>
      <c r="E637" s="523" t="s">
        <v>2157</v>
      </c>
      <c r="F637" s="523" t="s">
        <v>21</v>
      </c>
    </row>
    <row r="638">
      <c r="A638" s="523">
        <v>637</v>
      </c>
      <c r="B638" s="523" t="s">
        <v>2170</v>
      </c>
      <c r="C638" s="523" t="s">
        <v>2171</v>
      </c>
      <c r="D638" s="523" t="s">
        <v>2156</v>
      </c>
      <c r="E638" s="523" t="s">
        <v>2157</v>
      </c>
      <c r="F638" s="523" t="s">
        <v>21</v>
      </c>
    </row>
    <row r="639">
      <c r="A639" s="523">
        <v>638</v>
      </c>
      <c r="B639" s="523" t="s">
        <v>2172</v>
      </c>
      <c r="C639" s="523" t="s">
        <v>1782</v>
      </c>
      <c r="D639" s="523" t="s">
        <v>2156</v>
      </c>
      <c r="E639" s="523" t="s">
        <v>2157</v>
      </c>
      <c r="F639" s="523" t="s">
        <v>21</v>
      </c>
    </row>
    <row r="640">
      <c r="A640" s="523">
        <v>639</v>
      </c>
      <c r="B640" s="523" t="s">
        <v>2173</v>
      </c>
      <c r="C640" s="523" t="s">
        <v>1084</v>
      </c>
      <c r="D640" s="523" t="s">
        <v>2156</v>
      </c>
      <c r="E640" s="523" t="s">
        <v>2157</v>
      </c>
      <c r="F640" s="523" t="s">
        <v>21</v>
      </c>
    </row>
    <row r="641">
      <c r="A641" s="523">
        <v>640</v>
      </c>
      <c r="B641" s="523" t="s">
        <v>2174</v>
      </c>
      <c r="C641" s="523" t="s">
        <v>1212</v>
      </c>
      <c r="D641" s="523" t="s">
        <v>2156</v>
      </c>
      <c r="E641" s="523" t="s">
        <v>2157</v>
      </c>
      <c r="F641" s="523" t="s">
        <v>21</v>
      </c>
    </row>
    <row r="642">
      <c r="A642" s="523">
        <v>641</v>
      </c>
      <c r="B642" s="523" t="s">
        <v>2175</v>
      </c>
      <c r="C642" s="523" t="s">
        <v>2176</v>
      </c>
      <c r="D642" s="523" t="s">
        <v>2156</v>
      </c>
      <c r="E642" s="523" t="s">
        <v>2157</v>
      </c>
      <c r="F642" s="523" t="s">
        <v>21</v>
      </c>
    </row>
    <row r="643">
      <c r="A643" s="523">
        <v>642</v>
      </c>
      <c r="B643" s="523" t="s">
        <v>2177</v>
      </c>
      <c r="C643" s="523" t="s">
        <v>2178</v>
      </c>
      <c r="D643" s="523" t="s">
        <v>2156</v>
      </c>
      <c r="E643" s="523" t="s">
        <v>2157</v>
      </c>
      <c r="F643" s="523" t="s">
        <v>21</v>
      </c>
    </row>
    <row r="644">
      <c r="A644" s="523">
        <v>643</v>
      </c>
      <c r="B644" s="523" t="s">
        <v>2179</v>
      </c>
      <c r="C644" s="523" t="s">
        <v>2180</v>
      </c>
      <c r="D644" s="523" t="s">
        <v>2181</v>
      </c>
      <c r="E644" s="523" t="s">
        <v>2182</v>
      </c>
      <c r="F644" s="523" t="s">
        <v>21</v>
      </c>
    </row>
    <row r="645">
      <c r="A645" s="523">
        <v>644</v>
      </c>
      <c r="B645" s="523" t="s">
        <v>2183</v>
      </c>
      <c r="C645" s="523" t="s">
        <v>2184</v>
      </c>
      <c r="D645" s="523" t="s">
        <v>2181</v>
      </c>
      <c r="E645" s="523" t="s">
        <v>2182</v>
      </c>
      <c r="F645" s="523" t="s">
        <v>21</v>
      </c>
    </row>
    <row r="646">
      <c r="A646" s="523">
        <v>645</v>
      </c>
      <c r="B646" s="523" t="s">
        <v>2185</v>
      </c>
      <c r="C646" s="523" t="s">
        <v>2186</v>
      </c>
      <c r="D646" s="523" t="s">
        <v>2181</v>
      </c>
      <c r="E646" s="523" t="s">
        <v>2182</v>
      </c>
      <c r="F646" s="523" t="s">
        <v>21</v>
      </c>
    </row>
    <row r="647">
      <c r="A647" s="523">
        <v>646</v>
      </c>
      <c r="B647" s="523" t="s">
        <v>2187</v>
      </c>
      <c r="C647" s="523" t="s">
        <v>2188</v>
      </c>
      <c r="D647" s="523" t="s">
        <v>2189</v>
      </c>
      <c r="E647" s="523" t="s">
        <v>2190</v>
      </c>
      <c r="F647" s="523" t="s">
        <v>21</v>
      </c>
    </row>
    <row r="648">
      <c r="A648" s="523">
        <v>647</v>
      </c>
      <c r="B648" s="523" t="s">
        <v>2191</v>
      </c>
      <c r="C648" s="523" t="s">
        <v>2192</v>
      </c>
      <c r="D648" s="523" t="s">
        <v>2189</v>
      </c>
      <c r="E648" s="523" t="s">
        <v>2190</v>
      </c>
      <c r="F648" s="523" t="s">
        <v>21</v>
      </c>
    </row>
    <row r="649">
      <c r="A649" s="523">
        <v>648</v>
      </c>
      <c r="B649" s="523" t="s">
        <v>2193</v>
      </c>
      <c r="C649" s="523" t="s">
        <v>2194</v>
      </c>
      <c r="D649" s="523" t="s">
        <v>2189</v>
      </c>
      <c r="E649" s="523" t="s">
        <v>2190</v>
      </c>
      <c r="F649" s="523" t="s">
        <v>21</v>
      </c>
    </row>
    <row r="650">
      <c r="A650" s="523">
        <v>649</v>
      </c>
      <c r="B650" s="523" t="s">
        <v>2195</v>
      </c>
      <c r="C650" s="523" t="s">
        <v>2196</v>
      </c>
      <c r="D650" s="523" t="s">
        <v>2189</v>
      </c>
      <c r="E650" s="523" t="s">
        <v>2190</v>
      </c>
      <c r="F650" s="523" t="s">
        <v>21</v>
      </c>
    </row>
    <row r="651">
      <c r="A651" s="523">
        <v>650</v>
      </c>
      <c r="B651" s="523" t="s">
        <v>2197</v>
      </c>
      <c r="C651" s="523" t="s">
        <v>2198</v>
      </c>
      <c r="D651" s="523" t="s">
        <v>2189</v>
      </c>
      <c r="E651" s="523" t="s">
        <v>2190</v>
      </c>
      <c r="F651" s="523" t="s">
        <v>21</v>
      </c>
    </row>
    <row r="652">
      <c r="A652" s="523">
        <v>651</v>
      </c>
      <c r="B652" s="523" t="s">
        <v>2199</v>
      </c>
      <c r="C652" s="523" t="s">
        <v>2200</v>
      </c>
      <c r="D652" s="523" t="s">
        <v>2189</v>
      </c>
      <c r="E652" s="523" t="s">
        <v>2190</v>
      </c>
      <c r="F652" s="523" t="s">
        <v>21</v>
      </c>
    </row>
    <row r="653">
      <c r="A653" s="523">
        <v>652</v>
      </c>
      <c r="B653" s="523" t="s">
        <v>2201</v>
      </c>
      <c r="C653" s="523" t="s">
        <v>2202</v>
      </c>
      <c r="D653" s="523" t="s">
        <v>2189</v>
      </c>
      <c r="E653" s="523" t="s">
        <v>2190</v>
      </c>
      <c r="F653" s="523" t="s">
        <v>21</v>
      </c>
    </row>
    <row r="654">
      <c r="A654" s="523">
        <v>653</v>
      </c>
      <c r="B654" s="523" t="s">
        <v>2203</v>
      </c>
      <c r="C654" s="523" t="s">
        <v>2204</v>
      </c>
      <c r="D654" s="523" t="s">
        <v>2189</v>
      </c>
      <c r="E654" s="523" t="s">
        <v>2190</v>
      </c>
      <c r="F654" s="523" t="s">
        <v>21</v>
      </c>
    </row>
    <row r="655">
      <c r="A655" s="523">
        <v>654</v>
      </c>
      <c r="B655" s="523" t="s">
        <v>2205</v>
      </c>
      <c r="C655" s="523" t="s">
        <v>2206</v>
      </c>
      <c r="D655" s="523" t="s">
        <v>2189</v>
      </c>
      <c r="E655" s="523" t="s">
        <v>2190</v>
      </c>
      <c r="F655" s="523" t="s">
        <v>21</v>
      </c>
    </row>
    <row r="656">
      <c r="A656" s="523">
        <v>655</v>
      </c>
      <c r="B656" s="523" t="s">
        <v>2207</v>
      </c>
      <c r="C656" s="523" t="s">
        <v>2208</v>
      </c>
      <c r="D656" s="523" t="s">
        <v>2189</v>
      </c>
      <c r="E656" s="523" t="s">
        <v>2190</v>
      </c>
      <c r="F656" s="523" t="s">
        <v>21</v>
      </c>
    </row>
    <row r="657">
      <c r="A657" s="523">
        <v>656</v>
      </c>
      <c r="B657" s="523" t="s">
        <v>2209</v>
      </c>
      <c r="C657" s="523" t="s">
        <v>2210</v>
      </c>
      <c r="D657" s="523" t="s">
        <v>2189</v>
      </c>
      <c r="E657" s="523" t="s">
        <v>2190</v>
      </c>
      <c r="F657" s="523" t="s">
        <v>21</v>
      </c>
    </row>
    <row r="658">
      <c r="A658" s="523">
        <v>657</v>
      </c>
      <c r="B658" s="523" t="s">
        <v>2211</v>
      </c>
      <c r="C658" s="523" t="s">
        <v>2212</v>
      </c>
      <c r="D658" s="523" t="s">
        <v>2189</v>
      </c>
      <c r="E658" s="523" t="s">
        <v>2190</v>
      </c>
      <c r="F658" s="523" t="s">
        <v>21</v>
      </c>
    </row>
    <row r="659">
      <c r="A659" s="523">
        <v>658</v>
      </c>
      <c r="B659" s="523" t="s">
        <v>2213</v>
      </c>
      <c r="C659" s="523" t="s">
        <v>2214</v>
      </c>
      <c r="D659" s="523" t="s">
        <v>2189</v>
      </c>
      <c r="E659" s="523" t="s">
        <v>2190</v>
      </c>
      <c r="F659" s="523" t="s">
        <v>21</v>
      </c>
    </row>
    <row r="660">
      <c r="A660" s="523">
        <v>659</v>
      </c>
      <c r="B660" s="523" t="s">
        <v>2215</v>
      </c>
      <c r="C660" s="523" t="s">
        <v>2216</v>
      </c>
      <c r="D660" s="523" t="s">
        <v>2189</v>
      </c>
      <c r="E660" s="523" t="s">
        <v>2190</v>
      </c>
      <c r="F660" s="523" t="s">
        <v>21</v>
      </c>
    </row>
    <row r="661">
      <c r="A661" s="523">
        <v>660</v>
      </c>
      <c r="B661" s="523" t="s">
        <v>2217</v>
      </c>
      <c r="C661" s="523" t="s">
        <v>2218</v>
      </c>
      <c r="D661" s="523" t="s">
        <v>2219</v>
      </c>
      <c r="E661" s="523" t="s">
        <v>2220</v>
      </c>
      <c r="F661" s="523" t="s">
        <v>21</v>
      </c>
    </row>
    <row r="662">
      <c r="A662" s="523">
        <v>661</v>
      </c>
      <c r="B662" s="523" t="s">
        <v>2221</v>
      </c>
      <c r="C662" s="523" t="s">
        <v>2222</v>
      </c>
      <c r="D662" s="523" t="s">
        <v>2219</v>
      </c>
      <c r="E662" s="523" t="s">
        <v>2220</v>
      </c>
      <c r="F662" s="523" t="s">
        <v>21</v>
      </c>
    </row>
    <row r="663">
      <c r="A663" s="523">
        <v>662</v>
      </c>
      <c r="B663" s="523" t="s">
        <v>2223</v>
      </c>
      <c r="C663" s="523" t="s">
        <v>934</v>
      </c>
      <c r="D663" s="523" t="s">
        <v>2219</v>
      </c>
      <c r="E663" s="523" t="s">
        <v>2220</v>
      </c>
      <c r="F663" s="523" t="s">
        <v>21</v>
      </c>
    </row>
    <row r="664">
      <c r="A664" s="523">
        <v>663</v>
      </c>
      <c r="B664" s="523" t="s">
        <v>2224</v>
      </c>
      <c r="C664" s="523" t="s">
        <v>2225</v>
      </c>
      <c r="D664" s="523" t="s">
        <v>2219</v>
      </c>
      <c r="E664" s="523" t="s">
        <v>2220</v>
      </c>
      <c r="F664" s="523" t="s">
        <v>21</v>
      </c>
    </row>
    <row r="665">
      <c r="A665" s="523">
        <v>664</v>
      </c>
      <c r="B665" s="523" t="s">
        <v>2226</v>
      </c>
      <c r="C665" s="523" t="s">
        <v>2227</v>
      </c>
      <c r="D665" s="523" t="s">
        <v>2219</v>
      </c>
      <c r="E665" s="523" t="s">
        <v>2220</v>
      </c>
      <c r="F665" s="523" t="s">
        <v>21</v>
      </c>
    </row>
    <row r="666">
      <c r="A666" s="523">
        <v>665</v>
      </c>
      <c r="B666" s="523" t="s">
        <v>2228</v>
      </c>
      <c r="C666" s="523" t="s">
        <v>2229</v>
      </c>
      <c r="D666" s="523" t="s">
        <v>2219</v>
      </c>
      <c r="E666" s="523" t="s">
        <v>2220</v>
      </c>
      <c r="F666" s="523" t="s">
        <v>21</v>
      </c>
    </row>
    <row r="667">
      <c r="A667" s="523">
        <v>666</v>
      </c>
      <c r="B667" s="523" t="s">
        <v>2230</v>
      </c>
      <c r="C667" s="523" t="s">
        <v>2231</v>
      </c>
      <c r="D667" s="523" t="s">
        <v>2219</v>
      </c>
      <c r="E667" s="523" t="s">
        <v>2220</v>
      </c>
      <c r="F667" s="523" t="s">
        <v>21</v>
      </c>
    </row>
    <row r="668">
      <c r="A668" s="523">
        <v>667</v>
      </c>
      <c r="B668" s="523" t="s">
        <v>2232</v>
      </c>
      <c r="C668" s="523" t="s">
        <v>2233</v>
      </c>
      <c r="D668" s="523" t="s">
        <v>2219</v>
      </c>
      <c r="E668" s="523" t="s">
        <v>2220</v>
      </c>
      <c r="F668" s="523" t="s">
        <v>21</v>
      </c>
    </row>
    <row r="669">
      <c r="A669" s="523">
        <v>668</v>
      </c>
      <c r="B669" s="523" t="s">
        <v>2234</v>
      </c>
      <c r="C669" s="523" t="s">
        <v>2235</v>
      </c>
      <c r="D669" s="523" t="s">
        <v>2219</v>
      </c>
      <c r="E669" s="523" t="s">
        <v>2220</v>
      </c>
      <c r="F669" s="523" t="s">
        <v>21</v>
      </c>
    </row>
    <row r="670">
      <c r="A670" s="523">
        <v>669</v>
      </c>
      <c r="B670" s="523" t="s">
        <v>2236</v>
      </c>
      <c r="C670" s="523" t="s">
        <v>2237</v>
      </c>
      <c r="D670" s="523" t="s">
        <v>2219</v>
      </c>
      <c r="E670" s="523" t="s">
        <v>2220</v>
      </c>
      <c r="F670" s="523" t="s">
        <v>21</v>
      </c>
    </row>
    <row r="671">
      <c r="A671" s="523">
        <v>670</v>
      </c>
      <c r="B671" s="523" t="s">
        <v>2238</v>
      </c>
      <c r="C671" s="523" t="s">
        <v>2239</v>
      </c>
      <c r="D671" s="523" t="s">
        <v>2219</v>
      </c>
      <c r="E671" s="523" t="s">
        <v>2220</v>
      </c>
      <c r="F671" s="523" t="s">
        <v>21</v>
      </c>
    </row>
    <row r="672">
      <c r="A672" s="523">
        <v>671</v>
      </c>
      <c r="B672" s="523" t="s">
        <v>2240</v>
      </c>
      <c r="C672" s="523" t="s">
        <v>1368</v>
      </c>
      <c r="D672" s="523" t="s">
        <v>2219</v>
      </c>
      <c r="E672" s="523" t="s">
        <v>2220</v>
      </c>
      <c r="F672" s="523" t="s">
        <v>21</v>
      </c>
    </row>
    <row r="673">
      <c r="A673" s="523">
        <v>672</v>
      </c>
      <c r="B673" s="523" t="s">
        <v>2241</v>
      </c>
      <c r="C673" s="523" t="s">
        <v>2242</v>
      </c>
      <c r="D673" s="523" t="s">
        <v>2243</v>
      </c>
      <c r="E673" s="523" t="s">
        <v>2244</v>
      </c>
      <c r="F673" s="523" t="s">
        <v>21</v>
      </c>
    </row>
    <row r="674">
      <c r="A674" s="523">
        <v>673</v>
      </c>
      <c r="B674" s="523" t="s">
        <v>2245</v>
      </c>
      <c r="C674" s="523" t="s">
        <v>2246</v>
      </c>
      <c r="D674" s="523" t="s">
        <v>2243</v>
      </c>
      <c r="E674" s="523" t="s">
        <v>2244</v>
      </c>
      <c r="F674" s="523" t="s">
        <v>21</v>
      </c>
    </row>
    <row r="675">
      <c r="A675" s="523">
        <v>674</v>
      </c>
      <c r="B675" s="523" t="s">
        <v>2247</v>
      </c>
      <c r="C675" s="523" t="s">
        <v>2248</v>
      </c>
      <c r="D675" s="523" t="s">
        <v>2243</v>
      </c>
      <c r="E675" s="523" t="s">
        <v>2244</v>
      </c>
      <c r="F675" s="523" t="s">
        <v>21</v>
      </c>
    </row>
    <row r="676">
      <c r="A676" s="523">
        <v>675</v>
      </c>
      <c r="B676" s="523" t="s">
        <v>2249</v>
      </c>
      <c r="C676" s="523" t="s">
        <v>2250</v>
      </c>
      <c r="D676" s="523" t="s">
        <v>2243</v>
      </c>
      <c r="E676" s="523" t="s">
        <v>2244</v>
      </c>
      <c r="F676" s="523" t="s">
        <v>21</v>
      </c>
    </row>
    <row r="677">
      <c r="A677" s="523">
        <v>676</v>
      </c>
      <c r="B677" s="523" t="s">
        <v>2251</v>
      </c>
      <c r="C677" s="523" t="s">
        <v>2252</v>
      </c>
      <c r="D677" s="523" t="s">
        <v>2243</v>
      </c>
      <c r="E677" s="523" t="s">
        <v>2244</v>
      </c>
      <c r="F677" s="523" t="s">
        <v>21</v>
      </c>
    </row>
    <row r="678">
      <c r="A678" s="523">
        <v>677</v>
      </c>
      <c r="B678" s="523" t="s">
        <v>2253</v>
      </c>
      <c r="C678" s="523" t="s">
        <v>2108</v>
      </c>
      <c r="D678" s="523" t="s">
        <v>2243</v>
      </c>
      <c r="E678" s="523" t="s">
        <v>2244</v>
      </c>
      <c r="F678" s="523" t="s">
        <v>21</v>
      </c>
    </row>
    <row r="679">
      <c r="A679" s="523">
        <v>678</v>
      </c>
      <c r="B679" s="523" t="s">
        <v>2254</v>
      </c>
      <c r="C679" s="523" t="s">
        <v>2255</v>
      </c>
      <c r="D679" s="523" t="s">
        <v>2243</v>
      </c>
      <c r="E679" s="523" t="s">
        <v>2244</v>
      </c>
      <c r="F679" s="523" t="s">
        <v>21</v>
      </c>
    </row>
    <row r="680">
      <c r="A680" s="523">
        <v>679</v>
      </c>
      <c r="B680" s="523" t="s">
        <v>2256</v>
      </c>
      <c r="C680" s="523" t="s">
        <v>2257</v>
      </c>
      <c r="D680" s="523" t="s">
        <v>2243</v>
      </c>
      <c r="E680" s="523" t="s">
        <v>2244</v>
      </c>
      <c r="F680" s="523" t="s">
        <v>21</v>
      </c>
    </row>
    <row r="681">
      <c r="A681" s="523">
        <v>680</v>
      </c>
      <c r="B681" s="523" t="s">
        <v>2258</v>
      </c>
      <c r="C681" s="523" t="s">
        <v>2259</v>
      </c>
      <c r="D681" s="523" t="s">
        <v>2243</v>
      </c>
      <c r="E681" s="523" t="s">
        <v>2244</v>
      </c>
      <c r="F681" s="523" t="s">
        <v>21</v>
      </c>
    </row>
    <row r="682">
      <c r="A682" s="523">
        <v>681</v>
      </c>
      <c r="B682" s="523" t="s">
        <v>2260</v>
      </c>
      <c r="C682" s="523" t="s">
        <v>2261</v>
      </c>
      <c r="D682" s="523" t="s">
        <v>2243</v>
      </c>
      <c r="E682" s="523" t="s">
        <v>2244</v>
      </c>
      <c r="F682" s="523" t="s">
        <v>21</v>
      </c>
    </row>
    <row r="683">
      <c r="A683" s="523">
        <v>682</v>
      </c>
      <c r="B683" s="523" t="s">
        <v>2262</v>
      </c>
      <c r="C683" s="523" t="s">
        <v>2263</v>
      </c>
      <c r="D683" s="523" t="s">
        <v>2243</v>
      </c>
      <c r="E683" s="523" t="s">
        <v>2244</v>
      </c>
      <c r="F683" s="523" t="s">
        <v>21</v>
      </c>
    </row>
    <row r="684">
      <c r="A684" s="523">
        <v>683</v>
      </c>
      <c r="B684" s="523" t="s">
        <v>2264</v>
      </c>
      <c r="C684" s="523" t="s">
        <v>1542</v>
      </c>
      <c r="D684" s="523" t="s">
        <v>2243</v>
      </c>
      <c r="E684" s="523" t="s">
        <v>2244</v>
      </c>
      <c r="F684" s="523" t="s">
        <v>21</v>
      </c>
    </row>
    <row r="685">
      <c r="A685" s="523">
        <v>684</v>
      </c>
      <c r="B685" s="523" t="s">
        <v>2265</v>
      </c>
      <c r="C685" s="523" t="s">
        <v>2266</v>
      </c>
      <c r="D685" s="523" t="s">
        <v>2243</v>
      </c>
      <c r="E685" s="523" t="s">
        <v>2244</v>
      </c>
      <c r="F685" s="523" t="s">
        <v>21</v>
      </c>
    </row>
    <row r="686">
      <c r="A686" s="523">
        <v>685</v>
      </c>
      <c r="B686" s="523" t="s">
        <v>2267</v>
      </c>
      <c r="C686" s="523" t="s">
        <v>2268</v>
      </c>
      <c r="D686" s="523" t="s">
        <v>2269</v>
      </c>
      <c r="E686" s="523" t="s">
        <v>2270</v>
      </c>
      <c r="F686" s="523" t="s">
        <v>21</v>
      </c>
    </row>
    <row r="687">
      <c r="A687" s="523">
        <v>686</v>
      </c>
      <c r="B687" s="523" t="s">
        <v>2271</v>
      </c>
      <c r="C687" s="523" t="s">
        <v>2272</v>
      </c>
      <c r="D687" s="523" t="s">
        <v>2269</v>
      </c>
      <c r="E687" s="523" t="s">
        <v>2270</v>
      </c>
      <c r="F687" s="523" t="s">
        <v>21</v>
      </c>
    </row>
    <row r="688">
      <c r="A688" s="523">
        <v>687</v>
      </c>
      <c r="B688" s="523" t="s">
        <v>2273</v>
      </c>
      <c r="C688" s="523" t="s">
        <v>2274</v>
      </c>
      <c r="D688" s="523" t="s">
        <v>2269</v>
      </c>
      <c r="E688" s="523" t="s">
        <v>2270</v>
      </c>
      <c r="F688" s="523" t="s">
        <v>21</v>
      </c>
    </row>
    <row r="689">
      <c r="A689" s="523">
        <v>688</v>
      </c>
      <c r="B689" s="523" t="s">
        <v>2275</v>
      </c>
      <c r="C689" s="523" t="s">
        <v>2276</v>
      </c>
      <c r="D689" s="523" t="s">
        <v>2269</v>
      </c>
      <c r="E689" s="523" t="s">
        <v>2270</v>
      </c>
      <c r="F689" s="523" t="s">
        <v>21</v>
      </c>
    </row>
    <row r="690">
      <c r="A690" s="523">
        <v>689</v>
      </c>
      <c r="B690" s="523" t="s">
        <v>2277</v>
      </c>
      <c r="C690" s="523" t="s">
        <v>2278</v>
      </c>
      <c r="D690" s="523" t="s">
        <v>2269</v>
      </c>
      <c r="E690" s="523" t="s">
        <v>2270</v>
      </c>
      <c r="F690" s="523" t="s">
        <v>21</v>
      </c>
    </row>
    <row r="691">
      <c r="A691" s="523">
        <v>690</v>
      </c>
      <c r="B691" s="523" t="s">
        <v>2279</v>
      </c>
      <c r="C691" s="523" t="s">
        <v>2280</v>
      </c>
      <c r="D691" s="523" t="s">
        <v>2269</v>
      </c>
      <c r="E691" s="523" t="s">
        <v>2270</v>
      </c>
      <c r="F691" s="523" t="s">
        <v>21</v>
      </c>
    </row>
    <row r="692">
      <c r="A692" s="523">
        <v>691</v>
      </c>
      <c r="B692" s="523" t="s">
        <v>2281</v>
      </c>
      <c r="C692" s="523" t="s">
        <v>2282</v>
      </c>
      <c r="D692" s="523" t="s">
        <v>2269</v>
      </c>
      <c r="E692" s="523" t="s">
        <v>2270</v>
      </c>
      <c r="F692" s="523" t="s">
        <v>21</v>
      </c>
    </row>
    <row r="693">
      <c r="A693" s="523">
        <v>692</v>
      </c>
      <c r="B693" s="523" t="s">
        <v>2283</v>
      </c>
      <c r="C693" s="523" t="s">
        <v>2284</v>
      </c>
      <c r="D693" s="523" t="s">
        <v>2269</v>
      </c>
      <c r="E693" s="523" t="s">
        <v>2270</v>
      </c>
      <c r="F693" s="523" t="s">
        <v>21</v>
      </c>
    </row>
    <row r="694">
      <c r="A694" s="523">
        <v>693</v>
      </c>
      <c r="B694" s="523" t="s">
        <v>2285</v>
      </c>
      <c r="C694" s="523" t="s">
        <v>2286</v>
      </c>
      <c r="D694" s="523" t="s">
        <v>2269</v>
      </c>
      <c r="E694" s="523" t="s">
        <v>2270</v>
      </c>
      <c r="F694" s="523" t="s">
        <v>21</v>
      </c>
    </row>
    <row r="695">
      <c r="A695" s="523">
        <v>694</v>
      </c>
      <c r="B695" s="523" t="s">
        <v>2287</v>
      </c>
      <c r="C695" s="523" t="s">
        <v>2288</v>
      </c>
      <c r="D695" s="523" t="s">
        <v>2269</v>
      </c>
      <c r="E695" s="523" t="s">
        <v>2270</v>
      </c>
      <c r="F695" s="523" t="s">
        <v>21</v>
      </c>
    </row>
    <row r="696">
      <c r="A696" s="523">
        <v>695</v>
      </c>
      <c r="B696" s="523" t="s">
        <v>2289</v>
      </c>
      <c r="C696" s="523" t="s">
        <v>2290</v>
      </c>
      <c r="D696" s="523" t="s">
        <v>2269</v>
      </c>
      <c r="E696" s="523" t="s">
        <v>2270</v>
      </c>
      <c r="F696" s="523" t="s">
        <v>21</v>
      </c>
    </row>
    <row r="697">
      <c r="A697" s="523">
        <v>696</v>
      </c>
      <c r="B697" s="523" t="s">
        <v>2291</v>
      </c>
      <c r="C697" s="523" t="s">
        <v>2292</v>
      </c>
      <c r="D697" s="523" t="s">
        <v>2269</v>
      </c>
      <c r="E697" s="523" t="s">
        <v>2270</v>
      </c>
      <c r="F697" s="523" t="s">
        <v>21</v>
      </c>
    </row>
    <row r="698">
      <c r="A698" s="523">
        <v>697</v>
      </c>
      <c r="B698" s="523" t="s">
        <v>2293</v>
      </c>
      <c r="C698" s="523" t="s">
        <v>2294</v>
      </c>
      <c r="D698" s="523" t="s">
        <v>2269</v>
      </c>
      <c r="E698" s="523" t="s">
        <v>2270</v>
      </c>
      <c r="F698" s="523" t="s">
        <v>21</v>
      </c>
    </row>
    <row r="699">
      <c r="A699" s="523">
        <v>698</v>
      </c>
      <c r="B699" s="523" t="s">
        <v>2295</v>
      </c>
      <c r="C699" s="523" t="s">
        <v>2296</v>
      </c>
      <c r="D699" s="523" t="s">
        <v>2269</v>
      </c>
      <c r="E699" s="523" t="s">
        <v>2270</v>
      </c>
      <c r="F699" s="523" t="s">
        <v>21</v>
      </c>
    </row>
    <row r="700">
      <c r="A700" s="523">
        <v>699</v>
      </c>
      <c r="B700" s="523" t="s">
        <v>2297</v>
      </c>
      <c r="C700" s="523" t="s">
        <v>1925</v>
      </c>
      <c r="D700" s="523" t="s">
        <v>2269</v>
      </c>
      <c r="E700" s="523" t="s">
        <v>2270</v>
      </c>
      <c r="F700" s="523" t="s">
        <v>21</v>
      </c>
    </row>
    <row r="701">
      <c r="A701" s="523">
        <v>700</v>
      </c>
      <c r="B701" s="523" t="s">
        <v>2298</v>
      </c>
      <c r="C701" s="523" t="s">
        <v>2299</v>
      </c>
      <c r="D701" s="523" t="s">
        <v>2269</v>
      </c>
      <c r="E701" s="523" t="s">
        <v>2270</v>
      </c>
      <c r="F701" s="523" t="s">
        <v>21</v>
      </c>
    </row>
    <row r="702">
      <c r="A702" s="523">
        <v>701</v>
      </c>
      <c r="B702" s="523" t="s">
        <v>2300</v>
      </c>
      <c r="C702" s="523" t="s">
        <v>2301</v>
      </c>
      <c r="D702" s="523" t="s">
        <v>2269</v>
      </c>
      <c r="E702" s="523" t="s">
        <v>2270</v>
      </c>
      <c r="F702" s="523" t="s">
        <v>21</v>
      </c>
    </row>
    <row r="703">
      <c r="A703" s="523">
        <v>702</v>
      </c>
      <c r="B703" s="523" t="s">
        <v>2302</v>
      </c>
      <c r="C703" s="523" t="s">
        <v>1750</v>
      </c>
      <c r="D703" s="523" t="s">
        <v>2269</v>
      </c>
      <c r="E703" s="523" t="s">
        <v>2270</v>
      </c>
      <c r="F703" s="523" t="s">
        <v>21</v>
      </c>
    </row>
    <row r="704">
      <c r="A704" s="523">
        <v>703</v>
      </c>
      <c r="B704" s="523" t="s">
        <v>2303</v>
      </c>
      <c r="C704" s="523" t="s">
        <v>2304</v>
      </c>
      <c r="D704" s="523" t="s">
        <v>2305</v>
      </c>
      <c r="E704" s="523" t="s">
        <v>2306</v>
      </c>
      <c r="F704" s="523" t="s">
        <v>21</v>
      </c>
    </row>
    <row r="705">
      <c r="A705" s="523">
        <v>704</v>
      </c>
      <c r="B705" s="523" t="s">
        <v>2307</v>
      </c>
      <c r="C705" s="523" t="s">
        <v>2308</v>
      </c>
      <c r="D705" s="523" t="s">
        <v>2305</v>
      </c>
      <c r="E705" s="523" t="s">
        <v>2306</v>
      </c>
      <c r="F705" s="523" t="s">
        <v>21</v>
      </c>
    </row>
    <row r="706">
      <c r="A706" s="523">
        <v>705</v>
      </c>
      <c r="B706" s="523" t="s">
        <v>2309</v>
      </c>
      <c r="C706" s="523" t="s">
        <v>2310</v>
      </c>
      <c r="D706" s="523" t="s">
        <v>2305</v>
      </c>
      <c r="E706" s="523" t="s">
        <v>2306</v>
      </c>
      <c r="F706" s="523" t="s">
        <v>21</v>
      </c>
    </row>
    <row r="707">
      <c r="A707" s="523">
        <v>706</v>
      </c>
      <c r="B707" s="523" t="s">
        <v>2311</v>
      </c>
      <c r="C707" s="523" t="s">
        <v>1306</v>
      </c>
      <c r="D707" s="523" t="s">
        <v>2305</v>
      </c>
      <c r="E707" s="523" t="s">
        <v>2306</v>
      </c>
      <c r="F707" s="523" t="s">
        <v>21</v>
      </c>
    </row>
    <row r="708">
      <c r="A708" s="523">
        <v>707</v>
      </c>
      <c r="B708" s="523" t="s">
        <v>2312</v>
      </c>
      <c r="C708" s="523" t="s">
        <v>1741</v>
      </c>
      <c r="D708" s="523" t="s">
        <v>2305</v>
      </c>
      <c r="E708" s="523" t="s">
        <v>2306</v>
      </c>
      <c r="F708" s="523" t="s">
        <v>21</v>
      </c>
    </row>
    <row r="709">
      <c r="A709" s="523">
        <v>708</v>
      </c>
      <c r="B709" s="523" t="s">
        <v>2313</v>
      </c>
      <c r="C709" s="523" t="s">
        <v>1207</v>
      </c>
      <c r="D709" s="523" t="s">
        <v>2305</v>
      </c>
      <c r="E709" s="523" t="s">
        <v>2306</v>
      </c>
      <c r="F709" s="523" t="s">
        <v>21</v>
      </c>
    </row>
    <row r="710">
      <c r="A710" s="523">
        <v>709</v>
      </c>
      <c r="B710" s="523" t="s">
        <v>2314</v>
      </c>
      <c r="C710" s="523" t="s">
        <v>2315</v>
      </c>
      <c r="D710" s="523" t="s">
        <v>2305</v>
      </c>
      <c r="E710" s="523" t="s">
        <v>2306</v>
      </c>
      <c r="F710" s="523" t="s">
        <v>21</v>
      </c>
    </row>
    <row r="711">
      <c r="A711" s="523">
        <v>710</v>
      </c>
      <c r="B711" s="523" t="s">
        <v>2316</v>
      </c>
      <c r="C711" s="523" t="s">
        <v>1696</v>
      </c>
      <c r="D711" s="523" t="s">
        <v>2305</v>
      </c>
      <c r="E711" s="523" t="s">
        <v>2306</v>
      </c>
      <c r="F711" s="523" t="s">
        <v>21</v>
      </c>
    </row>
    <row r="712">
      <c r="A712" s="523">
        <v>711</v>
      </c>
      <c r="B712" s="523" t="s">
        <v>2317</v>
      </c>
      <c r="C712" s="523" t="s">
        <v>1587</v>
      </c>
      <c r="D712" s="523" t="s">
        <v>2305</v>
      </c>
      <c r="E712" s="523" t="s">
        <v>2306</v>
      </c>
      <c r="F712" s="523" t="s">
        <v>21</v>
      </c>
    </row>
    <row r="713">
      <c r="A713" s="523">
        <v>712</v>
      </c>
      <c r="B713" s="523" t="s">
        <v>2318</v>
      </c>
      <c r="C713" s="523" t="s">
        <v>2319</v>
      </c>
      <c r="D713" s="523" t="s">
        <v>2320</v>
      </c>
      <c r="E713" s="523" t="s">
        <v>2321</v>
      </c>
      <c r="F713" s="523" t="s">
        <v>24</v>
      </c>
    </row>
    <row r="714">
      <c r="A714" s="523">
        <v>713</v>
      </c>
      <c r="B714" s="523" t="s">
        <v>2322</v>
      </c>
      <c r="C714" s="523" t="s">
        <v>2323</v>
      </c>
      <c r="D714" s="523" t="s">
        <v>2320</v>
      </c>
      <c r="E714" s="523" t="s">
        <v>2321</v>
      </c>
      <c r="F714" s="523" t="s">
        <v>24</v>
      </c>
    </row>
    <row r="715">
      <c r="A715" s="523">
        <v>714</v>
      </c>
      <c r="B715" s="523" t="s">
        <v>2324</v>
      </c>
      <c r="C715" s="523" t="s">
        <v>2325</v>
      </c>
      <c r="D715" s="523" t="s">
        <v>2320</v>
      </c>
      <c r="E715" s="523" t="s">
        <v>2321</v>
      </c>
      <c r="F715" s="523" t="s">
        <v>24</v>
      </c>
    </row>
    <row r="716">
      <c r="A716" s="523">
        <v>715</v>
      </c>
      <c r="B716" s="523" t="s">
        <v>2326</v>
      </c>
      <c r="C716" s="523" t="s">
        <v>2327</v>
      </c>
      <c r="D716" s="523" t="s">
        <v>2320</v>
      </c>
      <c r="E716" s="523" t="s">
        <v>2321</v>
      </c>
      <c r="F716" s="523" t="s">
        <v>24</v>
      </c>
    </row>
    <row r="717">
      <c r="A717" s="523">
        <v>716</v>
      </c>
      <c r="B717" s="523" t="s">
        <v>2328</v>
      </c>
      <c r="C717" s="523" t="s">
        <v>1012</v>
      </c>
      <c r="D717" s="523" t="s">
        <v>2320</v>
      </c>
      <c r="E717" s="523" t="s">
        <v>2321</v>
      </c>
      <c r="F717" s="523" t="s">
        <v>24</v>
      </c>
    </row>
    <row r="718">
      <c r="A718" s="523">
        <v>717</v>
      </c>
      <c r="B718" s="523" t="s">
        <v>2329</v>
      </c>
      <c r="C718" s="523" t="s">
        <v>1232</v>
      </c>
      <c r="D718" s="523" t="s">
        <v>2320</v>
      </c>
      <c r="E718" s="523" t="s">
        <v>2321</v>
      </c>
      <c r="F718" s="523" t="s">
        <v>24</v>
      </c>
    </row>
    <row r="719">
      <c r="A719" s="523">
        <v>718</v>
      </c>
      <c r="B719" s="523" t="s">
        <v>2330</v>
      </c>
      <c r="C719" s="523" t="s">
        <v>2331</v>
      </c>
      <c r="D719" s="523" t="s">
        <v>2320</v>
      </c>
      <c r="E719" s="523" t="s">
        <v>2321</v>
      </c>
      <c r="F719" s="523" t="s">
        <v>24</v>
      </c>
    </row>
    <row r="720">
      <c r="A720" s="523">
        <v>719</v>
      </c>
      <c r="B720" s="523" t="s">
        <v>2332</v>
      </c>
      <c r="C720" s="523" t="s">
        <v>2333</v>
      </c>
      <c r="D720" s="523" t="s">
        <v>2320</v>
      </c>
      <c r="E720" s="523" t="s">
        <v>2321</v>
      </c>
      <c r="F720" s="523" t="s">
        <v>24</v>
      </c>
    </row>
    <row r="721">
      <c r="A721" s="523">
        <v>720</v>
      </c>
      <c r="B721" s="523" t="s">
        <v>2334</v>
      </c>
      <c r="C721" s="523" t="s">
        <v>2335</v>
      </c>
      <c r="D721" s="523" t="s">
        <v>2320</v>
      </c>
      <c r="E721" s="523" t="s">
        <v>2321</v>
      </c>
      <c r="F721" s="523" t="s">
        <v>24</v>
      </c>
    </row>
    <row r="722">
      <c r="A722" s="523">
        <v>721</v>
      </c>
      <c r="B722" s="523" t="s">
        <v>2336</v>
      </c>
      <c r="C722" s="523" t="s">
        <v>2337</v>
      </c>
      <c r="D722" s="523" t="s">
        <v>2320</v>
      </c>
      <c r="E722" s="523" t="s">
        <v>2321</v>
      </c>
      <c r="F722" s="523" t="s">
        <v>24</v>
      </c>
    </row>
    <row r="723">
      <c r="A723" s="523">
        <v>722</v>
      </c>
      <c r="B723" s="523" t="s">
        <v>2338</v>
      </c>
      <c r="C723" s="523" t="s">
        <v>2339</v>
      </c>
      <c r="D723" s="523" t="s">
        <v>2320</v>
      </c>
      <c r="E723" s="523" t="s">
        <v>2321</v>
      </c>
      <c r="F723" s="523" t="s">
        <v>24</v>
      </c>
    </row>
    <row r="724">
      <c r="A724" s="523">
        <v>723</v>
      </c>
      <c r="B724" s="523" t="s">
        <v>2340</v>
      </c>
      <c r="C724" s="523" t="s">
        <v>2341</v>
      </c>
      <c r="D724" s="523" t="s">
        <v>2342</v>
      </c>
      <c r="E724" s="523" t="s">
        <v>2343</v>
      </c>
      <c r="F724" s="523" t="s">
        <v>24</v>
      </c>
    </row>
    <row r="725">
      <c r="A725" s="523">
        <v>724</v>
      </c>
      <c r="B725" s="523" t="s">
        <v>2344</v>
      </c>
      <c r="C725" s="523" t="s">
        <v>2345</v>
      </c>
      <c r="D725" s="523" t="s">
        <v>2342</v>
      </c>
      <c r="E725" s="523" t="s">
        <v>2343</v>
      </c>
      <c r="F725" s="523" t="s">
        <v>24</v>
      </c>
    </row>
    <row r="726">
      <c r="A726" s="523">
        <v>725</v>
      </c>
      <c r="B726" s="523" t="s">
        <v>2346</v>
      </c>
      <c r="C726" s="523" t="s">
        <v>2347</v>
      </c>
      <c r="D726" s="523" t="s">
        <v>2342</v>
      </c>
      <c r="E726" s="523" t="s">
        <v>2343</v>
      </c>
      <c r="F726" s="523" t="s">
        <v>24</v>
      </c>
    </row>
    <row r="727">
      <c r="A727" s="523">
        <v>726</v>
      </c>
      <c r="B727" s="523" t="s">
        <v>2348</v>
      </c>
      <c r="C727" s="523" t="s">
        <v>2349</v>
      </c>
      <c r="D727" s="523" t="s">
        <v>2342</v>
      </c>
      <c r="E727" s="523" t="s">
        <v>2343</v>
      </c>
      <c r="F727" s="523" t="s">
        <v>24</v>
      </c>
    </row>
    <row r="728">
      <c r="A728" s="523">
        <v>727</v>
      </c>
      <c r="B728" s="523" t="s">
        <v>2350</v>
      </c>
      <c r="C728" s="523" t="s">
        <v>2351</v>
      </c>
      <c r="D728" s="523" t="s">
        <v>2342</v>
      </c>
      <c r="E728" s="523" t="s">
        <v>2343</v>
      </c>
      <c r="F728" s="523" t="s">
        <v>24</v>
      </c>
    </row>
    <row r="729">
      <c r="A729" s="523">
        <v>728</v>
      </c>
      <c r="B729" s="523" t="s">
        <v>2352</v>
      </c>
      <c r="C729" s="523" t="s">
        <v>2353</v>
      </c>
      <c r="D729" s="523" t="s">
        <v>2342</v>
      </c>
      <c r="E729" s="523" t="s">
        <v>2343</v>
      </c>
      <c r="F729" s="523" t="s">
        <v>24</v>
      </c>
    </row>
    <row r="730">
      <c r="A730" s="523">
        <v>729</v>
      </c>
      <c r="B730" s="523" t="s">
        <v>2354</v>
      </c>
      <c r="C730" s="523" t="s">
        <v>2355</v>
      </c>
      <c r="D730" s="523" t="s">
        <v>2342</v>
      </c>
      <c r="E730" s="523" t="s">
        <v>2343</v>
      </c>
      <c r="F730" s="523" t="s">
        <v>24</v>
      </c>
    </row>
    <row r="731">
      <c r="A731" s="523">
        <v>730</v>
      </c>
      <c r="B731" s="523" t="s">
        <v>2356</v>
      </c>
      <c r="C731" s="523" t="s">
        <v>2357</v>
      </c>
      <c r="D731" s="523" t="s">
        <v>2342</v>
      </c>
      <c r="E731" s="523" t="s">
        <v>2343</v>
      </c>
      <c r="F731" s="523" t="s">
        <v>24</v>
      </c>
    </row>
    <row r="732">
      <c r="A732" s="523">
        <v>731</v>
      </c>
      <c r="B732" s="523" t="s">
        <v>2358</v>
      </c>
      <c r="C732" s="523" t="s">
        <v>2359</v>
      </c>
      <c r="D732" s="523" t="s">
        <v>2360</v>
      </c>
      <c r="E732" s="523" t="s">
        <v>2361</v>
      </c>
      <c r="F732" s="523" t="s">
        <v>24</v>
      </c>
    </row>
    <row r="733">
      <c r="A733" s="523">
        <v>732</v>
      </c>
      <c r="B733" s="523" t="s">
        <v>2362</v>
      </c>
      <c r="C733" s="523" t="s">
        <v>2363</v>
      </c>
      <c r="D733" s="523" t="s">
        <v>2360</v>
      </c>
      <c r="E733" s="523" t="s">
        <v>2361</v>
      </c>
      <c r="F733" s="523" t="s">
        <v>24</v>
      </c>
    </row>
    <row r="734">
      <c r="A734" s="523">
        <v>733</v>
      </c>
      <c r="B734" s="523" t="s">
        <v>2364</v>
      </c>
      <c r="C734" s="523" t="s">
        <v>2365</v>
      </c>
      <c r="D734" s="523" t="s">
        <v>2360</v>
      </c>
      <c r="E734" s="523" t="s">
        <v>2361</v>
      </c>
      <c r="F734" s="523" t="s">
        <v>24</v>
      </c>
    </row>
    <row r="735">
      <c r="A735" s="523">
        <v>734</v>
      </c>
      <c r="B735" s="523" t="s">
        <v>2366</v>
      </c>
      <c r="C735" s="523" t="s">
        <v>2367</v>
      </c>
      <c r="D735" s="523" t="s">
        <v>2360</v>
      </c>
      <c r="E735" s="523" t="s">
        <v>2361</v>
      </c>
      <c r="F735" s="523" t="s">
        <v>24</v>
      </c>
    </row>
    <row r="736">
      <c r="A736" s="523">
        <v>735</v>
      </c>
      <c r="B736" s="523" t="s">
        <v>2368</v>
      </c>
      <c r="C736" s="523" t="s">
        <v>2369</v>
      </c>
      <c r="D736" s="523" t="s">
        <v>2360</v>
      </c>
      <c r="E736" s="523" t="s">
        <v>2361</v>
      </c>
      <c r="F736" s="523" t="s">
        <v>24</v>
      </c>
    </row>
    <row r="737">
      <c r="A737" s="523">
        <v>736</v>
      </c>
      <c r="B737" s="523" t="s">
        <v>2370</v>
      </c>
      <c r="C737" s="523" t="s">
        <v>2371</v>
      </c>
      <c r="D737" s="523" t="s">
        <v>2360</v>
      </c>
      <c r="E737" s="523" t="s">
        <v>2361</v>
      </c>
      <c r="F737" s="523" t="s">
        <v>24</v>
      </c>
    </row>
    <row r="738">
      <c r="A738" s="523">
        <v>737</v>
      </c>
      <c r="B738" s="523" t="s">
        <v>2372</v>
      </c>
      <c r="C738" s="523" t="s">
        <v>2373</v>
      </c>
      <c r="D738" s="523" t="s">
        <v>2360</v>
      </c>
      <c r="E738" s="523" t="s">
        <v>2361</v>
      </c>
      <c r="F738" s="523" t="s">
        <v>24</v>
      </c>
    </row>
    <row r="739">
      <c r="A739" s="523">
        <v>738</v>
      </c>
      <c r="B739" s="523" t="s">
        <v>2374</v>
      </c>
      <c r="C739" s="523" t="s">
        <v>2375</v>
      </c>
      <c r="D739" s="523" t="s">
        <v>2376</v>
      </c>
      <c r="E739" s="523" t="s">
        <v>994</v>
      </c>
      <c r="F739" s="523" t="s">
        <v>24</v>
      </c>
    </row>
    <row r="740">
      <c r="A740" s="523">
        <v>739</v>
      </c>
      <c r="B740" s="523" t="s">
        <v>2377</v>
      </c>
      <c r="C740" s="523" t="s">
        <v>2378</v>
      </c>
      <c r="D740" s="523" t="s">
        <v>2376</v>
      </c>
      <c r="E740" s="523" t="s">
        <v>994</v>
      </c>
      <c r="F740" s="523" t="s">
        <v>24</v>
      </c>
    </row>
    <row r="741">
      <c r="A741" s="523">
        <v>740</v>
      </c>
      <c r="B741" s="523" t="s">
        <v>2379</v>
      </c>
      <c r="C741" s="523" t="s">
        <v>1950</v>
      </c>
      <c r="D741" s="523" t="s">
        <v>2376</v>
      </c>
      <c r="E741" s="523" t="s">
        <v>994</v>
      </c>
      <c r="F741" s="523" t="s">
        <v>24</v>
      </c>
    </row>
    <row r="742">
      <c r="A742" s="523">
        <v>741</v>
      </c>
      <c r="B742" s="523" t="s">
        <v>2380</v>
      </c>
      <c r="C742" s="523" t="s">
        <v>2381</v>
      </c>
      <c r="D742" s="523" t="s">
        <v>2376</v>
      </c>
      <c r="E742" s="523" t="s">
        <v>994</v>
      </c>
      <c r="F742" s="523" t="s">
        <v>24</v>
      </c>
    </row>
    <row r="743">
      <c r="A743" s="523">
        <v>742</v>
      </c>
      <c r="B743" s="523" t="s">
        <v>2382</v>
      </c>
      <c r="C743" s="523" t="s">
        <v>1042</v>
      </c>
      <c r="D743" s="523" t="s">
        <v>2376</v>
      </c>
      <c r="E743" s="523" t="s">
        <v>994</v>
      </c>
      <c r="F743" s="523" t="s">
        <v>24</v>
      </c>
    </row>
    <row r="744">
      <c r="A744" s="523">
        <v>743</v>
      </c>
      <c r="B744" s="523" t="s">
        <v>2383</v>
      </c>
      <c r="C744" s="523" t="s">
        <v>2384</v>
      </c>
      <c r="D744" s="523" t="s">
        <v>2376</v>
      </c>
      <c r="E744" s="523" t="s">
        <v>994</v>
      </c>
      <c r="F744" s="523" t="s">
        <v>24</v>
      </c>
    </row>
    <row r="745">
      <c r="A745" s="523">
        <v>744</v>
      </c>
      <c r="B745" s="523" t="s">
        <v>2385</v>
      </c>
      <c r="C745" s="523" t="s">
        <v>2315</v>
      </c>
      <c r="D745" s="523" t="s">
        <v>2376</v>
      </c>
      <c r="E745" s="523" t="s">
        <v>994</v>
      </c>
      <c r="F745" s="523" t="s">
        <v>24</v>
      </c>
    </row>
    <row r="746">
      <c r="A746" s="523">
        <v>745</v>
      </c>
      <c r="B746" s="523" t="s">
        <v>2386</v>
      </c>
      <c r="C746" s="523" t="s">
        <v>2387</v>
      </c>
      <c r="D746" s="523" t="s">
        <v>2376</v>
      </c>
      <c r="E746" s="523" t="s">
        <v>994</v>
      </c>
      <c r="F746" s="523" t="s">
        <v>24</v>
      </c>
    </row>
    <row r="747">
      <c r="A747" s="523">
        <v>746</v>
      </c>
      <c r="B747" s="523" t="s">
        <v>2388</v>
      </c>
      <c r="C747" s="523" t="s">
        <v>2389</v>
      </c>
      <c r="D747" s="523" t="s">
        <v>2376</v>
      </c>
      <c r="E747" s="523" t="s">
        <v>994</v>
      </c>
      <c r="F747" s="523" t="s">
        <v>24</v>
      </c>
    </row>
    <row r="748">
      <c r="A748" s="523">
        <v>747</v>
      </c>
      <c r="B748" s="523" t="s">
        <v>2390</v>
      </c>
      <c r="C748" s="523" t="s">
        <v>2391</v>
      </c>
      <c r="D748" s="523" t="s">
        <v>2392</v>
      </c>
      <c r="E748" s="523" t="s">
        <v>2393</v>
      </c>
      <c r="F748" s="523" t="s">
        <v>24</v>
      </c>
    </row>
    <row r="749">
      <c r="A749" s="523">
        <v>748</v>
      </c>
      <c r="B749" s="523" t="s">
        <v>2394</v>
      </c>
      <c r="C749" s="523" t="s">
        <v>2395</v>
      </c>
      <c r="D749" s="523" t="s">
        <v>2392</v>
      </c>
      <c r="E749" s="523" t="s">
        <v>2393</v>
      </c>
      <c r="F749" s="523" t="s">
        <v>24</v>
      </c>
    </row>
    <row r="750">
      <c r="A750" s="523">
        <v>749</v>
      </c>
      <c r="B750" s="523" t="s">
        <v>2396</v>
      </c>
      <c r="C750" s="523" t="s">
        <v>2397</v>
      </c>
      <c r="D750" s="523" t="s">
        <v>2392</v>
      </c>
      <c r="E750" s="523" t="s">
        <v>2393</v>
      </c>
      <c r="F750" s="523" t="s">
        <v>24</v>
      </c>
    </row>
    <row r="751">
      <c r="A751" s="523">
        <v>750</v>
      </c>
      <c r="B751" s="523" t="s">
        <v>2398</v>
      </c>
      <c r="C751" s="523" t="s">
        <v>2399</v>
      </c>
      <c r="D751" s="523" t="s">
        <v>2392</v>
      </c>
      <c r="E751" s="523" t="s">
        <v>2393</v>
      </c>
      <c r="F751" s="523" t="s">
        <v>24</v>
      </c>
    </row>
    <row r="752">
      <c r="A752" s="523">
        <v>751</v>
      </c>
      <c r="B752" s="523" t="s">
        <v>2400</v>
      </c>
      <c r="C752" s="523" t="s">
        <v>2401</v>
      </c>
      <c r="D752" s="523" t="s">
        <v>2392</v>
      </c>
      <c r="E752" s="523" t="s">
        <v>2393</v>
      </c>
      <c r="F752" s="523" t="s">
        <v>24</v>
      </c>
    </row>
    <row r="753">
      <c r="A753" s="523">
        <v>752</v>
      </c>
      <c r="B753" s="523" t="s">
        <v>2402</v>
      </c>
      <c r="C753" s="523" t="s">
        <v>2403</v>
      </c>
      <c r="D753" s="523" t="s">
        <v>2392</v>
      </c>
      <c r="E753" s="523" t="s">
        <v>2393</v>
      </c>
      <c r="F753" s="523" t="s">
        <v>24</v>
      </c>
    </row>
    <row r="754">
      <c r="A754" s="523">
        <v>753</v>
      </c>
      <c r="B754" s="523" t="s">
        <v>2404</v>
      </c>
      <c r="C754" s="523" t="s">
        <v>2405</v>
      </c>
      <c r="D754" s="523" t="s">
        <v>2392</v>
      </c>
      <c r="E754" s="523" t="s">
        <v>2393</v>
      </c>
      <c r="F754" s="523" t="s">
        <v>24</v>
      </c>
    </row>
    <row r="755">
      <c r="A755" s="523">
        <v>754</v>
      </c>
      <c r="B755" s="523" t="s">
        <v>2406</v>
      </c>
      <c r="C755" s="523" t="s">
        <v>2407</v>
      </c>
      <c r="D755" s="523" t="s">
        <v>2392</v>
      </c>
      <c r="E755" s="523" t="s">
        <v>2393</v>
      </c>
      <c r="F755" s="523" t="s">
        <v>24</v>
      </c>
    </row>
    <row r="756">
      <c r="A756" s="523">
        <v>755</v>
      </c>
      <c r="B756" s="523" t="s">
        <v>2408</v>
      </c>
      <c r="C756" s="523" t="s">
        <v>940</v>
      </c>
      <c r="D756" s="523" t="s">
        <v>2392</v>
      </c>
      <c r="E756" s="523" t="s">
        <v>2393</v>
      </c>
      <c r="F756" s="523" t="s">
        <v>24</v>
      </c>
    </row>
    <row r="757">
      <c r="A757" s="523">
        <v>756</v>
      </c>
      <c r="B757" s="523" t="s">
        <v>2409</v>
      </c>
      <c r="C757" s="523" t="s">
        <v>2410</v>
      </c>
      <c r="D757" s="523" t="s">
        <v>2392</v>
      </c>
      <c r="E757" s="523" t="s">
        <v>2393</v>
      </c>
      <c r="F757" s="523" t="s">
        <v>24</v>
      </c>
    </row>
    <row r="758">
      <c r="A758" s="523">
        <v>757</v>
      </c>
      <c r="B758" s="523" t="s">
        <v>2411</v>
      </c>
      <c r="C758" s="523" t="s">
        <v>2412</v>
      </c>
      <c r="D758" s="523" t="s">
        <v>2392</v>
      </c>
      <c r="E758" s="523" t="s">
        <v>2393</v>
      </c>
      <c r="F758" s="523" t="s">
        <v>24</v>
      </c>
    </row>
    <row r="759">
      <c r="A759" s="523">
        <v>758</v>
      </c>
      <c r="B759" s="523" t="s">
        <v>2413</v>
      </c>
      <c r="C759" s="523" t="s">
        <v>2414</v>
      </c>
      <c r="D759" s="523" t="s">
        <v>2392</v>
      </c>
      <c r="E759" s="523" t="s">
        <v>2393</v>
      </c>
      <c r="F759" s="523" t="s">
        <v>24</v>
      </c>
    </row>
    <row r="760">
      <c r="A760" s="523">
        <v>759</v>
      </c>
      <c r="B760" s="523" t="s">
        <v>2415</v>
      </c>
      <c r="C760" s="523" t="s">
        <v>2416</v>
      </c>
      <c r="D760" s="523" t="s">
        <v>2417</v>
      </c>
      <c r="E760" s="523" t="s">
        <v>2418</v>
      </c>
      <c r="F760" s="523" t="s">
        <v>24</v>
      </c>
    </row>
    <row r="761">
      <c r="A761" s="523">
        <v>760</v>
      </c>
      <c r="B761" s="523" t="s">
        <v>2419</v>
      </c>
      <c r="C761" s="523" t="s">
        <v>2420</v>
      </c>
      <c r="D761" s="523" t="s">
        <v>2417</v>
      </c>
      <c r="E761" s="523" t="s">
        <v>2418</v>
      </c>
      <c r="F761" s="523" t="s">
        <v>24</v>
      </c>
    </row>
    <row r="762">
      <c r="A762" s="523">
        <v>761</v>
      </c>
      <c r="B762" s="523" t="s">
        <v>2421</v>
      </c>
      <c r="C762" s="523" t="s">
        <v>876</v>
      </c>
      <c r="D762" s="523" t="s">
        <v>2417</v>
      </c>
      <c r="E762" s="523" t="s">
        <v>2418</v>
      </c>
      <c r="F762" s="523" t="s">
        <v>24</v>
      </c>
    </row>
    <row r="763">
      <c r="A763" s="523">
        <v>762</v>
      </c>
      <c r="B763" s="523" t="s">
        <v>2422</v>
      </c>
      <c r="C763" s="523" t="s">
        <v>2423</v>
      </c>
      <c r="D763" s="523" t="s">
        <v>2417</v>
      </c>
      <c r="E763" s="523" t="s">
        <v>2418</v>
      </c>
      <c r="F763" s="523" t="s">
        <v>24</v>
      </c>
    </row>
    <row r="764">
      <c r="A764" s="523">
        <v>763</v>
      </c>
      <c r="B764" s="523" t="s">
        <v>2424</v>
      </c>
      <c r="C764" s="523" t="s">
        <v>2425</v>
      </c>
      <c r="D764" s="523" t="s">
        <v>2417</v>
      </c>
      <c r="E764" s="523" t="s">
        <v>2418</v>
      </c>
      <c r="F764" s="523" t="s">
        <v>24</v>
      </c>
    </row>
    <row r="765">
      <c r="A765" s="523">
        <v>764</v>
      </c>
      <c r="B765" s="523" t="s">
        <v>2426</v>
      </c>
      <c r="C765" s="523" t="s">
        <v>2427</v>
      </c>
      <c r="D765" s="523" t="s">
        <v>2417</v>
      </c>
      <c r="E765" s="523" t="s">
        <v>2418</v>
      </c>
      <c r="F765" s="523" t="s">
        <v>24</v>
      </c>
    </row>
    <row r="766">
      <c r="A766" s="523">
        <v>765</v>
      </c>
      <c r="B766" s="523" t="s">
        <v>2428</v>
      </c>
      <c r="C766" s="523" t="s">
        <v>2429</v>
      </c>
      <c r="D766" s="523" t="s">
        <v>2417</v>
      </c>
      <c r="E766" s="523" t="s">
        <v>2418</v>
      </c>
      <c r="F766" s="523" t="s">
        <v>24</v>
      </c>
    </row>
    <row r="767">
      <c r="A767" s="523">
        <v>766</v>
      </c>
      <c r="B767" s="523" t="s">
        <v>2430</v>
      </c>
      <c r="C767" s="523" t="s">
        <v>2431</v>
      </c>
      <c r="D767" s="523" t="s">
        <v>2417</v>
      </c>
      <c r="E767" s="523" t="s">
        <v>2418</v>
      </c>
      <c r="F767" s="523" t="s">
        <v>24</v>
      </c>
    </row>
    <row r="768">
      <c r="A768" s="523">
        <v>767</v>
      </c>
      <c r="B768" s="523" t="s">
        <v>2432</v>
      </c>
      <c r="C768" s="523" t="s">
        <v>2433</v>
      </c>
      <c r="D768" s="523" t="s">
        <v>2417</v>
      </c>
      <c r="E768" s="523" t="s">
        <v>2418</v>
      </c>
      <c r="F768" s="523" t="s">
        <v>24</v>
      </c>
    </row>
    <row r="769">
      <c r="A769" s="523">
        <v>768</v>
      </c>
      <c r="B769" s="523" t="s">
        <v>2434</v>
      </c>
      <c r="C769" s="523" t="s">
        <v>2435</v>
      </c>
      <c r="D769" s="523" t="s">
        <v>2417</v>
      </c>
      <c r="E769" s="523" t="s">
        <v>2418</v>
      </c>
      <c r="F769" s="523" t="s">
        <v>24</v>
      </c>
    </row>
    <row r="770">
      <c r="A770" s="523">
        <v>769</v>
      </c>
      <c r="B770" s="523" t="s">
        <v>2436</v>
      </c>
      <c r="C770" s="523" t="s">
        <v>2437</v>
      </c>
      <c r="D770" s="523" t="s">
        <v>2417</v>
      </c>
      <c r="E770" s="523" t="s">
        <v>2418</v>
      </c>
      <c r="F770" s="523" t="s">
        <v>24</v>
      </c>
    </row>
    <row r="771">
      <c r="A771" s="523">
        <v>770</v>
      </c>
      <c r="B771" s="523" t="s">
        <v>2438</v>
      </c>
      <c r="C771" s="523" t="s">
        <v>2439</v>
      </c>
      <c r="D771" s="523" t="s">
        <v>2417</v>
      </c>
      <c r="E771" s="523" t="s">
        <v>2418</v>
      </c>
      <c r="F771" s="523" t="s">
        <v>24</v>
      </c>
    </row>
    <row r="772">
      <c r="A772" s="523">
        <v>771</v>
      </c>
      <c r="B772" s="523" t="s">
        <v>2440</v>
      </c>
      <c r="C772" s="523" t="s">
        <v>2441</v>
      </c>
      <c r="D772" s="523" t="s">
        <v>2417</v>
      </c>
      <c r="E772" s="523" t="s">
        <v>2418</v>
      </c>
      <c r="F772" s="523" t="s">
        <v>24</v>
      </c>
    </row>
    <row r="773">
      <c r="A773" s="523">
        <v>772</v>
      </c>
      <c r="B773" s="523" t="s">
        <v>2442</v>
      </c>
      <c r="C773" s="523" t="s">
        <v>2443</v>
      </c>
      <c r="D773" s="523" t="s">
        <v>2444</v>
      </c>
      <c r="E773" s="523" t="s">
        <v>2445</v>
      </c>
      <c r="F773" s="523" t="s">
        <v>24</v>
      </c>
    </row>
    <row r="774">
      <c r="A774" s="523">
        <v>773</v>
      </c>
      <c r="B774" s="523" t="s">
        <v>2446</v>
      </c>
      <c r="C774" s="523" t="s">
        <v>874</v>
      </c>
      <c r="D774" s="523" t="s">
        <v>2444</v>
      </c>
      <c r="E774" s="523" t="s">
        <v>2445</v>
      </c>
      <c r="F774" s="523" t="s">
        <v>24</v>
      </c>
    </row>
    <row r="775">
      <c r="A775" s="523">
        <v>774</v>
      </c>
      <c r="B775" s="523" t="s">
        <v>2447</v>
      </c>
      <c r="C775" s="523" t="s">
        <v>912</v>
      </c>
      <c r="D775" s="523" t="s">
        <v>2444</v>
      </c>
      <c r="E775" s="523" t="s">
        <v>2445</v>
      </c>
      <c r="F775" s="523" t="s">
        <v>24</v>
      </c>
    </row>
    <row r="776">
      <c r="A776" s="523">
        <v>775</v>
      </c>
      <c r="B776" s="523" t="s">
        <v>2448</v>
      </c>
      <c r="C776" s="523" t="s">
        <v>2449</v>
      </c>
      <c r="D776" s="523" t="s">
        <v>2444</v>
      </c>
      <c r="E776" s="523" t="s">
        <v>2445</v>
      </c>
      <c r="F776" s="523" t="s">
        <v>24</v>
      </c>
    </row>
    <row r="777">
      <c r="A777" s="523">
        <v>776</v>
      </c>
      <c r="B777" s="523" t="s">
        <v>2450</v>
      </c>
      <c r="C777" s="523" t="s">
        <v>2451</v>
      </c>
      <c r="D777" s="523" t="s">
        <v>2444</v>
      </c>
      <c r="E777" s="523" t="s">
        <v>2445</v>
      </c>
      <c r="F777" s="523" t="s">
        <v>24</v>
      </c>
    </row>
    <row r="778">
      <c r="A778" s="523">
        <v>777</v>
      </c>
      <c r="B778" s="523" t="s">
        <v>2452</v>
      </c>
      <c r="C778" s="523" t="s">
        <v>2453</v>
      </c>
      <c r="D778" s="523" t="s">
        <v>2444</v>
      </c>
      <c r="E778" s="523" t="s">
        <v>2445</v>
      </c>
      <c r="F778" s="523" t="s">
        <v>24</v>
      </c>
    </row>
    <row r="779">
      <c r="A779" s="523">
        <v>778</v>
      </c>
      <c r="B779" s="523" t="s">
        <v>2454</v>
      </c>
      <c r="C779" s="523" t="s">
        <v>2455</v>
      </c>
      <c r="D779" s="523" t="s">
        <v>2444</v>
      </c>
      <c r="E779" s="523" t="s">
        <v>2445</v>
      </c>
      <c r="F779" s="523" t="s">
        <v>24</v>
      </c>
    </row>
    <row r="780">
      <c r="A780" s="523">
        <v>779</v>
      </c>
      <c r="B780" s="523" t="s">
        <v>2456</v>
      </c>
      <c r="C780" s="523" t="s">
        <v>2457</v>
      </c>
      <c r="D780" s="523" t="s">
        <v>2444</v>
      </c>
      <c r="E780" s="523" t="s">
        <v>2445</v>
      </c>
      <c r="F780" s="523" t="s">
        <v>24</v>
      </c>
    </row>
    <row r="781">
      <c r="A781" s="523">
        <v>780</v>
      </c>
      <c r="B781" s="523" t="s">
        <v>2458</v>
      </c>
      <c r="C781" s="523" t="s">
        <v>2459</v>
      </c>
      <c r="D781" s="523" t="s">
        <v>2460</v>
      </c>
      <c r="E781" s="523" t="s">
        <v>2461</v>
      </c>
      <c r="F781" s="523" t="s">
        <v>24</v>
      </c>
    </row>
    <row r="782">
      <c r="A782" s="523">
        <v>781</v>
      </c>
      <c r="B782" s="523" t="s">
        <v>2462</v>
      </c>
      <c r="C782" s="523" t="s">
        <v>2463</v>
      </c>
      <c r="D782" s="523" t="s">
        <v>2460</v>
      </c>
      <c r="E782" s="523" t="s">
        <v>2461</v>
      </c>
      <c r="F782" s="523" t="s">
        <v>24</v>
      </c>
    </row>
    <row r="783">
      <c r="A783" s="523">
        <v>782</v>
      </c>
      <c r="B783" s="523" t="s">
        <v>2464</v>
      </c>
      <c r="C783" s="523" t="s">
        <v>2465</v>
      </c>
      <c r="D783" s="523" t="s">
        <v>2460</v>
      </c>
      <c r="E783" s="523" t="s">
        <v>2461</v>
      </c>
      <c r="F783" s="523" t="s">
        <v>24</v>
      </c>
    </row>
    <row r="784">
      <c r="A784" s="523">
        <v>783</v>
      </c>
      <c r="B784" s="523" t="s">
        <v>2466</v>
      </c>
      <c r="C784" s="523" t="s">
        <v>2467</v>
      </c>
      <c r="D784" s="523" t="s">
        <v>2460</v>
      </c>
      <c r="E784" s="523" t="s">
        <v>2461</v>
      </c>
      <c r="F784" s="523" t="s">
        <v>24</v>
      </c>
    </row>
    <row r="785">
      <c r="A785" s="523">
        <v>784</v>
      </c>
      <c r="B785" s="523" t="s">
        <v>2468</v>
      </c>
      <c r="C785" s="523" t="s">
        <v>2469</v>
      </c>
      <c r="D785" s="523" t="s">
        <v>2460</v>
      </c>
      <c r="E785" s="523" t="s">
        <v>2461</v>
      </c>
      <c r="F785" s="523" t="s">
        <v>24</v>
      </c>
    </row>
    <row r="786">
      <c r="A786" s="523">
        <v>785</v>
      </c>
      <c r="B786" s="523" t="s">
        <v>2470</v>
      </c>
      <c r="C786" s="523" t="s">
        <v>2471</v>
      </c>
      <c r="D786" s="523" t="s">
        <v>2460</v>
      </c>
      <c r="E786" s="523" t="s">
        <v>2461</v>
      </c>
      <c r="F786" s="523" t="s">
        <v>24</v>
      </c>
    </row>
    <row r="787">
      <c r="A787" s="523">
        <v>786</v>
      </c>
      <c r="B787" s="523" t="s">
        <v>2472</v>
      </c>
      <c r="C787" s="523" t="s">
        <v>2473</v>
      </c>
      <c r="D787" s="523" t="s">
        <v>2460</v>
      </c>
      <c r="E787" s="523" t="s">
        <v>2461</v>
      </c>
      <c r="F787" s="523" t="s">
        <v>24</v>
      </c>
    </row>
    <row r="788">
      <c r="A788" s="523">
        <v>787</v>
      </c>
      <c r="B788" s="523" t="s">
        <v>2474</v>
      </c>
      <c r="C788" s="523" t="s">
        <v>2475</v>
      </c>
      <c r="D788" s="523" t="s">
        <v>2460</v>
      </c>
      <c r="E788" s="523" t="s">
        <v>2461</v>
      </c>
      <c r="F788" s="523" t="s">
        <v>24</v>
      </c>
    </row>
    <row r="789">
      <c r="A789" s="523">
        <v>788</v>
      </c>
      <c r="B789" s="523" t="s">
        <v>2476</v>
      </c>
      <c r="C789" s="523" t="s">
        <v>2477</v>
      </c>
      <c r="D789" s="523" t="s">
        <v>2460</v>
      </c>
      <c r="E789" s="523" t="s">
        <v>2461</v>
      </c>
      <c r="F789" s="523" t="s">
        <v>24</v>
      </c>
    </row>
    <row r="790">
      <c r="A790" s="523">
        <v>789</v>
      </c>
      <c r="B790" s="523" t="s">
        <v>2478</v>
      </c>
      <c r="C790" s="523" t="s">
        <v>2479</v>
      </c>
      <c r="D790" s="523" t="s">
        <v>2460</v>
      </c>
      <c r="E790" s="523" t="s">
        <v>2461</v>
      </c>
      <c r="F790" s="523" t="s">
        <v>24</v>
      </c>
    </row>
    <row r="791">
      <c r="A791" s="523">
        <v>790</v>
      </c>
      <c r="B791" s="523" t="s">
        <v>2480</v>
      </c>
      <c r="C791" s="523" t="s">
        <v>2176</v>
      </c>
      <c r="D791" s="523" t="s">
        <v>2460</v>
      </c>
      <c r="E791" s="523" t="s">
        <v>2461</v>
      </c>
      <c r="F791" s="523" t="s">
        <v>24</v>
      </c>
    </row>
    <row r="792">
      <c r="A792" s="523">
        <v>791</v>
      </c>
      <c r="B792" s="523" t="s">
        <v>2481</v>
      </c>
      <c r="C792" s="523" t="s">
        <v>1587</v>
      </c>
      <c r="D792" s="523" t="s">
        <v>2460</v>
      </c>
      <c r="E792" s="523" t="s">
        <v>2461</v>
      </c>
      <c r="F792" s="523" t="s">
        <v>24</v>
      </c>
    </row>
    <row r="793">
      <c r="A793" s="523">
        <v>792</v>
      </c>
      <c r="B793" s="523" t="s">
        <v>2482</v>
      </c>
      <c r="C793" s="523" t="s">
        <v>1026</v>
      </c>
      <c r="D793" s="523" t="s">
        <v>2460</v>
      </c>
      <c r="E793" s="523" t="s">
        <v>2461</v>
      </c>
      <c r="F793" s="523" t="s">
        <v>24</v>
      </c>
    </row>
    <row r="794">
      <c r="A794" s="523">
        <v>793</v>
      </c>
      <c r="B794" s="523" t="s">
        <v>2483</v>
      </c>
      <c r="C794" s="523" t="s">
        <v>2115</v>
      </c>
      <c r="D794" s="523" t="s">
        <v>2460</v>
      </c>
      <c r="E794" s="523" t="s">
        <v>2461</v>
      </c>
      <c r="F794" s="523" t="s">
        <v>24</v>
      </c>
    </row>
    <row r="795">
      <c r="A795" s="523">
        <v>794</v>
      </c>
      <c r="B795" s="523" t="s">
        <v>2484</v>
      </c>
      <c r="C795" s="523" t="s">
        <v>2485</v>
      </c>
      <c r="D795" s="523" t="s">
        <v>2460</v>
      </c>
      <c r="E795" s="523" t="s">
        <v>2461</v>
      </c>
      <c r="F795" s="523" t="s">
        <v>24</v>
      </c>
    </row>
    <row r="796">
      <c r="A796" s="523">
        <v>795</v>
      </c>
      <c r="B796" s="523" t="s">
        <v>2486</v>
      </c>
      <c r="C796" s="523" t="s">
        <v>2487</v>
      </c>
      <c r="D796" s="523" t="s">
        <v>2460</v>
      </c>
      <c r="E796" s="523" t="s">
        <v>2461</v>
      </c>
      <c r="F796" s="523" t="s">
        <v>24</v>
      </c>
    </row>
    <row r="797">
      <c r="A797" s="523">
        <v>796</v>
      </c>
      <c r="B797" s="523" t="s">
        <v>2488</v>
      </c>
      <c r="C797" s="523" t="s">
        <v>1486</v>
      </c>
      <c r="D797" s="523" t="s">
        <v>2489</v>
      </c>
      <c r="E797" s="523" t="s">
        <v>2490</v>
      </c>
      <c r="F797" s="523" t="s">
        <v>24</v>
      </c>
    </row>
    <row r="798">
      <c r="A798" s="523">
        <v>797</v>
      </c>
      <c r="B798" s="523" t="s">
        <v>2491</v>
      </c>
      <c r="C798" s="523" t="s">
        <v>1490</v>
      </c>
      <c r="D798" s="523" t="s">
        <v>2489</v>
      </c>
      <c r="E798" s="523" t="s">
        <v>2490</v>
      </c>
      <c r="F798" s="523" t="s">
        <v>24</v>
      </c>
    </row>
    <row r="799">
      <c r="A799" s="523">
        <v>798</v>
      </c>
      <c r="B799" s="523" t="s">
        <v>2492</v>
      </c>
      <c r="C799" s="523" t="s">
        <v>2039</v>
      </c>
      <c r="D799" s="523" t="s">
        <v>2489</v>
      </c>
      <c r="E799" s="523" t="s">
        <v>2490</v>
      </c>
      <c r="F799" s="523" t="s">
        <v>24</v>
      </c>
    </row>
    <row r="800">
      <c r="A800" s="523">
        <v>799</v>
      </c>
      <c r="B800" s="523" t="s">
        <v>2493</v>
      </c>
      <c r="C800" s="523" t="s">
        <v>1494</v>
      </c>
      <c r="D800" s="523" t="s">
        <v>2489</v>
      </c>
      <c r="E800" s="523" t="s">
        <v>2490</v>
      </c>
      <c r="F800" s="523" t="s">
        <v>24</v>
      </c>
    </row>
    <row r="801">
      <c r="A801" s="523">
        <v>800</v>
      </c>
      <c r="B801" s="523" t="s">
        <v>2494</v>
      </c>
      <c r="C801" s="523" t="s">
        <v>2042</v>
      </c>
      <c r="D801" s="523" t="s">
        <v>2489</v>
      </c>
      <c r="E801" s="523" t="s">
        <v>2490</v>
      </c>
      <c r="F801" s="523" t="s">
        <v>24</v>
      </c>
    </row>
    <row r="802">
      <c r="A802" s="523">
        <v>801</v>
      </c>
      <c r="B802" s="523" t="s">
        <v>2495</v>
      </c>
      <c r="C802" s="523" t="s">
        <v>1496</v>
      </c>
      <c r="D802" s="523" t="s">
        <v>2489</v>
      </c>
      <c r="E802" s="523" t="s">
        <v>2490</v>
      </c>
      <c r="F802" s="523" t="s">
        <v>24</v>
      </c>
    </row>
    <row r="803">
      <c r="A803" s="523">
        <v>802</v>
      </c>
      <c r="B803" s="523" t="s">
        <v>2496</v>
      </c>
      <c r="C803" s="523" t="s">
        <v>654</v>
      </c>
      <c r="D803" s="523" t="s">
        <v>2489</v>
      </c>
      <c r="E803" s="523" t="s">
        <v>2490</v>
      </c>
      <c r="F803" s="523" t="s">
        <v>24</v>
      </c>
    </row>
    <row r="804">
      <c r="A804" s="523">
        <v>803</v>
      </c>
      <c r="B804" s="523" t="s">
        <v>2497</v>
      </c>
      <c r="C804" s="523" t="s">
        <v>2498</v>
      </c>
      <c r="D804" s="523" t="s">
        <v>2489</v>
      </c>
      <c r="E804" s="523" t="s">
        <v>2490</v>
      </c>
      <c r="F804" s="523" t="s">
        <v>24</v>
      </c>
    </row>
    <row r="805">
      <c r="A805" s="523">
        <v>804</v>
      </c>
      <c r="B805" s="523" t="s">
        <v>2499</v>
      </c>
      <c r="C805" s="523" t="s">
        <v>2500</v>
      </c>
      <c r="D805" s="523" t="s">
        <v>2489</v>
      </c>
      <c r="E805" s="523" t="s">
        <v>2490</v>
      </c>
      <c r="F805" s="523" t="s">
        <v>24</v>
      </c>
    </row>
    <row r="806">
      <c r="A806" s="523">
        <v>805</v>
      </c>
      <c r="B806" s="523" t="s">
        <v>2501</v>
      </c>
      <c r="C806" s="523" t="s">
        <v>2502</v>
      </c>
      <c r="D806" s="523" t="s">
        <v>2489</v>
      </c>
      <c r="E806" s="523" t="s">
        <v>2490</v>
      </c>
      <c r="F806" s="523" t="s">
        <v>24</v>
      </c>
    </row>
    <row r="807">
      <c r="A807" s="523">
        <v>806</v>
      </c>
      <c r="B807" s="523" t="s">
        <v>2503</v>
      </c>
      <c r="C807" s="523" t="s">
        <v>2504</v>
      </c>
      <c r="D807" s="523" t="s">
        <v>2489</v>
      </c>
      <c r="E807" s="523" t="s">
        <v>2490</v>
      </c>
      <c r="F807" s="523" t="s">
        <v>24</v>
      </c>
    </row>
    <row r="808">
      <c r="A808" s="523">
        <v>807</v>
      </c>
      <c r="B808" s="523" t="s">
        <v>2505</v>
      </c>
      <c r="C808" s="523" t="s">
        <v>2506</v>
      </c>
      <c r="D808" s="523" t="s">
        <v>2489</v>
      </c>
      <c r="E808" s="523" t="s">
        <v>2490</v>
      </c>
      <c r="F808" s="523" t="s">
        <v>24</v>
      </c>
    </row>
    <row r="809">
      <c r="A809" s="523">
        <v>808</v>
      </c>
      <c r="B809" s="523" t="s">
        <v>2507</v>
      </c>
      <c r="C809" s="523" t="s">
        <v>2508</v>
      </c>
      <c r="D809" s="523" t="s">
        <v>2489</v>
      </c>
      <c r="E809" s="523" t="s">
        <v>2490</v>
      </c>
      <c r="F809" s="523" t="s">
        <v>24</v>
      </c>
    </row>
    <row r="810">
      <c r="A810" s="523">
        <v>809</v>
      </c>
      <c r="B810" s="523" t="s">
        <v>2509</v>
      </c>
      <c r="C810" s="523" t="s">
        <v>2510</v>
      </c>
      <c r="D810" s="523" t="s">
        <v>2489</v>
      </c>
      <c r="E810" s="523" t="s">
        <v>2490</v>
      </c>
      <c r="F810" s="523" t="s">
        <v>24</v>
      </c>
    </row>
    <row r="811">
      <c r="A811" s="523">
        <v>810</v>
      </c>
      <c r="B811" s="523" t="s">
        <v>2511</v>
      </c>
      <c r="C811" s="523" t="s">
        <v>2512</v>
      </c>
      <c r="D811" s="523" t="s">
        <v>2489</v>
      </c>
      <c r="E811" s="523" t="s">
        <v>2490</v>
      </c>
      <c r="F811" s="523" t="s">
        <v>24</v>
      </c>
    </row>
    <row r="812">
      <c r="A812" s="523">
        <v>811</v>
      </c>
      <c r="B812" s="523" t="s">
        <v>2513</v>
      </c>
      <c r="C812" s="523" t="s">
        <v>1212</v>
      </c>
      <c r="D812" s="523" t="s">
        <v>2489</v>
      </c>
      <c r="E812" s="523" t="s">
        <v>2490</v>
      </c>
      <c r="F812" s="523" t="s">
        <v>24</v>
      </c>
    </row>
    <row r="813">
      <c r="A813" s="523">
        <v>812</v>
      </c>
      <c r="B813" s="523" t="s">
        <v>2514</v>
      </c>
      <c r="C813" s="523" t="s">
        <v>2515</v>
      </c>
      <c r="D813" s="523" t="s">
        <v>2489</v>
      </c>
      <c r="E813" s="523" t="s">
        <v>2490</v>
      </c>
      <c r="F813" s="523" t="s">
        <v>24</v>
      </c>
    </row>
    <row r="814">
      <c r="A814" s="523">
        <v>813</v>
      </c>
      <c r="B814" s="523" t="s">
        <v>2516</v>
      </c>
      <c r="C814" s="523" t="s">
        <v>2517</v>
      </c>
      <c r="D814" s="523" t="s">
        <v>2518</v>
      </c>
      <c r="E814" s="523" t="s">
        <v>2519</v>
      </c>
      <c r="F814" s="523" t="s">
        <v>27</v>
      </c>
    </row>
    <row r="815">
      <c r="A815" s="523">
        <v>814</v>
      </c>
      <c r="B815" s="523" t="s">
        <v>2520</v>
      </c>
      <c r="C815" s="523" t="s">
        <v>2333</v>
      </c>
      <c r="D815" s="523" t="s">
        <v>2518</v>
      </c>
      <c r="E815" s="523" t="s">
        <v>2519</v>
      </c>
      <c r="F815" s="523" t="s">
        <v>27</v>
      </c>
    </row>
    <row r="816">
      <c r="A816" s="523">
        <v>815</v>
      </c>
      <c r="B816" s="523" t="s">
        <v>2521</v>
      </c>
      <c r="C816" s="523" t="s">
        <v>2522</v>
      </c>
      <c r="D816" s="523" t="s">
        <v>2518</v>
      </c>
      <c r="E816" s="523" t="s">
        <v>2519</v>
      </c>
      <c r="F816" s="523" t="s">
        <v>27</v>
      </c>
    </row>
    <row r="817">
      <c r="A817" s="523">
        <v>816</v>
      </c>
      <c r="B817" s="523" t="s">
        <v>2523</v>
      </c>
      <c r="C817" s="523" t="s">
        <v>2524</v>
      </c>
      <c r="D817" s="523" t="s">
        <v>2518</v>
      </c>
      <c r="E817" s="523" t="s">
        <v>2519</v>
      </c>
      <c r="F817" s="523" t="s">
        <v>27</v>
      </c>
    </row>
    <row r="818">
      <c r="A818" s="523">
        <v>817</v>
      </c>
      <c r="B818" s="523" t="s">
        <v>2525</v>
      </c>
      <c r="C818" s="523" t="s">
        <v>2526</v>
      </c>
      <c r="D818" s="523" t="s">
        <v>2518</v>
      </c>
      <c r="E818" s="523" t="s">
        <v>2519</v>
      </c>
      <c r="F818" s="523" t="s">
        <v>27</v>
      </c>
    </row>
    <row r="819">
      <c r="A819" s="523">
        <v>818</v>
      </c>
      <c r="B819" s="523" t="s">
        <v>2527</v>
      </c>
      <c r="C819" s="523" t="s">
        <v>2528</v>
      </c>
      <c r="D819" s="523" t="s">
        <v>2518</v>
      </c>
      <c r="E819" s="523" t="s">
        <v>2519</v>
      </c>
      <c r="F819" s="523" t="s">
        <v>27</v>
      </c>
    </row>
    <row r="820">
      <c r="A820" s="523">
        <v>819</v>
      </c>
      <c r="B820" s="523" t="s">
        <v>2529</v>
      </c>
      <c r="C820" s="523" t="s">
        <v>2530</v>
      </c>
      <c r="D820" s="523" t="s">
        <v>2518</v>
      </c>
      <c r="E820" s="523" t="s">
        <v>2519</v>
      </c>
      <c r="F820" s="523" t="s">
        <v>27</v>
      </c>
    </row>
    <row r="821">
      <c r="A821" s="523">
        <v>820</v>
      </c>
      <c r="B821" s="523" t="s">
        <v>2531</v>
      </c>
      <c r="C821" s="523" t="s">
        <v>2532</v>
      </c>
      <c r="D821" s="523" t="s">
        <v>2518</v>
      </c>
      <c r="E821" s="523" t="s">
        <v>2519</v>
      </c>
      <c r="F821" s="523" t="s">
        <v>27</v>
      </c>
    </row>
    <row r="822">
      <c r="A822" s="523">
        <v>821</v>
      </c>
      <c r="B822" s="523" t="s">
        <v>2533</v>
      </c>
      <c r="C822" s="523" t="s">
        <v>2534</v>
      </c>
      <c r="D822" s="523" t="s">
        <v>2518</v>
      </c>
      <c r="E822" s="523" t="s">
        <v>2519</v>
      </c>
      <c r="F822" s="523" t="s">
        <v>27</v>
      </c>
    </row>
    <row r="823">
      <c r="A823" s="523">
        <v>822</v>
      </c>
      <c r="B823" s="523" t="s">
        <v>2535</v>
      </c>
      <c r="C823" s="523" t="s">
        <v>2536</v>
      </c>
      <c r="D823" s="523" t="s">
        <v>2518</v>
      </c>
      <c r="E823" s="523" t="s">
        <v>2519</v>
      </c>
      <c r="F823" s="523" t="s">
        <v>27</v>
      </c>
    </row>
    <row r="824">
      <c r="A824" s="523">
        <v>823</v>
      </c>
      <c r="B824" s="523" t="s">
        <v>2537</v>
      </c>
      <c r="C824" s="523" t="s">
        <v>2538</v>
      </c>
      <c r="D824" s="523" t="s">
        <v>2539</v>
      </c>
      <c r="E824" s="523" t="s">
        <v>2540</v>
      </c>
      <c r="F824" s="523" t="s">
        <v>27</v>
      </c>
    </row>
    <row r="825">
      <c r="A825" s="523">
        <v>824</v>
      </c>
      <c r="B825" s="523" t="s">
        <v>2541</v>
      </c>
      <c r="C825" s="523" t="s">
        <v>2542</v>
      </c>
      <c r="D825" s="523" t="s">
        <v>2539</v>
      </c>
      <c r="E825" s="523" t="s">
        <v>2540</v>
      </c>
      <c r="F825" s="523" t="s">
        <v>27</v>
      </c>
    </row>
    <row r="826">
      <c r="A826" s="523">
        <v>825</v>
      </c>
      <c r="B826" s="523" t="s">
        <v>2543</v>
      </c>
      <c r="C826" s="523" t="s">
        <v>1168</v>
      </c>
      <c r="D826" s="523" t="s">
        <v>2539</v>
      </c>
      <c r="E826" s="523" t="s">
        <v>2540</v>
      </c>
      <c r="F826" s="523" t="s">
        <v>27</v>
      </c>
    </row>
    <row r="827">
      <c r="A827" s="523">
        <v>826</v>
      </c>
      <c r="B827" s="523" t="s">
        <v>2544</v>
      </c>
      <c r="C827" s="523" t="s">
        <v>2545</v>
      </c>
      <c r="D827" s="523" t="s">
        <v>2539</v>
      </c>
      <c r="E827" s="523" t="s">
        <v>2540</v>
      </c>
      <c r="F827" s="523" t="s">
        <v>27</v>
      </c>
    </row>
    <row r="828">
      <c r="A828" s="523">
        <v>827</v>
      </c>
      <c r="B828" s="523" t="s">
        <v>2546</v>
      </c>
      <c r="C828" s="523" t="s">
        <v>2547</v>
      </c>
      <c r="D828" s="523" t="s">
        <v>2539</v>
      </c>
      <c r="E828" s="523" t="s">
        <v>2540</v>
      </c>
      <c r="F828" s="523" t="s">
        <v>27</v>
      </c>
    </row>
    <row r="829">
      <c r="A829" s="523">
        <v>828</v>
      </c>
      <c r="B829" s="523" t="s">
        <v>2548</v>
      </c>
      <c r="C829" s="523" t="s">
        <v>2549</v>
      </c>
      <c r="D829" s="523" t="s">
        <v>2539</v>
      </c>
      <c r="E829" s="523" t="s">
        <v>2540</v>
      </c>
      <c r="F829" s="523" t="s">
        <v>27</v>
      </c>
    </row>
    <row r="830">
      <c r="A830" s="523">
        <v>829</v>
      </c>
      <c r="B830" s="523" t="s">
        <v>2550</v>
      </c>
      <c r="C830" s="523" t="s">
        <v>2551</v>
      </c>
      <c r="D830" s="523" t="s">
        <v>2539</v>
      </c>
      <c r="E830" s="523" t="s">
        <v>2540</v>
      </c>
      <c r="F830" s="523" t="s">
        <v>27</v>
      </c>
    </row>
    <row r="831">
      <c r="A831" s="523">
        <v>830</v>
      </c>
      <c r="B831" s="523" t="s">
        <v>2552</v>
      </c>
      <c r="C831" s="523" t="s">
        <v>2553</v>
      </c>
      <c r="D831" s="523" t="s">
        <v>2554</v>
      </c>
      <c r="E831" s="523" t="s">
        <v>2555</v>
      </c>
      <c r="F831" s="523" t="s">
        <v>27</v>
      </c>
    </row>
    <row r="832">
      <c r="A832" s="523">
        <v>831</v>
      </c>
      <c r="B832" s="523" t="s">
        <v>2556</v>
      </c>
      <c r="C832" s="523" t="s">
        <v>1194</v>
      </c>
      <c r="D832" s="523" t="s">
        <v>2554</v>
      </c>
      <c r="E832" s="523" t="s">
        <v>2555</v>
      </c>
      <c r="F832" s="523" t="s">
        <v>27</v>
      </c>
    </row>
    <row r="833">
      <c r="A833" s="523">
        <v>832</v>
      </c>
      <c r="B833" s="523" t="s">
        <v>2557</v>
      </c>
      <c r="C833" s="523" t="s">
        <v>2558</v>
      </c>
      <c r="D833" s="523" t="s">
        <v>2554</v>
      </c>
      <c r="E833" s="523" t="s">
        <v>2555</v>
      </c>
      <c r="F833" s="523" t="s">
        <v>27</v>
      </c>
    </row>
    <row r="834">
      <c r="A834" s="523">
        <v>833</v>
      </c>
      <c r="B834" s="523" t="s">
        <v>2559</v>
      </c>
      <c r="C834" s="523" t="s">
        <v>2030</v>
      </c>
      <c r="D834" s="523" t="s">
        <v>2554</v>
      </c>
      <c r="E834" s="523" t="s">
        <v>2555</v>
      </c>
      <c r="F834" s="523" t="s">
        <v>27</v>
      </c>
    </row>
    <row r="835">
      <c r="A835" s="523">
        <v>834</v>
      </c>
      <c r="B835" s="523" t="s">
        <v>2560</v>
      </c>
      <c r="C835" s="523" t="s">
        <v>2561</v>
      </c>
      <c r="D835" s="523" t="s">
        <v>2554</v>
      </c>
      <c r="E835" s="523" t="s">
        <v>2555</v>
      </c>
      <c r="F835" s="523" t="s">
        <v>27</v>
      </c>
    </row>
    <row r="836">
      <c r="A836" s="523">
        <v>835</v>
      </c>
      <c r="B836" s="523" t="s">
        <v>2562</v>
      </c>
      <c r="C836" s="523" t="s">
        <v>2563</v>
      </c>
      <c r="D836" s="523" t="s">
        <v>2554</v>
      </c>
      <c r="E836" s="523" t="s">
        <v>2555</v>
      </c>
      <c r="F836" s="523" t="s">
        <v>27</v>
      </c>
    </row>
    <row r="837">
      <c r="A837" s="523">
        <v>836</v>
      </c>
      <c r="B837" s="523" t="s">
        <v>2564</v>
      </c>
      <c r="C837" s="523" t="s">
        <v>2565</v>
      </c>
      <c r="D837" s="523" t="s">
        <v>2554</v>
      </c>
      <c r="E837" s="523" t="s">
        <v>2555</v>
      </c>
      <c r="F837" s="523" t="s">
        <v>27</v>
      </c>
    </row>
    <row r="838">
      <c r="A838" s="523">
        <v>837</v>
      </c>
      <c r="B838" s="523" t="s">
        <v>2566</v>
      </c>
      <c r="C838" s="523" t="s">
        <v>2567</v>
      </c>
      <c r="D838" s="523" t="s">
        <v>2554</v>
      </c>
      <c r="E838" s="523" t="s">
        <v>2555</v>
      </c>
      <c r="F838" s="523" t="s">
        <v>27</v>
      </c>
    </row>
    <row r="839">
      <c r="A839" s="523">
        <v>838</v>
      </c>
      <c r="B839" s="523" t="s">
        <v>2568</v>
      </c>
      <c r="C839" s="523" t="s">
        <v>2569</v>
      </c>
      <c r="D839" s="523" t="s">
        <v>2554</v>
      </c>
      <c r="E839" s="523" t="s">
        <v>2555</v>
      </c>
      <c r="F839" s="523" t="s">
        <v>27</v>
      </c>
    </row>
    <row r="840">
      <c r="A840" s="523">
        <v>839</v>
      </c>
      <c r="B840" s="523" t="s">
        <v>2570</v>
      </c>
      <c r="C840" s="523" t="s">
        <v>2571</v>
      </c>
      <c r="D840" s="523" t="s">
        <v>2554</v>
      </c>
      <c r="E840" s="523" t="s">
        <v>2555</v>
      </c>
      <c r="F840" s="523" t="s">
        <v>27</v>
      </c>
    </row>
    <row r="841">
      <c r="A841" s="523">
        <v>840</v>
      </c>
      <c r="B841" s="523" t="s">
        <v>2572</v>
      </c>
      <c r="C841" s="523" t="s">
        <v>2573</v>
      </c>
      <c r="D841" s="523" t="s">
        <v>2554</v>
      </c>
      <c r="E841" s="523" t="s">
        <v>2555</v>
      </c>
      <c r="F841" s="523" t="s">
        <v>27</v>
      </c>
    </row>
    <row r="842">
      <c r="A842" s="523">
        <v>841</v>
      </c>
      <c r="B842" s="523" t="s">
        <v>2574</v>
      </c>
      <c r="C842" s="523" t="s">
        <v>2575</v>
      </c>
      <c r="D842" s="523" t="s">
        <v>2554</v>
      </c>
      <c r="E842" s="523" t="s">
        <v>2555</v>
      </c>
      <c r="F842" s="523" t="s">
        <v>27</v>
      </c>
    </row>
    <row r="843">
      <c r="A843" s="523">
        <v>842</v>
      </c>
      <c r="B843" s="523" t="s">
        <v>2576</v>
      </c>
      <c r="C843" s="523" t="s">
        <v>2577</v>
      </c>
      <c r="D843" s="523" t="s">
        <v>2554</v>
      </c>
      <c r="E843" s="523" t="s">
        <v>2555</v>
      </c>
      <c r="F843" s="523" t="s">
        <v>27</v>
      </c>
    </row>
    <row r="844">
      <c r="A844" s="523">
        <v>843</v>
      </c>
      <c r="B844" s="523" t="s">
        <v>2578</v>
      </c>
      <c r="C844" s="523" t="s">
        <v>2579</v>
      </c>
      <c r="D844" s="523" t="s">
        <v>2580</v>
      </c>
      <c r="E844" s="523" t="s">
        <v>2581</v>
      </c>
      <c r="F844" s="523" t="s">
        <v>27</v>
      </c>
    </row>
    <row r="845">
      <c r="A845" s="523">
        <v>844</v>
      </c>
      <c r="B845" s="523" t="s">
        <v>2582</v>
      </c>
      <c r="C845" s="523" t="s">
        <v>2583</v>
      </c>
      <c r="D845" s="523" t="s">
        <v>2580</v>
      </c>
      <c r="E845" s="523" t="s">
        <v>2581</v>
      </c>
      <c r="F845" s="523" t="s">
        <v>27</v>
      </c>
    </row>
    <row r="846">
      <c r="A846" s="523">
        <v>845</v>
      </c>
      <c r="B846" s="523" t="s">
        <v>2584</v>
      </c>
      <c r="C846" s="523" t="s">
        <v>2585</v>
      </c>
      <c r="D846" s="523" t="s">
        <v>2580</v>
      </c>
      <c r="E846" s="523" t="s">
        <v>2581</v>
      </c>
      <c r="F846" s="523" t="s">
        <v>27</v>
      </c>
    </row>
    <row r="847">
      <c r="A847" s="523">
        <v>846</v>
      </c>
      <c r="B847" s="523" t="s">
        <v>2586</v>
      </c>
      <c r="C847" s="523" t="s">
        <v>2587</v>
      </c>
      <c r="D847" s="523" t="s">
        <v>2580</v>
      </c>
      <c r="E847" s="523" t="s">
        <v>2581</v>
      </c>
      <c r="F847" s="523" t="s">
        <v>27</v>
      </c>
    </row>
    <row r="848">
      <c r="A848" s="523">
        <v>847</v>
      </c>
      <c r="B848" s="523" t="s">
        <v>2588</v>
      </c>
      <c r="C848" s="523" t="s">
        <v>2589</v>
      </c>
      <c r="D848" s="523" t="s">
        <v>2580</v>
      </c>
      <c r="E848" s="523" t="s">
        <v>2581</v>
      </c>
      <c r="F848" s="523" t="s">
        <v>27</v>
      </c>
    </row>
    <row r="849">
      <c r="A849" s="523">
        <v>848</v>
      </c>
      <c r="B849" s="523" t="s">
        <v>2590</v>
      </c>
      <c r="C849" s="523" t="s">
        <v>2591</v>
      </c>
      <c r="D849" s="523" t="s">
        <v>2580</v>
      </c>
      <c r="E849" s="523" t="s">
        <v>2581</v>
      </c>
      <c r="F849" s="523" t="s">
        <v>27</v>
      </c>
    </row>
    <row r="850">
      <c r="A850" s="523">
        <v>849</v>
      </c>
      <c r="B850" s="523" t="s">
        <v>2592</v>
      </c>
      <c r="C850" s="523" t="s">
        <v>2593</v>
      </c>
      <c r="D850" s="523" t="s">
        <v>2580</v>
      </c>
      <c r="E850" s="523" t="s">
        <v>2581</v>
      </c>
      <c r="F850" s="523" t="s">
        <v>27</v>
      </c>
    </row>
    <row r="851">
      <c r="A851" s="523">
        <v>850</v>
      </c>
      <c r="B851" s="523" t="s">
        <v>2594</v>
      </c>
      <c r="C851" s="523" t="s">
        <v>2595</v>
      </c>
      <c r="D851" s="523" t="s">
        <v>2580</v>
      </c>
      <c r="E851" s="523" t="s">
        <v>2581</v>
      </c>
      <c r="F851" s="523" t="s">
        <v>27</v>
      </c>
    </row>
    <row r="852">
      <c r="A852" s="523">
        <v>851</v>
      </c>
      <c r="B852" s="523" t="s">
        <v>2596</v>
      </c>
      <c r="C852" s="523" t="s">
        <v>2597</v>
      </c>
      <c r="D852" s="523" t="s">
        <v>2580</v>
      </c>
      <c r="E852" s="523" t="s">
        <v>2581</v>
      </c>
      <c r="F852" s="523" t="s">
        <v>27</v>
      </c>
    </row>
    <row r="853">
      <c r="A853" s="523">
        <v>852</v>
      </c>
      <c r="B853" s="523" t="s">
        <v>2598</v>
      </c>
      <c r="C853" s="523" t="s">
        <v>944</v>
      </c>
      <c r="D853" s="523" t="s">
        <v>2580</v>
      </c>
      <c r="E853" s="523" t="s">
        <v>2581</v>
      </c>
      <c r="F853" s="523" t="s">
        <v>27</v>
      </c>
    </row>
    <row r="854">
      <c r="A854" s="523">
        <v>853</v>
      </c>
      <c r="B854" s="523" t="s">
        <v>2599</v>
      </c>
      <c r="C854" s="523" t="s">
        <v>2600</v>
      </c>
      <c r="D854" s="523" t="s">
        <v>2580</v>
      </c>
      <c r="E854" s="523" t="s">
        <v>2581</v>
      </c>
      <c r="F854" s="523" t="s">
        <v>27</v>
      </c>
    </row>
    <row r="855">
      <c r="A855" s="523">
        <v>854</v>
      </c>
      <c r="B855" s="523" t="s">
        <v>2601</v>
      </c>
      <c r="C855" s="523" t="s">
        <v>2602</v>
      </c>
      <c r="D855" s="523" t="s">
        <v>2603</v>
      </c>
      <c r="E855" s="523" t="s">
        <v>2604</v>
      </c>
      <c r="F855" s="523" t="s">
        <v>27</v>
      </c>
    </row>
    <row r="856">
      <c r="A856" s="523">
        <v>855</v>
      </c>
      <c r="B856" s="523" t="s">
        <v>2605</v>
      </c>
      <c r="C856" s="523" t="s">
        <v>2606</v>
      </c>
      <c r="D856" s="523" t="s">
        <v>2603</v>
      </c>
      <c r="E856" s="523" t="s">
        <v>2604</v>
      </c>
      <c r="F856" s="523" t="s">
        <v>27</v>
      </c>
    </row>
    <row r="857">
      <c r="A857" s="523">
        <v>856</v>
      </c>
      <c r="B857" s="523" t="s">
        <v>2607</v>
      </c>
      <c r="C857" s="523" t="s">
        <v>2608</v>
      </c>
      <c r="D857" s="523" t="s">
        <v>2603</v>
      </c>
      <c r="E857" s="523" t="s">
        <v>2604</v>
      </c>
      <c r="F857" s="523" t="s">
        <v>27</v>
      </c>
    </row>
    <row r="858">
      <c r="A858" s="523">
        <v>857</v>
      </c>
      <c r="B858" s="523" t="s">
        <v>2609</v>
      </c>
      <c r="C858" s="523" t="s">
        <v>2610</v>
      </c>
      <c r="D858" s="523" t="s">
        <v>2603</v>
      </c>
      <c r="E858" s="523" t="s">
        <v>2604</v>
      </c>
      <c r="F858" s="523" t="s">
        <v>27</v>
      </c>
    </row>
    <row r="859">
      <c r="A859" s="523">
        <v>858</v>
      </c>
      <c r="B859" s="523" t="s">
        <v>2611</v>
      </c>
      <c r="C859" s="523" t="s">
        <v>2612</v>
      </c>
      <c r="D859" s="523" t="s">
        <v>2603</v>
      </c>
      <c r="E859" s="523" t="s">
        <v>2604</v>
      </c>
      <c r="F859" s="523" t="s">
        <v>27</v>
      </c>
    </row>
    <row r="860">
      <c r="A860" s="523">
        <v>859</v>
      </c>
      <c r="B860" s="523" t="s">
        <v>2613</v>
      </c>
      <c r="C860" s="523" t="s">
        <v>2614</v>
      </c>
      <c r="D860" s="523" t="s">
        <v>2603</v>
      </c>
      <c r="E860" s="523" t="s">
        <v>2604</v>
      </c>
      <c r="F860" s="523" t="s">
        <v>27</v>
      </c>
    </row>
    <row r="861">
      <c r="A861" s="523">
        <v>860</v>
      </c>
      <c r="B861" s="523" t="s">
        <v>2615</v>
      </c>
      <c r="C861" s="523" t="s">
        <v>2616</v>
      </c>
      <c r="D861" s="523" t="s">
        <v>2603</v>
      </c>
      <c r="E861" s="523" t="s">
        <v>2604</v>
      </c>
      <c r="F861" s="523" t="s">
        <v>27</v>
      </c>
    </row>
    <row r="862">
      <c r="A862" s="523">
        <v>861</v>
      </c>
      <c r="B862" s="523" t="s">
        <v>2617</v>
      </c>
      <c r="C862" s="523" t="s">
        <v>2618</v>
      </c>
      <c r="D862" s="523" t="s">
        <v>2603</v>
      </c>
      <c r="E862" s="523" t="s">
        <v>2604</v>
      </c>
      <c r="F862" s="523" t="s">
        <v>27</v>
      </c>
    </row>
    <row r="863">
      <c r="A863" s="523">
        <v>862</v>
      </c>
      <c r="B863" s="523" t="s">
        <v>2619</v>
      </c>
      <c r="C863" s="523" t="s">
        <v>2620</v>
      </c>
      <c r="D863" s="523" t="s">
        <v>2621</v>
      </c>
      <c r="E863" s="523" t="s">
        <v>2622</v>
      </c>
      <c r="F863" s="523" t="s">
        <v>27</v>
      </c>
    </row>
    <row r="864">
      <c r="A864" s="523">
        <v>863</v>
      </c>
      <c r="B864" s="523" t="s">
        <v>2623</v>
      </c>
      <c r="C864" s="523" t="s">
        <v>2624</v>
      </c>
      <c r="D864" s="523" t="s">
        <v>2621</v>
      </c>
      <c r="E864" s="523" t="s">
        <v>2622</v>
      </c>
      <c r="F864" s="523" t="s">
        <v>27</v>
      </c>
    </row>
    <row r="865">
      <c r="A865" s="523">
        <v>864</v>
      </c>
      <c r="B865" s="523" t="s">
        <v>2625</v>
      </c>
      <c r="C865" s="523" t="s">
        <v>2626</v>
      </c>
      <c r="D865" s="523" t="s">
        <v>2621</v>
      </c>
      <c r="E865" s="523" t="s">
        <v>2622</v>
      </c>
      <c r="F865" s="523" t="s">
        <v>27</v>
      </c>
    </row>
    <row r="866">
      <c r="A866" s="523">
        <v>865</v>
      </c>
      <c r="B866" s="523" t="s">
        <v>2627</v>
      </c>
      <c r="C866" s="523" t="s">
        <v>2628</v>
      </c>
      <c r="D866" s="523" t="s">
        <v>2621</v>
      </c>
      <c r="E866" s="523" t="s">
        <v>2622</v>
      </c>
      <c r="F866" s="523" t="s">
        <v>27</v>
      </c>
    </row>
    <row r="867">
      <c r="A867" s="523">
        <v>866</v>
      </c>
      <c r="B867" s="523" t="s">
        <v>2629</v>
      </c>
      <c r="C867" s="523" t="s">
        <v>2630</v>
      </c>
      <c r="D867" s="523" t="s">
        <v>2621</v>
      </c>
      <c r="E867" s="523" t="s">
        <v>2622</v>
      </c>
      <c r="F867" s="523" t="s">
        <v>27</v>
      </c>
    </row>
    <row r="868">
      <c r="A868" s="523">
        <v>867</v>
      </c>
      <c r="B868" s="523" t="s">
        <v>2631</v>
      </c>
      <c r="C868" s="523" t="s">
        <v>1739</v>
      </c>
      <c r="D868" s="523" t="s">
        <v>2621</v>
      </c>
      <c r="E868" s="523" t="s">
        <v>2622</v>
      </c>
      <c r="F868" s="523" t="s">
        <v>27</v>
      </c>
    </row>
    <row r="869">
      <c r="A869" s="523">
        <v>868</v>
      </c>
      <c r="B869" s="523" t="s">
        <v>2632</v>
      </c>
      <c r="C869" s="523" t="s">
        <v>2633</v>
      </c>
      <c r="D869" s="523" t="s">
        <v>2621</v>
      </c>
      <c r="E869" s="523" t="s">
        <v>2622</v>
      </c>
      <c r="F869" s="523" t="s">
        <v>27</v>
      </c>
    </row>
    <row r="870">
      <c r="A870" s="523">
        <v>869</v>
      </c>
      <c r="B870" s="523" t="s">
        <v>2634</v>
      </c>
      <c r="C870" s="523" t="s">
        <v>1328</v>
      </c>
      <c r="D870" s="523" t="s">
        <v>2635</v>
      </c>
      <c r="E870" s="523" t="s">
        <v>2636</v>
      </c>
      <c r="F870" s="523" t="s">
        <v>27</v>
      </c>
    </row>
    <row r="871">
      <c r="A871" s="523">
        <v>870</v>
      </c>
      <c r="B871" s="523" t="s">
        <v>2637</v>
      </c>
      <c r="C871" s="523" t="s">
        <v>2638</v>
      </c>
      <c r="D871" s="523" t="s">
        <v>2635</v>
      </c>
      <c r="E871" s="523" t="s">
        <v>2636</v>
      </c>
      <c r="F871" s="523" t="s">
        <v>27</v>
      </c>
    </row>
    <row r="872">
      <c r="A872" s="523">
        <v>871</v>
      </c>
      <c r="B872" s="523" t="s">
        <v>2639</v>
      </c>
      <c r="C872" s="523" t="s">
        <v>2640</v>
      </c>
      <c r="D872" s="523" t="s">
        <v>2635</v>
      </c>
      <c r="E872" s="523" t="s">
        <v>2636</v>
      </c>
      <c r="F872" s="523" t="s">
        <v>27</v>
      </c>
    </row>
    <row r="873">
      <c r="A873" s="523">
        <v>872</v>
      </c>
      <c r="B873" s="523" t="s">
        <v>2641</v>
      </c>
      <c r="C873" s="523" t="s">
        <v>2642</v>
      </c>
      <c r="D873" s="523" t="s">
        <v>2635</v>
      </c>
      <c r="E873" s="523" t="s">
        <v>2636</v>
      </c>
      <c r="F873" s="523" t="s">
        <v>27</v>
      </c>
    </row>
    <row r="874">
      <c r="A874" s="523">
        <v>873</v>
      </c>
      <c r="B874" s="523" t="s">
        <v>2643</v>
      </c>
      <c r="C874" s="523" t="s">
        <v>2644</v>
      </c>
      <c r="D874" s="523" t="s">
        <v>2635</v>
      </c>
      <c r="E874" s="523" t="s">
        <v>2636</v>
      </c>
      <c r="F874" s="523" t="s">
        <v>27</v>
      </c>
    </row>
    <row r="875">
      <c r="A875" s="523">
        <v>874</v>
      </c>
      <c r="B875" s="523" t="s">
        <v>2645</v>
      </c>
      <c r="C875" s="523" t="s">
        <v>2646</v>
      </c>
      <c r="D875" s="523" t="s">
        <v>2635</v>
      </c>
      <c r="E875" s="523" t="s">
        <v>2636</v>
      </c>
      <c r="F875" s="523" t="s">
        <v>27</v>
      </c>
    </row>
    <row r="876">
      <c r="A876" s="523">
        <v>875</v>
      </c>
      <c r="B876" s="523" t="s">
        <v>2647</v>
      </c>
      <c r="C876" s="523" t="s">
        <v>2648</v>
      </c>
      <c r="D876" s="523" t="s">
        <v>2635</v>
      </c>
      <c r="E876" s="523" t="s">
        <v>2636</v>
      </c>
      <c r="F876" s="523" t="s">
        <v>27</v>
      </c>
    </row>
    <row r="877">
      <c r="A877" s="523">
        <v>876</v>
      </c>
      <c r="B877" s="523" t="s">
        <v>2649</v>
      </c>
      <c r="C877" s="523" t="s">
        <v>1370</v>
      </c>
      <c r="D877" s="523" t="s">
        <v>2635</v>
      </c>
      <c r="E877" s="523" t="s">
        <v>2636</v>
      </c>
      <c r="F877" s="523" t="s">
        <v>27</v>
      </c>
    </row>
    <row r="878">
      <c r="A878" s="523">
        <v>877</v>
      </c>
      <c r="B878" s="523" t="s">
        <v>2650</v>
      </c>
      <c r="C878" s="523" t="s">
        <v>2651</v>
      </c>
      <c r="D878" s="523" t="s">
        <v>2635</v>
      </c>
      <c r="E878" s="523" t="s">
        <v>2636</v>
      </c>
      <c r="F878" s="523" t="s">
        <v>27</v>
      </c>
    </row>
    <row r="879">
      <c r="A879" s="523">
        <v>878</v>
      </c>
      <c r="B879" s="523" t="s">
        <v>2652</v>
      </c>
      <c r="C879" s="523" t="s">
        <v>2653</v>
      </c>
      <c r="D879" s="523" t="s">
        <v>2635</v>
      </c>
      <c r="E879" s="523" t="s">
        <v>2636</v>
      </c>
      <c r="F879" s="523" t="s">
        <v>27</v>
      </c>
    </row>
    <row r="880">
      <c r="A880" s="523">
        <v>879</v>
      </c>
      <c r="B880" s="523" t="s">
        <v>2654</v>
      </c>
      <c r="C880" s="523" t="s">
        <v>1306</v>
      </c>
      <c r="D880" s="523" t="s">
        <v>2635</v>
      </c>
      <c r="E880" s="523" t="s">
        <v>2636</v>
      </c>
      <c r="F880" s="523" t="s">
        <v>27</v>
      </c>
    </row>
    <row r="881">
      <c r="A881" s="523">
        <v>880</v>
      </c>
      <c r="B881" s="523" t="s">
        <v>2655</v>
      </c>
      <c r="C881" s="523" t="s">
        <v>2656</v>
      </c>
      <c r="D881" s="523" t="s">
        <v>2635</v>
      </c>
      <c r="E881" s="523" t="s">
        <v>2636</v>
      </c>
      <c r="F881" s="523" t="s">
        <v>27</v>
      </c>
    </row>
    <row r="882">
      <c r="A882" s="523">
        <v>881</v>
      </c>
      <c r="B882" s="523" t="s">
        <v>2657</v>
      </c>
      <c r="C882" s="523" t="s">
        <v>2658</v>
      </c>
      <c r="D882" s="523" t="s">
        <v>2635</v>
      </c>
      <c r="E882" s="523" t="s">
        <v>2636</v>
      </c>
      <c r="F882" s="523" t="s">
        <v>27</v>
      </c>
    </row>
    <row r="883">
      <c r="A883" s="523">
        <v>882</v>
      </c>
      <c r="B883" s="523" t="s">
        <v>2659</v>
      </c>
      <c r="C883" s="523" t="s">
        <v>2660</v>
      </c>
      <c r="D883" s="523" t="s">
        <v>2661</v>
      </c>
      <c r="E883" s="523" t="s">
        <v>2662</v>
      </c>
      <c r="F883" s="523" t="s">
        <v>27</v>
      </c>
    </row>
    <row r="884">
      <c r="A884" s="523">
        <v>883</v>
      </c>
      <c r="B884" s="523" t="s">
        <v>2663</v>
      </c>
      <c r="C884" s="523" t="s">
        <v>1174</v>
      </c>
      <c r="D884" s="523" t="s">
        <v>2661</v>
      </c>
      <c r="E884" s="523" t="s">
        <v>2662</v>
      </c>
      <c r="F884" s="523" t="s">
        <v>27</v>
      </c>
    </row>
    <row r="885">
      <c r="A885" s="523">
        <v>884</v>
      </c>
      <c r="B885" s="523" t="s">
        <v>2664</v>
      </c>
      <c r="C885" s="523" t="s">
        <v>2665</v>
      </c>
      <c r="D885" s="523" t="s">
        <v>2661</v>
      </c>
      <c r="E885" s="523" t="s">
        <v>2662</v>
      </c>
      <c r="F885" s="523" t="s">
        <v>27</v>
      </c>
    </row>
    <row r="886">
      <c r="A886" s="523">
        <v>885</v>
      </c>
      <c r="B886" s="523" t="s">
        <v>2666</v>
      </c>
      <c r="C886" s="523" t="s">
        <v>2667</v>
      </c>
      <c r="D886" s="523" t="s">
        <v>2661</v>
      </c>
      <c r="E886" s="523" t="s">
        <v>2662</v>
      </c>
      <c r="F886" s="523" t="s">
        <v>27</v>
      </c>
    </row>
    <row r="887">
      <c r="A887" s="523">
        <v>886</v>
      </c>
      <c r="B887" s="523" t="s">
        <v>2668</v>
      </c>
      <c r="C887" s="523" t="s">
        <v>1321</v>
      </c>
      <c r="D887" s="523" t="s">
        <v>2661</v>
      </c>
      <c r="E887" s="523" t="s">
        <v>2662</v>
      </c>
      <c r="F887" s="523" t="s">
        <v>27</v>
      </c>
    </row>
    <row r="888">
      <c r="A888" s="523">
        <v>887</v>
      </c>
      <c r="B888" s="523" t="s">
        <v>2669</v>
      </c>
      <c r="C888" s="523" t="s">
        <v>2670</v>
      </c>
      <c r="D888" s="523" t="s">
        <v>2661</v>
      </c>
      <c r="E888" s="523" t="s">
        <v>2662</v>
      </c>
      <c r="F888" s="523" t="s">
        <v>27</v>
      </c>
    </row>
    <row r="889">
      <c r="A889" s="523">
        <v>888</v>
      </c>
      <c r="B889" s="523" t="s">
        <v>2671</v>
      </c>
      <c r="C889" s="523" t="s">
        <v>2672</v>
      </c>
      <c r="D889" s="523" t="s">
        <v>2661</v>
      </c>
      <c r="E889" s="523" t="s">
        <v>2662</v>
      </c>
      <c r="F889" s="523" t="s">
        <v>27</v>
      </c>
    </row>
    <row r="890">
      <c r="A890" s="523">
        <v>889</v>
      </c>
      <c r="B890" s="523" t="s">
        <v>2673</v>
      </c>
      <c r="C890" s="523" t="s">
        <v>2674</v>
      </c>
      <c r="D890" s="523" t="s">
        <v>2675</v>
      </c>
      <c r="E890" s="523" t="s">
        <v>2676</v>
      </c>
      <c r="F890" s="523" t="s">
        <v>27</v>
      </c>
    </row>
    <row r="891">
      <c r="A891" s="523">
        <v>890</v>
      </c>
      <c r="B891" s="523" t="s">
        <v>2677</v>
      </c>
      <c r="C891" s="523" t="s">
        <v>2678</v>
      </c>
      <c r="D891" s="523" t="s">
        <v>2675</v>
      </c>
      <c r="E891" s="523" t="s">
        <v>2676</v>
      </c>
      <c r="F891" s="523" t="s">
        <v>27</v>
      </c>
    </row>
    <row r="892">
      <c r="A892" s="523">
        <v>891</v>
      </c>
      <c r="B892" s="523" t="s">
        <v>2679</v>
      </c>
      <c r="C892" s="523" t="s">
        <v>2680</v>
      </c>
      <c r="D892" s="523" t="s">
        <v>2675</v>
      </c>
      <c r="E892" s="523" t="s">
        <v>2676</v>
      </c>
      <c r="F892" s="523" t="s">
        <v>27</v>
      </c>
    </row>
    <row r="893">
      <c r="A893" s="523">
        <v>892</v>
      </c>
      <c r="B893" s="523" t="s">
        <v>2681</v>
      </c>
      <c r="C893" s="523" t="s">
        <v>2682</v>
      </c>
      <c r="D893" s="523" t="s">
        <v>2675</v>
      </c>
      <c r="E893" s="523" t="s">
        <v>2676</v>
      </c>
      <c r="F893" s="523" t="s">
        <v>27</v>
      </c>
    </row>
    <row r="894">
      <c r="A894" s="523">
        <v>893</v>
      </c>
      <c r="B894" s="523" t="s">
        <v>2683</v>
      </c>
      <c r="C894" s="523" t="s">
        <v>2684</v>
      </c>
      <c r="D894" s="523" t="s">
        <v>2675</v>
      </c>
      <c r="E894" s="523" t="s">
        <v>2676</v>
      </c>
      <c r="F894" s="523" t="s">
        <v>27</v>
      </c>
    </row>
    <row r="895">
      <c r="A895" s="523">
        <v>894</v>
      </c>
      <c r="B895" s="523" t="s">
        <v>2685</v>
      </c>
      <c r="C895" s="523" t="s">
        <v>2686</v>
      </c>
      <c r="D895" s="523" t="s">
        <v>2675</v>
      </c>
      <c r="E895" s="523" t="s">
        <v>2676</v>
      </c>
      <c r="F895" s="523" t="s">
        <v>27</v>
      </c>
    </row>
    <row r="896">
      <c r="A896" s="523">
        <v>895</v>
      </c>
      <c r="B896" s="523" t="s">
        <v>2687</v>
      </c>
      <c r="C896" s="523" t="s">
        <v>2688</v>
      </c>
      <c r="D896" s="523" t="s">
        <v>2675</v>
      </c>
      <c r="E896" s="523" t="s">
        <v>2676</v>
      </c>
      <c r="F896" s="523" t="s">
        <v>27</v>
      </c>
    </row>
    <row r="897">
      <c r="A897" s="523">
        <v>896</v>
      </c>
      <c r="B897" s="523" t="s">
        <v>2689</v>
      </c>
      <c r="C897" s="523" t="s">
        <v>2690</v>
      </c>
      <c r="D897" s="523" t="s">
        <v>2675</v>
      </c>
      <c r="E897" s="523" t="s">
        <v>2676</v>
      </c>
      <c r="F897" s="523" t="s">
        <v>27</v>
      </c>
    </row>
    <row r="898">
      <c r="A898" s="523">
        <v>897</v>
      </c>
      <c r="B898" s="523" t="s">
        <v>2691</v>
      </c>
      <c r="C898" s="523" t="s">
        <v>2692</v>
      </c>
      <c r="D898" s="523" t="s">
        <v>2675</v>
      </c>
      <c r="E898" s="523" t="s">
        <v>2676</v>
      </c>
      <c r="F898" s="523" t="s">
        <v>27</v>
      </c>
    </row>
    <row r="899">
      <c r="A899" s="523">
        <v>898</v>
      </c>
      <c r="B899" s="523" t="s">
        <v>2693</v>
      </c>
      <c r="C899" s="523" t="s">
        <v>2694</v>
      </c>
      <c r="D899" s="523" t="s">
        <v>2695</v>
      </c>
      <c r="E899" s="523" t="s">
        <v>2696</v>
      </c>
      <c r="F899" s="523" t="s">
        <v>30</v>
      </c>
    </row>
    <row r="900">
      <c r="A900" s="523">
        <v>899</v>
      </c>
      <c r="B900" s="523" t="s">
        <v>2697</v>
      </c>
      <c r="C900" s="523" t="s">
        <v>2698</v>
      </c>
      <c r="D900" s="523" t="s">
        <v>2695</v>
      </c>
      <c r="E900" s="523" t="s">
        <v>2696</v>
      </c>
      <c r="F900" s="523" t="s">
        <v>30</v>
      </c>
    </row>
    <row r="901">
      <c r="A901" s="523">
        <v>900</v>
      </c>
      <c r="B901" s="523" t="s">
        <v>2699</v>
      </c>
      <c r="C901" s="523" t="s">
        <v>2700</v>
      </c>
      <c r="D901" s="523" t="s">
        <v>2695</v>
      </c>
      <c r="E901" s="523" t="s">
        <v>2696</v>
      </c>
      <c r="F901" s="523" t="s">
        <v>30</v>
      </c>
    </row>
    <row r="902">
      <c r="A902" s="523">
        <v>901</v>
      </c>
      <c r="B902" s="523" t="s">
        <v>2701</v>
      </c>
      <c r="C902" s="523" t="s">
        <v>2702</v>
      </c>
      <c r="D902" s="523" t="s">
        <v>2695</v>
      </c>
      <c r="E902" s="523" t="s">
        <v>2696</v>
      </c>
      <c r="F902" s="523" t="s">
        <v>30</v>
      </c>
    </row>
    <row r="903">
      <c r="A903" s="523">
        <v>902</v>
      </c>
      <c r="B903" s="523" t="s">
        <v>2703</v>
      </c>
      <c r="C903" s="523" t="s">
        <v>2704</v>
      </c>
      <c r="D903" s="523" t="s">
        <v>2695</v>
      </c>
      <c r="E903" s="523" t="s">
        <v>2696</v>
      </c>
      <c r="F903" s="523" t="s">
        <v>30</v>
      </c>
    </row>
    <row r="904">
      <c r="A904" s="523">
        <v>903</v>
      </c>
      <c r="B904" s="523" t="s">
        <v>2705</v>
      </c>
      <c r="C904" s="523" t="s">
        <v>2706</v>
      </c>
      <c r="D904" s="523" t="s">
        <v>2695</v>
      </c>
      <c r="E904" s="523" t="s">
        <v>2696</v>
      </c>
      <c r="F904" s="523" t="s">
        <v>30</v>
      </c>
    </row>
    <row r="905">
      <c r="A905" s="523">
        <v>904</v>
      </c>
      <c r="B905" s="523" t="s">
        <v>2707</v>
      </c>
      <c r="C905" s="523" t="s">
        <v>1825</v>
      </c>
      <c r="D905" s="523" t="s">
        <v>2695</v>
      </c>
      <c r="E905" s="523" t="s">
        <v>2696</v>
      </c>
      <c r="F905" s="523" t="s">
        <v>30</v>
      </c>
    </row>
    <row r="906">
      <c r="A906" s="523">
        <v>905</v>
      </c>
      <c r="B906" s="523" t="s">
        <v>2708</v>
      </c>
      <c r="C906" s="523" t="s">
        <v>2709</v>
      </c>
      <c r="D906" s="523" t="s">
        <v>2695</v>
      </c>
      <c r="E906" s="523" t="s">
        <v>2696</v>
      </c>
      <c r="F906" s="523" t="s">
        <v>30</v>
      </c>
    </row>
    <row r="907">
      <c r="A907" s="523">
        <v>906</v>
      </c>
      <c r="B907" s="523" t="s">
        <v>2710</v>
      </c>
      <c r="C907" s="523" t="s">
        <v>2711</v>
      </c>
      <c r="D907" s="523" t="s">
        <v>2695</v>
      </c>
      <c r="E907" s="523" t="s">
        <v>2696</v>
      </c>
      <c r="F907" s="523" t="s">
        <v>30</v>
      </c>
    </row>
    <row r="908">
      <c r="A908" s="523">
        <v>907</v>
      </c>
      <c r="B908" s="523" t="s">
        <v>2712</v>
      </c>
      <c r="C908" s="523" t="s">
        <v>2713</v>
      </c>
      <c r="D908" s="523" t="s">
        <v>2695</v>
      </c>
      <c r="E908" s="523" t="s">
        <v>2696</v>
      </c>
      <c r="F908" s="523" t="s">
        <v>30</v>
      </c>
    </row>
    <row r="909">
      <c r="A909" s="523">
        <v>908</v>
      </c>
      <c r="B909" s="523" t="s">
        <v>2714</v>
      </c>
      <c r="C909" s="523" t="s">
        <v>2715</v>
      </c>
      <c r="D909" s="523" t="s">
        <v>2695</v>
      </c>
      <c r="E909" s="523" t="s">
        <v>2696</v>
      </c>
      <c r="F909" s="523" t="s">
        <v>30</v>
      </c>
    </row>
    <row r="910">
      <c r="A910" s="523">
        <v>909</v>
      </c>
      <c r="B910" s="523" t="s">
        <v>2716</v>
      </c>
      <c r="C910" s="523" t="s">
        <v>2717</v>
      </c>
      <c r="D910" s="523" t="s">
        <v>2695</v>
      </c>
      <c r="E910" s="523" t="s">
        <v>2696</v>
      </c>
      <c r="F910" s="523" t="s">
        <v>30</v>
      </c>
    </row>
    <row r="911">
      <c r="A911" s="523">
        <v>910</v>
      </c>
      <c r="B911" s="523" t="s">
        <v>2718</v>
      </c>
      <c r="C911" s="523" t="s">
        <v>2719</v>
      </c>
      <c r="D911" s="523" t="s">
        <v>2695</v>
      </c>
      <c r="E911" s="523" t="s">
        <v>2696</v>
      </c>
      <c r="F911" s="523" t="s">
        <v>30</v>
      </c>
    </row>
    <row r="912">
      <c r="A912" s="523">
        <v>911</v>
      </c>
      <c r="B912" s="523" t="s">
        <v>2720</v>
      </c>
      <c r="C912" s="523" t="s">
        <v>2721</v>
      </c>
      <c r="D912" s="523" t="s">
        <v>2722</v>
      </c>
      <c r="E912" s="523" t="s">
        <v>2723</v>
      </c>
      <c r="F912" s="523" t="s">
        <v>30</v>
      </c>
    </row>
    <row r="913">
      <c r="A913" s="523">
        <v>912</v>
      </c>
      <c r="B913" s="523" t="s">
        <v>2724</v>
      </c>
      <c r="C913" s="523" t="s">
        <v>1843</v>
      </c>
      <c r="D913" s="523" t="s">
        <v>2722</v>
      </c>
      <c r="E913" s="523" t="s">
        <v>2723</v>
      </c>
      <c r="F913" s="523" t="s">
        <v>30</v>
      </c>
    </row>
    <row r="914">
      <c r="A914" s="523">
        <v>913</v>
      </c>
      <c r="B914" s="523" t="s">
        <v>2725</v>
      </c>
      <c r="C914" s="523" t="s">
        <v>2726</v>
      </c>
      <c r="D914" s="523" t="s">
        <v>2722</v>
      </c>
      <c r="E914" s="523" t="s">
        <v>2723</v>
      </c>
      <c r="F914" s="523" t="s">
        <v>30</v>
      </c>
    </row>
    <row r="915">
      <c r="A915" s="523">
        <v>914</v>
      </c>
      <c r="B915" s="523" t="s">
        <v>2727</v>
      </c>
      <c r="C915" s="523" t="s">
        <v>2067</v>
      </c>
      <c r="D915" s="523" t="s">
        <v>2722</v>
      </c>
      <c r="E915" s="523" t="s">
        <v>2723</v>
      </c>
      <c r="F915" s="523" t="s">
        <v>30</v>
      </c>
    </row>
    <row r="916">
      <c r="A916" s="523">
        <v>915</v>
      </c>
      <c r="B916" s="523" t="s">
        <v>2728</v>
      </c>
      <c r="C916" s="523" t="s">
        <v>1667</v>
      </c>
      <c r="D916" s="523" t="s">
        <v>2722</v>
      </c>
      <c r="E916" s="523" t="s">
        <v>2723</v>
      </c>
      <c r="F916" s="523" t="s">
        <v>30</v>
      </c>
    </row>
    <row r="917">
      <c r="A917" s="523">
        <v>916</v>
      </c>
      <c r="B917" s="523" t="s">
        <v>2729</v>
      </c>
      <c r="C917" s="523" t="s">
        <v>2730</v>
      </c>
      <c r="D917" s="523" t="s">
        <v>2722</v>
      </c>
      <c r="E917" s="523" t="s">
        <v>2723</v>
      </c>
      <c r="F917" s="523" t="s">
        <v>30</v>
      </c>
    </row>
    <row r="918">
      <c r="A918" s="523">
        <v>917</v>
      </c>
      <c r="B918" s="523" t="s">
        <v>2731</v>
      </c>
      <c r="C918" s="523" t="s">
        <v>1639</v>
      </c>
      <c r="D918" s="523" t="s">
        <v>2722</v>
      </c>
      <c r="E918" s="523" t="s">
        <v>2723</v>
      </c>
      <c r="F918" s="523" t="s">
        <v>30</v>
      </c>
    </row>
    <row r="919">
      <c r="A919" s="523">
        <v>918</v>
      </c>
      <c r="B919" s="523" t="s">
        <v>2732</v>
      </c>
      <c r="C919" s="523" t="s">
        <v>1186</v>
      </c>
      <c r="D919" s="523" t="s">
        <v>2722</v>
      </c>
      <c r="E919" s="523" t="s">
        <v>2723</v>
      </c>
      <c r="F919" s="523" t="s">
        <v>30</v>
      </c>
    </row>
    <row r="920">
      <c r="A920" s="523">
        <v>919</v>
      </c>
      <c r="B920" s="523" t="s">
        <v>2733</v>
      </c>
      <c r="C920" s="523" t="s">
        <v>2734</v>
      </c>
      <c r="D920" s="523" t="s">
        <v>2722</v>
      </c>
      <c r="E920" s="523" t="s">
        <v>2723</v>
      </c>
      <c r="F920" s="523" t="s">
        <v>30</v>
      </c>
    </row>
    <row r="921">
      <c r="A921" s="523">
        <v>920</v>
      </c>
      <c r="B921" s="523" t="s">
        <v>2735</v>
      </c>
      <c r="C921" s="523" t="s">
        <v>2736</v>
      </c>
      <c r="D921" s="523" t="s">
        <v>2722</v>
      </c>
      <c r="E921" s="523" t="s">
        <v>2723</v>
      </c>
      <c r="F921" s="523" t="s">
        <v>30</v>
      </c>
    </row>
    <row r="922">
      <c r="A922" s="523">
        <v>921</v>
      </c>
      <c r="B922" s="523" t="s">
        <v>2737</v>
      </c>
      <c r="C922" s="523" t="s">
        <v>2738</v>
      </c>
      <c r="D922" s="523" t="s">
        <v>2722</v>
      </c>
      <c r="E922" s="523" t="s">
        <v>2723</v>
      </c>
      <c r="F922" s="523" t="s">
        <v>30</v>
      </c>
    </row>
    <row r="923">
      <c r="A923" s="523">
        <v>922</v>
      </c>
      <c r="B923" s="523" t="s">
        <v>2739</v>
      </c>
      <c r="C923" s="523" t="s">
        <v>2740</v>
      </c>
      <c r="D923" s="523" t="s">
        <v>2722</v>
      </c>
      <c r="E923" s="523" t="s">
        <v>2723</v>
      </c>
      <c r="F923" s="523" t="s">
        <v>30</v>
      </c>
    </row>
    <row r="924">
      <c r="A924" s="523">
        <v>923</v>
      </c>
      <c r="B924" s="523" t="s">
        <v>2741</v>
      </c>
      <c r="C924" s="523" t="s">
        <v>2742</v>
      </c>
      <c r="D924" s="523" t="s">
        <v>2722</v>
      </c>
      <c r="E924" s="523" t="s">
        <v>2723</v>
      </c>
      <c r="F924" s="523" t="s">
        <v>30</v>
      </c>
    </row>
    <row r="925">
      <c r="A925" s="523">
        <v>924</v>
      </c>
      <c r="B925" s="523" t="s">
        <v>2743</v>
      </c>
      <c r="C925" s="523" t="s">
        <v>2744</v>
      </c>
      <c r="D925" s="523" t="s">
        <v>2722</v>
      </c>
      <c r="E925" s="523" t="s">
        <v>2723</v>
      </c>
      <c r="F925" s="523" t="s">
        <v>30</v>
      </c>
    </row>
    <row r="926">
      <c r="A926" s="523">
        <v>925</v>
      </c>
      <c r="B926" s="523" t="s">
        <v>2745</v>
      </c>
      <c r="C926" s="523" t="s">
        <v>1277</v>
      </c>
      <c r="D926" s="523" t="s">
        <v>2722</v>
      </c>
      <c r="E926" s="523" t="s">
        <v>2723</v>
      </c>
      <c r="F926" s="523" t="s">
        <v>30</v>
      </c>
    </row>
    <row r="927">
      <c r="A927" s="523">
        <v>926</v>
      </c>
      <c r="B927" s="523" t="s">
        <v>2746</v>
      </c>
      <c r="C927" s="523" t="s">
        <v>2747</v>
      </c>
      <c r="D927" s="523" t="s">
        <v>2748</v>
      </c>
      <c r="E927" s="523" t="s">
        <v>2749</v>
      </c>
      <c r="F927" s="523" t="s">
        <v>30</v>
      </c>
    </row>
    <row r="928">
      <c r="A928" s="523">
        <v>927</v>
      </c>
      <c r="B928" s="523" t="s">
        <v>2750</v>
      </c>
      <c r="C928" s="523" t="s">
        <v>1243</v>
      </c>
      <c r="D928" s="523" t="s">
        <v>2748</v>
      </c>
      <c r="E928" s="523" t="s">
        <v>2749</v>
      </c>
      <c r="F928" s="523" t="s">
        <v>30</v>
      </c>
    </row>
    <row r="929">
      <c r="A929" s="523">
        <v>928</v>
      </c>
      <c r="B929" s="523" t="s">
        <v>2751</v>
      </c>
      <c r="C929" s="523" t="s">
        <v>2752</v>
      </c>
      <c r="D929" s="523" t="s">
        <v>2748</v>
      </c>
      <c r="E929" s="523" t="s">
        <v>2749</v>
      </c>
      <c r="F929" s="523" t="s">
        <v>30</v>
      </c>
    </row>
    <row r="930">
      <c r="A930" s="523">
        <v>929</v>
      </c>
      <c r="B930" s="523" t="s">
        <v>2753</v>
      </c>
      <c r="C930" s="523" t="s">
        <v>880</v>
      </c>
      <c r="D930" s="523" t="s">
        <v>2748</v>
      </c>
      <c r="E930" s="523" t="s">
        <v>2749</v>
      </c>
      <c r="F930" s="523" t="s">
        <v>30</v>
      </c>
    </row>
    <row r="931">
      <c r="A931" s="523">
        <v>930</v>
      </c>
      <c r="B931" s="523" t="s">
        <v>2754</v>
      </c>
      <c r="C931" s="523" t="s">
        <v>882</v>
      </c>
      <c r="D931" s="523" t="s">
        <v>2748</v>
      </c>
      <c r="E931" s="523" t="s">
        <v>2749</v>
      </c>
      <c r="F931" s="523" t="s">
        <v>30</v>
      </c>
    </row>
    <row r="932">
      <c r="A932" s="523">
        <v>931</v>
      </c>
      <c r="B932" s="523" t="s">
        <v>2755</v>
      </c>
      <c r="C932" s="523" t="s">
        <v>1018</v>
      </c>
      <c r="D932" s="523" t="s">
        <v>2748</v>
      </c>
      <c r="E932" s="523" t="s">
        <v>2749</v>
      </c>
      <c r="F932" s="523" t="s">
        <v>30</v>
      </c>
    </row>
    <row r="933">
      <c r="A933" s="523">
        <v>932</v>
      </c>
      <c r="B933" s="523" t="s">
        <v>2756</v>
      </c>
      <c r="C933" s="523" t="s">
        <v>2757</v>
      </c>
      <c r="D933" s="523" t="s">
        <v>2748</v>
      </c>
      <c r="E933" s="523" t="s">
        <v>2749</v>
      </c>
      <c r="F933" s="523" t="s">
        <v>30</v>
      </c>
    </row>
    <row r="934">
      <c r="A934" s="523">
        <v>933</v>
      </c>
      <c r="B934" s="523" t="s">
        <v>2758</v>
      </c>
      <c r="C934" s="523" t="s">
        <v>1621</v>
      </c>
      <c r="D934" s="523" t="s">
        <v>2748</v>
      </c>
      <c r="E934" s="523" t="s">
        <v>2749</v>
      </c>
      <c r="F934" s="523" t="s">
        <v>30</v>
      </c>
    </row>
    <row r="935">
      <c r="A935" s="523">
        <v>934</v>
      </c>
      <c r="B935" s="523" t="s">
        <v>2759</v>
      </c>
      <c r="C935" s="523" t="s">
        <v>2760</v>
      </c>
      <c r="D935" s="523" t="s">
        <v>2748</v>
      </c>
      <c r="E935" s="523" t="s">
        <v>2749</v>
      </c>
      <c r="F935" s="523" t="s">
        <v>30</v>
      </c>
    </row>
    <row r="936">
      <c r="A936" s="523">
        <v>935</v>
      </c>
      <c r="B936" s="523" t="s">
        <v>2761</v>
      </c>
      <c r="C936" s="523" t="s">
        <v>2762</v>
      </c>
      <c r="D936" s="523" t="s">
        <v>2748</v>
      </c>
      <c r="E936" s="523" t="s">
        <v>2749</v>
      </c>
      <c r="F936" s="523" t="s">
        <v>30</v>
      </c>
    </row>
    <row r="937">
      <c r="A937" s="523">
        <v>936</v>
      </c>
      <c r="B937" s="523" t="s">
        <v>2763</v>
      </c>
      <c r="C937" s="523" t="s">
        <v>1443</v>
      </c>
      <c r="D937" s="523" t="s">
        <v>2748</v>
      </c>
      <c r="E937" s="523" t="s">
        <v>2749</v>
      </c>
      <c r="F937" s="523" t="s">
        <v>30</v>
      </c>
    </row>
    <row r="938">
      <c r="A938" s="523">
        <v>937</v>
      </c>
      <c r="B938" s="523" t="s">
        <v>2764</v>
      </c>
      <c r="C938" s="523" t="s">
        <v>2765</v>
      </c>
      <c r="D938" s="523" t="s">
        <v>2748</v>
      </c>
      <c r="E938" s="523" t="s">
        <v>2749</v>
      </c>
      <c r="F938" s="523" t="s">
        <v>30</v>
      </c>
    </row>
    <row r="939">
      <c r="A939" s="523">
        <v>938</v>
      </c>
      <c r="B939" s="523" t="s">
        <v>2766</v>
      </c>
      <c r="C939" s="523" t="s">
        <v>1688</v>
      </c>
      <c r="D939" s="523" t="s">
        <v>2767</v>
      </c>
      <c r="E939" s="523" t="s">
        <v>2768</v>
      </c>
      <c r="F939" s="523" t="s">
        <v>30</v>
      </c>
    </row>
    <row r="940">
      <c r="A940" s="523">
        <v>939</v>
      </c>
      <c r="B940" s="523" t="s">
        <v>2769</v>
      </c>
      <c r="C940" s="523" t="s">
        <v>2770</v>
      </c>
      <c r="D940" s="523" t="s">
        <v>2767</v>
      </c>
      <c r="E940" s="523" t="s">
        <v>2768</v>
      </c>
      <c r="F940" s="523" t="s">
        <v>30</v>
      </c>
    </row>
    <row r="941">
      <c r="A941" s="523">
        <v>940</v>
      </c>
      <c r="B941" s="523" t="s">
        <v>2771</v>
      </c>
      <c r="C941" s="523" t="s">
        <v>2772</v>
      </c>
      <c r="D941" s="523" t="s">
        <v>2767</v>
      </c>
      <c r="E941" s="523" t="s">
        <v>2768</v>
      </c>
      <c r="F941" s="523" t="s">
        <v>30</v>
      </c>
    </row>
    <row r="942">
      <c r="A942" s="523">
        <v>941</v>
      </c>
      <c r="B942" s="523" t="s">
        <v>2773</v>
      </c>
      <c r="C942" s="523" t="s">
        <v>1006</v>
      </c>
      <c r="D942" s="523" t="s">
        <v>2767</v>
      </c>
      <c r="E942" s="523" t="s">
        <v>2768</v>
      </c>
      <c r="F942" s="523" t="s">
        <v>30</v>
      </c>
    </row>
    <row r="943">
      <c r="A943" s="523">
        <v>942</v>
      </c>
      <c r="B943" s="523" t="s">
        <v>2774</v>
      </c>
      <c r="C943" s="523" t="s">
        <v>1008</v>
      </c>
      <c r="D943" s="523" t="s">
        <v>2767</v>
      </c>
      <c r="E943" s="523" t="s">
        <v>2768</v>
      </c>
      <c r="F943" s="523" t="s">
        <v>30</v>
      </c>
    </row>
    <row r="944">
      <c r="A944" s="523">
        <v>943</v>
      </c>
      <c r="B944" s="523" t="s">
        <v>2775</v>
      </c>
      <c r="C944" s="523" t="s">
        <v>1014</v>
      </c>
      <c r="D944" s="523" t="s">
        <v>2767</v>
      </c>
      <c r="E944" s="523" t="s">
        <v>2768</v>
      </c>
      <c r="F944" s="523" t="s">
        <v>30</v>
      </c>
    </row>
    <row r="945">
      <c r="A945" s="523">
        <v>944</v>
      </c>
      <c r="B945" s="523" t="s">
        <v>2776</v>
      </c>
      <c r="C945" s="523" t="s">
        <v>2777</v>
      </c>
      <c r="D945" s="523" t="s">
        <v>2767</v>
      </c>
      <c r="E945" s="523" t="s">
        <v>2768</v>
      </c>
      <c r="F945" s="523" t="s">
        <v>30</v>
      </c>
    </row>
    <row r="946">
      <c r="A946" s="523">
        <v>945</v>
      </c>
      <c r="B946" s="523" t="s">
        <v>2778</v>
      </c>
      <c r="C946" s="523" t="s">
        <v>1188</v>
      </c>
      <c r="D946" s="523" t="s">
        <v>2767</v>
      </c>
      <c r="E946" s="523" t="s">
        <v>2768</v>
      </c>
      <c r="F946" s="523" t="s">
        <v>30</v>
      </c>
    </row>
    <row r="947">
      <c r="A947" s="523">
        <v>946</v>
      </c>
      <c r="B947" s="523" t="s">
        <v>2779</v>
      </c>
      <c r="C947" s="523" t="s">
        <v>1558</v>
      </c>
      <c r="D947" s="523" t="s">
        <v>2767</v>
      </c>
      <c r="E947" s="523" t="s">
        <v>2768</v>
      </c>
      <c r="F947" s="523" t="s">
        <v>30</v>
      </c>
    </row>
    <row r="948">
      <c r="A948" s="523">
        <v>947</v>
      </c>
      <c r="B948" s="523" t="s">
        <v>2780</v>
      </c>
      <c r="C948" s="523" t="s">
        <v>2781</v>
      </c>
      <c r="D948" s="523" t="s">
        <v>2767</v>
      </c>
      <c r="E948" s="523" t="s">
        <v>2768</v>
      </c>
      <c r="F948" s="523" t="s">
        <v>30</v>
      </c>
    </row>
    <row r="949">
      <c r="A949" s="523">
        <v>948</v>
      </c>
      <c r="B949" s="523" t="s">
        <v>2782</v>
      </c>
      <c r="C949" s="523" t="s">
        <v>2783</v>
      </c>
      <c r="D949" s="523" t="s">
        <v>2767</v>
      </c>
      <c r="E949" s="523" t="s">
        <v>2768</v>
      </c>
      <c r="F949" s="523" t="s">
        <v>30</v>
      </c>
    </row>
    <row r="950">
      <c r="A950" s="523">
        <v>949</v>
      </c>
      <c r="B950" s="523" t="s">
        <v>2784</v>
      </c>
      <c r="C950" s="523" t="s">
        <v>1684</v>
      </c>
      <c r="D950" s="523" t="s">
        <v>2767</v>
      </c>
      <c r="E950" s="523" t="s">
        <v>2768</v>
      </c>
      <c r="F950" s="523" t="s">
        <v>30</v>
      </c>
    </row>
    <row r="951">
      <c r="A951" s="523">
        <v>950</v>
      </c>
      <c r="B951" s="523" t="s">
        <v>2785</v>
      </c>
      <c r="C951" s="523" t="s">
        <v>1022</v>
      </c>
      <c r="D951" s="523" t="s">
        <v>2767</v>
      </c>
      <c r="E951" s="523" t="s">
        <v>2768</v>
      </c>
      <c r="F951" s="523" t="s">
        <v>30</v>
      </c>
    </row>
    <row r="952">
      <c r="A952" s="523">
        <v>951</v>
      </c>
      <c r="B952" s="523" t="s">
        <v>2786</v>
      </c>
      <c r="C952" s="523" t="s">
        <v>2787</v>
      </c>
      <c r="D952" s="523" t="s">
        <v>2767</v>
      </c>
      <c r="E952" s="523" t="s">
        <v>2768</v>
      </c>
      <c r="F952" s="523" t="s">
        <v>30</v>
      </c>
    </row>
    <row r="953">
      <c r="A953" s="523">
        <v>952</v>
      </c>
      <c r="B953" s="523" t="s">
        <v>2788</v>
      </c>
      <c r="C953" s="523" t="s">
        <v>2789</v>
      </c>
      <c r="D953" s="523" t="s">
        <v>2767</v>
      </c>
      <c r="E953" s="523" t="s">
        <v>2768</v>
      </c>
      <c r="F953" s="523" t="s">
        <v>30</v>
      </c>
    </row>
    <row r="954">
      <c r="A954" s="523">
        <v>953</v>
      </c>
      <c r="B954" s="523" t="s">
        <v>2790</v>
      </c>
      <c r="C954" s="523" t="s">
        <v>2791</v>
      </c>
      <c r="D954" s="523" t="s">
        <v>2767</v>
      </c>
      <c r="E954" s="523" t="s">
        <v>2768</v>
      </c>
      <c r="F954" s="523" t="s">
        <v>30</v>
      </c>
    </row>
    <row r="955">
      <c r="A955" s="523">
        <v>954</v>
      </c>
      <c r="B955" s="523" t="s">
        <v>2792</v>
      </c>
      <c r="C955" s="523" t="s">
        <v>2793</v>
      </c>
      <c r="D955" s="523" t="s">
        <v>2767</v>
      </c>
      <c r="E955" s="523" t="s">
        <v>2768</v>
      </c>
      <c r="F955" s="523" t="s">
        <v>30</v>
      </c>
    </row>
    <row r="956">
      <c r="A956" s="523">
        <v>955</v>
      </c>
      <c r="B956" s="523" t="s">
        <v>2794</v>
      </c>
      <c r="C956" s="523" t="s">
        <v>2795</v>
      </c>
      <c r="D956" s="523" t="s">
        <v>2767</v>
      </c>
      <c r="E956" s="523" t="s">
        <v>2768</v>
      </c>
      <c r="F956" s="523" t="s">
        <v>30</v>
      </c>
    </row>
    <row r="957">
      <c r="A957" s="523">
        <v>956</v>
      </c>
      <c r="B957" s="523" t="s">
        <v>2796</v>
      </c>
      <c r="C957" s="523" t="s">
        <v>2797</v>
      </c>
      <c r="D957" s="523" t="s">
        <v>2798</v>
      </c>
      <c r="E957" s="523" t="s">
        <v>2799</v>
      </c>
      <c r="F957" s="523" t="s">
        <v>30</v>
      </c>
    </row>
    <row r="958">
      <c r="A958" s="523">
        <v>957</v>
      </c>
      <c r="B958" s="523" t="s">
        <v>2800</v>
      </c>
      <c r="C958" s="523" t="s">
        <v>2801</v>
      </c>
      <c r="D958" s="523" t="s">
        <v>2798</v>
      </c>
      <c r="E958" s="523" t="s">
        <v>2799</v>
      </c>
      <c r="F958" s="523" t="s">
        <v>30</v>
      </c>
    </row>
    <row r="959">
      <c r="A959" s="523">
        <v>958</v>
      </c>
      <c r="B959" s="523" t="s">
        <v>2802</v>
      </c>
      <c r="C959" s="523" t="s">
        <v>2803</v>
      </c>
      <c r="D959" s="523" t="s">
        <v>2798</v>
      </c>
      <c r="E959" s="523" t="s">
        <v>2799</v>
      </c>
      <c r="F959" s="523" t="s">
        <v>30</v>
      </c>
    </row>
    <row r="960">
      <c r="A960" s="523">
        <v>959</v>
      </c>
      <c r="B960" s="523" t="s">
        <v>2804</v>
      </c>
      <c r="C960" s="523" t="s">
        <v>2805</v>
      </c>
      <c r="D960" s="523" t="s">
        <v>2798</v>
      </c>
      <c r="E960" s="523" t="s">
        <v>2799</v>
      </c>
      <c r="F960" s="523" t="s">
        <v>30</v>
      </c>
    </row>
    <row r="961">
      <c r="A961" s="523">
        <v>960</v>
      </c>
      <c r="B961" s="523" t="s">
        <v>2806</v>
      </c>
      <c r="C961" s="523" t="s">
        <v>2807</v>
      </c>
      <c r="D961" s="523" t="s">
        <v>2798</v>
      </c>
      <c r="E961" s="523" t="s">
        <v>2799</v>
      </c>
      <c r="F961" s="523" t="s">
        <v>30</v>
      </c>
    </row>
    <row r="962">
      <c r="A962" s="523">
        <v>961</v>
      </c>
      <c r="B962" s="523" t="s">
        <v>2808</v>
      </c>
      <c r="C962" s="523" t="s">
        <v>2809</v>
      </c>
      <c r="D962" s="523" t="s">
        <v>2798</v>
      </c>
      <c r="E962" s="523" t="s">
        <v>2799</v>
      </c>
      <c r="F962" s="523" t="s">
        <v>30</v>
      </c>
    </row>
    <row r="963">
      <c r="A963" s="523">
        <v>962</v>
      </c>
      <c r="B963" s="523" t="s">
        <v>2810</v>
      </c>
      <c r="C963" s="523" t="s">
        <v>2811</v>
      </c>
      <c r="D963" s="523" t="s">
        <v>2798</v>
      </c>
      <c r="E963" s="523" t="s">
        <v>2799</v>
      </c>
      <c r="F963" s="523" t="s">
        <v>30</v>
      </c>
    </row>
    <row r="964">
      <c r="A964" s="523">
        <v>963</v>
      </c>
      <c r="B964" s="523" t="s">
        <v>2812</v>
      </c>
      <c r="C964" s="523" t="s">
        <v>2813</v>
      </c>
      <c r="D964" s="523" t="s">
        <v>2798</v>
      </c>
      <c r="E964" s="523" t="s">
        <v>2799</v>
      </c>
      <c r="F964" s="523" t="s">
        <v>30</v>
      </c>
    </row>
    <row r="965">
      <c r="A965" s="523">
        <v>964</v>
      </c>
      <c r="B965" s="523" t="s">
        <v>2814</v>
      </c>
      <c r="C965" s="523" t="s">
        <v>2815</v>
      </c>
      <c r="D965" s="523" t="s">
        <v>2798</v>
      </c>
      <c r="E965" s="523" t="s">
        <v>2799</v>
      </c>
      <c r="F965" s="523" t="s">
        <v>30</v>
      </c>
    </row>
    <row r="966">
      <c r="A966" s="523">
        <v>965</v>
      </c>
      <c r="B966" s="523" t="s">
        <v>2816</v>
      </c>
      <c r="C966" s="523" t="s">
        <v>2817</v>
      </c>
      <c r="D966" s="523" t="s">
        <v>2798</v>
      </c>
      <c r="E966" s="523" t="s">
        <v>2799</v>
      </c>
      <c r="F966" s="523" t="s">
        <v>30</v>
      </c>
    </row>
    <row r="967">
      <c r="A967" s="523">
        <v>966</v>
      </c>
      <c r="B967" s="523" t="s">
        <v>2818</v>
      </c>
      <c r="C967" s="523" t="s">
        <v>2819</v>
      </c>
      <c r="D967" s="523" t="s">
        <v>2820</v>
      </c>
      <c r="E967" s="523" t="s">
        <v>2821</v>
      </c>
      <c r="F967" s="523" t="s">
        <v>30</v>
      </c>
    </row>
    <row r="968">
      <c r="A968" s="523">
        <v>967</v>
      </c>
      <c r="B968" s="523" t="s">
        <v>2822</v>
      </c>
      <c r="C968" s="523" t="s">
        <v>2823</v>
      </c>
      <c r="D968" s="523" t="s">
        <v>2820</v>
      </c>
      <c r="E968" s="523" t="s">
        <v>2821</v>
      </c>
      <c r="F968" s="523" t="s">
        <v>30</v>
      </c>
    </row>
    <row r="969">
      <c r="A969" s="523">
        <v>968</v>
      </c>
      <c r="B969" s="523" t="s">
        <v>2824</v>
      </c>
      <c r="C969" s="523" t="s">
        <v>2825</v>
      </c>
      <c r="D969" s="523" t="s">
        <v>2820</v>
      </c>
      <c r="E969" s="523" t="s">
        <v>2821</v>
      </c>
      <c r="F969" s="523" t="s">
        <v>30</v>
      </c>
    </row>
    <row r="970">
      <c r="A970" s="523">
        <v>969</v>
      </c>
      <c r="B970" s="523" t="s">
        <v>2826</v>
      </c>
      <c r="C970" s="523" t="s">
        <v>2827</v>
      </c>
      <c r="D970" s="523" t="s">
        <v>2820</v>
      </c>
      <c r="E970" s="523" t="s">
        <v>2821</v>
      </c>
      <c r="F970" s="523" t="s">
        <v>30</v>
      </c>
    </row>
    <row r="971">
      <c r="A971" s="523">
        <v>970</v>
      </c>
      <c r="B971" s="523" t="s">
        <v>2828</v>
      </c>
      <c r="C971" s="523" t="s">
        <v>1548</v>
      </c>
      <c r="D971" s="523" t="s">
        <v>2820</v>
      </c>
      <c r="E971" s="523" t="s">
        <v>2821</v>
      </c>
      <c r="F971" s="523" t="s">
        <v>30</v>
      </c>
    </row>
    <row r="972">
      <c r="A972" s="523">
        <v>971</v>
      </c>
      <c r="B972" s="523" t="s">
        <v>2829</v>
      </c>
      <c r="C972" s="523" t="s">
        <v>2830</v>
      </c>
      <c r="D972" s="523" t="s">
        <v>2820</v>
      </c>
      <c r="E972" s="523" t="s">
        <v>2821</v>
      </c>
      <c r="F972" s="523" t="s">
        <v>30</v>
      </c>
    </row>
    <row r="973">
      <c r="A973" s="523">
        <v>972</v>
      </c>
      <c r="B973" s="523" t="s">
        <v>2831</v>
      </c>
      <c r="C973" s="523" t="s">
        <v>2832</v>
      </c>
      <c r="D973" s="523" t="s">
        <v>2820</v>
      </c>
      <c r="E973" s="523" t="s">
        <v>2821</v>
      </c>
      <c r="F973" s="523" t="s">
        <v>30</v>
      </c>
    </row>
    <row r="974">
      <c r="A974" s="523">
        <v>973</v>
      </c>
      <c r="B974" s="523" t="s">
        <v>2833</v>
      </c>
      <c r="C974" s="523" t="s">
        <v>2834</v>
      </c>
      <c r="D974" s="523" t="s">
        <v>2820</v>
      </c>
      <c r="E974" s="523" t="s">
        <v>2821</v>
      </c>
      <c r="F974" s="523" t="s">
        <v>30</v>
      </c>
    </row>
    <row r="975">
      <c r="A975" s="523">
        <v>974</v>
      </c>
      <c r="B975" s="523" t="s">
        <v>2835</v>
      </c>
      <c r="C975" s="523" t="s">
        <v>2836</v>
      </c>
      <c r="D975" s="523" t="s">
        <v>2820</v>
      </c>
      <c r="E975" s="523" t="s">
        <v>2821</v>
      </c>
      <c r="F975" s="523" t="s">
        <v>30</v>
      </c>
    </row>
    <row r="976">
      <c r="A976" s="523">
        <v>975</v>
      </c>
      <c r="B976" s="523" t="s">
        <v>2837</v>
      </c>
      <c r="C976" s="523" t="s">
        <v>2838</v>
      </c>
      <c r="D976" s="523" t="s">
        <v>2820</v>
      </c>
      <c r="E976" s="523" t="s">
        <v>2821</v>
      </c>
      <c r="F976" s="523" t="s">
        <v>30</v>
      </c>
    </row>
    <row r="977">
      <c r="A977" s="523">
        <v>976</v>
      </c>
      <c r="B977" s="523" t="s">
        <v>2839</v>
      </c>
      <c r="C977" s="523" t="s">
        <v>2840</v>
      </c>
      <c r="D977" s="523" t="s">
        <v>2820</v>
      </c>
      <c r="E977" s="523" t="s">
        <v>2821</v>
      </c>
      <c r="F977" s="523" t="s">
        <v>30</v>
      </c>
    </row>
    <row r="978">
      <c r="A978" s="523">
        <v>977</v>
      </c>
      <c r="B978" s="523" t="s">
        <v>2841</v>
      </c>
      <c r="C978" s="523" t="s">
        <v>2842</v>
      </c>
      <c r="D978" s="523" t="s">
        <v>2820</v>
      </c>
      <c r="E978" s="523" t="s">
        <v>2821</v>
      </c>
      <c r="F978" s="523" t="s">
        <v>30</v>
      </c>
    </row>
    <row r="979">
      <c r="A979" s="523">
        <v>978</v>
      </c>
      <c r="B979" s="523" t="s">
        <v>2843</v>
      </c>
      <c r="C979" s="523" t="s">
        <v>2844</v>
      </c>
      <c r="D979" s="523" t="s">
        <v>2820</v>
      </c>
      <c r="E979" s="523" t="s">
        <v>2821</v>
      </c>
      <c r="F979" s="523" t="s">
        <v>30</v>
      </c>
    </row>
    <row r="980">
      <c r="A980" s="523">
        <v>979</v>
      </c>
      <c r="B980" s="523" t="s">
        <v>2845</v>
      </c>
      <c r="C980" s="523" t="s">
        <v>1631</v>
      </c>
      <c r="D980" s="523" t="s">
        <v>2820</v>
      </c>
      <c r="E980" s="523" t="s">
        <v>2821</v>
      </c>
      <c r="F980" s="523" t="s">
        <v>30</v>
      </c>
    </row>
    <row r="981">
      <c r="A981" s="523">
        <v>980</v>
      </c>
      <c r="B981" s="523" t="s">
        <v>2846</v>
      </c>
      <c r="C981" s="523" t="s">
        <v>2847</v>
      </c>
      <c r="D981" s="523" t="s">
        <v>2820</v>
      </c>
      <c r="E981" s="523" t="s">
        <v>2821</v>
      </c>
      <c r="F981" s="523" t="s">
        <v>30</v>
      </c>
    </row>
    <row r="982">
      <c r="A982" s="523">
        <v>981</v>
      </c>
      <c r="B982" s="523" t="s">
        <v>2848</v>
      </c>
      <c r="C982" s="523" t="s">
        <v>2849</v>
      </c>
      <c r="D982" s="523" t="s">
        <v>2820</v>
      </c>
      <c r="E982" s="523" t="s">
        <v>2821</v>
      </c>
      <c r="F982" s="523" t="s">
        <v>30</v>
      </c>
    </row>
    <row r="983">
      <c r="A983" s="523">
        <v>982</v>
      </c>
      <c r="B983" s="523" t="s">
        <v>2850</v>
      </c>
      <c r="C983" s="523" t="s">
        <v>2851</v>
      </c>
      <c r="D983" s="523" t="s">
        <v>2820</v>
      </c>
      <c r="E983" s="523" t="s">
        <v>2821</v>
      </c>
      <c r="F983" s="523" t="s">
        <v>30</v>
      </c>
    </row>
    <row r="984">
      <c r="A984" s="523">
        <v>983</v>
      </c>
      <c r="B984" s="523" t="s">
        <v>2852</v>
      </c>
      <c r="C984" s="523" t="s">
        <v>2853</v>
      </c>
      <c r="D984" s="523" t="s">
        <v>2854</v>
      </c>
      <c r="E984" s="523" t="s">
        <v>2855</v>
      </c>
      <c r="F984" s="523" t="s">
        <v>30</v>
      </c>
    </row>
    <row r="985">
      <c r="A985" s="523">
        <v>984</v>
      </c>
      <c r="B985" s="523" t="s">
        <v>2856</v>
      </c>
      <c r="C985" s="523" t="s">
        <v>932</v>
      </c>
      <c r="D985" s="523" t="s">
        <v>2854</v>
      </c>
      <c r="E985" s="523" t="s">
        <v>2855</v>
      </c>
      <c r="F985" s="523" t="s">
        <v>30</v>
      </c>
    </row>
    <row r="986">
      <c r="A986" s="523">
        <v>985</v>
      </c>
      <c r="B986" s="523" t="s">
        <v>2857</v>
      </c>
      <c r="C986" s="523" t="s">
        <v>2858</v>
      </c>
      <c r="D986" s="523" t="s">
        <v>2854</v>
      </c>
      <c r="E986" s="523" t="s">
        <v>2855</v>
      </c>
      <c r="F986" s="523" t="s">
        <v>30</v>
      </c>
    </row>
    <row r="987">
      <c r="A987" s="523">
        <v>986</v>
      </c>
      <c r="B987" s="523" t="s">
        <v>2859</v>
      </c>
      <c r="C987" s="523" t="s">
        <v>1203</v>
      </c>
      <c r="D987" s="523" t="s">
        <v>2854</v>
      </c>
      <c r="E987" s="523" t="s">
        <v>2855</v>
      </c>
      <c r="F987" s="523" t="s">
        <v>30</v>
      </c>
    </row>
    <row r="988">
      <c r="A988" s="523">
        <v>987</v>
      </c>
      <c r="B988" s="523" t="s">
        <v>2860</v>
      </c>
      <c r="C988" s="523" t="s">
        <v>2861</v>
      </c>
      <c r="D988" s="523" t="s">
        <v>2854</v>
      </c>
      <c r="E988" s="523" t="s">
        <v>2855</v>
      </c>
      <c r="F988" s="523" t="s">
        <v>30</v>
      </c>
    </row>
    <row r="989">
      <c r="A989" s="523">
        <v>988</v>
      </c>
      <c r="B989" s="523" t="s">
        <v>2862</v>
      </c>
      <c r="C989" s="523" t="s">
        <v>2863</v>
      </c>
      <c r="D989" s="523" t="s">
        <v>2854</v>
      </c>
      <c r="E989" s="523" t="s">
        <v>2855</v>
      </c>
      <c r="F989" s="523" t="s">
        <v>30</v>
      </c>
    </row>
    <row r="990">
      <c r="A990" s="523">
        <v>989</v>
      </c>
      <c r="B990" s="523" t="s">
        <v>2864</v>
      </c>
      <c r="C990" s="523" t="s">
        <v>1192</v>
      </c>
      <c r="D990" s="523" t="s">
        <v>2854</v>
      </c>
      <c r="E990" s="523" t="s">
        <v>2855</v>
      </c>
      <c r="F990" s="523" t="s">
        <v>30</v>
      </c>
    </row>
    <row r="991">
      <c r="A991" s="523">
        <v>990</v>
      </c>
      <c r="B991" s="523" t="s">
        <v>2865</v>
      </c>
      <c r="C991" s="523" t="s">
        <v>1207</v>
      </c>
      <c r="D991" s="523" t="s">
        <v>2854</v>
      </c>
      <c r="E991" s="523" t="s">
        <v>2855</v>
      </c>
      <c r="F991" s="523" t="s">
        <v>30</v>
      </c>
    </row>
    <row r="992">
      <c r="A992" s="523">
        <v>991</v>
      </c>
      <c r="B992" s="523" t="s">
        <v>2866</v>
      </c>
      <c r="C992" s="523" t="s">
        <v>2333</v>
      </c>
      <c r="D992" s="523" t="s">
        <v>2854</v>
      </c>
      <c r="E992" s="523" t="s">
        <v>2855</v>
      </c>
      <c r="F992" s="523" t="s">
        <v>30</v>
      </c>
    </row>
    <row r="993">
      <c r="A993" s="523">
        <v>992</v>
      </c>
      <c r="B993" s="523" t="s">
        <v>2867</v>
      </c>
      <c r="C993" s="523" t="s">
        <v>2868</v>
      </c>
      <c r="D993" s="523" t="s">
        <v>2854</v>
      </c>
      <c r="E993" s="523" t="s">
        <v>2855</v>
      </c>
      <c r="F993" s="523" t="s">
        <v>30</v>
      </c>
    </row>
    <row r="994">
      <c r="A994" s="523">
        <v>993</v>
      </c>
      <c r="B994" s="523" t="s">
        <v>2869</v>
      </c>
      <c r="C994" s="523" t="s">
        <v>2870</v>
      </c>
      <c r="D994" s="523" t="s">
        <v>2854</v>
      </c>
      <c r="E994" s="523" t="s">
        <v>2855</v>
      </c>
      <c r="F994" s="523" t="s">
        <v>30</v>
      </c>
    </row>
    <row r="995">
      <c r="A995" s="523">
        <v>994</v>
      </c>
      <c r="B995" s="523" t="s">
        <v>2871</v>
      </c>
      <c r="C995" s="523" t="s">
        <v>1368</v>
      </c>
      <c r="D995" s="523" t="s">
        <v>2854</v>
      </c>
      <c r="E995" s="523" t="s">
        <v>2855</v>
      </c>
      <c r="F995" s="523" t="s">
        <v>30</v>
      </c>
    </row>
    <row r="996">
      <c r="A996" s="523">
        <v>995</v>
      </c>
      <c r="B996" s="523" t="s">
        <v>2872</v>
      </c>
      <c r="C996" s="523" t="s">
        <v>2873</v>
      </c>
      <c r="D996" s="523" t="s">
        <v>2874</v>
      </c>
      <c r="E996" s="523" t="s">
        <v>2875</v>
      </c>
      <c r="F996" s="523" t="s">
        <v>30</v>
      </c>
    </row>
    <row r="997">
      <c r="A997" s="523">
        <v>996</v>
      </c>
      <c r="B997" s="523" t="s">
        <v>2876</v>
      </c>
      <c r="C997" s="523" t="s">
        <v>2877</v>
      </c>
      <c r="D997" s="523" t="s">
        <v>2874</v>
      </c>
      <c r="E997" s="523" t="s">
        <v>2875</v>
      </c>
      <c r="F997" s="523" t="s">
        <v>30</v>
      </c>
    </row>
    <row r="998">
      <c r="A998" s="523">
        <v>997</v>
      </c>
      <c r="B998" s="523" t="s">
        <v>2878</v>
      </c>
      <c r="C998" s="523" t="s">
        <v>2879</v>
      </c>
      <c r="D998" s="523" t="s">
        <v>2874</v>
      </c>
      <c r="E998" s="523" t="s">
        <v>2875</v>
      </c>
      <c r="F998" s="523" t="s">
        <v>30</v>
      </c>
    </row>
    <row r="999">
      <c r="A999" s="523">
        <v>998</v>
      </c>
      <c r="B999" s="523" t="s">
        <v>2880</v>
      </c>
      <c r="C999" s="523" t="s">
        <v>2881</v>
      </c>
      <c r="D999" s="523" t="s">
        <v>2874</v>
      </c>
      <c r="E999" s="523" t="s">
        <v>2875</v>
      </c>
      <c r="F999" s="523" t="s">
        <v>30</v>
      </c>
    </row>
    <row r="1000">
      <c r="A1000" s="523">
        <v>999</v>
      </c>
      <c r="B1000" s="523" t="s">
        <v>2882</v>
      </c>
      <c r="C1000" s="523" t="s">
        <v>2883</v>
      </c>
      <c r="D1000" s="523" t="s">
        <v>2874</v>
      </c>
      <c r="E1000" s="523" t="s">
        <v>2875</v>
      </c>
      <c r="F1000" s="523" t="s">
        <v>30</v>
      </c>
    </row>
    <row r="1001">
      <c r="A1001" s="523">
        <v>1000</v>
      </c>
      <c r="B1001" s="523" t="s">
        <v>2884</v>
      </c>
      <c r="C1001" s="523" t="s">
        <v>2885</v>
      </c>
      <c r="D1001" s="523" t="s">
        <v>2874</v>
      </c>
      <c r="E1001" s="523" t="s">
        <v>2875</v>
      </c>
      <c r="F1001" s="523" t="s">
        <v>30</v>
      </c>
    </row>
    <row r="1002">
      <c r="A1002" s="523">
        <v>1001</v>
      </c>
      <c r="B1002" s="523" t="s">
        <v>2886</v>
      </c>
      <c r="C1002" s="523" t="s">
        <v>2887</v>
      </c>
      <c r="D1002" s="523" t="s">
        <v>2874</v>
      </c>
      <c r="E1002" s="523" t="s">
        <v>2875</v>
      </c>
      <c r="F1002" s="523" t="s">
        <v>30</v>
      </c>
    </row>
    <row r="1003">
      <c r="A1003" s="523">
        <v>1002</v>
      </c>
      <c r="B1003" s="523" t="s">
        <v>2888</v>
      </c>
      <c r="C1003" s="523" t="s">
        <v>2889</v>
      </c>
      <c r="D1003" s="523" t="s">
        <v>2874</v>
      </c>
      <c r="E1003" s="523" t="s">
        <v>2875</v>
      </c>
      <c r="F1003" s="523" t="s">
        <v>30</v>
      </c>
    </row>
    <row r="1004">
      <c r="A1004" s="523">
        <v>1003</v>
      </c>
      <c r="B1004" s="523" t="s">
        <v>2890</v>
      </c>
      <c r="C1004" s="523" t="s">
        <v>2891</v>
      </c>
      <c r="D1004" s="523" t="s">
        <v>2874</v>
      </c>
      <c r="E1004" s="523" t="s">
        <v>2875</v>
      </c>
      <c r="F1004" s="523" t="s">
        <v>30</v>
      </c>
    </row>
    <row r="1005">
      <c r="A1005" s="523">
        <v>1004</v>
      </c>
      <c r="B1005" s="523" t="s">
        <v>2892</v>
      </c>
      <c r="C1005" s="523" t="s">
        <v>2893</v>
      </c>
      <c r="D1005" s="523" t="s">
        <v>2874</v>
      </c>
      <c r="E1005" s="523" t="s">
        <v>2875</v>
      </c>
      <c r="F1005" s="523" t="s">
        <v>30</v>
      </c>
    </row>
    <row r="1006">
      <c r="A1006" s="523">
        <v>1005</v>
      </c>
      <c r="B1006" s="523" t="s">
        <v>2894</v>
      </c>
      <c r="C1006" s="523" t="s">
        <v>2895</v>
      </c>
      <c r="D1006" s="523" t="s">
        <v>2874</v>
      </c>
      <c r="E1006" s="523" t="s">
        <v>2875</v>
      </c>
      <c r="F1006" s="523" t="s">
        <v>30</v>
      </c>
    </row>
    <row r="1007">
      <c r="A1007" s="523">
        <v>1006</v>
      </c>
      <c r="B1007" s="523" t="s">
        <v>2896</v>
      </c>
      <c r="C1007" s="523" t="s">
        <v>2897</v>
      </c>
      <c r="D1007" s="523" t="s">
        <v>2874</v>
      </c>
      <c r="E1007" s="523" t="s">
        <v>2875</v>
      </c>
      <c r="F1007" s="523" t="s">
        <v>30</v>
      </c>
    </row>
    <row r="1008">
      <c r="A1008" s="523">
        <v>1007</v>
      </c>
      <c r="B1008" s="523" t="s">
        <v>2898</v>
      </c>
      <c r="C1008" s="523" t="s">
        <v>2899</v>
      </c>
      <c r="D1008" s="523" t="s">
        <v>2874</v>
      </c>
      <c r="E1008" s="523" t="s">
        <v>2875</v>
      </c>
      <c r="F1008" s="523" t="s">
        <v>30</v>
      </c>
    </row>
    <row r="1009">
      <c r="A1009" s="523">
        <v>1008</v>
      </c>
      <c r="B1009" s="523" t="s">
        <v>2900</v>
      </c>
      <c r="C1009" s="523" t="s">
        <v>2901</v>
      </c>
      <c r="D1009" s="523" t="s">
        <v>2874</v>
      </c>
      <c r="E1009" s="523" t="s">
        <v>2875</v>
      </c>
      <c r="F1009" s="523" t="s">
        <v>30</v>
      </c>
    </row>
    <row r="1010">
      <c r="A1010" s="523">
        <v>1009</v>
      </c>
      <c r="B1010" s="523" t="s">
        <v>2902</v>
      </c>
      <c r="C1010" s="523" t="s">
        <v>2903</v>
      </c>
      <c r="D1010" s="523" t="s">
        <v>2874</v>
      </c>
      <c r="E1010" s="523" t="s">
        <v>2875</v>
      </c>
      <c r="F1010" s="523" t="s">
        <v>30</v>
      </c>
    </row>
    <row r="1011">
      <c r="A1011" s="523">
        <v>1010</v>
      </c>
      <c r="B1011" s="523" t="s">
        <v>2904</v>
      </c>
      <c r="C1011" s="523" t="s">
        <v>2905</v>
      </c>
      <c r="D1011" s="523" t="s">
        <v>2906</v>
      </c>
      <c r="E1011" s="523" t="s">
        <v>2907</v>
      </c>
      <c r="F1011" s="523" t="s">
        <v>30</v>
      </c>
    </row>
    <row r="1012">
      <c r="A1012" s="523">
        <v>1011</v>
      </c>
      <c r="B1012" s="523" t="s">
        <v>2908</v>
      </c>
      <c r="C1012" s="523" t="s">
        <v>2909</v>
      </c>
      <c r="D1012" s="523" t="s">
        <v>2906</v>
      </c>
      <c r="E1012" s="523" t="s">
        <v>2907</v>
      </c>
      <c r="F1012" s="523" t="s">
        <v>30</v>
      </c>
    </row>
    <row r="1013">
      <c r="A1013" s="523">
        <v>1012</v>
      </c>
      <c r="B1013" s="523" t="s">
        <v>2910</v>
      </c>
      <c r="C1013" s="523" t="s">
        <v>2911</v>
      </c>
      <c r="D1013" s="523" t="s">
        <v>2906</v>
      </c>
      <c r="E1013" s="523" t="s">
        <v>2907</v>
      </c>
      <c r="F1013" s="523" t="s">
        <v>30</v>
      </c>
    </row>
    <row r="1014">
      <c r="A1014" s="523">
        <v>1013</v>
      </c>
      <c r="B1014" s="523" t="s">
        <v>2912</v>
      </c>
      <c r="C1014" s="523" t="s">
        <v>2913</v>
      </c>
      <c r="D1014" s="523" t="s">
        <v>2906</v>
      </c>
      <c r="E1014" s="523" t="s">
        <v>2907</v>
      </c>
      <c r="F1014" s="523" t="s">
        <v>30</v>
      </c>
    </row>
    <row r="1015">
      <c r="A1015" s="523">
        <v>1014</v>
      </c>
      <c r="B1015" s="523" t="s">
        <v>2914</v>
      </c>
      <c r="C1015" s="523" t="s">
        <v>2915</v>
      </c>
      <c r="D1015" s="523" t="s">
        <v>2906</v>
      </c>
      <c r="E1015" s="523" t="s">
        <v>2907</v>
      </c>
      <c r="F1015" s="523" t="s">
        <v>30</v>
      </c>
    </row>
    <row r="1016">
      <c r="A1016" s="523">
        <v>1015</v>
      </c>
      <c r="B1016" s="523" t="s">
        <v>2916</v>
      </c>
      <c r="C1016" s="523" t="s">
        <v>2917</v>
      </c>
      <c r="D1016" s="523" t="s">
        <v>2906</v>
      </c>
      <c r="E1016" s="523" t="s">
        <v>2907</v>
      </c>
      <c r="F1016" s="523" t="s">
        <v>30</v>
      </c>
    </row>
    <row r="1017">
      <c r="A1017" s="523">
        <v>1016</v>
      </c>
      <c r="B1017" s="523" t="s">
        <v>2918</v>
      </c>
      <c r="C1017" s="523" t="s">
        <v>2919</v>
      </c>
      <c r="D1017" s="523" t="s">
        <v>2906</v>
      </c>
      <c r="E1017" s="523" t="s">
        <v>2907</v>
      </c>
      <c r="F1017" s="523" t="s">
        <v>30</v>
      </c>
    </row>
    <row r="1018">
      <c r="A1018" s="523">
        <v>1017</v>
      </c>
      <c r="B1018" s="523" t="s">
        <v>2920</v>
      </c>
      <c r="C1018" s="523" t="s">
        <v>2921</v>
      </c>
      <c r="D1018" s="523" t="s">
        <v>2906</v>
      </c>
      <c r="E1018" s="523" t="s">
        <v>2907</v>
      </c>
      <c r="F1018" s="523" t="s">
        <v>30</v>
      </c>
    </row>
    <row r="1019">
      <c r="A1019" s="523">
        <v>1018</v>
      </c>
      <c r="B1019" s="523" t="s">
        <v>2922</v>
      </c>
      <c r="C1019" s="523" t="s">
        <v>2381</v>
      </c>
      <c r="D1019" s="523" t="s">
        <v>2906</v>
      </c>
      <c r="E1019" s="523" t="s">
        <v>2907</v>
      </c>
      <c r="F1019" s="523" t="s">
        <v>30</v>
      </c>
    </row>
    <row r="1020">
      <c r="A1020" s="523">
        <v>1019</v>
      </c>
      <c r="B1020" s="523" t="s">
        <v>2923</v>
      </c>
      <c r="C1020" s="523" t="s">
        <v>1853</v>
      </c>
      <c r="D1020" s="523" t="s">
        <v>2906</v>
      </c>
      <c r="E1020" s="523" t="s">
        <v>2907</v>
      </c>
      <c r="F1020" s="523" t="s">
        <v>30</v>
      </c>
    </row>
    <row r="1021">
      <c r="A1021" s="523">
        <v>1020</v>
      </c>
      <c r="B1021" s="523" t="s">
        <v>2924</v>
      </c>
      <c r="C1021" s="523" t="s">
        <v>2925</v>
      </c>
      <c r="D1021" s="523" t="s">
        <v>2906</v>
      </c>
      <c r="E1021" s="523" t="s">
        <v>2907</v>
      </c>
      <c r="F1021" s="523" t="s">
        <v>30</v>
      </c>
    </row>
    <row r="1022">
      <c r="A1022" s="523">
        <v>1021</v>
      </c>
      <c r="B1022" s="523" t="s">
        <v>2926</v>
      </c>
      <c r="C1022" s="523" t="s">
        <v>2927</v>
      </c>
      <c r="D1022" s="523" t="s">
        <v>2906</v>
      </c>
      <c r="E1022" s="523" t="s">
        <v>2907</v>
      </c>
      <c r="F1022" s="523" t="s">
        <v>30</v>
      </c>
    </row>
    <row r="1023">
      <c r="A1023" s="523">
        <v>1022</v>
      </c>
      <c r="B1023" s="523" t="s">
        <v>2928</v>
      </c>
      <c r="C1023" s="523" t="s">
        <v>2791</v>
      </c>
      <c r="D1023" s="523" t="s">
        <v>2906</v>
      </c>
      <c r="E1023" s="523" t="s">
        <v>2907</v>
      </c>
      <c r="F1023" s="523" t="s">
        <v>30</v>
      </c>
    </row>
    <row r="1024">
      <c r="A1024" s="523">
        <v>1023</v>
      </c>
      <c r="B1024" s="523" t="s">
        <v>2929</v>
      </c>
      <c r="C1024" s="523" t="s">
        <v>2930</v>
      </c>
      <c r="D1024" s="523" t="s">
        <v>2906</v>
      </c>
      <c r="E1024" s="523" t="s">
        <v>2907</v>
      </c>
      <c r="F1024" s="523" t="s">
        <v>30</v>
      </c>
    </row>
    <row r="1025">
      <c r="A1025" s="523">
        <v>1024</v>
      </c>
      <c r="B1025" s="523" t="s">
        <v>2931</v>
      </c>
      <c r="C1025" s="523" t="s">
        <v>1328</v>
      </c>
      <c r="D1025" s="523" t="s">
        <v>2932</v>
      </c>
      <c r="E1025" s="523" t="s">
        <v>2933</v>
      </c>
      <c r="F1025" s="523" t="s">
        <v>30</v>
      </c>
    </row>
    <row r="1026">
      <c r="A1026" s="523">
        <v>1025</v>
      </c>
      <c r="B1026" s="523" t="s">
        <v>2934</v>
      </c>
      <c r="C1026" s="523" t="s">
        <v>2935</v>
      </c>
      <c r="D1026" s="523" t="s">
        <v>2932</v>
      </c>
      <c r="E1026" s="523" t="s">
        <v>2933</v>
      </c>
      <c r="F1026" s="523" t="s">
        <v>30</v>
      </c>
    </row>
    <row r="1027">
      <c r="A1027" s="523">
        <v>1026</v>
      </c>
      <c r="B1027" s="523" t="s">
        <v>2936</v>
      </c>
      <c r="C1027" s="523" t="s">
        <v>2937</v>
      </c>
      <c r="D1027" s="523" t="s">
        <v>2932</v>
      </c>
      <c r="E1027" s="523" t="s">
        <v>2933</v>
      </c>
      <c r="F1027" s="523" t="s">
        <v>30</v>
      </c>
    </row>
    <row r="1028">
      <c r="A1028" s="523">
        <v>1027</v>
      </c>
      <c r="B1028" s="523" t="s">
        <v>2938</v>
      </c>
      <c r="C1028" s="523" t="s">
        <v>2939</v>
      </c>
      <c r="D1028" s="523" t="s">
        <v>2932</v>
      </c>
      <c r="E1028" s="523" t="s">
        <v>2933</v>
      </c>
      <c r="F1028" s="523" t="s">
        <v>30</v>
      </c>
    </row>
    <row r="1029">
      <c r="A1029" s="523">
        <v>1028</v>
      </c>
      <c r="B1029" s="523" t="s">
        <v>2940</v>
      </c>
      <c r="C1029" s="523" t="s">
        <v>2941</v>
      </c>
      <c r="D1029" s="523" t="s">
        <v>2932</v>
      </c>
      <c r="E1029" s="523" t="s">
        <v>2933</v>
      </c>
      <c r="F1029" s="523" t="s">
        <v>30</v>
      </c>
    </row>
    <row r="1030">
      <c r="A1030" s="523">
        <v>1029</v>
      </c>
      <c r="B1030" s="523" t="s">
        <v>2942</v>
      </c>
      <c r="C1030" s="523" t="s">
        <v>2943</v>
      </c>
      <c r="D1030" s="523" t="s">
        <v>2932</v>
      </c>
      <c r="E1030" s="523" t="s">
        <v>2933</v>
      </c>
      <c r="F1030" s="523" t="s">
        <v>30</v>
      </c>
    </row>
    <row r="1031">
      <c r="A1031" s="523">
        <v>1030</v>
      </c>
      <c r="B1031" s="523" t="s">
        <v>2944</v>
      </c>
      <c r="C1031" s="523" t="s">
        <v>2945</v>
      </c>
      <c r="D1031" s="523" t="s">
        <v>2932</v>
      </c>
      <c r="E1031" s="523" t="s">
        <v>2933</v>
      </c>
      <c r="F1031" s="523" t="s">
        <v>30</v>
      </c>
    </row>
    <row r="1032">
      <c r="A1032" s="523">
        <v>1031</v>
      </c>
      <c r="B1032" s="523" t="s">
        <v>2946</v>
      </c>
      <c r="C1032" s="523" t="s">
        <v>2947</v>
      </c>
      <c r="D1032" s="523" t="s">
        <v>2932</v>
      </c>
      <c r="E1032" s="523" t="s">
        <v>2933</v>
      </c>
      <c r="F1032" s="523" t="s">
        <v>30</v>
      </c>
    </row>
    <row r="1033">
      <c r="A1033" s="523">
        <v>1032</v>
      </c>
      <c r="B1033" s="523" t="s">
        <v>2948</v>
      </c>
      <c r="C1033" s="523" t="s">
        <v>2949</v>
      </c>
      <c r="D1033" s="523" t="s">
        <v>2932</v>
      </c>
      <c r="E1033" s="523" t="s">
        <v>2933</v>
      </c>
      <c r="F1033" s="523" t="s">
        <v>30</v>
      </c>
    </row>
    <row r="1034">
      <c r="A1034" s="523">
        <v>1033</v>
      </c>
      <c r="B1034" s="523" t="s">
        <v>2950</v>
      </c>
      <c r="C1034" s="523" t="s">
        <v>2951</v>
      </c>
      <c r="D1034" s="523" t="s">
        <v>2932</v>
      </c>
      <c r="E1034" s="523" t="s">
        <v>2933</v>
      </c>
      <c r="F1034" s="523" t="s">
        <v>30</v>
      </c>
    </row>
    <row r="1035">
      <c r="A1035" s="523">
        <v>1034</v>
      </c>
      <c r="B1035" s="523" t="s">
        <v>2952</v>
      </c>
      <c r="C1035" s="523" t="s">
        <v>2953</v>
      </c>
      <c r="D1035" s="523" t="s">
        <v>2932</v>
      </c>
      <c r="E1035" s="523" t="s">
        <v>2933</v>
      </c>
      <c r="F1035" s="523" t="s">
        <v>30</v>
      </c>
    </row>
    <row r="1036">
      <c r="A1036" s="523">
        <v>1035</v>
      </c>
      <c r="B1036" s="523" t="s">
        <v>2954</v>
      </c>
      <c r="C1036" s="523" t="s">
        <v>2955</v>
      </c>
      <c r="D1036" s="523" t="s">
        <v>2932</v>
      </c>
      <c r="E1036" s="523" t="s">
        <v>2933</v>
      </c>
      <c r="F1036" s="523" t="s">
        <v>30</v>
      </c>
    </row>
    <row r="1037">
      <c r="A1037" s="523">
        <v>1036</v>
      </c>
      <c r="B1037" s="523" t="s">
        <v>2956</v>
      </c>
      <c r="C1037" s="523" t="s">
        <v>2957</v>
      </c>
      <c r="D1037" s="523" t="s">
        <v>2932</v>
      </c>
      <c r="E1037" s="523" t="s">
        <v>2933</v>
      </c>
      <c r="F1037" s="523" t="s">
        <v>30</v>
      </c>
    </row>
    <row r="1038">
      <c r="A1038" s="523">
        <v>1037</v>
      </c>
      <c r="B1038" s="523" t="s">
        <v>2958</v>
      </c>
      <c r="C1038" s="523" t="s">
        <v>1348</v>
      </c>
      <c r="D1038" s="523" t="s">
        <v>2932</v>
      </c>
      <c r="E1038" s="523" t="s">
        <v>2933</v>
      </c>
      <c r="F1038" s="523" t="s">
        <v>30</v>
      </c>
    </row>
    <row r="1039">
      <c r="A1039" s="523">
        <v>1038</v>
      </c>
      <c r="B1039" s="523" t="s">
        <v>2959</v>
      </c>
      <c r="C1039" s="523" t="s">
        <v>2960</v>
      </c>
      <c r="D1039" s="523" t="s">
        <v>2932</v>
      </c>
      <c r="E1039" s="523" t="s">
        <v>2933</v>
      </c>
      <c r="F1039" s="523" t="s">
        <v>30</v>
      </c>
    </row>
    <row r="1040">
      <c r="A1040" s="523">
        <v>1039</v>
      </c>
      <c r="B1040" s="523" t="s">
        <v>2961</v>
      </c>
      <c r="C1040" s="523" t="s">
        <v>2962</v>
      </c>
      <c r="D1040" s="523" t="s">
        <v>2932</v>
      </c>
      <c r="E1040" s="523" t="s">
        <v>2933</v>
      </c>
      <c r="F1040" s="523" t="s">
        <v>30</v>
      </c>
    </row>
    <row r="1041">
      <c r="A1041" s="523">
        <v>1040</v>
      </c>
      <c r="B1041" s="523" t="s">
        <v>2963</v>
      </c>
      <c r="C1041" s="523" t="s">
        <v>2964</v>
      </c>
      <c r="D1041" s="523" t="s">
        <v>2932</v>
      </c>
      <c r="E1041" s="523" t="s">
        <v>2933</v>
      </c>
      <c r="F1041" s="523" t="s">
        <v>30</v>
      </c>
    </row>
    <row r="1042">
      <c r="A1042" s="523">
        <v>1041</v>
      </c>
      <c r="B1042" s="523" t="s">
        <v>2965</v>
      </c>
      <c r="C1042" s="523" t="s">
        <v>2966</v>
      </c>
      <c r="D1042" s="523" t="s">
        <v>2932</v>
      </c>
      <c r="E1042" s="523" t="s">
        <v>2933</v>
      </c>
      <c r="F1042" s="523" t="s">
        <v>30</v>
      </c>
    </row>
    <row r="1043">
      <c r="A1043" s="523">
        <v>1042</v>
      </c>
      <c r="B1043" s="523" t="s">
        <v>2967</v>
      </c>
      <c r="C1043" s="523" t="s">
        <v>2968</v>
      </c>
      <c r="D1043" s="523" t="s">
        <v>2932</v>
      </c>
      <c r="E1043" s="523" t="s">
        <v>2933</v>
      </c>
      <c r="F1043" s="523" t="s">
        <v>30</v>
      </c>
    </row>
    <row r="1044">
      <c r="A1044" s="523">
        <v>1043</v>
      </c>
      <c r="B1044" s="523" t="s">
        <v>2969</v>
      </c>
      <c r="C1044" s="523" t="s">
        <v>2970</v>
      </c>
      <c r="D1044" s="523" t="s">
        <v>2932</v>
      </c>
      <c r="E1044" s="523" t="s">
        <v>2933</v>
      </c>
      <c r="F1044" s="523" t="s">
        <v>30</v>
      </c>
    </row>
    <row r="1045">
      <c r="A1045" s="523">
        <v>1044</v>
      </c>
      <c r="B1045" s="523" t="s">
        <v>2971</v>
      </c>
      <c r="C1045" s="523" t="s">
        <v>2972</v>
      </c>
      <c r="D1045" s="523" t="s">
        <v>2932</v>
      </c>
      <c r="E1045" s="523" t="s">
        <v>2933</v>
      </c>
      <c r="F1045" s="523" t="s">
        <v>30</v>
      </c>
    </row>
    <row r="1046">
      <c r="A1046" s="523">
        <v>1045</v>
      </c>
      <c r="B1046" s="523" t="s">
        <v>2973</v>
      </c>
      <c r="C1046" s="523" t="s">
        <v>2974</v>
      </c>
      <c r="D1046" s="523" t="s">
        <v>2932</v>
      </c>
      <c r="E1046" s="523" t="s">
        <v>2933</v>
      </c>
      <c r="F1046" s="523" t="s">
        <v>30</v>
      </c>
    </row>
    <row r="1047">
      <c r="A1047" s="523">
        <v>1046</v>
      </c>
      <c r="B1047" s="523" t="s">
        <v>2975</v>
      </c>
      <c r="C1047" s="523" t="s">
        <v>2976</v>
      </c>
      <c r="D1047" s="523" t="s">
        <v>2932</v>
      </c>
      <c r="E1047" s="523" t="s">
        <v>2933</v>
      </c>
      <c r="F1047" s="523" t="s">
        <v>30</v>
      </c>
    </row>
    <row r="1048">
      <c r="A1048" s="523">
        <v>1047</v>
      </c>
      <c r="B1048" s="523" t="s">
        <v>2977</v>
      </c>
      <c r="C1048" s="523" t="s">
        <v>930</v>
      </c>
      <c r="D1048" s="523" t="s">
        <v>2932</v>
      </c>
      <c r="E1048" s="523" t="s">
        <v>2933</v>
      </c>
      <c r="F1048" s="523" t="s">
        <v>30</v>
      </c>
    </row>
    <row r="1049">
      <c r="A1049" s="523">
        <v>1048</v>
      </c>
      <c r="B1049" s="523" t="s">
        <v>2978</v>
      </c>
      <c r="C1049" s="523" t="s">
        <v>2979</v>
      </c>
      <c r="D1049" s="523" t="s">
        <v>2932</v>
      </c>
      <c r="E1049" s="523" t="s">
        <v>2933</v>
      </c>
      <c r="F1049" s="523" t="s">
        <v>30</v>
      </c>
    </row>
    <row r="1050">
      <c r="A1050" s="523">
        <v>1049</v>
      </c>
      <c r="B1050" s="523" t="s">
        <v>2980</v>
      </c>
      <c r="C1050" s="523" t="s">
        <v>2981</v>
      </c>
      <c r="D1050" s="523" t="s">
        <v>2932</v>
      </c>
      <c r="E1050" s="523" t="s">
        <v>2933</v>
      </c>
      <c r="F1050" s="523" t="s">
        <v>30</v>
      </c>
    </row>
    <row r="1051">
      <c r="A1051" s="523">
        <v>1050</v>
      </c>
      <c r="B1051" s="523" t="s">
        <v>2982</v>
      </c>
      <c r="C1051" s="523" t="s">
        <v>1679</v>
      </c>
      <c r="D1051" s="523" t="s">
        <v>2932</v>
      </c>
      <c r="E1051" s="523" t="s">
        <v>2933</v>
      </c>
      <c r="F1051" s="523" t="s">
        <v>30</v>
      </c>
    </row>
    <row r="1052">
      <c r="A1052" s="523">
        <v>1051</v>
      </c>
      <c r="B1052" s="523" t="s">
        <v>2983</v>
      </c>
      <c r="C1052" s="523" t="s">
        <v>1686</v>
      </c>
      <c r="D1052" s="523" t="s">
        <v>2932</v>
      </c>
      <c r="E1052" s="523" t="s">
        <v>2933</v>
      </c>
      <c r="F1052" s="523" t="s">
        <v>30</v>
      </c>
    </row>
    <row r="1053">
      <c r="A1053" s="523">
        <v>1052</v>
      </c>
      <c r="B1053" s="523" t="s">
        <v>2984</v>
      </c>
      <c r="C1053" s="523" t="s">
        <v>1865</v>
      </c>
      <c r="D1053" s="523" t="s">
        <v>2932</v>
      </c>
      <c r="E1053" s="523" t="s">
        <v>2933</v>
      </c>
      <c r="F1053" s="523" t="s">
        <v>30</v>
      </c>
    </row>
    <row r="1054">
      <c r="A1054" s="523">
        <v>1053</v>
      </c>
      <c r="B1054" s="523" t="s">
        <v>2985</v>
      </c>
      <c r="C1054" s="523" t="s">
        <v>2986</v>
      </c>
      <c r="D1054" s="523" t="s">
        <v>2932</v>
      </c>
      <c r="E1054" s="523" t="s">
        <v>2933</v>
      </c>
      <c r="F1054" s="523" t="s">
        <v>30</v>
      </c>
    </row>
    <row r="1055">
      <c r="A1055" s="523">
        <v>1054</v>
      </c>
      <c r="B1055" s="523" t="s">
        <v>2987</v>
      </c>
      <c r="C1055" s="523" t="s">
        <v>2988</v>
      </c>
      <c r="D1055" s="523" t="s">
        <v>2989</v>
      </c>
      <c r="E1055" s="523" t="s">
        <v>2990</v>
      </c>
      <c r="F1055" s="523" t="s">
        <v>30</v>
      </c>
    </row>
    <row r="1056">
      <c r="A1056" s="523">
        <v>1055</v>
      </c>
      <c r="B1056" s="523" t="s">
        <v>2991</v>
      </c>
      <c r="C1056" s="523" t="s">
        <v>2290</v>
      </c>
      <c r="D1056" s="523" t="s">
        <v>2989</v>
      </c>
      <c r="E1056" s="523" t="s">
        <v>2990</v>
      </c>
      <c r="F1056" s="523" t="s">
        <v>30</v>
      </c>
    </row>
    <row r="1057">
      <c r="A1057" s="523">
        <v>1056</v>
      </c>
      <c r="B1057" s="523" t="s">
        <v>2992</v>
      </c>
      <c r="C1057" s="523" t="s">
        <v>2993</v>
      </c>
      <c r="D1057" s="523" t="s">
        <v>2989</v>
      </c>
      <c r="E1057" s="523" t="s">
        <v>2990</v>
      </c>
      <c r="F1057" s="523" t="s">
        <v>30</v>
      </c>
    </row>
    <row r="1058">
      <c r="A1058" s="523">
        <v>1057</v>
      </c>
      <c r="B1058" s="523" t="s">
        <v>2994</v>
      </c>
      <c r="C1058" s="523" t="s">
        <v>2995</v>
      </c>
      <c r="D1058" s="523" t="s">
        <v>2989</v>
      </c>
      <c r="E1058" s="523" t="s">
        <v>2990</v>
      </c>
      <c r="F1058" s="523" t="s">
        <v>30</v>
      </c>
    </row>
    <row r="1059">
      <c r="A1059" s="523">
        <v>1058</v>
      </c>
      <c r="B1059" s="523" t="s">
        <v>2996</v>
      </c>
      <c r="C1059" s="523" t="s">
        <v>2997</v>
      </c>
      <c r="D1059" s="523" t="s">
        <v>2989</v>
      </c>
      <c r="E1059" s="523" t="s">
        <v>2990</v>
      </c>
      <c r="F1059" s="523" t="s">
        <v>30</v>
      </c>
    </row>
    <row r="1060">
      <c r="A1060" s="523">
        <v>1059</v>
      </c>
      <c r="B1060" s="523" t="s">
        <v>2998</v>
      </c>
      <c r="C1060" s="523" t="s">
        <v>2999</v>
      </c>
      <c r="D1060" s="523" t="s">
        <v>2989</v>
      </c>
      <c r="E1060" s="523" t="s">
        <v>2990</v>
      </c>
      <c r="F1060" s="523" t="s">
        <v>30</v>
      </c>
    </row>
    <row r="1061">
      <c r="A1061" s="523">
        <v>1060</v>
      </c>
      <c r="B1061" s="523" t="s">
        <v>3000</v>
      </c>
      <c r="C1061" s="523" t="s">
        <v>3001</v>
      </c>
      <c r="D1061" s="523" t="s">
        <v>2989</v>
      </c>
      <c r="E1061" s="523" t="s">
        <v>2990</v>
      </c>
      <c r="F1061" s="523" t="s">
        <v>30</v>
      </c>
    </row>
    <row r="1062">
      <c r="A1062" s="523">
        <v>1061</v>
      </c>
      <c r="B1062" s="523" t="s">
        <v>3002</v>
      </c>
      <c r="C1062" s="523" t="s">
        <v>3003</v>
      </c>
      <c r="D1062" s="523" t="s">
        <v>2989</v>
      </c>
      <c r="E1062" s="523" t="s">
        <v>2990</v>
      </c>
      <c r="F1062" s="523" t="s">
        <v>30</v>
      </c>
    </row>
    <row r="1063">
      <c r="A1063" s="523">
        <v>1062</v>
      </c>
      <c r="B1063" s="523" t="s">
        <v>3004</v>
      </c>
      <c r="C1063" s="523" t="s">
        <v>3005</v>
      </c>
      <c r="D1063" s="523" t="s">
        <v>2989</v>
      </c>
      <c r="E1063" s="523" t="s">
        <v>2990</v>
      </c>
      <c r="F1063" s="523" t="s">
        <v>30</v>
      </c>
    </row>
    <row r="1064">
      <c r="A1064" s="523">
        <v>1063</v>
      </c>
      <c r="B1064" s="523" t="s">
        <v>3006</v>
      </c>
      <c r="C1064" s="523" t="s">
        <v>3007</v>
      </c>
      <c r="D1064" s="523" t="s">
        <v>2989</v>
      </c>
      <c r="E1064" s="523" t="s">
        <v>2990</v>
      </c>
      <c r="F1064" s="523" t="s">
        <v>30</v>
      </c>
    </row>
    <row r="1065">
      <c r="A1065" s="523">
        <v>1064</v>
      </c>
      <c r="B1065" s="523" t="s">
        <v>3008</v>
      </c>
      <c r="C1065" s="523" t="s">
        <v>3009</v>
      </c>
      <c r="D1065" s="523" t="s">
        <v>2989</v>
      </c>
      <c r="E1065" s="523" t="s">
        <v>2990</v>
      </c>
      <c r="F1065" s="523" t="s">
        <v>30</v>
      </c>
    </row>
    <row r="1066">
      <c r="A1066" s="523">
        <v>1065</v>
      </c>
      <c r="B1066" s="523" t="s">
        <v>3010</v>
      </c>
      <c r="C1066" s="523" t="s">
        <v>3011</v>
      </c>
      <c r="D1066" s="523" t="s">
        <v>2989</v>
      </c>
      <c r="E1066" s="523" t="s">
        <v>2990</v>
      </c>
      <c r="F1066" s="523" t="s">
        <v>30</v>
      </c>
    </row>
    <row r="1067">
      <c r="A1067" s="523">
        <v>1066</v>
      </c>
      <c r="B1067" s="523" t="s">
        <v>3012</v>
      </c>
      <c r="C1067" s="523" t="s">
        <v>3013</v>
      </c>
      <c r="D1067" s="523" t="s">
        <v>2989</v>
      </c>
      <c r="E1067" s="523" t="s">
        <v>2990</v>
      </c>
      <c r="F1067" s="523" t="s">
        <v>30</v>
      </c>
    </row>
    <row r="1068">
      <c r="A1068" s="523">
        <v>1067</v>
      </c>
      <c r="B1068" s="523" t="s">
        <v>3014</v>
      </c>
      <c r="C1068" s="523" t="s">
        <v>3015</v>
      </c>
      <c r="D1068" s="523" t="s">
        <v>2989</v>
      </c>
      <c r="E1068" s="523" t="s">
        <v>2990</v>
      </c>
      <c r="F1068" s="523" t="s">
        <v>30</v>
      </c>
    </row>
    <row r="1069">
      <c r="A1069" s="523">
        <v>1068</v>
      </c>
      <c r="B1069" s="523" t="s">
        <v>3016</v>
      </c>
      <c r="C1069" s="523" t="s">
        <v>3017</v>
      </c>
      <c r="D1069" s="523" t="s">
        <v>2989</v>
      </c>
      <c r="E1069" s="523" t="s">
        <v>2990</v>
      </c>
      <c r="F1069" s="523" t="s">
        <v>30</v>
      </c>
    </row>
    <row r="1070">
      <c r="A1070" s="523">
        <v>1069</v>
      </c>
      <c r="B1070" s="523" t="s">
        <v>3018</v>
      </c>
      <c r="C1070" s="523" t="s">
        <v>3019</v>
      </c>
      <c r="D1070" s="523" t="s">
        <v>3020</v>
      </c>
      <c r="E1070" s="523" t="s">
        <v>3021</v>
      </c>
      <c r="F1070" s="523" t="s">
        <v>33</v>
      </c>
    </row>
    <row r="1071">
      <c r="A1071" s="523">
        <v>1070</v>
      </c>
      <c r="B1071" s="523" t="s">
        <v>3022</v>
      </c>
      <c r="C1071" s="523" t="s">
        <v>1036</v>
      </c>
      <c r="D1071" s="523" t="s">
        <v>3020</v>
      </c>
      <c r="E1071" s="523" t="s">
        <v>3021</v>
      </c>
      <c r="F1071" s="523" t="s">
        <v>33</v>
      </c>
    </row>
    <row r="1072">
      <c r="A1072" s="523">
        <v>1071</v>
      </c>
      <c r="B1072" s="523" t="s">
        <v>3023</v>
      </c>
      <c r="C1072" s="523" t="s">
        <v>3024</v>
      </c>
      <c r="D1072" s="523" t="s">
        <v>3020</v>
      </c>
      <c r="E1072" s="523" t="s">
        <v>3021</v>
      </c>
      <c r="F1072" s="523" t="s">
        <v>33</v>
      </c>
    </row>
    <row r="1073">
      <c r="A1073" s="523">
        <v>1072</v>
      </c>
      <c r="B1073" s="523" t="s">
        <v>3025</v>
      </c>
      <c r="C1073" s="523" t="s">
        <v>3026</v>
      </c>
      <c r="D1073" s="523" t="s">
        <v>3020</v>
      </c>
      <c r="E1073" s="523" t="s">
        <v>3021</v>
      </c>
      <c r="F1073" s="523" t="s">
        <v>33</v>
      </c>
    </row>
    <row r="1074">
      <c r="A1074" s="523">
        <v>1073</v>
      </c>
      <c r="B1074" s="523" t="s">
        <v>3027</v>
      </c>
      <c r="C1074" s="523" t="s">
        <v>3028</v>
      </c>
      <c r="D1074" s="523" t="s">
        <v>3020</v>
      </c>
      <c r="E1074" s="523" t="s">
        <v>3021</v>
      </c>
      <c r="F1074" s="523" t="s">
        <v>33</v>
      </c>
    </row>
    <row r="1075">
      <c r="A1075" s="523">
        <v>1074</v>
      </c>
      <c r="B1075" s="523" t="s">
        <v>3029</v>
      </c>
      <c r="C1075" s="523" t="s">
        <v>934</v>
      </c>
      <c r="D1075" s="523" t="s">
        <v>3020</v>
      </c>
      <c r="E1075" s="523" t="s">
        <v>3021</v>
      </c>
      <c r="F1075" s="523" t="s">
        <v>33</v>
      </c>
    </row>
    <row r="1076">
      <c r="A1076" s="523">
        <v>1075</v>
      </c>
      <c r="B1076" s="523" t="s">
        <v>3030</v>
      </c>
      <c r="C1076" s="523" t="s">
        <v>3031</v>
      </c>
      <c r="D1076" s="523" t="s">
        <v>3020</v>
      </c>
      <c r="E1076" s="523" t="s">
        <v>3021</v>
      </c>
      <c r="F1076" s="523" t="s">
        <v>33</v>
      </c>
    </row>
    <row r="1077">
      <c r="A1077" s="523">
        <v>1076</v>
      </c>
      <c r="B1077" s="523" t="s">
        <v>3032</v>
      </c>
      <c r="C1077" s="523" t="s">
        <v>984</v>
      </c>
      <c r="D1077" s="523" t="s">
        <v>3020</v>
      </c>
      <c r="E1077" s="523" t="s">
        <v>3021</v>
      </c>
      <c r="F1077" s="523" t="s">
        <v>33</v>
      </c>
    </row>
    <row r="1078">
      <c r="A1078" s="523">
        <v>1077</v>
      </c>
      <c r="B1078" s="523" t="s">
        <v>3033</v>
      </c>
      <c r="C1078" s="523" t="s">
        <v>3034</v>
      </c>
      <c r="D1078" s="523" t="s">
        <v>3020</v>
      </c>
      <c r="E1078" s="523" t="s">
        <v>3021</v>
      </c>
      <c r="F1078" s="523" t="s">
        <v>33</v>
      </c>
    </row>
    <row r="1079">
      <c r="A1079" s="523">
        <v>1078</v>
      </c>
      <c r="B1079" s="523" t="s">
        <v>3035</v>
      </c>
      <c r="C1079" s="523" t="s">
        <v>3036</v>
      </c>
      <c r="D1079" s="523" t="s">
        <v>3020</v>
      </c>
      <c r="E1079" s="523" t="s">
        <v>3021</v>
      </c>
      <c r="F1079" s="523" t="s">
        <v>33</v>
      </c>
    </row>
    <row r="1080">
      <c r="A1080" s="523">
        <v>1079</v>
      </c>
      <c r="B1080" s="523" t="s">
        <v>3037</v>
      </c>
      <c r="C1080" s="523" t="s">
        <v>3038</v>
      </c>
      <c r="D1080" s="523" t="s">
        <v>3020</v>
      </c>
      <c r="E1080" s="523" t="s">
        <v>3021</v>
      </c>
      <c r="F1080" s="523" t="s">
        <v>33</v>
      </c>
    </row>
    <row r="1081">
      <c r="A1081" s="523">
        <v>1080</v>
      </c>
      <c r="B1081" s="523" t="s">
        <v>3039</v>
      </c>
      <c r="C1081" s="523" t="s">
        <v>3040</v>
      </c>
      <c r="D1081" s="523" t="s">
        <v>3020</v>
      </c>
      <c r="E1081" s="523" t="s">
        <v>3021</v>
      </c>
      <c r="F1081" s="523" t="s">
        <v>33</v>
      </c>
    </row>
    <row r="1082">
      <c r="A1082" s="523">
        <v>1081</v>
      </c>
      <c r="B1082" s="523" t="s">
        <v>3041</v>
      </c>
      <c r="C1082" s="523" t="s">
        <v>3042</v>
      </c>
      <c r="D1082" s="523" t="s">
        <v>3020</v>
      </c>
      <c r="E1082" s="523" t="s">
        <v>3021</v>
      </c>
      <c r="F1082" s="523" t="s">
        <v>33</v>
      </c>
    </row>
    <row r="1083">
      <c r="A1083" s="523">
        <v>1082</v>
      </c>
      <c r="B1083" s="523" t="s">
        <v>3043</v>
      </c>
      <c r="C1083" s="523" t="s">
        <v>1923</v>
      </c>
      <c r="D1083" s="523" t="s">
        <v>3020</v>
      </c>
      <c r="E1083" s="523" t="s">
        <v>3021</v>
      </c>
      <c r="F1083" s="523" t="s">
        <v>33</v>
      </c>
    </row>
    <row r="1084">
      <c r="A1084" s="523">
        <v>1083</v>
      </c>
      <c r="B1084" s="523" t="s">
        <v>3044</v>
      </c>
      <c r="C1084" s="523" t="s">
        <v>3045</v>
      </c>
      <c r="D1084" s="523" t="s">
        <v>3020</v>
      </c>
      <c r="E1084" s="523" t="s">
        <v>3021</v>
      </c>
      <c r="F1084" s="523" t="s">
        <v>33</v>
      </c>
    </row>
    <row r="1085">
      <c r="A1085" s="523">
        <v>1084</v>
      </c>
      <c r="B1085" s="523" t="s">
        <v>3046</v>
      </c>
      <c r="C1085" s="523" t="s">
        <v>3047</v>
      </c>
      <c r="D1085" s="523" t="s">
        <v>3020</v>
      </c>
      <c r="E1085" s="523" t="s">
        <v>3021</v>
      </c>
      <c r="F1085" s="523" t="s">
        <v>33</v>
      </c>
    </row>
    <row r="1086">
      <c r="A1086" s="523">
        <v>1085</v>
      </c>
      <c r="B1086" s="523" t="s">
        <v>3048</v>
      </c>
      <c r="C1086" s="523" t="s">
        <v>3049</v>
      </c>
      <c r="D1086" s="523" t="s">
        <v>3020</v>
      </c>
      <c r="E1086" s="523" t="s">
        <v>3021</v>
      </c>
      <c r="F1086" s="523" t="s">
        <v>33</v>
      </c>
    </row>
    <row r="1087">
      <c r="A1087" s="523">
        <v>1086</v>
      </c>
      <c r="B1087" s="523" t="s">
        <v>3050</v>
      </c>
      <c r="C1087" s="523" t="s">
        <v>3051</v>
      </c>
      <c r="D1087" s="523" t="s">
        <v>3020</v>
      </c>
      <c r="E1087" s="523" t="s">
        <v>3021</v>
      </c>
      <c r="F1087" s="523" t="s">
        <v>33</v>
      </c>
    </row>
    <row r="1088">
      <c r="A1088" s="523">
        <v>1087</v>
      </c>
      <c r="B1088" s="523" t="s">
        <v>3052</v>
      </c>
      <c r="C1088" s="523" t="s">
        <v>3053</v>
      </c>
      <c r="D1088" s="523" t="s">
        <v>3054</v>
      </c>
      <c r="E1088" s="523" t="s">
        <v>928</v>
      </c>
      <c r="F1088" s="523" t="s">
        <v>33</v>
      </c>
    </row>
    <row r="1089">
      <c r="A1089" s="523">
        <v>1088</v>
      </c>
      <c r="B1089" s="523" t="s">
        <v>3055</v>
      </c>
      <c r="C1089" s="523" t="s">
        <v>1758</v>
      </c>
      <c r="D1089" s="523" t="s">
        <v>3054</v>
      </c>
      <c r="E1089" s="523" t="s">
        <v>928</v>
      </c>
      <c r="F1089" s="523" t="s">
        <v>33</v>
      </c>
    </row>
    <row r="1090">
      <c r="A1090" s="523">
        <v>1089</v>
      </c>
      <c r="B1090" s="523" t="s">
        <v>3056</v>
      </c>
      <c r="C1090" s="523" t="s">
        <v>1841</v>
      </c>
      <c r="D1090" s="523" t="s">
        <v>3054</v>
      </c>
      <c r="E1090" s="523" t="s">
        <v>928</v>
      </c>
      <c r="F1090" s="523" t="s">
        <v>33</v>
      </c>
    </row>
    <row r="1091">
      <c r="A1091" s="523">
        <v>1090</v>
      </c>
      <c r="B1091" s="523" t="s">
        <v>3057</v>
      </c>
      <c r="C1091" s="523" t="s">
        <v>2005</v>
      </c>
      <c r="D1091" s="523" t="s">
        <v>3054</v>
      </c>
      <c r="E1091" s="523" t="s">
        <v>928</v>
      </c>
      <c r="F1091" s="523" t="s">
        <v>33</v>
      </c>
    </row>
    <row r="1092">
      <c r="A1092" s="523">
        <v>1091</v>
      </c>
      <c r="B1092" s="523" t="s">
        <v>3058</v>
      </c>
      <c r="C1092" s="523" t="s">
        <v>3059</v>
      </c>
      <c r="D1092" s="523" t="s">
        <v>3054</v>
      </c>
      <c r="E1092" s="523" t="s">
        <v>928</v>
      </c>
      <c r="F1092" s="523" t="s">
        <v>33</v>
      </c>
    </row>
    <row r="1093">
      <c r="A1093" s="523">
        <v>1092</v>
      </c>
      <c r="B1093" s="523" t="s">
        <v>3060</v>
      </c>
      <c r="C1093" s="523" t="s">
        <v>2506</v>
      </c>
      <c r="D1093" s="523" t="s">
        <v>3054</v>
      </c>
      <c r="E1093" s="523" t="s">
        <v>928</v>
      </c>
      <c r="F1093" s="523" t="s">
        <v>33</v>
      </c>
    </row>
    <row r="1094">
      <c r="A1094" s="523">
        <v>1093</v>
      </c>
      <c r="B1094" s="523" t="s">
        <v>3061</v>
      </c>
      <c r="C1094" s="523" t="s">
        <v>3062</v>
      </c>
      <c r="D1094" s="523" t="s">
        <v>3054</v>
      </c>
      <c r="E1094" s="523" t="s">
        <v>928</v>
      </c>
      <c r="F1094" s="523" t="s">
        <v>33</v>
      </c>
    </row>
    <row r="1095">
      <c r="A1095" s="523">
        <v>1094</v>
      </c>
      <c r="B1095" s="523" t="s">
        <v>3063</v>
      </c>
      <c r="C1095" s="523" t="s">
        <v>1016</v>
      </c>
      <c r="D1095" s="523" t="s">
        <v>3054</v>
      </c>
      <c r="E1095" s="523" t="s">
        <v>928</v>
      </c>
      <c r="F1095" s="523" t="s">
        <v>33</v>
      </c>
    </row>
    <row r="1096">
      <c r="A1096" s="523">
        <v>1095</v>
      </c>
      <c r="B1096" s="523" t="s">
        <v>3064</v>
      </c>
      <c r="C1096" s="523" t="s">
        <v>1207</v>
      </c>
      <c r="D1096" s="523" t="s">
        <v>3054</v>
      </c>
      <c r="E1096" s="523" t="s">
        <v>928</v>
      </c>
      <c r="F1096" s="523" t="s">
        <v>33</v>
      </c>
    </row>
    <row r="1097">
      <c r="A1097" s="523">
        <v>1096</v>
      </c>
      <c r="B1097" s="523" t="s">
        <v>3065</v>
      </c>
      <c r="C1097" s="523" t="s">
        <v>3066</v>
      </c>
      <c r="D1097" s="523" t="s">
        <v>3054</v>
      </c>
      <c r="E1097" s="523" t="s">
        <v>928</v>
      </c>
      <c r="F1097" s="523" t="s">
        <v>33</v>
      </c>
    </row>
    <row r="1098">
      <c r="A1098" s="523">
        <v>1097</v>
      </c>
      <c r="B1098" s="523" t="s">
        <v>3067</v>
      </c>
      <c r="C1098" s="523" t="s">
        <v>940</v>
      </c>
      <c r="D1098" s="523" t="s">
        <v>3054</v>
      </c>
      <c r="E1098" s="523" t="s">
        <v>928</v>
      </c>
      <c r="F1098" s="523" t="s">
        <v>33</v>
      </c>
    </row>
    <row r="1099">
      <c r="A1099" s="523">
        <v>1098</v>
      </c>
      <c r="B1099" s="523" t="s">
        <v>3068</v>
      </c>
      <c r="C1099" s="523" t="s">
        <v>3069</v>
      </c>
      <c r="D1099" s="523" t="s">
        <v>3054</v>
      </c>
      <c r="E1099" s="523" t="s">
        <v>928</v>
      </c>
      <c r="F1099" s="523" t="s">
        <v>33</v>
      </c>
    </row>
    <row r="1100">
      <c r="A1100" s="523">
        <v>1099</v>
      </c>
      <c r="B1100" s="523" t="s">
        <v>3070</v>
      </c>
      <c r="C1100" s="523" t="s">
        <v>3071</v>
      </c>
      <c r="D1100" s="523" t="s">
        <v>3072</v>
      </c>
      <c r="E1100" s="523" t="s">
        <v>3073</v>
      </c>
      <c r="F1100" s="523" t="s">
        <v>33</v>
      </c>
    </row>
    <row r="1101">
      <c r="A1101" s="523">
        <v>1100</v>
      </c>
      <c r="B1101" s="523" t="s">
        <v>3074</v>
      </c>
      <c r="C1101" s="523" t="s">
        <v>3075</v>
      </c>
      <c r="D1101" s="523" t="s">
        <v>3072</v>
      </c>
      <c r="E1101" s="523" t="s">
        <v>3073</v>
      </c>
      <c r="F1101" s="523" t="s">
        <v>33</v>
      </c>
    </row>
    <row r="1102">
      <c r="A1102" s="523">
        <v>1101</v>
      </c>
      <c r="B1102" s="523" t="s">
        <v>3076</v>
      </c>
      <c r="C1102" s="523" t="s">
        <v>3077</v>
      </c>
      <c r="D1102" s="523" t="s">
        <v>3072</v>
      </c>
      <c r="E1102" s="523" t="s">
        <v>3073</v>
      </c>
      <c r="F1102" s="523" t="s">
        <v>33</v>
      </c>
    </row>
    <row r="1103">
      <c r="A1103" s="523">
        <v>1102</v>
      </c>
      <c r="B1103" s="523" t="s">
        <v>3078</v>
      </c>
      <c r="C1103" s="523" t="s">
        <v>3079</v>
      </c>
      <c r="D1103" s="523" t="s">
        <v>3072</v>
      </c>
      <c r="E1103" s="523" t="s">
        <v>3073</v>
      </c>
      <c r="F1103" s="523" t="s">
        <v>33</v>
      </c>
    </row>
    <row r="1104">
      <c r="A1104" s="523">
        <v>1103</v>
      </c>
      <c r="B1104" s="523" t="s">
        <v>3080</v>
      </c>
      <c r="C1104" s="523" t="s">
        <v>3081</v>
      </c>
      <c r="D1104" s="523" t="s">
        <v>3072</v>
      </c>
      <c r="E1104" s="523" t="s">
        <v>3073</v>
      </c>
      <c r="F1104" s="523" t="s">
        <v>33</v>
      </c>
    </row>
    <row r="1105">
      <c r="A1105" s="523">
        <v>1104</v>
      </c>
      <c r="B1105" s="523" t="s">
        <v>3082</v>
      </c>
      <c r="C1105" s="523" t="s">
        <v>3083</v>
      </c>
      <c r="D1105" s="523" t="s">
        <v>3072</v>
      </c>
      <c r="E1105" s="523" t="s">
        <v>3073</v>
      </c>
      <c r="F1105" s="523" t="s">
        <v>33</v>
      </c>
    </row>
    <row r="1106">
      <c r="A1106" s="523">
        <v>1105</v>
      </c>
      <c r="B1106" s="523" t="s">
        <v>3084</v>
      </c>
      <c r="C1106" s="523" t="s">
        <v>3085</v>
      </c>
      <c r="D1106" s="523" t="s">
        <v>3072</v>
      </c>
      <c r="E1106" s="523" t="s">
        <v>3073</v>
      </c>
      <c r="F1106" s="523" t="s">
        <v>33</v>
      </c>
    </row>
    <row r="1107">
      <c r="A1107" s="523">
        <v>1106</v>
      </c>
      <c r="B1107" s="523" t="s">
        <v>3086</v>
      </c>
      <c r="C1107" s="523" t="s">
        <v>3087</v>
      </c>
      <c r="D1107" s="523" t="s">
        <v>3072</v>
      </c>
      <c r="E1107" s="523" t="s">
        <v>3073</v>
      </c>
      <c r="F1107" s="523" t="s">
        <v>33</v>
      </c>
    </row>
    <row r="1108">
      <c r="A1108" s="523">
        <v>1107</v>
      </c>
      <c r="B1108" s="523" t="s">
        <v>3088</v>
      </c>
      <c r="C1108" s="523" t="s">
        <v>3089</v>
      </c>
      <c r="D1108" s="523" t="s">
        <v>3072</v>
      </c>
      <c r="E1108" s="523" t="s">
        <v>3073</v>
      </c>
      <c r="F1108" s="523" t="s">
        <v>33</v>
      </c>
    </row>
    <row r="1109">
      <c r="A1109" s="523">
        <v>1108</v>
      </c>
      <c r="B1109" s="523" t="s">
        <v>3090</v>
      </c>
      <c r="C1109" s="523" t="s">
        <v>3091</v>
      </c>
      <c r="D1109" s="523" t="s">
        <v>3072</v>
      </c>
      <c r="E1109" s="523" t="s">
        <v>3073</v>
      </c>
      <c r="F1109" s="523" t="s">
        <v>33</v>
      </c>
    </row>
    <row r="1110">
      <c r="A1110" s="523">
        <v>1109</v>
      </c>
      <c r="B1110" s="523" t="s">
        <v>3092</v>
      </c>
      <c r="C1110" s="523" t="s">
        <v>3093</v>
      </c>
      <c r="D1110" s="523" t="s">
        <v>3072</v>
      </c>
      <c r="E1110" s="523" t="s">
        <v>3073</v>
      </c>
      <c r="F1110" s="523" t="s">
        <v>33</v>
      </c>
    </row>
    <row r="1111">
      <c r="A1111" s="523">
        <v>1110</v>
      </c>
      <c r="B1111" s="523" t="s">
        <v>3094</v>
      </c>
      <c r="C1111" s="523" t="s">
        <v>3095</v>
      </c>
      <c r="D1111" s="523" t="s">
        <v>3096</v>
      </c>
      <c r="E1111" s="523" t="s">
        <v>3097</v>
      </c>
      <c r="F1111" s="523" t="s">
        <v>33</v>
      </c>
    </row>
    <row r="1112">
      <c r="A1112" s="523">
        <v>1111</v>
      </c>
      <c r="B1112" s="523" t="s">
        <v>3098</v>
      </c>
      <c r="C1112" s="523" t="s">
        <v>3099</v>
      </c>
      <c r="D1112" s="523" t="s">
        <v>3096</v>
      </c>
      <c r="E1112" s="523" t="s">
        <v>3097</v>
      </c>
      <c r="F1112" s="523" t="s">
        <v>33</v>
      </c>
    </row>
    <row r="1113">
      <c r="A1113" s="523">
        <v>1112</v>
      </c>
      <c r="B1113" s="523" t="s">
        <v>3100</v>
      </c>
      <c r="C1113" s="523" t="s">
        <v>2508</v>
      </c>
      <c r="D1113" s="523" t="s">
        <v>3096</v>
      </c>
      <c r="E1113" s="523" t="s">
        <v>3097</v>
      </c>
      <c r="F1113" s="523" t="s">
        <v>33</v>
      </c>
    </row>
    <row r="1114">
      <c r="A1114" s="523">
        <v>1113</v>
      </c>
      <c r="B1114" s="523" t="s">
        <v>3101</v>
      </c>
      <c r="C1114" s="523" t="s">
        <v>3102</v>
      </c>
      <c r="D1114" s="523" t="s">
        <v>3096</v>
      </c>
      <c r="E1114" s="523" t="s">
        <v>3097</v>
      </c>
      <c r="F1114" s="523" t="s">
        <v>33</v>
      </c>
    </row>
    <row r="1115">
      <c r="A1115" s="523">
        <v>1114</v>
      </c>
      <c r="B1115" s="523" t="s">
        <v>3103</v>
      </c>
      <c r="C1115" s="523" t="s">
        <v>3104</v>
      </c>
      <c r="D1115" s="523" t="s">
        <v>3096</v>
      </c>
      <c r="E1115" s="523" t="s">
        <v>3097</v>
      </c>
      <c r="F1115" s="523" t="s">
        <v>33</v>
      </c>
    </row>
    <row r="1116">
      <c r="A1116" s="523">
        <v>1115</v>
      </c>
      <c r="B1116" s="523" t="s">
        <v>3105</v>
      </c>
      <c r="C1116" s="523" t="s">
        <v>3106</v>
      </c>
      <c r="D1116" s="523" t="s">
        <v>3096</v>
      </c>
      <c r="E1116" s="523" t="s">
        <v>3097</v>
      </c>
      <c r="F1116" s="523" t="s">
        <v>33</v>
      </c>
    </row>
    <row r="1117">
      <c r="A1117" s="523">
        <v>1116</v>
      </c>
      <c r="B1117" s="523" t="s">
        <v>3107</v>
      </c>
      <c r="C1117" s="523" t="s">
        <v>3108</v>
      </c>
      <c r="D1117" s="523" t="s">
        <v>3096</v>
      </c>
      <c r="E1117" s="523" t="s">
        <v>3097</v>
      </c>
      <c r="F1117" s="523" t="s">
        <v>33</v>
      </c>
    </row>
    <row r="1118">
      <c r="A1118" s="523">
        <v>1117</v>
      </c>
      <c r="B1118" s="523" t="s">
        <v>3109</v>
      </c>
      <c r="C1118" s="523" t="s">
        <v>1024</v>
      </c>
      <c r="D1118" s="523" t="s">
        <v>3096</v>
      </c>
      <c r="E1118" s="523" t="s">
        <v>3097</v>
      </c>
      <c r="F1118" s="523" t="s">
        <v>33</v>
      </c>
    </row>
    <row r="1119">
      <c r="A1119" s="523">
        <v>1118</v>
      </c>
      <c r="B1119" s="523" t="s">
        <v>3110</v>
      </c>
      <c r="C1119" s="523" t="s">
        <v>1696</v>
      </c>
      <c r="D1119" s="523" t="s">
        <v>3096</v>
      </c>
      <c r="E1119" s="523" t="s">
        <v>3097</v>
      </c>
      <c r="F1119" s="523" t="s">
        <v>33</v>
      </c>
    </row>
    <row r="1120">
      <c r="A1120" s="523">
        <v>1119</v>
      </c>
      <c r="B1120" s="523" t="s">
        <v>3111</v>
      </c>
      <c r="C1120" s="523" t="s">
        <v>1212</v>
      </c>
      <c r="D1120" s="523" t="s">
        <v>3096</v>
      </c>
      <c r="E1120" s="523" t="s">
        <v>3097</v>
      </c>
      <c r="F1120" s="523" t="s">
        <v>33</v>
      </c>
    </row>
    <row r="1121">
      <c r="A1121" s="523">
        <v>1120</v>
      </c>
      <c r="B1121" s="523" t="s">
        <v>3112</v>
      </c>
      <c r="C1121" s="523" t="s">
        <v>3113</v>
      </c>
      <c r="D1121" s="523" t="s">
        <v>3096</v>
      </c>
      <c r="E1121" s="523" t="s">
        <v>3097</v>
      </c>
      <c r="F1121" s="523" t="s">
        <v>33</v>
      </c>
    </row>
    <row r="1122">
      <c r="A1122" s="523">
        <v>1121</v>
      </c>
      <c r="B1122" s="523" t="s">
        <v>3114</v>
      </c>
      <c r="C1122" s="523" t="s">
        <v>3115</v>
      </c>
      <c r="D1122" s="523" t="s">
        <v>3096</v>
      </c>
      <c r="E1122" s="523" t="s">
        <v>3097</v>
      </c>
      <c r="F1122" s="523" t="s">
        <v>33</v>
      </c>
    </row>
    <row r="1123">
      <c r="A1123" s="523">
        <v>1122</v>
      </c>
      <c r="B1123" s="523" t="s">
        <v>3116</v>
      </c>
      <c r="C1123" s="523" t="s">
        <v>3117</v>
      </c>
      <c r="D1123" s="523" t="s">
        <v>3118</v>
      </c>
      <c r="E1123" s="523" t="s">
        <v>3119</v>
      </c>
      <c r="F1123" s="523" t="s">
        <v>33</v>
      </c>
    </row>
    <row r="1124">
      <c r="A1124" s="523">
        <v>1123</v>
      </c>
      <c r="B1124" s="523" t="s">
        <v>3120</v>
      </c>
      <c r="C1124" s="523" t="s">
        <v>1038</v>
      </c>
      <c r="D1124" s="523" t="s">
        <v>3118</v>
      </c>
      <c r="E1124" s="523" t="s">
        <v>3119</v>
      </c>
      <c r="F1124" s="523" t="s">
        <v>33</v>
      </c>
    </row>
    <row r="1125">
      <c r="A1125" s="523">
        <v>1124</v>
      </c>
      <c r="B1125" s="523" t="s">
        <v>3121</v>
      </c>
      <c r="C1125" s="523" t="s">
        <v>3122</v>
      </c>
      <c r="D1125" s="523" t="s">
        <v>3118</v>
      </c>
      <c r="E1125" s="523" t="s">
        <v>3119</v>
      </c>
      <c r="F1125" s="523" t="s">
        <v>33</v>
      </c>
    </row>
    <row r="1126">
      <c r="A1126" s="523">
        <v>1125</v>
      </c>
      <c r="B1126" s="523" t="s">
        <v>3123</v>
      </c>
      <c r="C1126" s="523" t="s">
        <v>3124</v>
      </c>
      <c r="D1126" s="523" t="s">
        <v>3118</v>
      </c>
      <c r="E1126" s="523" t="s">
        <v>3119</v>
      </c>
      <c r="F1126" s="523" t="s">
        <v>33</v>
      </c>
    </row>
    <row r="1127">
      <c r="A1127" s="523">
        <v>1126</v>
      </c>
      <c r="B1127" s="523" t="s">
        <v>3125</v>
      </c>
      <c r="C1127" s="523" t="s">
        <v>3126</v>
      </c>
      <c r="D1127" s="523" t="s">
        <v>3118</v>
      </c>
      <c r="E1127" s="523" t="s">
        <v>3119</v>
      </c>
      <c r="F1127" s="523" t="s">
        <v>33</v>
      </c>
    </row>
    <row r="1128">
      <c r="A1128" s="523">
        <v>1127</v>
      </c>
      <c r="B1128" s="523" t="s">
        <v>3127</v>
      </c>
      <c r="C1128" s="523" t="s">
        <v>3128</v>
      </c>
      <c r="D1128" s="523" t="s">
        <v>3118</v>
      </c>
      <c r="E1128" s="523" t="s">
        <v>3119</v>
      </c>
      <c r="F1128" s="523" t="s">
        <v>33</v>
      </c>
    </row>
    <row r="1129">
      <c r="A1129" s="523">
        <v>1128</v>
      </c>
      <c r="B1129" s="523" t="s">
        <v>3129</v>
      </c>
      <c r="C1129" s="523" t="s">
        <v>3130</v>
      </c>
      <c r="D1129" s="523" t="s">
        <v>3118</v>
      </c>
      <c r="E1129" s="523" t="s">
        <v>3119</v>
      </c>
      <c r="F1129" s="523" t="s">
        <v>33</v>
      </c>
    </row>
    <row r="1130">
      <c r="A1130" s="523">
        <v>1129</v>
      </c>
      <c r="B1130" s="523" t="s">
        <v>3131</v>
      </c>
      <c r="C1130" s="523" t="s">
        <v>3132</v>
      </c>
      <c r="D1130" s="523" t="s">
        <v>3118</v>
      </c>
      <c r="E1130" s="523" t="s">
        <v>3119</v>
      </c>
      <c r="F1130" s="523" t="s">
        <v>33</v>
      </c>
    </row>
    <row r="1131">
      <c r="A1131" s="523">
        <v>1130</v>
      </c>
      <c r="B1131" s="523" t="s">
        <v>3133</v>
      </c>
      <c r="C1131" s="523" t="s">
        <v>3134</v>
      </c>
      <c r="D1131" s="523" t="s">
        <v>3118</v>
      </c>
      <c r="E1131" s="523" t="s">
        <v>3119</v>
      </c>
      <c r="F1131" s="523" t="s">
        <v>33</v>
      </c>
    </row>
    <row r="1132">
      <c r="A1132" s="523">
        <v>1131</v>
      </c>
      <c r="B1132" s="523" t="s">
        <v>3135</v>
      </c>
      <c r="C1132" s="523" t="s">
        <v>1210</v>
      </c>
      <c r="D1132" s="523" t="s">
        <v>3118</v>
      </c>
      <c r="E1132" s="523" t="s">
        <v>3119</v>
      </c>
      <c r="F1132" s="523" t="s">
        <v>33</v>
      </c>
    </row>
    <row r="1133">
      <c r="A1133" s="523">
        <v>1132</v>
      </c>
      <c r="B1133" s="523" t="s">
        <v>3136</v>
      </c>
      <c r="C1133" s="523" t="s">
        <v>3137</v>
      </c>
      <c r="D1133" s="523" t="s">
        <v>3118</v>
      </c>
      <c r="E1133" s="523" t="s">
        <v>3119</v>
      </c>
      <c r="F1133" s="523" t="s">
        <v>33</v>
      </c>
    </row>
    <row r="1134">
      <c r="A1134" s="523">
        <v>1133</v>
      </c>
      <c r="B1134" s="523" t="s">
        <v>3138</v>
      </c>
      <c r="C1134" s="523" t="s">
        <v>1255</v>
      </c>
      <c r="D1134" s="523" t="s">
        <v>3118</v>
      </c>
      <c r="E1134" s="523" t="s">
        <v>3119</v>
      </c>
      <c r="F1134" s="523" t="s">
        <v>33</v>
      </c>
    </row>
    <row r="1135">
      <c r="A1135" s="523">
        <v>1134</v>
      </c>
      <c r="B1135" s="523" t="s">
        <v>3139</v>
      </c>
      <c r="C1135" s="523" t="s">
        <v>3140</v>
      </c>
      <c r="D1135" s="523" t="s">
        <v>3118</v>
      </c>
      <c r="E1135" s="523" t="s">
        <v>3119</v>
      </c>
      <c r="F1135" s="523" t="s">
        <v>33</v>
      </c>
    </row>
    <row r="1136">
      <c r="A1136" s="523">
        <v>1135</v>
      </c>
      <c r="B1136" s="523" t="s">
        <v>3141</v>
      </c>
      <c r="C1136" s="523" t="s">
        <v>3142</v>
      </c>
      <c r="D1136" s="523" t="s">
        <v>3143</v>
      </c>
      <c r="E1136" s="523" t="s">
        <v>3144</v>
      </c>
      <c r="F1136" s="523" t="s">
        <v>33</v>
      </c>
    </row>
    <row r="1137">
      <c r="A1137" s="523">
        <v>1136</v>
      </c>
      <c r="B1137" s="523" t="s">
        <v>3145</v>
      </c>
      <c r="C1137" s="523" t="s">
        <v>930</v>
      </c>
      <c r="D1137" s="523" t="s">
        <v>3143</v>
      </c>
      <c r="E1137" s="523" t="s">
        <v>3144</v>
      </c>
      <c r="F1137" s="523" t="s">
        <v>33</v>
      </c>
    </row>
    <row r="1138">
      <c r="A1138" s="523">
        <v>1137</v>
      </c>
      <c r="B1138" s="523" t="s">
        <v>3146</v>
      </c>
      <c r="C1138" s="523" t="s">
        <v>1267</v>
      </c>
      <c r="D1138" s="523" t="s">
        <v>3143</v>
      </c>
      <c r="E1138" s="523" t="s">
        <v>3144</v>
      </c>
      <c r="F1138" s="523" t="s">
        <v>33</v>
      </c>
    </row>
    <row r="1139">
      <c r="A1139" s="523">
        <v>1138</v>
      </c>
      <c r="B1139" s="523" t="s">
        <v>3147</v>
      </c>
      <c r="C1139" s="523" t="s">
        <v>966</v>
      </c>
      <c r="D1139" s="523" t="s">
        <v>3143</v>
      </c>
      <c r="E1139" s="523" t="s">
        <v>3144</v>
      </c>
      <c r="F1139" s="523" t="s">
        <v>33</v>
      </c>
    </row>
    <row r="1140">
      <c r="A1140" s="523">
        <v>1139</v>
      </c>
      <c r="B1140" s="523" t="s">
        <v>3148</v>
      </c>
      <c r="C1140" s="523" t="s">
        <v>2915</v>
      </c>
      <c r="D1140" s="523" t="s">
        <v>3143</v>
      </c>
      <c r="E1140" s="523" t="s">
        <v>3144</v>
      </c>
      <c r="F1140" s="523" t="s">
        <v>33</v>
      </c>
    </row>
    <row r="1141">
      <c r="A1141" s="523">
        <v>1140</v>
      </c>
      <c r="B1141" s="523" t="s">
        <v>3149</v>
      </c>
      <c r="C1141" s="523" t="s">
        <v>1010</v>
      </c>
      <c r="D1141" s="523" t="s">
        <v>3143</v>
      </c>
      <c r="E1141" s="523" t="s">
        <v>3144</v>
      </c>
      <c r="F1141" s="523" t="s">
        <v>33</v>
      </c>
    </row>
    <row r="1142">
      <c r="A1142" s="523">
        <v>1141</v>
      </c>
      <c r="B1142" s="523" t="s">
        <v>3150</v>
      </c>
      <c r="C1142" s="523" t="s">
        <v>3151</v>
      </c>
      <c r="D1142" s="523" t="s">
        <v>3143</v>
      </c>
      <c r="E1142" s="523" t="s">
        <v>3144</v>
      </c>
      <c r="F1142" s="523" t="s">
        <v>33</v>
      </c>
    </row>
    <row r="1143">
      <c r="A1143" s="523">
        <v>1142</v>
      </c>
      <c r="B1143" s="523" t="s">
        <v>3152</v>
      </c>
      <c r="C1143" s="523" t="s">
        <v>3153</v>
      </c>
      <c r="D1143" s="523" t="s">
        <v>3143</v>
      </c>
      <c r="E1143" s="523" t="s">
        <v>3144</v>
      </c>
      <c r="F1143" s="523" t="s">
        <v>33</v>
      </c>
    </row>
    <row r="1144">
      <c r="A1144" s="523">
        <v>1143</v>
      </c>
      <c r="B1144" s="523" t="s">
        <v>3154</v>
      </c>
      <c r="C1144" s="523" t="s">
        <v>3155</v>
      </c>
      <c r="D1144" s="523" t="s">
        <v>3143</v>
      </c>
      <c r="E1144" s="523" t="s">
        <v>3144</v>
      </c>
      <c r="F1144" s="523" t="s">
        <v>33</v>
      </c>
    </row>
    <row r="1145">
      <c r="A1145" s="523">
        <v>1144</v>
      </c>
      <c r="B1145" s="523" t="s">
        <v>3156</v>
      </c>
      <c r="C1145" s="523" t="s">
        <v>1020</v>
      </c>
      <c r="D1145" s="523" t="s">
        <v>3143</v>
      </c>
      <c r="E1145" s="523" t="s">
        <v>3144</v>
      </c>
      <c r="F1145" s="523" t="s">
        <v>33</v>
      </c>
    </row>
    <row r="1146">
      <c r="A1146" s="523">
        <v>1145</v>
      </c>
      <c r="B1146" s="523" t="s">
        <v>3157</v>
      </c>
      <c r="C1146" s="523" t="s">
        <v>1855</v>
      </c>
      <c r="D1146" s="523" t="s">
        <v>3143</v>
      </c>
      <c r="E1146" s="523" t="s">
        <v>3144</v>
      </c>
      <c r="F1146" s="523" t="s">
        <v>33</v>
      </c>
    </row>
    <row r="1147">
      <c r="A1147" s="523">
        <v>1146</v>
      </c>
      <c r="B1147" s="523" t="s">
        <v>3158</v>
      </c>
      <c r="C1147" s="523" t="s">
        <v>3159</v>
      </c>
      <c r="D1147" s="523" t="s">
        <v>3143</v>
      </c>
      <c r="E1147" s="523" t="s">
        <v>3144</v>
      </c>
      <c r="F1147" s="523" t="s">
        <v>33</v>
      </c>
    </row>
    <row r="1148">
      <c r="A1148" s="523">
        <v>1147</v>
      </c>
      <c r="B1148" s="523" t="s">
        <v>3160</v>
      </c>
      <c r="C1148" s="523" t="s">
        <v>3161</v>
      </c>
      <c r="D1148" s="523" t="s">
        <v>3162</v>
      </c>
      <c r="E1148" s="523" t="s">
        <v>3163</v>
      </c>
      <c r="F1148" s="523" t="s">
        <v>33</v>
      </c>
    </row>
    <row r="1149">
      <c r="A1149" s="523">
        <v>1148</v>
      </c>
      <c r="B1149" s="523" t="s">
        <v>3164</v>
      </c>
      <c r="C1149" s="523" t="s">
        <v>1843</v>
      </c>
      <c r="D1149" s="523" t="s">
        <v>3162</v>
      </c>
      <c r="E1149" s="523" t="s">
        <v>3163</v>
      </c>
      <c r="F1149" s="523" t="s">
        <v>33</v>
      </c>
    </row>
    <row r="1150">
      <c r="A1150" s="523">
        <v>1149</v>
      </c>
      <c r="B1150" s="523" t="s">
        <v>3165</v>
      </c>
      <c r="C1150" s="523" t="s">
        <v>908</v>
      </c>
      <c r="D1150" s="523" t="s">
        <v>3162</v>
      </c>
      <c r="E1150" s="523" t="s">
        <v>3163</v>
      </c>
      <c r="F1150" s="523" t="s">
        <v>33</v>
      </c>
    </row>
    <row r="1151">
      <c r="A1151" s="523">
        <v>1150</v>
      </c>
      <c r="B1151" s="523" t="s">
        <v>3166</v>
      </c>
      <c r="C1151" s="523" t="s">
        <v>3167</v>
      </c>
      <c r="D1151" s="523" t="s">
        <v>3162</v>
      </c>
      <c r="E1151" s="523" t="s">
        <v>3163</v>
      </c>
      <c r="F1151" s="523" t="s">
        <v>33</v>
      </c>
    </row>
    <row r="1152">
      <c r="A1152" s="523">
        <v>1151</v>
      </c>
      <c r="B1152" s="523" t="s">
        <v>3168</v>
      </c>
      <c r="C1152" s="523" t="s">
        <v>3169</v>
      </c>
      <c r="D1152" s="523" t="s">
        <v>3162</v>
      </c>
      <c r="E1152" s="523" t="s">
        <v>3163</v>
      </c>
      <c r="F1152" s="523" t="s">
        <v>33</v>
      </c>
    </row>
    <row r="1153">
      <c r="A1153" s="523">
        <v>1152</v>
      </c>
      <c r="B1153" s="523" t="s">
        <v>3170</v>
      </c>
      <c r="C1153" s="523" t="s">
        <v>1696</v>
      </c>
      <c r="D1153" s="523" t="s">
        <v>3162</v>
      </c>
      <c r="E1153" s="523" t="s">
        <v>3163</v>
      </c>
      <c r="F1153" s="523" t="s">
        <v>33</v>
      </c>
    </row>
    <row r="1154">
      <c r="A1154" s="523">
        <v>1153</v>
      </c>
      <c r="B1154" s="523" t="s">
        <v>3171</v>
      </c>
      <c r="C1154" s="523" t="s">
        <v>3172</v>
      </c>
      <c r="D1154" s="523" t="s">
        <v>3162</v>
      </c>
      <c r="E1154" s="523" t="s">
        <v>3163</v>
      </c>
      <c r="F1154" s="523" t="s">
        <v>33</v>
      </c>
    </row>
    <row r="1155">
      <c r="A1155" s="523">
        <v>1154</v>
      </c>
      <c r="B1155" s="523" t="s">
        <v>3173</v>
      </c>
      <c r="C1155" s="523" t="s">
        <v>3174</v>
      </c>
      <c r="D1155" s="523" t="s">
        <v>3162</v>
      </c>
      <c r="E1155" s="523" t="s">
        <v>3163</v>
      </c>
      <c r="F1155" s="523" t="s">
        <v>33</v>
      </c>
    </row>
    <row r="1156">
      <c r="A1156" s="523">
        <v>1155</v>
      </c>
      <c r="B1156" s="523" t="s">
        <v>3175</v>
      </c>
      <c r="C1156" s="523" t="s">
        <v>3176</v>
      </c>
      <c r="D1156" s="523" t="s">
        <v>3162</v>
      </c>
      <c r="E1156" s="523" t="s">
        <v>3163</v>
      </c>
      <c r="F1156" s="523" t="s">
        <v>33</v>
      </c>
    </row>
    <row r="1157">
      <c r="A1157" s="523">
        <v>1156</v>
      </c>
      <c r="B1157" s="523" t="s">
        <v>3177</v>
      </c>
      <c r="C1157" s="523" t="s">
        <v>1578</v>
      </c>
      <c r="D1157" s="523" t="s">
        <v>3178</v>
      </c>
      <c r="E1157" s="523" t="s">
        <v>3179</v>
      </c>
      <c r="F1157" s="523" t="s">
        <v>33</v>
      </c>
    </row>
    <row r="1158">
      <c r="A1158" s="523">
        <v>1157</v>
      </c>
      <c r="B1158" s="523" t="s">
        <v>3180</v>
      </c>
      <c r="C1158" s="523" t="s">
        <v>3181</v>
      </c>
      <c r="D1158" s="523" t="s">
        <v>3178</v>
      </c>
      <c r="E1158" s="523" t="s">
        <v>3179</v>
      </c>
      <c r="F1158" s="523" t="s">
        <v>33</v>
      </c>
    </row>
    <row r="1159">
      <c r="A1159" s="523">
        <v>1158</v>
      </c>
      <c r="B1159" s="523" t="s">
        <v>3182</v>
      </c>
      <c r="C1159" s="523" t="s">
        <v>3183</v>
      </c>
      <c r="D1159" s="523" t="s">
        <v>3178</v>
      </c>
      <c r="E1159" s="523" t="s">
        <v>3179</v>
      </c>
      <c r="F1159" s="523" t="s">
        <v>33</v>
      </c>
    </row>
    <row r="1160">
      <c r="A1160" s="523">
        <v>1159</v>
      </c>
      <c r="B1160" s="523" t="s">
        <v>3184</v>
      </c>
      <c r="C1160" s="523" t="s">
        <v>1038</v>
      </c>
      <c r="D1160" s="523" t="s">
        <v>3178</v>
      </c>
      <c r="E1160" s="523" t="s">
        <v>3179</v>
      </c>
      <c r="F1160" s="523" t="s">
        <v>33</v>
      </c>
    </row>
    <row r="1161">
      <c r="A1161" s="523">
        <v>1160</v>
      </c>
      <c r="B1161" s="523" t="s">
        <v>3185</v>
      </c>
      <c r="C1161" s="523" t="s">
        <v>2919</v>
      </c>
      <c r="D1161" s="523" t="s">
        <v>3178</v>
      </c>
      <c r="E1161" s="523" t="s">
        <v>3179</v>
      </c>
      <c r="F1161" s="523" t="s">
        <v>33</v>
      </c>
    </row>
    <row r="1162">
      <c r="A1162" s="523">
        <v>1161</v>
      </c>
      <c r="B1162" s="523" t="s">
        <v>3186</v>
      </c>
      <c r="C1162" s="523" t="s">
        <v>1207</v>
      </c>
      <c r="D1162" s="523" t="s">
        <v>3178</v>
      </c>
      <c r="E1162" s="523" t="s">
        <v>3179</v>
      </c>
      <c r="F1162" s="523" t="s">
        <v>33</v>
      </c>
    </row>
    <row r="1163">
      <c r="A1163" s="523">
        <v>1162</v>
      </c>
      <c r="B1163" s="523" t="s">
        <v>3187</v>
      </c>
      <c r="C1163" s="523" t="s">
        <v>1024</v>
      </c>
      <c r="D1163" s="523" t="s">
        <v>3178</v>
      </c>
      <c r="E1163" s="523" t="s">
        <v>3179</v>
      </c>
      <c r="F1163" s="523" t="s">
        <v>33</v>
      </c>
    </row>
    <row r="1164">
      <c r="A1164" s="523">
        <v>1163</v>
      </c>
      <c r="B1164" s="523" t="s">
        <v>3188</v>
      </c>
      <c r="C1164" s="523" t="s">
        <v>3189</v>
      </c>
      <c r="D1164" s="523" t="s">
        <v>3178</v>
      </c>
      <c r="E1164" s="523" t="s">
        <v>3179</v>
      </c>
      <c r="F1164" s="523" t="s">
        <v>33</v>
      </c>
    </row>
    <row r="1165">
      <c r="A1165" s="523">
        <v>1164</v>
      </c>
      <c r="B1165" s="523" t="s">
        <v>3190</v>
      </c>
      <c r="C1165" s="523" t="s">
        <v>1279</v>
      </c>
      <c r="D1165" s="523" t="s">
        <v>3178</v>
      </c>
      <c r="E1165" s="523" t="s">
        <v>3179</v>
      </c>
      <c r="F1165" s="523" t="s">
        <v>33</v>
      </c>
    </row>
    <row r="1166">
      <c r="A1166" s="523">
        <v>1165</v>
      </c>
      <c r="B1166" s="523" t="s">
        <v>3191</v>
      </c>
      <c r="C1166" s="523" t="s">
        <v>1210</v>
      </c>
      <c r="D1166" s="523" t="s">
        <v>3178</v>
      </c>
      <c r="E1166" s="523" t="s">
        <v>3179</v>
      </c>
      <c r="F1166" s="523" t="s">
        <v>33</v>
      </c>
    </row>
    <row r="1167">
      <c r="A1167" s="523">
        <v>1166</v>
      </c>
      <c r="B1167" s="523" t="s">
        <v>3192</v>
      </c>
      <c r="C1167" s="523" t="s">
        <v>940</v>
      </c>
      <c r="D1167" s="523" t="s">
        <v>3178</v>
      </c>
      <c r="E1167" s="523" t="s">
        <v>3179</v>
      </c>
      <c r="F1167" s="523" t="s">
        <v>33</v>
      </c>
    </row>
    <row r="1168">
      <c r="A1168" s="523">
        <v>1167</v>
      </c>
      <c r="B1168" s="523" t="s">
        <v>3193</v>
      </c>
      <c r="C1168" s="523" t="s">
        <v>3194</v>
      </c>
      <c r="D1168" s="523" t="s">
        <v>3178</v>
      </c>
      <c r="E1168" s="523" t="s">
        <v>3179</v>
      </c>
      <c r="F1168" s="523" t="s">
        <v>33</v>
      </c>
    </row>
    <row r="1169">
      <c r="A1169" s="523">
        <v>1168</v>
      </c>
      <c r="B1169" s="523" t="s">
        <v>3195</v>
      </c>
      <c r="C1169" s="523" t="s">
        <v>1194</v>
      </c>
      <c r="D1169" s="523" t="s">
        <v>3178</v>
      </c>
      <c r="E1169" s="523" t="s">
        <v>3179</v>
      </c>
      <c r="F1169" s="523" t="s">
        <v>33</v>
      </c>
    </row>
    <row r="1170">
      <c r="A1170" s="523">
        <v>1169</v>
      </c>
      <c r="B1170" s="523" t="s">
        <v>3196</v>
      </c>
      <c r="C1170" s="523" t="s">
        <v>3197</v>
      </c>
      <c r="D1170" s="523" t="s">
        <v>3198</v>
      </c>
      <c r="E1170" s="523" t="s">
        <v>3199</v>
      </c>
      <c r="F1170" s="523" t="s">
        <v>33</v>
      </c>
    </row>
    <row r="1171">
      <c r="A1171" s="523">
        <v>1170</v>
      </c>
      <c r="B1171" s="523" t="s">
        <v>3200</v>
      </c>
      <c r="C1171" s="523" t="s">
        <v>3201</v>
      </c>
      <c r="D1171" s="523" t="s">
        <v>3198</v>
      </c>
      <c r="E1171" s="523" t="s">
        <v>3199</v>
      </c>
      <c r="F1171" s="523" t="s">
        <v>33</v>
      </c>
    </row>
    <row r="1172">
      <c r="A1172" s="523">
        <v>1171</v>
      </c>
      <c r="B1172" s="523" t="s">
        <v>3202</v>
      </c>
      <c r="C1172" s="523" t="s">
        <v>3203</v>
      </c>
      <c r="D1172" s="523" t="s">
        <v>3198</v>
      </c>
      <c r="E1172" s="523" t="s">
        <v>3199</v>
      </c>
      <c r="F1172" s="523" t="s">
        <v>33</v>
      </c>
    </row>
    <row r="1173">
      <c r="A1173" s="523">
        <v>1172</v>
      </c>
      <c r="B1173" s="523" t="s">
        <v>3204</v>
      </c>
      <c r="C1173" s="523" t="s">
        <v>982</v>
      </c>
      <c r="D1173" s="523" t="s">
        <v>3198</v>
      </c>
      <c r="E1173" s="523" t="s">
        <v>3199</v>
      </c>
      <c r="F1173" s="523" t="s">
        <v>33</v>
      </c>
    </row>
    <row r="1174">
      <c r="A1174" s="523">
        <v>1173</v>
      </c>
      <c r="B1174" s="523" t="s">
        <v>3205</v>
      </c>
      <c r="C1174" s="523" t="s">
        <v>1778</v>
      </c>
      <c r="D1174" s="523" t="s">
        <v>3198</v>
      </c>
      <c r="E1174" s="523" t="s">
        <v>3199</v>
      </c>
      <c r="F1174" s="523" t="s">
        <v>33</v>
      </c>
    </row>
    <row r="1175">
      <c r="A1175" s="523">
        <v>1174</v>
      </c>
      <c r="B1175" s="523" t="s">
        <v>3206</v>
      </c>
      <c r="C1175" s="523" t="s">
        <v>3207</v>
      </c>
      <c r="D1175" s="523" t="s">
        <v>3198</v>
      </c>
      <c r="E1175" s="523" t="s">
        <v>3199</v>
      </c>
      <c r="F1175" s="523" t="s">
        <v>33</v>
      </c>
    </row>
    <row r="1176">
      <c r="A1176" s="523">
        <v>1175</v>
      </c>
      <c r="B1176" s="523" t="s">
        <v>3208</v>
      </c>
      <c r="C1176" s="523" t="s">
        <v>3209</v>
      </c>
      <c r="D1176" s="523" t="s">
        <v>3198</v>
      </c>
      <c r="E1176" s="523" t="s">
        <v>3199</v>
      </c>
      <c r="F1176" s="523" t="s">
        <v>33</v>
      </c>
    </row>
    <row r="1177">
      <c r="A1177" s="523">
        <v>1176</v>
      </c>
      <c r="B1177" s="523" t="s">
        <v>3210</v>
      </c>
      <c r="C1177" s="523" t="s">
        <v>2787</v>
      </c>
      <c r="D1177" s="523" t="s">
        <v>3198</v>
      </c>
      <c r="E1177" s="523" t="s">
        <v>3199</v>
      </c>
      <c r="F1177" s="523" t="s">
        <v>33</v>
      </c>
    </row>
    <row r="1178">
      <c r="A1178" s="523">
        <v>1177</v>
      </c>
      <c r="B1178" s="523" t="s">
        <v>3211</v>
      </c>
      <c r="C1178" s="523" t="s">
        <v>3212</v>
      </c>
      <c r="D1178" s="523" t="s">
        <v>3198</v>
      </c>
      <c r="E1178" s="523" t="s">
        <v>3199</v>
      </c>
      <c r="F1178" s="523" t="s">
        <v>33</v>
      </c>
    </row>
    <row r="1179">
      <c r="A1179" s="523">
        <v>1178</v>
      </c>
      <c r="B1179" s="523" t="s">
        <v>3213</v>
      </c>
      <c r="C1179" s="523" t="s">
        <v>2589</v>
      </c>
      <c r="D1179" s="523" t="s">
        <v>3198</v>
      </c>
      <c r="E1179" s="523" t="s">
        <v>3199</v>
      </c>
      <c r="F1179" s="523" t="s">
        <v>33</v>
      </c>
    </row>
    <row r="1180">
      <c r="A1180" s="523">
        <v>1179</v>
      </c>
      <c r="B1180" s="523" t="s">
        <v>3214</v>
      </c>
      <c r="C1180" s="523" t="s">
        <v>3215</v>
      </c>
      <c r="D1180" s="523" t="s">
        <v>3198</v>
      </c>
      <c r="E1180" s="523" t="s">
        <v>3199</v>
      </c>
      <c r="F1180" s="523" t="s">
        <v>33</v>
      </c>
    </row>
    <row r="1181">
      <c r="A1181" s="523">
        <v>1180</v>
      </c>
      <c r="B1181" s="523" t="s">
        <v>3216</v>
      </c>
      <c r="C1181" s="523" t="s">
        <v>2565</v>
      </c>
      <c r="D1181" s="523" t="s">
        <v>3198</v>
      </c>
      <c r="E1181" s="523" t="s">
        <v>3199</v>
      </c>
      <c r="F1181" s="523" t="s">
        <v>33</v>
      </c>
    </row>
    <row r="1182">
      <c r="A1182" s="523">
        <v>1181</v>
      </c>
      <c r="B1182" s="523" t="s">
        <v>3217</v>
      </c>
      <c r="C1182" s="523" t="s">
        <v>3218</v>
      </c>
      <c r="D1182" s="523" t="s">
        <v>3198</v>
      </c>
      <c r="E1182" s="523" t="s">
        <v>3199</v>
      </c>
      <c r="F1182" s="523" t="s">
        <v>33</v>
      </c>
    </row>
    <row r="1183">
      <c r="A1183" s="523">
        <v>1182</v>
      </c>
      <c r="B1183" s="523" t="s">
        <v>3219</v>
      </c>
      <c r="C1183" s="523" t="s">
        <v>1486</v>
      </c>
      <c r="D1183" s="523" t="s">
        <v>3220</v>
      </c>
      <c r="E1183" s="523" t="s">
        <v>3221</v>
      </c>
      <c r="F1183" s="523" t="s">
        <v>33</v>
      </c>
    </row>
    <row r="1184">
      <c r="A1184" s="523">
        <v>1183</v>
      </c>
      <c r="B1184" s="523" t="s">
        <v>3222</v>
      </c>
      <c r="C1184" s="523" t="s">
        <v>3223</v>
      </c>
      <c r="D1184" s="523" t="s">
        <v>3220</v>
      </c>
      <c r="E1184" s="523" t="s">
        <v>3221</v>
      </c>
      <c r="F1184" s="523" t="s">
        <v>33</v>
      </c>
    </row>
    <row r="1185">
      <c r="A1185" s="523">
        <v>1184</v>
      </c>
      <c r="B1185" s="523" t="s">
        <v>3224</v>
      </c>
      <c r="C1185" s="523" t="s">
        <v>1490</v>
      </c>
      <c r="D1185" s="523" t="s">
        <v>3220</v>
      </c>
      <c r="E1185" s="523" t="s">
        <v>3221</v>
      </c>
      <c r="F1185" s="523" t="s">
        <v>33</v>
      </c>
    </row>
    <row r="1186">
      <c r="A1186" s="523">
        <v>1185</v>
      </c>
      <c r="B1186" s="523" t="s">
        <v>3225</v>
      </c>
      <c r="C1186" s="523" t="s">
        <v>1492</v>
      </c>
      <c r="D1186" s="523" t="s">
        <v>3220</v>
      </c>
      <c r="E1186" s="523" t="s">
        <v>3221</v>
      </c>
      <c r="F1186" s="523" t="s">
        <v>33</v>
      </c>
    </row>
    <row r="1187">
      <c r="A1187" s="523">
        <v>1186</v>
      </c>
      <c r="B1187" s="523" t="s">
        <v>3226</v>
      </c>
      <c r="C1187" s="523" t="s">
        <v>2039</v>
      </c>
      <c r="D1187" s="523" t="s">
        <v>3220</v>
      </c>
      <c r="E1187" s="523" t="s">
        <v>3221</v>
      </c>
      <c r="F1187" s="523" t="s">
        <v>33</v>
      </c>
    </row>
    <row r="1188">
      <c r="A1188" s="523">
        <v>1187</v>
      </c>
      <c r="B1188" s="523" t="s">
        <v>3227</v>
      </c>
      <c r="C1188" s="523" t="s">
        <v>2042</v>
      </c>
      <c r="D1188" s="523" t="s">
        <v>3220</v>
      </c>
      <c r="E1188" s="523" t="s">
        <v>3221</v>
      </c>
      <c r="F1188" s="523" t="s">
        <v>33</v>
      </c>
    </row>
    <row r="1189">
      <c r="A1189" s="523">
        <v>1188</v>
      </c>
      <c r="B1189" s="523" t="s">
        <v>3228</v>
      </c>
      <c r="C1189" s="523" t="s">
        <v>3229</v>
      </c>
      <c r="D1189" s="523" t="s">
        <v>3220</v>
      </c>
      <c r="E1189" s="523" t="s">
        <v>3221</v>
      </c>
      <c r="F1189" s="523" t="s">
        <v>33</v>
      </c>
    </row>
    <row r="1190">
      <c r="A1190" s="523">
        <v>1189</v>
      </c>
      <c r="B1190" s="523" t="s">
        <v>3230</v>
      </c>
      <c r="C1190" s="523" t="s">
        <v>3231</v>
      </c>
      <c r="D1190" s="523" t="s">
        <v>3220</v>
      </c>
      <c r="E1190" s="523" t="s">
        <v>3221</v>
      </c>
      <c r="F1190" s="523" t="s">
        <v>33</v>
      </c>
    </row>
    <row r="1191">
      <c r="A1191" s="523">
        <v>1190</v>
      </c>
      <c r="B1191" s="523" t="s">
        <v>3232</v>
      </c>
      <c r="C1191" s="523" t="s">
        <v>964</v>
      </c>
      <c r="D1191" s="523" t="s">
        <v>3220</v>
      </c>
      <c r="E1191" s="523" t="s">
        <v>3221</v>
      </c>
      <c r="F1191" s="523" t="s">
        <v>33</v>
      </c>
    </row>
    <row r="1192">
      <c r="A1192" s="523">
        <v>1191</v>
      </c>
      <c r="B1192" s="523" t="s">
        <v>3233</v>
      </c>
      <c r="C1192" s="523" t="s">
        <v>3234</v>
      </c>
      <c r="D1192" s="523" t="s">
        <v>3220</v>
      </c>
      <c r="E1192" s="523" t="s">
        <v>3221</v>
      </c>
      <c r="F1192" s="523" t="s">
        <v>33</v>
      </c>
    </row>
    <row r="1193">
      <c r="A1193" s="523">
        <v>1192</v>
      </c>
      <c r="B1193" s="523" t="s">
        <v>3235</v>
      </c>
      <c r="C1193" s="523" t="s">
        <v>3236</v>
      </c>
      <c r="D1193" s="523" t="s">
        <v>3220</v>
      </c>
      <c r="E1193" s="523" t="s">
        <v>3221</v>
      </c>
      <c r="F1193" s="523" t="s">
        <v>33</v>
      </c>
    </row>
    <row r="1194">
      <c r="A1194" s="523">
        <v>1193</v>
      </c>
      <c r="B1194" s="523" t="s">
        <v>3237</v>
      </c>
      <c r="C1194" s="523" t="s">
        <v>3238</v>
      </c>
      <c r="D1194" s="523" t="s">
        <v>3220</v>
      </c>
      <c r="E1194" s="523" t="s">
        <v>3221</v>
      </c>
      <c r="F1194" s="523" t="s">
        <v>33</v>
      </c>
    </row>
    <row r="1195">
      <c r="A1195" s="523">
        <v>1194</v>
      </c>
      <c r="B1195" s="523" t="s">
        <v>3239</v>
      </c>
      <c r="C1195" s="523" t="s">
        <v>3240</v>
      </c>
      <c r="D1195" s="523" t="s">
        <v>3220</v>
      </c>
      <c r="E1195" s="523" t="s">
        <v>3221</v>
      </c>
      <c r="F1195" s="523" t="s">
        <v>33</v>
      </c>
    </row>
    <row r="1196">
      <c r="A1196" s="523">
        <v>1195</v>
      </c>
      <c r="B1196" s="523" t="s">
        <v>3241</v>
      </c>
      <c r="C1196" s="523" t="s">
        <v>3242</v>
      </c>
      <c r="D1196" s="523" t="s">
        <v>3220</v>
      </c>
      <c r="E1196" s="523" t="s">
        <v>3221</v>
      </c>
      <c r="F1196" s="523" t="s">
        <v>33</v>
      </c>
    </row>
    <row r="1197">
      <c r="A1197" s="523">
        <v>1196</v>
      </c>
      <c r="B1197" s="523" t="s">
        <v>3243</v>
      </c>
      <c r="C1197" s="523" t="s">
        <v>3244</v>
      </c>
      <c r="D1197" s="523" t="s">
        <v>3220</v>
      </c>
      <c r="E1197" s="523" t="s">
        <v>3221</v>
      </c>
      <c r="F1197" s="523" t="s">
        <v>33</v>
      </c>
    </row>
    <row r="1198">
      <c r="A1198" s="523">
        <v>1197</v>
      </c>
      <c r="B1198" s="523" t="s">
        <v>3245</v>
      </c>
      <c r="C1198" s="523" t="s">
        <v>1486</v>
      </c>
      <c r="D1198" s="523" t="s">
        <v>3246</v>
      </c>
      <c r="E1198" s="523" t="s">
        <v>3247</v>
      </c>
      <c r="F1198" s="523" t="s">
        <v>33</v>
      </c>
    </row>
    <row r="1199">
      <c r="A1199" s="523">
        <v>1198</v>
      </c>
      <c r="B1199" s="523" t="s">
        <v>3248</v>
      </c>
      <c r="C1199" s="523" t="s">
        <v>1490</v>
      </c>
      <c r="D1199" s="523" t="s">
        <v>3246</v>
      </c>
      <c r="E1199" s="523" t="s">
        <v>3247</v>
      </c>
      <c r="F1199" s="523" t="s">
        <v>33</v>
      </c>
    </row>
    <row r="1200">
      <c r="A1200" s="523">
        <v>1199</v>
      </c>
      <c r="B1200" s="523" t="s">
        <v>3249</v>
      </c>
      <c r="C1200" s="523" t="s">
        <v>1492</v>
      </c>
      <c r="D1200" s="523" t="s">
        <v>3246</v>
      </c>
      <c r="E1200" s="523" t="s">
        <v>3247</v>
      </c>
      <c r="F1200" s="523" t="s">
        <v>33</v>
      </c>
    </row>
    <row r="1201">
      <c r="A1201" s="523">
        <v>1200</v>
      </c>
      <c r="B1201" s="523" t="s">
        <v>3250</v>
      </c>
      <c r="C1201" s="523" t="s">
        <v>2039</v>
      </c>
      <c r="D1201" s="523" t="s">
        <v>3246</v>
      </c>
      <c r="E1201" s="523" t="s">
        <v>3247</v>
      </c>
      <c r="F1201" s="523" t="s">
        <v>33</v>
      </c>
    </row>
    <row r="1202">
      <c r="A1202" s="523">
        <v>1201</v>
      </c>
      <c r="B1202" s="523" t="s">
        <v>3251</v>
      </c>
      <c r="C1202" s="523" t="s">
        <v>2640</v>
      </c>
      <c r="D1202" s="523" t="s">
        <v>3246</v>
      </c>
      <c r="E1202" s="523" t="s">
        <v>3247</v>
      </c>
      <c r="F1202" s="523" t="s">
        <v>33</v>
      </c>
    </row>
    <row r="1203">
      <c r="A1203" s="523">
        <v>1202</v>
      </c>
      <c r="B1203" s="523" t="s">
        <v>3252</v>
      </c>
      <c r="C1203" s="523" t="s">
        <v>3253</v>
      </c>
      <c r="D1203" s="523" t="s">
        <v>3246</v>
      </c>
      <c r="E1203" s="523" t="s">
        <v>3247</v>
      </c>
      <c r="F1203" s="523" t="s">
        <v>33</v>
      </c>
    </row>
    <row r="1204">
      <c r="A1204" s="523">
        <v>1203</v>
      </c>
      <c r="B1204" s="523" t="s">
        <v>3254</v>
      </c>
      <c r="C1204" s="523" t="s">
        <v>3255</v>
      </c>
      <c r="D1204" s="523" t="s">
        <v>3246</v>
      </c>
      <c r="E1204" s="523" t="s">
        <v>3247</v>
      </c>
      <c r="F1204" s="523" t="s">
        <v>33</v>
      </c>
    </row>
    <row r="1205">
      <c r="A1205" s="523">
        <v>1204</v>
      </c>
      <c r="B1205" s="523" t="s">
        <v>3256</v>
      </c>
      <c r="C1205" s="523" t="s">
        <v>3257</v>
      </c>
      <c r="D1205" s="523" t="s">
        <v>3246</v>
      </c>
      <c r="E1205" s="523" t="s">
        <v>3247</v>
      </c>
      <c r="F1205" s="523" t="s">
        <v>33</v>
      </c>
    </row>
    <row r="1206">
      <c r="A1206" s="523">
        <v>1205</v>
      </c>
      <c r="B1206" s="523" t="s">
        <v>3258</v>
      </c>
      <c r="C1206" s="523" t="s">
        <v>3259</v>
      </c>
      <c r="D1206" s="523" t="s">
        <v>3246</v>
      </c>
      <c r="E1206" s="523" t="s">
        <v>3247</v>
      </c>
      <c r="F1206" s="523" t="s">
        <v>33</v>
      </c>
    </row>
    <row r="1207">
      <c r="A1207" s="523">
        <v>1206</v>
      </c>
      <c r="B1207" s="523" t="s">
        <v>3260</v>
      </c>
      <c r="C1207" s="523" t="s">
        <v>2646</v>
      </c>
      <c r="D1207" s="523" t="s">
        <v>3261</v>
      </c>
      <c r="E1207" s="523" t="s">
        <v>3262</v>
      </c>
      <c r="F1207" s="523" t="s">
        <v>33</v>
      </c>
    </row>
    <row r="1208">
      <c r="A1208" s="523">
        <v>1207</v>
      </c>
      <c r="B1208" s="523" t="s">
        <v>3263</v>
      </c>
      <c r="C1208" s="523" t="s">
        <v>1707</v>
      </c>
      <c r="D1208" s="523" t="s">
        <v>3261</v>
      </c>
      <c r="E1208" s="523" t="s">
        <v>3262</v>
      </c>
      <c r="F1208" s="523" t="s">
        <v>33</v>
      </c>
    </row>
    <row r="1209">
      <c r="A1209" s="523">
        <v>1208</v>
      </c>
      <c r="B1209" s="523" t="s">
        <v>3264</v>
      </c>
      <c r="C1209" s="523" t="s">
        <v>1374</v>
      </c>
      <c r="D1209" s="523" t="s">
        <v>3261</v>
      </c>
      <c r="E1209" s="523" t="s">
        <v>3262</v>
      </c>
      <c r="F1209" s="523" t="s">
        <v>33</v>
      </c>
    </row>
    <row r="1210">
      <c r="A1210" s="523">
        <v>1209</v>
      </c>
      <c r="B1210" s="523" t="s">
        <v>3265</v>
      </c>
      <c r="C1210" s="523" t="s">
        <v>3266</v>
      </c>
      <c r="D1210" s="523" t="s">
        <v>3261</v>
      </c>
      <c r="E1210" s="523" t="s">
        <v>3262</v>
      </c>
      <c r="F1210" s="523" t="s">
        <v>33</v>
      </c>
    </row>
    <row r="1211">
      <c r="A1211" s="523">
        <v>1210</v>
      </c>
      <c r="B1211" s="523" t="s">
        <v>3267</v>
      </c>
      <c r="C1211" s="523" t="s">
        <v>3268</v>
      </c>
      <c r="D1211" s="523" t="s">
        <v>3261</v>
      </c>
      <c r="E1211" s="523" t="s">
        <v>3262</v>
      </c>
      <c r="F1211" s="523" t="s">
        <v>33</v>
      </c>
    </row>
    <row r="1212">
      <c r="A1212" s="523">
        <v>1211</v>
      </c>
      <c r="B1212" s="523" t="s">
        <v>3269</v>
      </c>
      <c r="C1212" s="523" t="s">
        <v>934</v>
      </c>
      <c r="D1212" s="523" t="s">
        <v>3261</v>
      </c>
      <c r="E1212" s="523" t="s">
        <v>3262</v>
      </c>
      <c r="F1212" s="523" t="s">
        <v>33</v>
      </c>
    </row>
    <row r="1213">
      <c r="A1213" s="523">
        <v>1212</v>
      </c>
      <c r="B1213" s="523" t="s">
        <v>3270</v>
      </c>
      <c r="C1213" s="523" t="s">
        <v>1990</v>
      </c>
      <c r="D1213" s="523" t="s">
        <v>3261</v>
      </c>
      <c r="E1213" s="523" t="s">
        <v>3262</v>
      </c>
      <c r="F1213" s="523" t="s">
        <v>33</v>
      </c>
    </row>
    <row r="1214">
      <c r="A1214" s="523">
        <v>1213</v>
      </c>
      <c r="B1214" s="523" t="s">
        <v>3271</v>
      </c>
      <c r="C1214" s="523" t="s">
        <v>3272</v>
      </c>
      <c r="D1214" s="523" t="s">
        <v>3273</v>
      </c>
      <c r="E1214" s="523" t="s">
        <v>3274</v>
      </c>
      <c r="F1214" s="523" t="s">
        <v>36</v>
      </c>
    </row>
    <row r="1215">
      <c r="A1215" s="523">
        <v>1214</v>
      </c>
      <c r="B1215" s="523" t="s">
        <v>3275</v>
      </c>
      <c r="C1215" s="523" t="s">
        <v>3276</v>
      </c>
      <c r="D1215" s="523" t="s">
        <v>3273</v>
      </c>
      <c r="E1215" s="523" t="s">
        <v>3274</v>
      </c>
      <c r="F1215" s="523" t="s">
        <v>36</v>
      </c>
    </row>
    <row r="1216">
      <c r="A1216" s="523">
        <v>1215</v>
      </c>
      <c r="B1216" s="523" t="s">
        <v>3277</v>
      </c>
      <c r="C1216" s="523" t="s">
        <v>902</v>
      </c>
      <c r="D1216" s="523" t="s">
        <v>3273</v>
      </c>
      <c r="E1216" s="523" t="s">
        <v>3274</v>
      </c>
      <c r="F1216" s="523" t="s">
        <v>36</v>
      </c>
    </row>
    <row r="1217">
      <c r="A1217" s="523">
        <v>1216</v>
      </c>
      <c r="B1217" s="523" t="s">
        <v>3278</v>
      </c>
      <c r="C1217" s="523" t="s">
        <v>3279</v>
      </c>
      <c r="D1217" s="523" t="s">
        <v>3273</v>
      </c>
      <c r="E1217" s="523" t="s">
        <v>3274</v>
      </c>
      <c r="F1217" s="523" t="s">
        <v>36</v>
      </c>
    </row>
    <row r="1218">
      <c r="A1218" s="523">
        <v>1217</v>
      </c>
      <c r="B1218" s="523" t="s">
        <v>3280</v>
      </c>
      <c r="C1218" s="523" t="s">
        <v>2858</v>
      </c>
      <c r="D1218" s="523" t="s">
        <v>3273</v>
      </c>
      <c r="E1218" s="523" t="s">
        <v>3274</v>
      </c>
      <c r="F1218" s="523" t="s">
        <v>36</v>
      </c>
    </row>
    <row r="1219">
      <c r="A1219" s="523">
        <v>1218</v>
      </c>
      <c r="B1219" s="523" t="s">
        <v>3281</v>
      </c>
      <c r="C1219" s="523" t="s">
        <v>3282</v>
      </c>
      <c r="D1219" s="523" t="s">
        <v>3273</v>
      </c>
      <c r="E1219" s="523" t="s">
        <v>3274</v>
      </c>
      <c r="F1219" s="523" t="s">
        <v>36</v>
      </c>
    </row>
    <row r="1220">
      <c r="A1220" s="523">
        <v>1219</v>
      </c>
      <c r="B1220" s="523" t="s">
        <v>3283</v>
      </c>
      <c r="C1220" s="523" t="s">
        <v>3284</v>
      </c>
      <c r="D1220" s="523" t="s">
        <v>3273</v>
      </c>
      <c r="E1220" s="523" t="s">
        <v>3274</v>
      </c>
      <c r="F1220" s="523" t="s">
        <v>36</v>
      </c>
    </row>
    <row r="1221">
      <c r="A1221" s="523">
        <v>1220</v>
      </c>
      <c r="B1221" s="523" t="s">
        <v>3285</v>
      </c>
      <c r="C1221" s="523" t="s">
        <v>3286</v>
      </c>
      <c r="D1221" s="523" t="s">
        <v>3273</v>
      </c>
      <c r="E1221" s="523" t="s">
        <v>3274</v>
      </c>
      <c r="F1221" s="523" t="s">
        <v>36</v>
      </c>
    </row>
    <row r="1222">
      <c r="A1222" s="523">
        <v>1221</v>
      </c>
      <c r="B1222" s="523" t="s">
        <v>3287</v>
      </c>
      <c r="C1222" s="523" t="s">
        <v>2233</v>
      </c>
      <c r="D1222" s="523" t="s">
        <v>3273</v>
      </c>
      <c r="E1222" s="523" t="s">
        <v>3274</v>
      </c>
      <c r="F1222" s="523" t="s">
        <v>36</v>
      </c>
    </row>
    <row r="1223">
      <c r="A1223" s="523">
        <v>1222</v>
      </c>
      <c r="B1223" s="523" t="s">
        <v>3288</v>
      </c>
      <c r="C1223" s="523" t="s">
        <v>3289</v>
      </c>
      <c r="D1223" s="523" t="s">
        <v>3273</v>
      </c>
      <c r="E1223" s="523" t="s">
        <v>3274</v>
      </c>
      <c r="F1223" s="523" t="s">
        <v>36</v>
      </c>
    </row>
    <row r="1224">
      <c r="A1224" s="523">
        <v>1223</v>
      </c>
      <c r="B1224" s="523" t="s">
        <v>3290</v>
      </c>
      <c r="C1224" s="523" t="s">
        <v>3291</v>
      </c>
      <c r="D1224" s="523" t="s">
        <v>3273</v>
      </c>
      <c r="E1224" s="523" t="s">
        <v>3274</v>
      </c>
      <c r="F1224" s="523" t="s">
        <v>36</v>
      </c>
    </row>
    <row r="1225">
      <c r="A1225" s="523">
        <v>1224</v>
      </c>
      <c r="B1225" s="523" t="s">
        <v>3292</v>
      </c>
      <c r="C1225" s="523" t="s">
        <v>3293</v>
      </c>
      <c r="D1225" s="523" t="s">
        <v>3273</v>
      </c>
      <c r="E1225" s="523" t="s">
        <v>3274</v>
      </c>
      <c r="F1225" s="523" t="s">
        <v>36</v>
      </c>
    </row>
    <row r="1226">
      <c r="A1226" s="523">
        <v>1225</v>
      </c>
      <c r="B1226" s="523" t="s">
        <v>3294</v>
      </c>
      <c r="C1226" s="523" t="s">
        <v>3295</v>
      </c>
      <c r="D1226" s="523" t="s">
        <v>3273</v>
      </c>
      <c r="E1226" s="523" t="s">
        <v>3274</v>
      </c>
      <c r="F1226" s="523" t="s">
        <v>36</v>
      </c>
    </row>
    <row r="1227">
      <c r="A1227" s="523">
        <v>1226</v>
      </c>
      <c r="B1227" s="523" t="s">
        <v>3296</v>
      </c>
      <c r="C1227" s="523" t="s">
        <v>1425</v>
      </c>
      <c r="D1227" s="523" t="s">
        <v>3273</v>
      </c>
      <c r="E1227" s="523" t="s">
        <v>3274</v>
      </c>
      <c r="F1227" s="523" t="s">
        <v>36</v>
      </c>
    </row>
    <row r="1228">
      <c r="A1228" s="523">
        <v>1227</v>
      </c>
      <c r="B1228" s="523" t="s">
        <v>3297</v>
      </c>
      <c r="C1228" s="523" t="s">
        <v>3298</v>
      </c>
      <c r="D1228" s="523" t="s">
        <v>3273</v>
      </c>
      <c r="E1228" s="523" t="s">
        <v>3274</v>
      </c>
      <c r="F1228" s="523" t="s">
        <v>36</v>
      </c>
    </row>
    <row r="1229">
      <c r="A1229" s="523">
        <v>1228</v>
      </c>
      <c r="B1229" s="523" t="s">
        <v>3299</v>
      </c>
      <c r="C1229" s="523" t="s">
        <v>896</v>
      </c>
      <c r="D1229" s="523" t="s">
        <v>3273</v>
      </c>
      <c r="E1229" s="523" t="s">
        <v>3274</v>
      </c>
      <c r="F1229" s="523" t="s">
        <v>36</v>
      </c>
    </row>
    <row r="1230">
      <c r="A1230" s="523">
        <v>1229</v>
      </c>
      <c r="B1230" s="523" t="s">
        <v>3300</v>
      </c>
      <c r="C1230" s="523" t="s">
        <v>3301</v>
      </c>
      <c r="D1230" s="523" t="s">
        <v>3302</v>
      </c>
      <c r="E1230" s="523" t="s">
        <v>3303</v>
      </c>
      <c r="F1230" s="523" t="s">
        <v>36</v>
      </c>
    </row>
    <row r="1231">
      <c r="A1231" s="523">
        <v>1230</v>
      </c>
      <c r="B1231" s="523" t="s">
        <v>3304</v>
      </c>
      <c r="C1231" s="523" t="s">
        <v>3305</v>
      </c>
      <c r="D1231" s="523" t="s">
        <v>3302</v>
      </c>
      <c r="E1231" s="523" t="s">
        <v>3303</v>
      </c>
      <c r="F1231" s="523" t="s">
        <v>36</v>
      </c>
    </row>
    <row r="1232">
      <c r="A1232" s="523">
        <v>1231</v>
      </c>
      <c r="B1232" s="523" t="s">
        <v>3306</v>
      </c>
      <c r="C1232" s="523" t="s">
        <v>3307</v>
      </c>
      <c r="D1232" s="523" t="s">
        <v>3302</v>
      </c>
      <c r="E1232" s="523" t="s">
        <v>3303</v>
      </c>
      <c r="F1232" s="523" t="s">
        <v>36</v>
      </c>
    </row>
    <row r="1233">
      <c r="A1233" s="523">
        <v>1232</v>
      </c>
      <c r="B1233" s="523" t="s">
        <v>3308</v>
      </c>
      <c r="C1233" s="523" t="s">
        <v>1004</v>
      </c>
      <c r="D1233" s="523" t="s">
        <v>3302</v>
      </c>
      <c r="E1233" s="523" t="s">
        <v>3303</v>
      </c>
      <c r="F1233" s="523" t="s">
        <v>36</v>
      </c>
    </row>
    <row r="1234">
      <c r="A1234" s="523">
        <v>1233</v>
      </c>
      <c r="B1234" s="523" t="s">
        <v>3309</v>
      </c>
      <c r="C1234" s="523" t="s">
        <v>3310</v>
      </c>
      <c r="D1234" s="523" t="s">
        <v>3302</v>
      </c>
      <c r="E1234" s="523" t="s">
        <v>3303</v>
      </c>
      <c r="F1234" s="523" t="s">
        <v>36</v>
      </c>
    </row>
    <row r="1235">
      <c r="A1235" s="523">
        <v>1234</v>
      </c>
      <c r="B1235" s="523" t="s">
        <v>3311</v>
      </c>
      <c r="C1235" s="523" t="s">
        <v>3312</v>
      </c>
      <c r="D1235" s="523" t="s">
        <v>3302</v>
      </c>
      <c r="E1235" s="523" t="s">
        <v>3303</v>
      </c>
      <c r="F1235" s="523" t="s">
        <v>36</v>
      </c>
    </row>
    <row r="1236">
      <c r="A1236" s="523">
        <v>1235</v>
      </c>
      <c r="B1236" s="523" t="s">
        <v>3313</v>
      </c>
      <c r="C1236" s="523" t="s">
        <v>2585</v>
      </c>
      <c r="D1236" s="523" t="s">
        <v>3302</v>
      </c>
      <c r="E1236" s="523" t="s">
        <v>3303</v>
      </c>
      <c r="F1236" s="523" t="s">
        <v>36</v>
      </c>
    </row>
    <row r="1237">
      <c r="A1237" s="523">
        <v>1236</v>
      </c>
      <c r="B1237" s="523" t="s">
        <v>3314</v>
      </c>
      <c r="C1237" s="523" t="s">
        <v>3315</v>
      </c>
      <c r="D1237" s="523" t="s">
        <v>3316</v>
      </c>
      <c r="E1237" s="523" t="s">
        <v>3317</v>
      </c>
      <c r="F1237" s="523" t="s">
        <v>36</v>
      </c>
    </row>
    <row r="1238">
      <c r="A1238" s="523">
        <v>1237</v>
      </c>
      <c r="B1238" s="523" t="s">
        <v>3318</v>
      </c>
      <c r="C1238" s="523" t="s">
        <v>3319</v>
      </c>
      <c r="D1238" s="523" t="s">
        <v>3316</v>
      </c>
      <c r="E1238" s="523" t="s">
        <v>3317</v>
      </c>
      <c r="F1238" s="523" t="s">
        <v>36</v>
      </c>
    </row>
    <row r="1239">
      <c r="A1239" s="523">
        <v>1238</v>
      </c>
      <c r="B1239" s="523" t="s">
        <v>3320</v>
      </c>
      <c r="C1239" s="523" t="s">
        <v>1078</v>
      </c>
      <c r="D1239" s="523" t="s">
        <v>3316</v>
      </c>
      <c r="E1239" s="523" t="s">
        <v>3317</v>
      </c>
      <c r="F1239" s="523" t="s">
        <v>36</v>
      </c>
    </row>
    <row r="1240">
      <c r="A1240" s="523">
        <v>1239</v>
      </c>
      <c r="B1240" s="523" t="s">
        <v>3321</v>
      </c>
      <c r="C1240" s="523" t="s">
        <v>906</v>
      </c>
      <c r="D1240" s="523" t="s">
        <v>3316</v>
      </c>
      <c r="E1240" s="523" t="s">
        <v>3317</v>
      </c>
      <c r="F1240" s="523" t="s">
        <v>36</v>
      </c>
    </row>
    <row r="1241">
      <c r="A1241" s="523">
        <v>1240</v>
      </c>
      <c r="B1241" s="523" t="s">
        <v>3322</v>
      </c>
      <c r="C1241" s="523" t="s">
        <v>2229</v>
      </c>
      <c r="D1241" s="523" t="s">
        <v>3316</v>
      </c>
      <c r="E1241" s="523" t="s">
        <v>3317</v>
      </c>
      <c r="F1241" s="523" t="s">
        <v>36</v>
      </c>
    </row>
    <row r="1242">
      <c r="A1242" s="523">
        <v>1241</v>
      </c>
      <c r="B1242" s="523" t="s">
        <v>3323</v>
      </c>
      <c r="C1242" s="523" t="s">
        <v>3324</v>
      </c>
      <c r="D1242" s="523" t="s">
        <v>3316</v>
      </c>
      <c r="E1242" s="523" t="s">
        <v>3317</v>
      </c>
      <c r="F1242" s="523" t="s">
        <v>36</v>
      </c>
    </row>
    <row r="1243">
      <c r="A1243" s="523">
        <v>1242</v>
      </c>
      <c r="B1243" s="523" t="s">
        <v>3325</v>
      </c>
      <c r="C1243" s="523" t="s">
        <v>3326</v>
      </c>
      <c r="D1243" s="523" t="s">
        <v>3316</v>
      </c>
      <c r="E1243" s="523" t="s">
        <v>3317</v>
      </c>
      <c r="F1243" s="523" t="s">
        <v>36</v>
      </c>
    </row>
    <row r="1244">
      <c r="A1244" s="523">
        <v>1243</v>
      </c>
      <c r="B1244" s="523" t="s">
        <v>3327</v>
      </c>
      <c r="C1244" s="523" t="s">
        <v>3328</v>
      </c>
      <c r="D1244" s="523" t="s">
        <v>3316</v>
      </c>
      <c r="E1244" s="523" t="s">
        <v>3317</v>
      </c>
      <c r="F1244" s="523" t="s">
        <v>36</v>
      </c>
    </row>
    <row r="1245">
      <c r="A1245" s="523">
        <v>1244</v>
      </c>
      <c r="B1245" s="523" t="s">
        <v>3329</v>
      </c>
      <c r="C1245" s="523" t="s">
        <v>3330</v>
      </c>
      <c r="D1245" s="523" t="s">
        <v>3316</v>
      </c>
      <c r="E1245" s="523" t="s">
        <v>3317</v>
      </c>
      <c r="F1245" s="523" t="s">
        <v>36</v>
      </c>
    </row>
    <row r="1246">
      <c r="A1246" s="523">
        <v>1245</v>
      </c>
      <c r="B1246" s="523" t="s">
        <v>3331</v>
      </c>
      <c r="C1246" s="523" t="s">
        <v>1988</v>
      </c>
      <c r="D1246" s="523" t="s">
        <v>3316</v>
      </c>
      <c r="E1246" s="523" t="s">
        <v>3317</v>
      </c>
      <c r="F1246" s="523" t="s">
        <v>36</v>
      </c>
    </row>
    <row r="1247">
      <c r="A1247" s="523">
        <v>1246</v>
      </c>
      <c r="B1247" s="523" t="s">
        <v>3332</v>
      </c>
      <c r="C1247" s="523" t="s">
        <v>1857</v>
      </c>
      <c r="D1247" s="523" t="s">
        <v>3316</v>
      </c>
      <c r="E1247" s="523" t="s">
        <v>3317</v>
      </c>
      <c r="F1247" s="523" t="s">
        <v>36</v>
      </c>
    </row>
    <row r="1248">
      <c r="A1248" s="523">
        <v>1247</v>
      </c>
      <c r="B1248" s="523" t="s">
        <v>3333</v>
      </c>
      <c r="C1248" s="523" t="s">
        <v>3334</v>
      </c>
      <c r="D1248" s="523" t="s">
        <v>3316</v>
      </c>
      <c r="E1248" s="523" t="s">
        <v>3317</v>
      </c>
      <c r="F1248" s="523" t="s">
        <v>36</v>
      </c>
    </row>
    <row r="1249">
      <c r="A1249" s="523">
        <v>1248</v>
      </c>
      <c r="B1249" s="523" t="s">
        <v>3335</v>
      </c>
      <c r="C1249" s="523" t="s">
        <v>3336</v>
      </c>
      <c r="D1249" s="523" t="s">
        <v>3316</v>
      </c>
      <c r="E1249" s="523" t="s">
        <v>3317</v>
      </c>
      <c r="F1249" s="523" t="s">
        <v>36</v>
      </c>
    </row>
    <row r="1250">
      <c r="A1250" s="523">
        <v>1249</v>
      </c>
      <c r="B1250" s="523" t="s">
        <v>3337</v>
      </c>
      <c r="C1250" s="523" t="s">
        <v>3069</v>
      </c>
      <c r="D1250" s="523" t="s">
        <v>3316</v>
      </c>
      <c r="E1250" s="523" t="s">
        <v>3317</v>
      </c>
      <c r="F1250" s="523" t="s">
        <v>36</v>
      </c>
    </row>
    <row r="1251">
      <c r="A1251" s="523">
        <v>1250</v>
      </c>
      <c r="B1251" s="523" t="s">
        <v>3338</v>
      </c>
      <c r="C1251" s="523" t="s">
        <v>3339</v>
      </c>
      <c r="D1251" s="523" t="s">
        <v>3316</v>
      </c>
      <c r="E1251" s="523" t="s">
        <v>3317</v>
      </c>
      <c r="F1251" s="523" t="s">
        <v>36</v>
      </c>
    </row>
    <row r="1252">
      <c r="A1252" s="523">
        <v>1251</v>
      </c>
      <c r="B1252" s="523" t="s">
        <v>3340</v>
      </c>
      <c r="C1252" s="523" t="s">
        <v>3341</v>
      </c>
      <c r="D1252" s="523" t="s">
        <v>3316</v>
      </c>
      <c r="E1252" s="523" t="s">
        <v>3317</v>
      </c>
      <c r="F1252" s="523" t="s">
        <v>36</v>
      </c>
    </row>
    <row r="1253">
      <c r="A1253" s="523">
        <v>1252</v>
      </c>
      <c r="B1253" s="523" t="s">
        <v>3342</v>
      </c>
      <c r="C1253" s="523" t="s">
        <v>3343</v>
      </c>
      <c r="D1253" s="523" t="s">
        <v>3316</v>
      </c>
      <c r="E1253" s="523" t="s">
        <v>3317</v>
      </c>
      <c r="F1253" s="523" t="s">
        <v>36</v>
      </c>
    </row>
    <row r="1254">
      <c r="A1254" s="523">
        <v>1253</v>
      </c>
      <c r="B1254" s="523" t="s">
        <v>3344</v>
      </c>
      <c r="C1254" s="523" t="s">
        <v>3345</v>
      </c>
      <c r="D1254" s="523" t="s">
        <v>3316</v>
      </c>
      <c r="E1254" s="523" t="s">
        <v>3317</v>
      </c>
      <c r="F1254" s="523" t="s">
        <v>36</v>
      </c>
    </row>
    <row r="1255">
      <c r="A1255" s="523">
        <v>1254</v>
      </c>
      <c r="B1255" s="523" t="s">
        <v>3346</v>
      </c>
      <c r="C1255" s="523" t="s">
        <v>2528</v>
      </c>
      <c r="D1255" s="523" t="s">
        <v>3316</v>
      </c>
      <c r="E1255" s="523" t="s">
        <v>3317</v>
      </c>
      <c r="F1255" s="523" t="s">
        <v>36</v>
      </c>
    </row>
    <row r="1256">
      <c r="A1256" s="523">
        <v>1255</v>
      </c>
      <c r="B1256" s="523" t="s">
        <v>3347</v>
      </c>
      <c r="C1256" s="523" t="s">
        <v>3348</v>
      </c>
      <c r="D1256" s="523" t="s">
        <v>3316</v>
      </c>
      <c r="E1256" s="523" t="s">
        <v>3317</v>
      </c>
      <c r="F1256" s="523" t="s">
        <v>36</v>
      </c>
    </row>
    <row r="1257">
      <c r="A1257" s="523">
        <v>1256</v>
      </c>
      <c r="B1257" s="523" t="s">
        <v>3349</v>
      </c>
      <c r="C1257" s="523" t="s">
        <v>3350</v>
      </c>
      <c r="D1257" s="523" t="s">
        <v>3316</v>
      </c>
      <c r="E1257" s="523" t="s">
        <v>3317</v>
      </c>
      <c r="F1257" s="523" t="s">
        <v>36</v>
      </c>
    </row>
    <row r="1258">
      <c r="A1258" s="523">
        <v>1257</v>
      </c>
      <c r="B1258" s="523" t="s">
        <v>3351</v>
      </c>
      <c r="C1258" s="523" t="s">
        <v>3352</v>
      </c>
      <c r="D1258" s="523" t="s">
        <v>3353</v>
      </c>
      <c r="E1258" s="523" t="s">
        <v>3354</v>
      </c>
      <c r="F1258" s="523" t="s">
        <v>36</v>
      </c>
    </row>
    <row r="1259">
      <c r="A1259" s="523">
        <v>1258</v>
      </c>
      <c r="B1259" s="523" t="s">
        <v>3355</v>
      </c>
      <c r="C1259" s="523" t="s">
        <v>3356</v>
      </c>
      <c r="D1259" s="523" t="s">
        <v>3353</v>
      </c>
      <c r="E1259" s="523" t="s">
        <v>3354</v>
      </c>
      <c r="F1259" s="523" t="s">
        <v>36</v>
      </c>
    </row>
    <row r="1260">
      <c r="A1260" s="523">
        <v>1259</v>
      </c>
      <c r="B1260" s="523" t="s">
        <v>3357</v>
      </c>
      <c r="C1260" s="523" t="s">
        <v>3358</v>
      </c>
      <c r="D1260" s="523" t="s">
        <v>3353</v>
      </c>
      <c r="E1260" s="523" t="s">
        <v>3354</v>
      </c>
      <c r="F1260" s="523" t="s">
        <v>36</v>
      </c>
    </row>
    <row r="1261">
      <c r="A1261" s="523">
        <v>1260</v>
      </c>
      <c r="B1261" s="523" t="s">
        <v>3359</v>
      </c>
      <c r="C1261" s="523" t="s">
        <v>1277</v>
      </c>
      <c r="D1261" s="523" t="s">
        <v>3353</v>
      </c>
      <c r="E1261" s="523" t="s">
        <v>3354</v>
      </c>
      <c r="F1261" s="523" t="s">
        <v>36</v>
      </c>
    </row>
    <row r="1262">
      <c r="A1262" s="523">
        <v>1261</v>
      </c>
      <c r="B1262" s="523" t="s">
        <v>3360</v>
      </c>
      <c r="C1262" s="523" t="s">
        <v>3361</v>
      </c>
      <c r="D1262" s="523" t="s">
        <v>3353</v>
      </c>
      <c r="E1262" s="523" t="s">
        <v>3354</v>
      </c>
      <c r="F1262" s="523" t="s">
        <v>36</v>
      </c>
    </row>
    <row r="1263">
      <c r="A1263" s="523">
        <v>1262</v>
      </c>
      <c r="B1263" s="523" t="s">
        <v>3362</v>
      </c>
      <c r="C1263" s="523" t="s">
        <v>1794</v>
      </c>
      <c r="D1263" s="523" t="s">
        <v>3353</v>
      </c>
      <c r="E1263" s="523" t="s">
        <v>3354</v>
      </c>
      <c r="F1263" s="523" t="s">
        <v>36</v>
      </c>
    </row>
    <row r="1264">
      <c r="A1264" s="523">
        <v>1263</v>
      </c>
      <c r="B1264" s="523" t="s">
        <v>3363</v>
      </c>
      <c r="C1264" s="523" t="s">
        <v>3364</v>
      </c>
      <c r="D1264" s="523" t="s">
        <v>3353</v>
      </c>
      <c r="E1264" s="523" t="s">
        <v>3354</v>
      </c>
      <c r="F1264" s="523" t="s">
        <v>36</v>
      </c>
    </row>
    <row r="1265">
      <c r="A1265" s="523">
        <v>1264</v>
      </c>
      <c r="B1265" s="523" t="s">
        <v>3365</v>
      </c>
      <c r="C1265" s="523" t="s">
        <v>3366</v>
      </c>
      <c r="D1265" s="523" t="s">
        <v>3353</v>
      </c>
      <c r="E1265" s="523" t="s">
        <v>3354</v>
      </c>
      <c r="F1265" s="523" t="s">
        <v>36</v>
      </c>
    </row>
    <row r="1266">
      <c r="A1266" s="523">
        <v>1265</v>
      </c>
      <c r="B1266" s="523" t="s">
        <v>3367</v>
      </c>
      <c r="C1266" s="523" t="s">
        <v>3368</v>
      </c>
      <c r="D1266" s="523" t="s">
        <v>3353</v>
      </c>
      <c r="E1266" s="523" t="s">
        <v>3354</v>
      </c>
      <c r="F1266" s="523" t="s">
        <v>36</v>
      </c>
    </row>
    <row r="1267">
      <c r="A1267" s="523">
        <v>1266</v>
      </c>
      <c r="B1267" s="523" t="s">
        <v>3369</v>
      </c>
      <c r="C1267" s="523" t="s">
        <v>3370</v>
      </c>
      <c r="D1267" s="523" t="s">
        <v>3353</v>
      </c>
      <c r="E1267" s="523" t="s">
        <v>3354</v>
      </c>
      <c r="F1267" s="523" t="s">
        <v>36</v>
      </c>
    </row>
    <row r="1268">
      <c r="A1268" s="523">
        <v>1267</v>
      </c>
      <c r="B1268" s="523" t="s">
        <v>3371</v>
      </c>
      <c r="C1268" s="523" t="s">
        <v>3372</v>
      </c>
      <c r="D1268" s="523" t="s">
        <v>3353</v>
      </c>
      <c r="E1268" s="523" t="s">
        <v>3354</v>
      </c>
      <c r="F1268" s="523" t="s">
        <v>36</v>
      </c>
    </row>
    <row r="1269">
      <c r="A1269" s="523">
        <v>1268</v>
      </c>
      <c r="B1269" s="523" t="s">
        <v>3373</v>
      </c>
      <c r="C1269" s="523" t="s">
        <v>3374</v>
      </c>
      <c r="D1269" s="523" t="s">
        <v>3353</v>
      </c>
      <c r="E1269" s="523" t="s">
        <v>3354</v>
      </c>
      <c r="F1269" s="523" t="s">
        <v>36</v>
      </c>
    </row>
    <row r="1270">
      <c r="A1270" s="523">
        <v>1269</v>
      </c>
      <c r="B1270" s="523" t="s">
        <v>3375</v>
      </c>
      <c r="C1270" s="523" t="s">
        <v>3376</v>
      </c>
      <c r="D1270" s="523" t="s">
        <v>3377</v>
      </c>
      <c r="E1270" s="523" t="s">
        <v>3378</v>
      </c>
      <c r="F1270" s="523" t="s">
        <v>36</v>
      </c>
    </row>
    <row r="1271">
      <c r="A1271" s="523">
        <v>1270</v>
      </c>
      <c r="B1271" s="523" t="s">
        <v>3379</v>
      </c>
      <c r="C1271" s="523" t="s">
        <v>2747</v>
      </c>
      <c r="D1271" s="523" t="s">
        <v>3377</v>
      </c>
      <c r="E1271" s="523" t="s">
        <v>3378</v>
      </c>
      <c r="F1271" s="523" t="s">
        <v>36</v>
      </c>
    </row>
    <row r="1272">
      <c r="A1272" s="523">
        <v>1271</v>
      </c>
      <c r="B1272" s="523" t="s">
        <v>3380</v>
      </c>
      <c r="C1272" s="523" t="s">
        <v>1886</v>
      </c>
      <c r="D1272" s="523" t="s">
        <v>3377</v>
      </c>
      <c r="E1272" s="523" t="s">
        <v>3378</v>
      </c>
      <c r="F1272" s="523" t="s">
        <v>36</v>
      </c>
    </row>
    <row r="1273">
      <c r="A1273" s="523">
        <v>1272</v>
      </c>
      <c r="B1273" s="523" t="s">
        <v>3381</v>
      </c>
      <c r="C1273" s="523" t="s">
        <v>3382</v>
      </c>
      <c r="D1273" s="523" t="s">
        <v>3377</v>
      </c>
      <c r="E1273" s="523" t="s">
        <v>3378</v>
      </c>
      <c r="F1273" s="523" t="s">
        <v>36</v>
      </c>
    </row>
    <row r="1274">
      <c r="A1274" s="523">
        <v>1273</v>
      </c>
      <c r="B1274" s="523" t="s">
        <v>3383</v>
      </c>
      <c r="C1274" s="523" t="s">
        <v>1022</v>
      </c>
      <c r="D1274" s="523" t="s">
        <v>3377</v>
      </c>
      <c r="E1274" s="523" t="s">
        <v>3378</v>
      </c>
      <c r="F1274" s="523" t="s">
        <v>36</v>
      </c>
    </row>
    <row r="1275">
      <c r="A1275" s="523">
        <v>1274</v>
      </c>
      <c r="B1275" s="523" t="s">
        <v>3384</v>
      </c>
      <c r="C1275" s="523" t="s">
        <v>3385</v>
      </c>
      <c r="D1275" s="523" t="s">
        <v>3377</v>
      </c>
      <c r="E1275" s="523" t="s">
        <v>3378</v>
      </c>
      <c r="F1275" s="523" t="s">
        <v>36</v>
      </c>
    </row>
    <row r="1276">
      <c r="A1276" s="523">
        <v>1275</v>
      </c>
      <c r="B1276" s="523" t="s">
        <v>3386</v>
      </c>
      <c r="C1276" s="523" t="s">
        <v>3387</v>
      </c>
      <c r="D1276" s="523" t="s">
        <v>3377</v>
      </c>
      <c r="E1276" s="523" t="s">
        <v>3378</v>
      </c>
      <c r="F1276" s="523" t="s">
        <v>36</v>
      </c>
    </row>
    <row r="1277">
      <c r="A1277" s="523">
        <v>1276</v>
      </c>
      <c r="B1277" s="523" t="s">
        <v>3388</v>
      </c>
      <c r="C1277" s="523" t="s">
        <v>3389</v>
      </c>
      <c r="D1277" s="523" t="s">
        <v>3390</v>
      </c>
      <c r="E1277" s="523" t="s">
        <v>3391</v>
      </c>
      <c r="F1277" s="523" t="s">
        <v>36</v>
      </c>
    </row>
    <row r="1278">
      <c r="A1278" s="523">
        <v>1277</v>
      </c>
      <c r="B1278" s="523" t="s">
        <v>3392</v>
      </c>
      <c r="C1278" s="523" t="s">
        <v>3393</v>
      </c>
      <c r="D1278" s="523" t="s">
        <v>3390</v>
      </c>
      <c r="E1278" s="523" t="s">
        <v>3391</v>
      </c>
      <c r="F1278" s="523" t="s">
        <v>36</v>
      </c>
    </row>
    <row r="1279">
      <c r="A1279" s="523">
        <v>1278</v>
      </c>
      <c r="B1279" s="523" t="s">
        <v>3394</v>
      </c>
      <c r="C1279" s="523" t="s">
        <v>3395</v>
      </c>
      <c r="D1279" s="523" t="s">
        <v>3390</v>
      </c>
      <c r="E1279" s="523" t="s">
        <v>3391</v>
      </c>
      <c r="F1279" s="523" t="s">
        <v>36</v>
      </c>
    </row>
    <row r="1280">
      <c r="A1280" s="523">
        <v>1279</v>
      </c>
      <c r="B1280" s="523" t="s">
        <v>3396</v>
      </c>
      <c r="C1280" s="523" t="s">
        <v>3397</v>
      </c>
      <c r="D1280" s="523" t="s">
        <v>3390</v>
      </c>
      <c r="E1280" s="523" t="s">
        <v>3391</v>
      </c>
      <c r="F1280" s="523" t="s">
        <v>36</v>
      </c>
    </row>
    <row r="1281">
      <c r="A1281" s="523">
        <v>1280</v>
      </c>
      <c r="B1281" s="523" t="s">
        <v>3398</v>
      </c>
      <c r="C1281" s="523" t="s">
        <v>3399</v>
      </c>
      <c r="D1281" s="523" t="s">
        <v>3390</v>
      </c>
      <c r="E1281" s="523" t="s">
        <v>3391</v>
      </c>
      <c r="F1281" s="523" t="s">
        <v>36</v>
      </c>
    </row>
    <row r="1282">
      <c r="A1282" s="523">
        <v>1281</v>
      </c>
      <c r="B1282" s="523" t="s">
        <v>3400</v>
      </c>
      <c r="C1282" s="523" t="s">
        <v>3401</v>
      </c>
      <c r="D1282" s="523" t="s">
        <v>3390</v>
      </c>
      <c r="E1282" s="523" t="s">
        <v>3391</v>
      </c>
      <c r="F1282" s="523" t="s">
        <v>36</v>
      </c>
    </row>
    <row r="1283">
      <c r="A1283" s="523">
        <v>1282</v>
      </c>
      <c r="B1283" s="523" t="s">
        <v>3402</v>
      </c>
      <c r="C1283" s="523" t="s">
        <v>3403</v>
      </c>
      <c r="D1283" s="523" t="s">
        <v>3390</v>
      </c>
      <c r="E1283" s="523" t="s">
        <v>3391</v>
      </c>
      <c r="F1283" s="523" t="s">
        <v>36</v>
      </c>
    </row>
    <row r="1284">
      <c r="A1284" s="523">
        <v>1283</v>
      </c>
      <c r="B1284" s="523" t="s">
        <v>3404</v>
      </c>
      <c r="C1284" s="523" t="s">
        <v>3405</v>
      </c>
      <c r="D1284" s="523" t="s">
        <v>3390</v>
      </c>
      <c r="E1284" s="523" t="s">
        <v>3391</v>
      </c>
      <c r="F1284" s="523" t="s">
        <v>36</v>
      </c>
    </row>
    <row r="1285">
      <c r="A1285" s="523">
        <v>1284</v>
      </c>
      <c r="B1285" s="523" t="s">
        <v>3406</v>
      </c>
      <c r="C1285" s="523" t="s">
        <v>1319</v>
      </c>
      <c r="D1285" s="523" t="s">
        <v>3390</v>
      </c>
      <c r="E1285" s="523" t="s">
        <v>3391</v>
      </c>
      <c r="F1285" s="523" t="s">
        <v>36</v>
      </c>
    </row>
    <row r="1286">
      <c r="A1286" s="523">
        <v>1285</v>
      </c>
      <c r="B1286" s="523" t="s">
        <v>3407</v>
      </c>
      <c r="C1286" s="523" t="s">
        <v>3408</v>
      </c>
      <c r="D1286" s="523" t="s">
        <v>3390</v>
      </c>
      <c r="E1286" s="523" t="s">
        <v>3391</v>
      </c>
      <c r="F1286" s="523" t="s">
        <v>36</v>
      </c>
    </row>
    <row r="1287">
      <c r="A1287" s="523">
        <v>1286</v>
      </c>
      <c r="B1287" s="523" t="s">
        <v>3409</v>
      </c>
      <c r="C1287" s="523" t="s">
        <v>3410</v>
      </c>
      <c r="D1287" s="523" t="s">
        <v>3411</v>
      </c>
      <c r="E1287" s="523" t="s">
        <v>3412</v>
      </c>
      <c r="F1287" s="523" t="s">
        <v>36</v>
      </c>
    </row>
    <row r="1288">
      <c r="A1288" s="523">
        <v>1287</v>
      </c>
      <c r="B1288" s="523" t="s">
        <v>3413</v>
      </c>
      <c r="C1288" s="523" t="s">
        <v>3414</v>
      </c>
      <c r="D1288" s="523" t="s">
        <v>3411</v>
      </c>
      <c r="E1288" s="523" t="s">
        <v>3412</v>
      </c>
      <c r="F1288" s="523" t="s">
        <v>36</v>
      </c>
    </row>
    <row r="1289">
      <c r="A1289" s="523">
        <v>1288</v>
      </c>
      <c r="B1289" s="523" t="s">
        <v>3415</v>
      </c>
      <c r="C1289" s="523" t="s">
        <v>3416</v>
      </c>
      <c r="D1289" s="523" t="s">
        <v>3411</v>
      </c>
      <c r="E1289" s="523" t="s">
        <v>3412</v>
      </c>
      <c r="F1289" s="523" t="s">
        <v>36</v>
      </c>
    </row>
    <row r="1290">
      <c r="A1290" s="523">
        <v>1289</v>
      </c>
      <c r="B1290" s="523" t="s">
        <v>3417</v>
      </c>
      <c r="C1290" s="523" t="s">
        <v>3418</v>
      </c>
      <c r="D1290" s="523" t="s">
        <v>3411</v>
      </c>
      <c r="E1290" s="523" t="s">
        <v>3412</v>
      </c>
      <c r="F1290" s="523" t="s">
        <v>36</v>
      </c>
    </row>
    <row r="1291">
      <c r="A1291" s="523">
        <v>1290</v>
      </c>
      <c r="B1291" s="523" t="s">
        <v>3419</v>
      </c>
      <c r="C1291" s="523" t="s">
        <v>3420</v>
      </c>
      <c r="D1291" s="523" t="s">
        <v>3411</v>
      </c>
      <c r="E1291" s="523" t="s">
        <v>3412</v>
      </c>
      <c r="F1291" s="523" t="s">
        <v>36</v>
      </c>
    </row>
    <row r="1292">
      <c r="A1292" s="523">
        <v>1291</v>
      </c>
      <c r="B1292" s="523" t="s">
        <v>3421</v>
      </c>
      <c r="C1292" s="523" t="s">
        <v>3422</v>
      </c>
      <c r="D1292" s="523" t="s">
        <v>3411</v>
      </c>
      <c r="E1292" s="523" t="s">
        <v>3412</v>
      </c>
      <c r="F1292" s="523" t="s">
        <v>36</v>
      </c>
    </row>
    <row r="1293">
      <c r="A1293" s="523">
        <v>1292</v>
      </c>
      <c r="B1293" s="523" t="s">
        <v>3423</v>
      </c>
      <c r="C1293" s="523" t="s">
        <v>3424</v>
      </c>
      <c r="D1293" s="523" t="s">
        <v>3411</v>
      </c>
      <c r="E1293" s="523" t="s">
        <v>3412</v>
      </c>
      <c r="F1293" s="523" t="s">
        <v>36</v>
      </c>
    </row>
    <row r="1294">
      <c r="A1294" s="523">
        <v>1293</v>
      </c>
      <c r="B1294" s="523" t="s">
        <v>3425</v>
      </c>
      <c r="C1294" s="523" t="s">
        <v>3426</v>
      </c>
      <c r="D1294" s="523" t="s">
        <v>3411</v>
      </c>
      <c r="E1294" s="523" t="s">
        <v>3412</v>
      </c>
      <c r="F1294" s="523" t="s">
        <v>36</v>
      </c>
    </row>
    <row r="1295">
      <c r="A1295" s="523">
        <v>1294</v>
      </c>
      <c r="B1295" s="523" t="s">
        <v>3427</v>
      </c>
      <c r="C1295" s="523" t="s">
        <v>3428</v>
      </c>
      <c r="D1295" s="523" t="s">
        <v>3411</v>
      </c>
      <c r="E1295" s="523" t="s">
        <v>3412</v>
      </c>
      <c r="F1295" s="523" t="s">
        <v>36</v>
      </c>
    </row>
    <row r="1296">
      <c r="A1296" s="523">
        <v>1295</v>
      </c>
      <c r="B1296" s="523" t="s">
        <v>3429</v>
      </c>
      <c r="C1296" s="523" t="s">
        <v>3430</v>
      </c>
      <c r="D1296" s="523" t="s">
        <v>3411</v>
      </c>
      <c r="E1296" s="523" t="s">
        <v>3412</v>
      </c>
      <c r="F1296" s="523" t="s">
        <v>36</v>
      </c>
    </row>
    <row r="1297">
      <c r="A1297" s="523">
        <v>1296</v>
      </c>
      <c r="B1297" s="523" t="s">
        <v>3431</v>
      </c>
      <c r="C1297" s="523" t="s">
        <v>3223</v>
      </c>
      <c r="D1297" s="523" t="s">
        <v>3411</v>
      </c>
      <c r="E1297" s="523" t="s">
        <v>3412</v>
      </c>
      <c r="F1297" s="523" t="s">
        <v>36</v>
      </c>
    </row>
    <row r="1298">
      <c r="A1298" s="523">
        <v>1297</v>
      </c>
      <c r="B1298" s="523" t="s">
        <v>3432</v>
      </c>
      <c r="C1298" s="523" t="s">
        <v>3433</v>
      </c>
      <c r="D1298" s="523" t="s">
        <v>3411</v>
      </c>
      <c r="E1298" s="523" t="s">
        <v>3412</v>
      </c>
      <c r="F1298" s="523" t="s">
        <v>36</v>
      </c>
    </row>
    <row r="1299">
      <c r="A1299" s="523">
        <v>1298</v>
      </c>
      <c r="B1299" s="523" t="s">
        <v>3434</v>
      </c>
      <c r="C1299" s="523" t="s">
        <v>3435</v>
      </c>
      <c r="D1299" s="523" t="s">
        <v>3411</v>
      </c>
      <c r="E1299" s="523" t="s">
        <v>3412</v>
      </c>
      <c r="F1299" s="523" t="s">
        <v>36</v>
      </c>
    </row>
    <row r="1300">
      <c r="A1300" s="523">
        <v>1299</v>
      </c>
      <c r="B1300" s="523" t="s">
        <v>3436</v>
      </c>
      <c r="C1300" s="523" t="s">
        <v>3437</v>
      </c>
      <c r="D1300" s="523" t="s">
        <v>3411</v>
      </c>
      <c r="E1300" s="523" t="s">
        <v>3412</v>
      </c>
      <c r="F1300" s="523" t="s">
        <v>36</v>
      </c>
    </row>
    <row r="1301">
      <c r="A1301" s="523">
        <v>1300</v>
      </c>
      <c r="B1301" s="523" t="s">
        <v>3438</v>
      </c>
      <c r="C1301" s="523" t="s">
        <v>3439</v>
      </c>
      <c r="D1301" s="523" t="s">
        <v>3411</v>
      </c>
      <c r="E1301" s="523" t="s">
        <v>3412</v>
      </c>
      <c r="F1301" s="523" t="s">
        <v>36</v>
      </c>
    </row>
    <row r="1302">
      <c r="A1302" s="523">
        <v>1301</v>
      </c>
      <c r="B1302" s="523" t="s">
        <v>3440</v>
      </c>
      <c r="C1302" s="523" t="s">
        <v>3410</v>
      </c>
      <c r="D1302" s="523" t="s">
        <v>3441</v>
      </c>
      <c r="E1302" s="523" t="s">
        <v>3442</v>
      </c>
      <c r="F1302" s="523" t="s">
        <v>36</v>
      </c>
    </row>
    <row r="1303">
      <c r="A1303" s="523">
        <v>1302</v>
      </c>
      <c r="B1303" s="523" t="s">
        <v>3443</v>
      </c>
      <c r="C1303" s="523" t="s">
        <v>3414</v>
      </c>
      <c r="D1303" s="523" t="s">
        <v>3441</v>
      </c>
      <c r="E1303" s="523" t="s">
        <v>3442</v>
      </c>
      <c r="F1303" s="523" t="s">
        <v>36</v>
      </c>
    </row>
    <row r="1304">
      <c r="A1304" s="523">
        <v>1303</v>
      </c>
      <c r="B1304" s="523" t="s">
        <v>3444</v>
      </c>
      <c r="C1304" s="523" t="s">
        <v>3416</v>
      </c>
      <c r="D1304" s="523" t="s">
        <v>3441</v>
      </c>
      <c r="E1304" s="523" t="s">
        <v>3442</v>
      </c>
      <c r="F1304" s="523" t="s">
        <v>36</v>
      </c>
    </row>
    <row r="1305">
      <c r="A1305" s="523">
        <v>1304</v>
      </c>
      <c r="B1305" s="523" t="s">
        <v>3445</v>
      </c>
      <c r="C1305" s="523" t="s">
        <v>3418</v>
      </c>
      <c r="D1305" s="523" t="s">
        <v>3441</v>
      </c>
      <c r="E1305" s="523" t="s">
        <v>3442</v>
      </c>
      <c r="F1305" s="523" t="s">
        <v>36</v>
      </c>
    </row>
    <row r="1306">
      <c r="A1306" s="523">
        <v>1305</v>
      </c>
      <c r="B1306" s="523" t="s">
        <v>3446</v>
      </c>
      <c r="C1306" s="523" t="s">
        <v>3420</v>
      </c>
      <c r="D1306" s="523" t="s">
        <v>3441</v>
      </c>
      <c r="E1306" s="523" t="s">
        <v>3442</v>
      </c>
      <c r="F1306" s="523" t="s">
        <v>36</v>
      </c>
    </row>
    <row r="1307">
      <c r="A1307" s="523">
        <v>1306</v>
      </c>
      <c r="B1307" s="523" t="s">
        <v>3447</v>
      </c>
      <c r="C1307" s="523" t="s">
        <v>3422</v>
      </c>
      <c r="D1307" s="523" t="s">
        <v>3441</v>
      </c>
      <c r="E1307" s="523" t="s">
        <v>3442</v>
      </c>
      <c r="F1307" s="523" t="s">
        <v>36</v>
      </c>
    </row>
    <row r="1308">
      <c r="A1308" s="523">
        <v>1307</v>
      </c>
      <c r="B1308" s="523" t="s">
        <v>3448</v>
      </c>
      <c r="C1308" s="523" t="s">
        <v>3424</v>
      </c>
      <c r="D1308" s="523" t="s">
        <v>3441</v>
      </c>
      <c r="E1308" s="523" t="s">
        <v>3442</v>
      </c>
      <c r="F1308" s="523" t="s">
        <v>36</v>
      </c>
    </row>
    <row r="1309">
      <c r="A1309" s="523">
        <v>1308</v>
      </c>
      <c r="B1309" s="523" t="s">
        <v>3449</v>
      </c>
      <c r="C1309" s="523" t="s">
        <v>3426</v>
      </c>
      <c r="D1309" s="523" t="s">
        <v>3441</v>
      </c>
      <c r="E1309" s="523" t="s">
        <v>3442</v>
      </c>
      <c r="F1309" s="523" t="s">
        <v>36</v>
      </c>
    </row>
    <row r="1310">
      <c r="A1310" s="523">
        <v>1309</v>
      </c>
      <c r="B1310" s="523" t="s">
        <v>3450</v>
      </c>
      <c r="C1310" s="523" t="s">
        <v>3428</v>
      </c>
      <c r="D1310" s="523" t="s">
        <v>3441</v>
      </c>
      <c r="E1310" s="523" t="s">
        <v>3442</v>
      </c>
      <c r="F1310" s="523" t="s">
        <v>36</v>
      </c>
    </row>
    <row r="1311">
      <c r="A1311" s="523">
        <v>1310</v>
      </c>
      <c r="B1311" s="523" t="s">
        <v>3451</v>
      </c>
      <c r="C1311" s="523" t="s">
        <v>3430</v>
      </c>
      <c r="D1311" s="523" t="s">
        <v>3441</v>
      </c>
      <c r="E1311" s="523" t="s">
        <v>3442</v>
      </c>
      <c r="F1311" s="523" t="s">
        <v>36</v>
      </c>
    </row>
    <row r="1312">
      <c r="A1312" s="523">
        <v>1311</v>
      </c>
      <c r="B1312" s="523" t="s">
        <v>3452</v>
      </c>
      <c r="C1312" s="523" t="s">
        <v>3223</v>
      </c>
      <c r="D1312" s="523" t="s">
        <v>3441</v>
      </c>
      <c r="E1312" s="523" t="s">
        <v>3442</v>
      </c>
      <c r="F1312" s="523" t="s">
        <v>36</v>
      </c>
    </row>
    <row r="1313">
      <c r="A1313" s="523">
        <v>1312</v>
      </c>
      <c r="B1313" s="523" t="s">
        <v>3453</v>
      </c>
      <c r="C1313" s="523" t="s">
        <v>3433</v>
      </c>
      <c r="D1313" s="523" t="s">
        <v>3441</v>
      </c>
      <c r="E1313" s="523" t="s">
        <v>3442</v>
      </c>
      <c r="F1313" s="523" t="s">
        <v>36</v>
      </c>
    </row>
    <row r="1314">
      <c r="A1314" s="523">
        <v>1313</v>
      </c>
      <c r="B1314" s="523" t="s">
        <v>3454</v>
      </c>
      <c r="C1314" s="523" t="s">
        <v>3435</v>
      </c>
      <c r="D1314" s="523" t="s">
        <v>3441</v>
      </c>
      <c r="E1314" s="523" t="s">
        <v>3442</v>
      </c>
      <c r="F1314" s="523" t="s">
        <v>36</v>
      </c>
    </row>
    <row r="1315">
      <c r="A1315" s="523">
        <v>1314</v>
      </c>
      <c r="B1315" s="523" t="s">
        <v>3455</v>
      </c>
      <c r="C1315" s="523" t="s">
        <v>3437</v>
      </c>
      <c r="D1315" s="523" t="s">
        <v>3441</v>
      </c>
      <c r="E1315" s="523" t="s">
        <v>3442</v>
      </c>
      <c r="F1315" s="523" t="s">
        <v>36</v>
      </c>
    </row>
    <row r="1316">
      <c r="A1316" s="523">
        <v>1315</v>
      </c>
      <c r="B1316" s="523" t="s">
        <v>3456</v>
      </c>
      <c r="C1316" s="523" t="s">
        <v>3439</v>
      </c>
      <c r="D1316" s="523" t="s">
        <v>3441</v>
      </c>
      <c r="E1316" s="523" t="s">
        <v>3442</v>
      </c>
      <c r="F1316" s="523" t="s">
        <v>36</v>
      </c>
    </row>
    <row r="1317">
      <c r="A1317" s="523">
        <v>1316</v>
      </c>
      <c r="B1317" s="523" t="s">
        <v>3457</v>
      </c>
      <c r="C1317" s="523" t="s">
        <v>3458</v>
      </c>
      <c r="D1317" s="523" t="s">
        <v>3441</v>
      </c>
      <c r="E1317" s="523" t="s">
        <v>3442</v>
      </c>
      <c r="F1317" s="523" t="s">
        <v>36</v>
      </c>
    </row>
    <row r="1318">
      <c r="A1318" s="523">
        <v>1317</v>
      </c>
      <c r="B1318" s="523" t="s">
        <v>3459</v>
      </c>
      <c r="C1318" s="523" t="s">
        <v>3460</v>
      </c>
      <c r="D1318" s="523" t="s">
        <v>3461</v>
      </c>
      <c r="E1318" s="523" t="s">
        <v>3462</v>
      </c>
      <c r="F1318" s="523" t="s">
        <v>36</v>
      </c>
    </row>
    <row r="1319">
      <c r="A1319" s="523">
        <v>1318</v>
      </c>
      <c r="B1319" s="523" t="s">
        <v>3463</v>
      </c>
      <c r="C1319" s="523" t="s">
        <v>1290</v>
      </c>
      <c r="D1319" s="523" t="s">
        <v>3461</v>
      </c>
      <c r="E1319" s="523" t="s">
        <v>3462</v>
      </c>
      <c r="F1319" s="523" t="s">
        <v>36</v>
      </c>
    </row>
    <row r="1320">
      <c r="A1320" s="523">
        <v>1319</v>
      </c>
      <c r="B1320" s="523" t="s">
        <v>3464</v>
      </c>
      <c r="C1320" s="523" t="s">
        <v>3465</v>
      </c>
      <c r="D1320" s="523" t="s">
        <v>3461</v>
      </c>
      <c r="E1320" s="523" t="s">
        <v>3462</v>
      </c>
      <c r="F1320" s="523" t="s">
        <v>36</v>
      </c>
    </row>
    <row r="1321">
      <c r="A1321" s="523">
        <v>1320</v>
      </c>
      <c r="B1321" s="523" t="s">
        <v>3466</v>
      </c>
      <c r="C1321" s="523" t="s">
        <v>3467</v>
      </c>
      <c r="D1321" s="523" t="s">
        <v>3461</v>
      </c>
      <c r="E1321" s="523" t="s">
        <v>3462</v>
      </c>
      <c r="F1321" s="523" t="s">
        <v>36</v>
      </c>
    </row>
    <row r="1322">
      <c r="A1322" s="523">
        <v>1321</v>
      </c>
      <c r="B1322" s="523" t="s">
        <v>3468</v>
      </c>
      <c r="C1322" s="523" t="s">
        <v>3469</v>
      </c>
      <c r="D1322" s="523" t="s">
        <v>3461</v>
      </c>
      <c r="E1322" s="523" t="s">
        <v>3462</v>
      </c>
      <c r="F1322" s="523" t="s">
        <v>36</v>
      </c>
    </row>
    <row r="1323">
      <c r="A1323" s="523">
        <v>1322</v>
      </c>
      <c r="B1323" s="523" t="s">
        <v>3470</v>
      </c>
      <c r="C1323" s="523" t="s">
        <v>3471</v>
      </c>
      <c r="D1323" s="523" t="s">
        <v>3461</v>
      </c>
      <c r="E1323" s="523" t="s">
        <v>3462</v>
      </c>
      <c r="F1323" s="523" t="s">
        <v>36</v>
      </c>
    </row>
    <row r="1324">
      <c r="A1324" s="523">
        <v>1323</v>
      </c>
      <c r="B1324" s="523" t="s">
        <v>3472</v>
      </c>
      <c r="C1324" s="523" t="s">
        <v>3473</v>
      </c>
      <c r="D1324" s="523" t="s">
        <v>3461</v>
      </c>
      <c r="E1324" s="523" t="s">
        <v>3462</v>
      </c>
      <c r="F1324" s="523" t="s">
        <v>36</v>
      </c>
    </row>
    <row r="1325">
      <c r="A1325" s="523">
        <v>1324</v>
      </c>
      <c r="B1325" s="523" t="s">
        <v>3474</v>
      </c>
      <c r="C1325" s="523" t="s">
        <v>3475</v>
      </c>
      <c r="D1325" s="523" t="s">
        <v>3461</v>
      </c>
      <c r="E1325" s="523" t="s">
        <v>3462</v>
      </c>
      <c r="F1325" s="523" t="s">
        <v>36</v>
      </c>
    </row>
    <row r="1326">
      <c r="A1326" s="523">
        <v>1325</v>
      </c>
      <c r="B1326" s="523" t="s">
        <v>3476</v>
      </c>
      <c r="C1326" s="523" t="s">
        <v>2667</v>
      </c>
      <c r="D1326" s="523" t="s">
        <v>3461</v>
      </c>
      <c r="E1326" s="523" t="s">
        <v>3462</v>
      </c>
      <c r="F1326" s="523" t="s">
        <v>36</v>
      </c>
    </row>
    <row r="1327">
      <c r="A1327" s="523">
        <v>1326</v>
      </c>
      <c r="B1327" s="523" t="s">
        <v>3477</v>
      </c>
      <c r="C1327" s="523" t="s">
        <v>3478</v>
      </c>
      <c r="D1327" s="523" t="s">
        <v>3461</v>
      </c>
      <c r="E1327" s="523" t="s">
        <v>3462</v>
      </c>
      <c r="F1327" s="523" t="s">
        <v>36</v>
      </c>
    </row>
    <row r="1328">
      <c r="A1328" s="523">
        <v>1327</v>
      </c>
      <c r="B1328" s="523" t="s">
        <v>3479</v>
      </c>
      <c r="C1328" s="523" t="s">
        <v>3480</v>
      </c>
      <c r="D1328" s="523" t="s">
        <v>3461</v>
      </c>
      <c r="E1328" s="523" t="s">
        <v>3462</v>
      </c>
      <c r="F1328" s="523" t="s">
        <v>36</v>
      </c>
    </row>
    <row r="1329">
      <c r="A1329" s="523">
        <v>1328</v>
      </c>
      <c r="B1329" s="523" t="s">
        <v>3481</v>
      </c>
      <c r="C1329" s="523" t="s">
        <v>2644</v>
      </c>
      <c r="D1329" s="523" t="s">
        <v>3482</v>
      </c>
      <c r="E1329" s="523" t="s">
        <v>3483</v>
      </c>
      <c r="F1329" s="523" t="s">
        <v>36</v>
      </c>
    </row>
    <row r="1330">
      <c r="A1330" s="523">
        <v>1329</v>
      </c>
      <c r="B1330" s="523" t="s">
        <v>3484</v>
      </c>
      <c r="C1330" s="523" t="s">
        <v>3485</v>
      </c>
      <c r="D1330" s="523" t="s">
        <v>3482</v>
      </c>
      <c r="E1330" s="523" t="s">
        <v>3483</v>
      </c>
      <c r="F1330" s="523" t="s">
        <v>36</v>
      </c>
    </row>
    <row r="1331">
      <c r="A1331" s="523">
        <v>1330</v>
      </c>
      <c r="B1331" s="523" t="s">
        <v>3486</v>
      </c>
      <c r="C1331" s="523" t="s">
        <v>1370</v>
      </c>
      <c r="D1331" s="523" t="s">
        <v>3482</v>
      </c>
      <c r="E1331" s="523" t="s">
        <v>3483</v>
      </c>
      <c r="F1331" s="523" t="s">
        <v>36</v>
      </c>
    </row>
    <row r="1332">
      <c r="A1332" s="523">
        <v>1331</v>
      </c>
      <c r="B1332" s="523" t="s">
        <v>3487</v>
      </c>
      <c r="C1332" s="523" t="s">
        <v>1332</v>
      </c>
      <c r="D1332" s="523" t="s">
        <v>3482</v>
      </c>
      <c r="E1332" s="523" t="s">
        <v>3483</v>
      </c>
      <c r="F1332" s="523" t="s">
        <v>36</v>
      </c>
    </row>
    <row r="1333">
      <c r="A1333" s="523">
        <v>1332</v>
      </c>
      <c r="B1333" s="523" t="s">
        <v>3488</v>
      </c>
      <c r="C1333" s="523" t="s">
        <v>1142</v>
      </c>
      <c r="D1333" s="523" t="s">
        <v>3482</v>
      </c>
      <c r="E1333" s="523" t="s">
        <v>3483</v>
      </c>
      <c r="F1333" s="523" t="s">
        <v>36</v>
      </c>
    </row>
    <row r="1334">
      <c r="A1334" s="523">
        <v>1333</v>
      </c>
      <c r="B1334" s="523" t="s">
        <v>3489</v>
      </c>
      <c r="C1334" s="523" t="s">
        <v>3490</v>
      </c>
      <c r="D1334" s="523" t="s">
        <v>3482</v>
      </c>
      <c r="E1334" s="523" t="s">
        <v>3483</v>
      </c>
      <c r="F1334" s="523" t="s">
        <v>36</v>
      </c>
    </row>
    <row r="1335">
      <c r="A1335" s="523">
        <v>1334</v>
      </c>
      <c r="B1335" s="523" t="s">
        <v>3491</v>
      </c>
      <c r="C1335" s="523" t="s">
        <v>3492</v>
      </c>
      <c r="D1335" s="523" t="s">
        <v>3482</v>
      </c>
      <c r="E1335" s="523" t="s">
        <v>3483</v>
      </c>
      <c r="F1335" s="523" t="s">
        <v>36</v>
      </c>
    </row>
    <row r="1336">
      <c r="A1336" s="523">
        <v>1335</v>
      </c>
      <c r="B1336" s="523" t="s">
        <v>3493</v>
      </c>
      <c r="C1336" s="523" t="s">
        <v>3494</v>
      </c>
      <c r="D1336" s="523" t="s">
        <v>3482</v>
      </c>
      <c r="E1336" s="523" t="s">
        <v>3483</v>
      </c>
      <c r="F1336" s="523" t="s">
        <v>36</v>
      </c>
    </row>
    <row r="1337">
      <c r="A1337" s="523">
        <v>1336</v>
      </c>
      <c r="B1337" s="523" t="s">
        <v>3495</v>
      </c>
      <c r="C1337" s="523" t="s">
        <v>3496</v>
      </c>
      <c r="D1337" s="523" t="s">
        <v>3482</v>
      </c>
      <c r="E1337" s="523" t="s">
        <v>3483</v>
      </c>
      <c r="F1337" s="523" t="s">
        <v>36</v>
      </c>
    </row>
    <row r="1338">
      <c r="A1338" s="523">
        <v>1337</v>
      </c>
      <c r="B1338" s="523" t="s">
        <v>3497</v>
      </c>
      <c r="C1338" s="523" t="s">
        <v>3498</v>
      </c>
      <c r="D1338" s="523" t="s">
        <v>3482</v>
      </c>
      <c r="E1338" s="523" t="s">
        <v>3483</v>
      </c>
      <c r="F1338" s="523" t="s">
        <v>36</v>
      </c>
    </row>
    <row r="1339">
      <c r="A1339" s="523">
        <v>1338</v>
      </c>
      <c r="B1339" s="523" t="s">
        <v>3499</v>
      </c>
      <c r="C1339" s="523" t="s">
        <v>3500</v>
      </c>
      <c r="D1339" s="523" t="s">
        <v>3482</v>
      </c>
      <c r="E1339" s="523" t="s">
        <v>3483</v>
      </c>
      <c r="F1339" s="523" t="s">
        <v>36</v>
      </c>
    </row>
    <row r="1340">
      <c r="A1340" s="523">
        <v>1339</v>
      </c>
      <c r="B1340" s="523" t="s">
        <v>3501</v>
      </c>
      <c r="C1340" s="523" t="s">
        <v>3410</v>
      </c>
      <c r="D1340" s="523" t="s">
        <v>3502</v>
      </c>
      <c r="E1340" s="523" t="s">
        <v>3503</v>
      </c>
      <c r="F1340" s="523" t="s">
        <v>36</v>
      </c>
    </row>
    <row r="1341">
      <c r="A1341" s="523">
        <v>1340</v>
      </c>
      <c r="B1341" s="523" t="s">
        <v>3504</v>
      </c>
      <c r="C1341" s="523" t="s">
        <v>3414</v>
      </c>
      <c r="D1341" s="523" t="s">
        <v>3502</v>
      </c>
      <c r="E1341" s="523" t="s">
        <v>3503</v>
      </c>
      <c r="F1341" s="523" t="s">
        <v>36</v>
      </c>
    </row>
    <row r="1342">
      <c r="A1342" s="523">
        <v>1341</v>
      </c>
      <c r="B1342" s="523" t="s">
        <v>3505</v>
      </c>
      <c r="C1342" s="523" t="s">
        <v>3416</v>
      </c>
      <c r="D1342" s="523" t="s">
        <v>3502</v>
      </c>
      <c r="E1342" s="523" t="s">
        <v>3503</v>
      </c>
      <c r="F1342" s="523" t="s">
        <v>36</v>
      </c>
    </row>
    <row r="1343">
      <c r="A1343" s="523">
        <v>1342</v>
      </c>
      <c r="B1343" s="523" t="s">
        <v>3506</v>
      </c>
      <c r="C1343" s="523" t="s">
        <v>3418</v>
      </c>
      <c r="D1343" s="523" t="s">
        <v>3502</v>
      </c>
      <c r="E1343" s="523" t="s">
        <v>3503</v>
      </c>
      <c r="F1343" s="523" t="s">
        <v>36</v>
      </c>
    </row>
    <row r="1344">
      <c r="A1344" s="523">
        <v>1343</v>
      </c>
      <c r="B1344" s="523" t="s">
        <v>3507</v>
      </c>
      <c r="C1344" s="523" t="s">
        <v>3420</v>
      </c>
      <c r="D1344" s="523" t="s">
        <v>3502</v>
      </c>
      <c r="E1344" s="523" t="s">
        <v>3503</v>
      </c>
      <c r="F1344" s="523" t="s">
        <v>36</v>
      </c>
    </row>
    <row r="1345">
      <c r="A1345" s="523">
        <v>1344</v>
      </c>
      <c r="B1345" s="523" t="s">
        <v>3508</v>
      </c>
      <c r="C1345" s="523" t="s">
        <v>3422</v>
      </c>
      <c r="D1345" s="523" t="s">
        <v>3502</v>
      </c>
      <c r="E1345" s="523" t="s">
        <v>3503</v>
      </c>
      <c r="F1345" s="523" t="s">
        <v>36</v>
      </c>
    </row>
    <row r="1346">
      <c r="A1346" s="523">
        <v>1345</v>
      </c>
      <c r="B1346" s="523" t="s">
        <v>3509</v>
      </c>
      <c r="C1346" s="523" t="s">
        <v>3424</v>
      </c>
      <c r="D1346" s="523" t="s">
        <v>3502</v>
      </c>
      <c r="E1346" s="523" t="s">
        <v>3503</v>
      </c>
      <c r="F1346" s="523" t="s">
        <v>36</v>
      </c>
    </row>
    <row r="1347">
      <c r="A1347" s="523">
        <v>1346</v>
      </c>
      <c r="B1347" s="523" t="s">
        <v>3510</v>
      </c>
      <c r="C1347" s="523" t="s">
        <v>3426</v>
      </c>
      <c r="D1347" s="523" t="s">
        <v>3502</v>
      </c>
      <c r="E1347" s="523" t="s">
        <v>3503</v>
      </c>
      <c r="F1347" s="523" t="s">
        <v>36</v>
      </c>
    </row>
    <row r="1348">
      <c r="A1348" s="523">
        <v>1347</v>
      </c>
      <c r="B1348" s="523" t="s">
        <v>3511</v>
      </c>
      <c r="C1348" s="523" t="s">
        <v>3428</v>
      </c>
      <c r="D1348" s="523" t="s">
        <v>3502</v>
      </c>
      <c r="E1348" s="523" t="s">
        <v>3503</v>
      </c>
      <c r="F1348" s="523" t="s">
        <v>36</v>
      </c>
    </row>
    <row r="1349">
      <c r="A1349" s="523">
        <v>1348</v>
      </c>
      <c r="B1349" s="523" t="s">
        <v>3512</v>
      </c>
      <c r="C1349" s="523" t="s">
        <v>3430</v>
      </c>
      <c r="D1349" s="523" t="s">
        <v>3502</v>
      </c>
      <c r="E1349" s="523" t="s">
        <v>3503</v>
      </c>
      <c r="F1349" s="523" t="s">
        <v>36</v>
      </c>
    </row>
    <row r="1350">
      <c r="A1350" s="523">
        <v>1349</v>
      </c>
      <c r="B1350" s="523" t="s">
        <v>3513</v>
      </c>
      <c r="C1350" s="523" t="s">
        <v>3223</v>
      </c>
      <c r="D1350" s="523" t="s">
        <v>3502</v>
      </c>
      <c r="E1350" s="523" t="s">
        <v>3503</v>
      </c>
      <c r="F1350" s="523" t="s">
        <v>36</v>
      </c>
    </row>
    <row r="1351">
      <c r="A1351" s="523">
        <v>1350</v>
      </c>
      <c r="B1351" s="523" t="s">
        <v>3514</v>
      </c>
      <c r="C1351" s="523" t="s">
        <v>3433</v>
      </c>
      <c r="D1351" s="523" t="s">
        <v>3502</v>
      </c>
      <c r="E1351" s="523" t="s">
        <v>3503</v>
      </c>
      <c r="F1351" s="523" t="s">
        <v>36</v>
      </c>
    </row>
    <row r="1352">
      <c r="A1352" s="523">
        <v>1351</v>
      </c>
      <c r="B1352" s="523" t="s">
        <v>3515</v>
      </c>
      <c r="C1352" s="523" t="s">
        <v>3435</v>
      </c>
      <c r="D1352" s="523" t="s">
        <v>3502</v>
      </c>
      <c r="E1352" s="523" t="s">
        <v>3503</v>
      </c>
      <c r="F1352" s="523" t="s">
        <v>36</v>
      </c>
    </row>
    <row r="1353">
      <c r="A1353" s="523">
        <v>1352</v>
      </c>
      <c r="B1353" s="523" t="s">
        <v>3516</v>
      </c>
      <c r="C1353" s="523" t="s">
        <v>3437</v>
      </c>
      <c r="D1353" s="523" t="s">
        <v>3502</v>
      </c>
      <c r="E1353" s="523" t="s">
        <v>3503</v>
      </c>
      <c r="F1353" s="523" t="s">
        <v>36</v>
      </c>
    </row>
    <row r="1354">
      <c r="A1354" s="523">
        <v>1353</v>
      </c>
      <c r="B1354" s="523" t="s">
        <v>3517</v>
      </c>
      <c r="C1354" s="523" t="s">
        <v>3410</v>
      </c>
      <c r="D1354" s="523" t="s">
        <v>3518</v>
      </c>
      <c r="E1354" s="523" t="s">
        <v>3519</v>
      </c>
      <c r="F1354" s="523" t="s">
        <v>36</v>
      </c>
    </row>
    <row r="1355">
      <c r="A1355" s="523">
        <v>1354</v>
      </c>
      <c r="B1355" s="523" t="s">
        <v>3520</v>
      </c>
      <c r="C1355" s="523" t="s">
        <v>3414</v>
      </c>
      <c r="D1355" s="523" t="s">
        <v>3518</v>
      </c>
      <c r="E1355" s="523" t="s">
        <v>3519</v>
      </c>
      <c r="F1355" s="523" t="s">
        <v>36</v>
      </c>
    </row>
    <row r="1356">
      <c r="A1356" s="523">
        <v>1355</v>
      </c>
      <c r="B1356" s="523" t="s">
        <v>3521</v>
      </c>
      <c r="C1356" s="523" t="s">
        <v>3416</v>
      </c>
      <c r="D1356" s="523" t="s">
        <v>3518</v>
      </c>
      <c r="E1356" s="523" t="s">
        <v>3519</v>
      </c>
      <c r="F1356" s="523" t="s">
        <v>36</v>
      </c>
    </row>
    <row r="1357">
      <c r="A1357" s="523">
        <v>1356</v>
      </c>
      <c r="B1357" s="523" t="s">
        <v>3522</v>
      </c>
      <c r="C1357" s="523" t="s">
        <v>3418</v>
      </c>
      <c r="D1357" s="523" t="s">
        <v>3518</v>
      </c>
      <c r="E1357" s="523" t="s">
        <v>3519</v>
      </c>
      <c r="F1357" s="523" t="s">
        <v>36</v>
      </c>
    </row>
    <row r="1358">
      <c r="A1358" s="523">
        <v>1357</v>
      </c>
      <c r="B1358" s="523" t="s">
        <v>3523</v>
      </c>
      <c r="C1358" s="523" t="s">
        <v>3420</v>
      </c>
      <c r="D1358" s="523" t="s">
        <v>3518</v>
      </c>
      <c r="E1358" s="523" t="s">
        <v>3519</v>
      </c>
      <c r="F1358" s="523" t="s">
        <v>36</v>
      </c>
    </row>
    <row r="1359">
      <c r="A1359" s="523">
        <v>1358</v>
      </c>
      <c r="B1359" s="523" t="s">
        <v>3524</v>
      </c>
      <c r="C1359" s="523" t="s">
        <v>3422</v>
      </c>
      <c r="D1359" s="523" t="s">
        <v>3518</v>
      </c>
      <c r="E1359" s="523" t="s">
        <v>3519</v>
      </c>
      <c r="F1359" s="523" t="s">
        <v>36</v>
      </c>
    </row>
    <row r="1360">
      <c r="A1360" s="523">
        <v>1359</v>
      </c>
      <c r="B1360" s="523" t="s">
        <v>3525</v>
      </c>
      <c r="C1360" s="523" t="s">
        <v>3426</v>
      </c>
      <c r="D1360" s="523" t="s">
        <v>3518</v>
      </c>
      <c r="E1360" s="523" t="s">
        <v>3519</v>
      </c>
      <c r="F1360" s="523" t="s">
        <v>36</v>
      </c>
    </row>
    <row r="1361">
      <c r="A1361" s="523">
        <v>1360</v>
      </c>
      <c r="B1361" s="523" t="s">
        <v>3526</v>
      </c>
      <c r="C1361" s="523" t="s">
        <v>3428</v>
      </c>
      <c r="D1361" s="523" t="s">
        <v>3518</v>
      </c>
      <c r="E1361" s="523" t="s">
        <v>3519</v>
      </c>
      <c r="F1361" s="523" t="s">
        <v>36</v>
      </c>
    </row>
    <row r="1362">
      <c r="A1362" s="523">
        <v>1361</v>
      </c>
      <c r="B1362" s="523" t="s">
        <v>3527</v>
      </c>
      <c r="C1362" s="523" t="s">
        <v>3430</v>
      </c>
      <c r="D1362" s="523" t="s">
        <v>3518</v>
      </c>
      <c r="E1362" s="523" t="s">
        <v>3519</v>
      </c>
      <c r="F1362" s="523" t="s">
        <v>36</v>
      </c>
    </row>
    <row r="1363">
      <c r="A1363" s="523">
        <v>1362</v>
      </c>
      <c r="B1363" s="523" t="s">
        <v>3528</v>
      </c>
      <c r="C1363" s="523" t="s">
        <v>3433</v>
      </c>
      <c r="D1363" s="523" t="s">
        <v>3518</v>
      </c>
      <c r="E1363" s="523" t="s">
        <v>3519</v>
      </c>
      <c r="F1363" s="523" t="s">
        <v>36</v>
      </c>
    </row>
    <row r="1364">
      <c r="A1364" s="523">
        <v>1363</v>
      </c>
      <c r="B1364" s="523" t="s">
        <v>3529</v>
      </c>
      <c r="C1364" s="523" t="s">
        <v>3435</v>
      </c>
      <c r="D1364" s="523" t="s">
        <v>3518</v>
      </c>
      <c r="E1364" s="523" t="s">
        <v>3519</v>
      </c>
      <c r="F1364" s="523" t="s">
        <v>36</v>
      </c>
    </row>
    <row r="1365">
      <c r="A1365" s="523">
        <v>1364</v>
      </c>
      <c r="B1365" s="523" t="s">
        <v>3530</v>
      </c>
      <c r="C1365" s="523" t="s">
        <v>3437</v>
      </c>
      <c r="D1365" s="523" t="s">
        <v>3518</v>
      </c>
      <c r="E1365" s="523" t="s">
        <v>3519</v>
      </c>
      <c r="F1365" s="523" t="s">
        <v>36</v>
      </c>
    </row>
    <row r="1366">
      <c r="A1366" s="523">
        <v>1365</v>
      </c>
      <c r="B1366" s="523" t="s">
        <v>3531</v>
      </c>
      <c r="C1366" s="523" t="s">
        <v>3439</v>
      </c>
      <c r="D1366" s="523" t="s">
        <v>3518</v>
      </c>
      <c r="E1366" s="523" t="s">
        <v>3519</v>
      </c>
      <c r="F1366" s="523" t="s">
        <v>36</v>
      </c>
    </row>
    <row r="1367">
      <c r="A1367" s="523">
        <v>1366</v>
      </c>
      <c r="B1367" s="523" t="s">
        <v>3532</v>
      </c>
      <c r="C1367" s="523" t="s">
        <v>3458</v>
      </c>
      <c r="D1367" s="523" t="s">
        <v>3518</v>
      </c>
      <c r="E1367" s="523" t="s">
        <v>3519</v>
      </c>
      <c r="F1367" s="523" t="s">
        <v>36</v>
      </c>
    </row>
    <row r="1368">
      <c r="A1368" s="523">
        <v>1367</v>
      </c>
      <c r="B1368" s="523" t="s">
        <v>3533</v>
      </c>
      <c r="C1368" s="523" t="s">
        <v>3534</v>
      </c>
      <c r="D1368" s="523" t="s">
        <v>3518</v>
      </c>
      <c r="E1368" s="523" t="s">
        <v>3519</v>
      </c>
      <c r="F1368" s="523" t="s">
        <v>36</v>
      </c>
    </row>
    <row r="1369">
      <c r="A1369" s="523">
        <v>1368</v>
      </c>
      <c r="B1369" s="523" t="s">
        <v>3535</v>
      </c>
      <c r="C1369" s="523" t="s">
        <v>3410</v>
      </c>
      <c r="D1369" s="523" t="s">
        <v>3536</v>
      </c>
      <c r="E1369" s="523" t="s">
        <v>3537</v>
      </c>
      <c r="F1369" s="523" t="s">
        <v>36</v>
      </c>
    </row>
    <row r="1370">
      <c r="A1370" s="523">
        <v>1369</v>
      </c>
      <c r="B1370" s="523" t="s">
        <v>3538</v>
      </c>
      <c r="C1370" s="523" t="s">
        <v>3414</v>
      </c>
      <c r="D1370" s="523" t="s">
        <v>3536</v>
      </c>
      <c r="E1370" s="523" t="s">
        <v>3537</v>
      </c>
      <c r="F1370" s="523" t="s">
        <v>36</v>
      </c>
    </row>
    <row r="1371">
      <c r="A1371" s="523">
        <v>1370</v>
      </c>
      <c r="B1371" s="523" t="s">
        <v>3539</v>
      </c>
      <c r="C1371" s="523" t="s">
        <v>3416</v>
      </c>
      <c r="D1371" s="523" t="s">
        <v>3536</v>
      </c>
      <c r="E1371" s="523" t="s">
        <v>3537</v>
      </c>
      <c r="F1371" s="523" t="s">
        <v>36</v>
      </c>
    </row>
    <row r="1372">
      <c r="A1372" s="523">
        <v>1371</v>
      </c>
      <c r="B1372" s="523" t="s">
        <v>3540</v>
      </c>
      <c r="C1372" s="523" t="s">
        <v>3418</v>
      </c>
      <c r="D1372" s="523" t="s">
        <v>3536</v>
      </c>
      <c r="E1372" s="523" t="s">
        <v>3537</v>
      </c>
      <c r="F1372" s="523" t="s">
        <v>36</v>
      </c>
    </row>
    <row r="1373">
      <c r="A1373" s="523">
        <v>1372</v>
      </c>
      <c r="B1373" s="523" t="s">
        <v>3541</v>
      </c>
      <c r="C1373" s="523" t="s">
        <v>3420</v>
      </c>
      <c r="D1373" s="523" t="s">
        <v>3536</v>
      </c>
      <c r="E1373" s="523" t="s">
        <v>3537</v>
      </c>
      <c r="F1373" s="523" t="s">
        <v>36</v>
      </c>
    </row>
    <row r="1374">
      <c r="A1374" s="523">
        <v>1373</v>
      </c>
      <c r="B1374" s="523" t="s">
        <v>3542</v>
      </c>
      <c r="C1374" s="523" t="s">
        <v>3422</v>
      </c>
      <c r="D1374" s="523" t="s">
        <v>3536</v>
      </c>
      <c r="E1374" s="523" t="s">
        <v>3537</v>
      </c>
      <c r="F1374" s="523" t="s">
        <v>36</v>
      </c>
    </row>
    <row r="1375">
      <c r="A1375" s="523">
        <v>1374</v>
      </c>
      <c r="B1375" s="523" t="s">
        <v>3543</v>
      </c>
      <c r="C1375" s="523" t="s">
        <v>3424</v>
      </c>
      <c r="D1375" s="523" t="s">
        <v>3536</v>
      </c>
      <c r="E1375" s="523" t="s">
        <v>3537</v>
      </c>
      <c r="F1375" s="523" t="s">
        <v>36</v>
      </c>
    </row>
    <row r="1376">
      <c r="A1376" s="523">
        <v>1375</v>
      </c>
      <c r="B1376" s="523" t="s">
        <v>3544</v>
      </c>
      <c r="C1376" s="523" t="s">
        <v>3426</v>
      </c>
      <c r="D1376" s="523" t="s">
        <v>3536</v>
      </c>
      <c r="E1376" s="523" t="s">
        <v>3537</v>
      </c>
      <c r="F1376" s="523" t="s">
        <v>36</v>
      </c>
    </row>
    <row r="1377">
      <c r="A1377" s="523">
        <v>1376</v>
      </c>
      <c r="B1377" s="523" t="s">
        <v>3545</v>
      </c>
      <c r="C1377" s="523" t="s">
        <v>3428</v>
      </c>
      <c r="D1377" s="523" t="s">
        <v>3536</v>
      </c>
      <c r="E1377" s="523" t="s">
        <v>3537</v>
      </c>
      <c r="F1377" s="523" t="s">
        <v>36</v>
      </c>
    </row>
    <row r="1378">
      <c r="A1378" s="523">
        <v>1377</v>
      </c>
      <c r="B1378" s="523" t="s">
        <v>3546</v>
      </c>
      <c r="C1378" s="523" t="s">
        <v>3430</v>
      </c>
      <c r="D1378" s="523" t="s">
        <v>3536</v>
      </c>
      <c r="E1378" s="523" t="s">
        <v>3537</v>
      </c>
      <c r="F1378" s="523" t="s">
        <v>36</v>
      </c>
    </row>
    <row r="1379">
      <c r="A1379" s="523">
        <v>1378</v>
      </c>
      <c r="B1379" s="523" t="s">
        <v>3547</v>
      </c>
      <c r="C1379" s="523" t="s">
        <v>3223</v>
      </c>
      <c r="D1379" s="523" t="s">
        <v>3536</v>
      </c>
      <c r="E1379" s="523" t="s">
        <v>3537</v>
      </c>
      <c r="F1379" s="523" t="s">
        <v>36</v>
      </c>
    </row>
    <row r="1380">
      <c r="A1380" s="523">
        <v>1379</v>
      </c>
      <c r="B1380" s="523" t="s">
        <v>3548</v>
      </c>
      <c r="C1380" s="523" t="s">
        <v>3433</v>
      </c>
      <c r="D1380" s="523" t="s">
        <v>3536</v>
      </c>
      <c r="E1380" s="523" t="s">
        <v>3537</v>
      </c>
      <c r="F1380" s="523" t="s">
        <v>36</v>
      </c>
    </row>
    <row r="1381">
      <c r="A1381" s="523">
        <v>1380</v>
      </c>
      <c r="B1381" s="523" t="s">
        <v>3549</v>
      </c>
      <c r="C1381" s="523" t="s">
        <v>3435</v>
      </c>
      <c r="D1381" s="523" t="s">
        <v>3536</v>
      </c>
      <c r="E1381" s="523" t="s">
        <v>3537</v>
      </c>
      <c r="F1381" s="523" t="s">
        <v>36</v>
      </c>
    </row>
    <row r="1382">
      <c r="A1382" s="523">
        <v>1381</v>
      </c>
      <c r="B1382" s="523" t="s">
        <v>3550</v>
      </c>
      <c r="C1382" s="523" t="s">
        <v>3437</v>
      </c>
      <c r="D1382" s="523" t="s">
        <v>3536</v>
      </c>
      <c r="E1382" s="523" t="s">
        <v>3537</v>
      </c>
      <c r="F1382" s="523" t="s">
        <v>36</v>
      </c>
    </row>
    <row r="1383">
      <c r="A1383" s="523">
        <v>1382</v>
      </c>
      <c r="B1383" s="523" t="s">
        <v>3551</v>
      </c>
      <c r="C1383" s="523" t="s">
        <v>3439</v>
      </c>
      <c r="D1383" s="523" t="s">
        <v>3536</v>
      </c>
      <c r="E1383" s="523" t="s">
        <v>3537</v>
      </c>
      <c r="F1383" s="523" t="s">
        <v>36</v>
      </c>
    </row>
    <row r="1384">
      <c r="A1384" s="523">
        <v>1383</v>
      </c>
      <c r="B1384" s="523" t="s">
        <v>3552</v>
      </c>
      <c r="C1384" s="523" t="s">
        <v>3410</v>
      </c>
      <c r="D1384" s="523" t="s">
        <v>3553</v>
      </c>
      <c r="E1384" s="523" t="s">
        <v>3554</v>
      </c>
      <c r="F1384" s="523" t="s">
        <v>36</v>
      </c>
    </row>
    <row r="1385">
      <c r="A1385" s="523">
        <v>1384</v>
      </c>
      <c r="B1385" s="523" t="s">
        <v>3555</v>
      </c>
      <c r="C1385" s="523" t="s">
        <v>3414</v>
      </c>
      <c r="D1385" s="523" t="s">
        <v>3553</v>
      </c>
      <c r="E1385" s="523" t="s">
        <v>3554</v>
      </c>
      <c r="F1385" s="523" t="s">
        <v>36</v>
      </c>
    </row>
    <row r="1386">
      <c r="A1386" s="523">
        <v>1385</v>
      </c>
      <c r="B1386" s="523" t="s">
        <v>3556</v>
      </c>
      <c r="C1386" s="523" t="s">
        <v>3416</v>
      </c>
      <c r="D1386" s="523" t="s">
        <v>3553</v>
      </c>
      <c r="E1386" s="523" t="s">
        <v>3554</v>
      </c>
      <c r="F1386" s="523" t="s">
        <v>36</v>
      </c>
    </row>
    <row r="1387">
      <c r="A1387" s="523">
        <v>1386</v>
      </c>
      <c r="B1387" s="523" t="s">
        <v>3557</v>
      </c>
      <c r="C1387" s="523" t="s">
        <v>3418</v>
      </c>
      <c r="D1387" s="523" t="s">
        <v>3553</v>
      </c>
      <c r="E1387" s="523" t="s">
        <v>3554</v>
      </c>
      <c r="F1387" s="523" t="s">
        <v>36</v>
      </c>
    </row>
    <row r="1388">
      <c r="A1388" s="523">
        <v>1387</v>
      </c>
      <c r="B1388" s="523" t="s">
        <v>3558</v>
      </c>
      <c r="C1388" s="523" t="s">
        <v>3420</v>
      </c>
      <c r="D1388" s="523" t="s">
        <v>3553</v>
      </c>
      <c r="E1388" s="523" t="s">
        <v>3554</v>
      </c>
      <c r="F1388" s="523" t="s">
        <v>36</v>
      </c>
    </row>
    <row r="1389">
      <c r="A1389" s="523">
        <v>1388</v>
      </c>
      <c r="B1389" s="523" t="s">
        <v>3559</v>
      </c>
      <c r="C1389" s="523" t="s">
        <v>3422</v>
      </c>
      <c r="D1389" s="523" t="s">
        <v>3553</v>
      </c>
      <c r="E1389" s="523" t="s">
        <v>3554</v>
      </c>
      <c r="F1389" s="523" t="s">
        <v>36</v>
      </c>
    </row>
    <row r="1390">
      <c r="A1390" s="523">
        <v>1389</v>
      </c>
      <c r="B1390" s="523" t="s">
        <v>3560</v>
      </c>
      <c r="C1390" s="523" t="s">
        <v>3424</v>
      </c>
      <c r="D1390" s="523" t="s">
        <v>3553</v>
      </c>
      <c r="E1390" s="523" t="s">
        <v>3554</v>
      </c>
      <c r="F1390" s="523" t="s">
        <v>36</v>
      </c>
    </row>
    <row r="1391">
      <c r="A1391" s="523">
        <v>1390</v>
      </c>
      <c r="B1391" s="523" t="s">
        <v>3561</v>
      </c>
      <c r="C1391" s="523" t="s">
        <v>3426</v>
      </c>
      <c r="D1391" s="523" t="s">
        <v>3553</v>
      </c>
      <c r="E1391" s="523" t="s">
        <v>3554</v>
      </c>
      <c r="F1391" s="523" t="s">
        <v>36</v>
      </c>
    </row>
    <row r="1392">
      <c r="A1392" s="523">
        <v>1391</v>
      </c>
      <c r="B1392" s="523" t="s">
        <v>3562</v>
      </c>
      <c r="C1392" s="523" t="s">
        <v>3428</v>
      </c>
      <c r="D1392" s="523" t="s">
        <v>3553</v>
      </c>
      <c r="E1392" s="523" t="s">
        <v>3554</v>
      </c>
      <c r="F1392" s="523" t="s">
        <v>36</v>
      </c>
    </row>
    <row r="1393">
      <c r="A1393" s="523">
        <v>1392</v>
      </c>
      <c r="B1393" s="523" t="s">
        <v>3563</v>
      </c>
      <c r="C1393" s="523" t="s">
        <v>3430</v>
      </c>
      <c r="D1393" s="523" t="s">
        <v>3553</v>
      </c>
      <c r="E1393" s="523" t="s">
        <v>3554</v>
      </c>
      <c r="F1393" s="523" t="s">
        <v>36</v>
      </c>
    </row>
    <row r="1394">
      <c r="A1394" s="523">
        <v>1393</v>
      </c>
      <c r="B1394" s="523" t="s">
        <v>3564</v>
      </c>
      <c r="C1394" s="523" t="s">
        <v>3223</v>
      </c>
      <c r="D1394" s="523" t="s">
        <v>3553</v>
      </c>
      <c r="E1394" s="523" t="s">
        <v>3554</v>
      </c>
      <c r="F1394" s="523" t="s">
        <v>36</v>
      </c>
    </row>
    <row r="1395">
      <c r="A1395" s="523">
        <v>1394</v>
      </c>
      <c r="B1395" s="523" t="s">
        <v>3565</v>
      </c>
      <c r="C1395" s="523" t="s">
        <v>3433</v>
      </c>
      <c r="D1395" s="523" t="s">
        <v>3553</v>
      </c>
      <c r="E1395" s="523" t="s">
        <v>3554</v>
      </c>
      <c r="F1395" s="523" t="s">
        <v>36</v>
      </c>
    </row>
    <row r="1396">
      <c r="A1396" s="523">
        <v>1395</v>
      </c>
      <c r="B1396" s="523" t="s">
        <v>3566</v>
      </c>
      <c r="C1396" s="523" t="s">
        <v>3435</v>
      </c>
      <c r="D1396" s="523" t="s">
        <v>3553</v>
      </c>
      <c r="E1396" s="523" t="s">
        <v>3554</v>
      </c>
      <c r="F1396" s="523" t="s">
        <v>36</v>
      </c>
    </row>
    <row r="1397">
      <c r="A1397" s="523">
        <v>1396</v>
      </c>
      <c r="B1397" s="523" t="s">
        <v>3567</v>
      </c>
      <c r="C1397" s="523" t="s">
        <v>3437</v>
      </c>
      <c r="D1397" s="523" t="s">
        <v>3553</v>
      </c>
      <c r="E1397" s="523" t="s">
        <v>3554</v>
      </c>
      <c r="F1397" s="523" t="s">
        <v>36</v>
      </c>
    </row>
    <row r="1398">
      <c r="A1398" s="523">
        <v>1397</v>
      </c>
      <c r="B1398" s="523" t="s">
        <v>3568</v>
      </c>
      <c r="C1398" s="523" t="s">
        <v>3569</v>
      </c>
      <c r="D1398" s="523" t="s">
        <v>3570</v>
      </c>
      <c r="E1398" s="523" t="s">
        <v>3571</v>
      </c>
      <c r="F1398" s="523" t="s">
        <v>36</v>
      </c>
    </row>
    <row r="1399">
      <c r="A1399" s="523">
        <v>1398</v>
      </c>
      <c r="B1399" s="523" t="s">
        <v>3572</v>
      </c>
      <c r="C1399" s="523" t="s">
        <v>1300</v>
      </c>
      <c r="D1399" s="523" t="s">
        <v>3570</v>
      </c>
      <c r="E1399" s="523" t="s">
        <v>3571</v>
      </c>
      <c r="F1399" s="523" t="s">
        <v>36</v>
      </c>
    </row>
    <row r="1400">
      <c r="A1400" s="523">
        <v>1399</v>
      </c>
      <c r="B1400" s="523" t="s">
        <v>3573</v>
      </c>
      <c r="C1400" s="523" t="s">
        <v>3574</v>
      </c>
      <c r="D1400" s="523" t="s">
        <v>3570</v>
      </c>
      <c r="E1400" s="523" t="s">
        <v>3571</v>
      </c>
      <c r="F1400" s="523" t="s">
        <v>36</v>
      </c>
    </row>
    <row r="1401">
      <c r="A1401" s="523">
        <v>1400</v>
      </c>
      <c r="B1401" s="523" t="s">
        <v>3575</v>
      </c>
      <c r="C1401" s="523" t="s">
        <v>2674</v>
      </c>
      <c r="D1401" s="523" t="s">
        <v>3570</v>
      </c>
      <c r="E1401" s="523" t="s">
        <v>3571</v>
      </c>
      <c r="F1401" s="523" t="s">
        <v>36</v>
      </c>
    </row>
    <row r="1402">
      <c r="A1402" s="523">
        <v>1401</v>
      </c>
      <c r="B1402" s="523" t="s">
        <v>3576</v>
      </c>
      <c r="C1402" s="523" t="s">
        <v>3577</v>
      </c>
      <c r="D1402" s="523" t="s">
        <v>3570</v>
      </c>
      <c r="E1402" s="523" t="s">
        <v>3571</v>
      </c>
      <c r="F1402" s="523" t="s">
        <v>36</v>
      </c>
    </row>
    <row r="1403">
      <c r="A1403" s="523">
        <v>1402</v>
      </c>
      <c r="B1403" s="523" t="s">
        <v>3578</v>
      </c>
      <c r="C1403" s="523" t="s">
        <v>2964</v>
      </c>
      <c r="D1403" s="523" t="s">
        <v>3570</v>
      </c>
      <c r="E1403" s="523" t="s">
        <v>3571</v>
      </c>
      <c r="F1403" s="523" t="s">
        <v>36</v>
      </c>
    </row>
    <row r="1404">
      <c r="A1404" s="523">
        <v>1403</v>
      </c>
      <c r="B1404" s="523" t="s">
        <v>3579</v>
      </c>
      <c r="C1404" s="523" t="s">
        <v>1739</v>
      </c>
      <c r="D1404" s="523" t="s">
        <v>3570</v>
      </c>
      <c r="E1404" s="523" t="s">
        <v>3571</v>
      </c>
      <c r="F1404" s="523" t="s">
        <v>36</v>
      </c>
    </row>
    <row r="1405">
      <c r="A1405" s="523">
        <v>1404</v>
      </c>
      <c r="B1405" s="523" t="s">
        <v>3580</v>
      </c>
      <c r="C1405" s="523" t="s">
        <v>3581</v>
      </c>
      <c r="D1405" s="523" t="s">
        <v>3570</v>
      </c>
      <c r="E1405" s="523" t="s">
        <v>3571</v>
      </c>
      <c r="F1405" s="523" t="s">
        <v>36</v>
      </c>
    </row>
    <row r="1406">
      <c r="A1406" s="523">
        <v>1405</v>
      </c>
      <c r="B1406" s="523" t="s">
        <v>3582</v>
      </c>
      <c r="C1406" s="523" t="s">
        <v>3583</v>
      </c>
      <c r="D1406" s="523" t="s">
        <v>3570</v>
      </c>
      <c r="E1406" s="523" t="s">
        <v>3571</v>
      </c>
      <c r="F1406" s="523" t="s">
        <v>36</v>
      </c>
    </row>
    <row r="1407">
      <c r="A1407" s="523">
        <v>1406</v>
      </c>
      <c r="B1407" s="523" t="s">
        <v>3584</v>
      </c>
      <c r="C1407" s="523" t="s">
        <v>3585</v>
      </c>
      <c r="D1407" s="523" t="s">
        <v>3570</v>
      </c>
      <c r="E1407" s="523" t="s">
        <v>3571</v>
      </c>
      <c r="F1407" s="523" t="s">
        <v>36</v>
      </c>
    </row>
    <row r="1408">
      <c r="A1408" s="523">
        <v>1407</v>
      </c>
      <c r="B1408" s="523" t="s">
        <v>3586</v>
      </c>
      <c r="C1408" s="523" t="s">
        <v>3410</v>
      </c>
      <c r="D1408" s="523" t="s">
        <v>3587</v>
      </c>
      <c r="E1408" s="523" t="s">
        <v>3588</v>
      </c>
      <c r="F1408" s="523" t="s">
        <v>36</v>
      </c>
    </row>
    <row r="1409">
      <c r="A1409" s="523">
        <v>1408</v>
      </c>
      <c r="B1409" s="523" t="s">
        <v>3589</v>
      </c>
      <c r="C1409" s="523" t="s">
        <v>3414</v>
      </c>
      <c r="D1409" s="523" t="s">
        <v>3587</v>
      </c>
      <c r="E1409" s="523" t="s">
        <v>3588</v>
      </c>
      <c r="F1409" s="523" t="s">
        <v>36</v>
      </c>
    </row>
    <row r="1410">
      <c r="A1410" s="523">
        <v>1409</v>
      </c>
      <c r="B1410" s="523" t="s">
        <v>3590</v>
      </c>
      <c r="C1410" s="523" t="s">
        <v>3416</v>
      </c>
      <c r="D1410" s="523" t="s">
        <v>3587</v>
      </c>
      <c r="E1410" s="523" t="s">
        <v>3588</v>
      </c>
      <c r="F1410" s="523" t="s">
        <v>36</v>
      </c>
    </row>
    <row r="1411">
      <c r="A1411" s="523">
        <v>1410</v>
      </c>
      <c r="B1411" s="523" t="s">
        <v>3591</v>
      </c>
      <c r="C1411" s="523" t="s">
        <v>3418</v>
      </c>
      <c r="D1411" s="523" t="s">
        <v>3587</v>
      </c>
      <c r="E1411" s="523" t="s">
        <v>3588</v>
      </c>
      <c r="F1411" s="523" t="s">
        <v>36</v>
      </c>
    </row>
    <row r="1412">
      <c r="A1412" s="523">
        <v>1411</v>
      </c>
      <c r="B1412" s="523" t="s">
        <v>3592</v>
      </c>
      <c r="C1412" s="523" t="s">
        <v>3420</v>
      </c>
      <c r="D1412" s="523" t="s">
        <v>3587</v>
      </c>
      <c r="E1412" s="523" t="s">
        <v>3588</v>
      </c>
      <c r="F1412" s="523" t="s">
        <v>36</v>
      </c>
    </row>
    <row r="1413">
      <c r="A1413" s="523">
        <v>1412</v>
      </c>
      <c r="B1413" s="523" t="s">
        <v>3593</v>
      </c>
      <c r="C1413" s="523" t="s">
        <v>3422</v>
      </c>
      <c r="D1413" s="523" t="s">
        <v>3587</v>
      </c>
      <c r="E1413" s="523" t="s">
        <v>3588</v>
      </c>
      <c r="F1413" s="523" t="s">
        <v>36</v>
      </c>
    </row>
    <row r="1414">
      <c r="A1414" s="523">
        <v>1413</v>
      </c>
      <c r="B1414" s="523" t="s">
        <v>3594</v>
      </c>
      <c r="C1414" s="523" t="s">
        <v>3424</v>
      </c>
      <c r="D1414" s="523" t="s">
        <v>3587</v>
      </c>
      <c r="E1414" s="523" t="s">
        <v>3588</v>
      </c>
      <c r="F1414" s="523" t="s">
        <v>36</v>
      </c>
    </row>
    <row r="1415">
      <c r="A1415" s="523">
        <v>1414</v>
      </c>
      <c r="B1415" s="523" t="s">
        <v>3595</v>
      </c>
      <c r="C1415" s="523" t="s">
        <v>3426</v>
      </c>
      <c r="D1415" s="523" t="s">
        <v>3587</v>
      </c>
      <c r="E1415" s="523" t="s">
        <v>3588</v>
      </c>
      <c r="F1415" s="523" t="s">
        <v>36</v>
      </c>
    </row>
    <row r="1416">
      <c r="A1416" s="523">
        <v>1415</v>
      </c>
      <c r="B1416" s="523" t="s">
        <v>3596</v>
      </c>
      <c r="C1416" s="523" t="s">
        <v>3428</v>
      </c>
      <c r="D1416" s="523" t="s">
        <v>3587</v>
      </c>
      <c r="E1416" s="523" t="s">
        <v>3588</v>
      </c>
      <c r="F1416" s="523" t="s">
        <v>36</v>
      </c>
    </row>
    <row r="1417">
      <c r="A1417" s="523">
        <v>1416</v>
      </c>
      <c r="B1417" s="523" t="s">
        <v>3597</v>
      </c>
      <c r="C1417" s="523" t="s">
        <v>3430</v>
      </c>
      <c r="D1417" s="523" t="s">
        <v>3587</v>
      </c>
      <c r="E1417" s="523" t="s">
        <v>3588</v>
      </c>
      <c r="F1417" s="523" t="s">
        <v>36</v>
      </c>
    </row>
    <row r="1418">
      <c r="A1418" s="523">
        <v>1417</v>
      </c>
      <c r="B1418" s="523" t="s">
        <v>3598</v>
      </c>
      <c r="C1418" s="523" t="s">
        <v>3223</v>
      </c>
      <c r="D1418" s="523" t="s">
        <v>3587</v>
      </c>
      <c r="E1418" s="523" t="s">
        <v>3588</v>
      </c>
      <c r="F1418" s="523" t="s">
        <v>36</v>
      </c>
    </row>
    <row r="1419">
      <c r="A1419" s="523">
        <v>1418</v>
      </c>
      <c r="B1419" s="523" t="s">
        <v>3599</v>
      </c>
      <c r="C1419" s="523" t="s">
        <v>3433</v>
      </c>
      <c r="D1419" s="523" t="s">
        <v>3587</v>
      </c>
      <c r="E1419" s="523" t="s">
        <v>3588</v>
      </c>
      <c r="F1419" s="523" t="s">
        <v>36</v>
      </c>
    </row>
    <row r="1420">
      <c r="A1420" s="523">
        <v>1419</v>
      </c>
      <c r="B1420" s="523" t="s">
        <v>3600</v>
      </c>
      <c r="C1420" s="523" t="s">
        <v>3435</v>
      </c>
      <c r="D1420" s="523" t="s">
        <v>3587</v>
      </c>
      <c r="E1420" s="523" t="s">
        <v>3588</v>
      </c>
      <c r="F1420" s="523" t="s">
        <v>36</v>
      </c>
    </row>
    <row r="1421">
      <c r="A1421" s="523">
        <v>1420</v>
      </c>
      <c r="B1421" s="523" t="s">
        <v>3601</v>
      </c>
      <c r="C1421" s="523" t="s">
        <v>3437</v>
      </c>
      <c r="D1421" s="523" t="s">
        <v>3587</v>
      </c>
      <c r="E1421" s="523" t="s">
        <v>3588</v>
      </c>
      <c r="F1421" s="523" t="s">
        <v>36</v>
      </c>
    </row>
    <row r="1422">
      <c r="A1422" s="523">
        <v>1421</v>
      </c>
      <c r="B1422" s="523" t="s">
        <v>3602</v>
      </c>
      <c r="C1422" s="523" t="s">
        <v>3439</v>
      </c>
      <c r="D1422" s="523" t="s">
        <v>3587</v>
      </c>
      <c r="E1422" s="523" t="s">
        <v>3588</v>
      </c>
      <c r="F1422" s="523" t="s">
        <v>36</v>
      </c>
    </row>
    <row r="1423">
      <c r="A1423" s="523">
        <v>1422</v>
      </c>
      <c r="B1423" s="523" t="s">
        <v>3603</v>
      </c>
      <c r="C1423" s="523" t="s">
        <v>3458</v>
      </c>
      <c r="D1423" s="523" t="s">
        <v>3587</v>
      </c>
      <c r="E1423" s="523" t="s">
        <v>3588</v>
      </c>
      <c r="F1423" s="523" t="s">
        <v>36</v>
      </c>
    </row>
    <row r="1424">
      <c r="A1424" s="523">
        <v>1423</v>
      </c>
      <c r="B1424" s="523" t="s">
        <v>3604</v>
      </c>
      <c r="C1424" s="523" t="s">
        <v>3605</v>
      </c>
      <c r="D1424" s="523" t="s">
        <v>3606</v>
      </c>
      <c r="E1424" s="523" t="s">
        <v>3607</v>
      </c>
      <c r="F1424" s="523" t="s">
        <v>36</v>
      </c>
    </row>
    <row r="1425">
      <c r="A1425" s="523">
        <v>1424</v>
      </c>
      <c r="B1425" s="523" t="s">
        <v>3608</v>
      </c>
      <c r="C1425" s="523" t="s">
        <v>2945</v>
      </c>
      <c r="D1425" s="523" t="s">
        <v>3606</v>
      </c>
      <c r="E1425" s="523" t="s">
        <v>3607</v>
      </c>
      <c r="F1425" s="523" t="s">
        <v>36</v>
      </c>
    </row>
    <row r="1426">
      <c r="A1426" s="523">
        <v>1425</v>
      </c>
      <c r="B1426" s="523" t="s">
        <v>3609</v>
      </c>
      <c r="C1426" s="523" t="s">
        <v>1721</v>
      </c>
      <c r="D1426" s="523" t="s">
        <v>3606</v>
      </c>
      <c r="E1426" s="523" t="s">
        <v>3607</v>
      </c>
      <c r="F1426" s="523" t="s">
        <v>36</v>
      </c>
    </row>
    <row r="1427">
      <c r="A1427" s="523">
        <v>1426</v>
      </c>
      <c r="B1427" s="523" t="s">
        <v>3610</v>
      </c>
      <c r="C1427" s="523" t="s">
        <v>3611</v>
      </c>
      <c r="D1427" s="523" t="s">
        <v>3606</v>
      </c>
      <c r="E1427" s="523" t="s">
        <v>3607</v>
      </c>
      <c r="F1427" s="523" t="s">
        <v>36</v>
      </c>
    </row>
    <row r="1428">
      <c r="A1428" s="523">
        <v>1427</v>
      </c>
      <c r="B1428" s="523" t="s">
        <v>3612</v>
      </c>
      <c r="C1428" s="523" t="s">
        <v>3613</v>
      </c>
      <c r="D1428" s="523" t="s">
        <v>3606</v>
      </c>
      <c r="E1428" s="523" t="s">
        <v>3607</v>
      </c>
      <c r="F1428" s="523" t="s">
        <v>36</v>
      </c>
    </row>
    <row r="1429">
      <c r="A1429" s="523">
        <v>1428</v>
      </c>
      <c r="B1429" s="523" t="s">
        <v>3614</v>
      </c>
      <c r="C1429" s="523" t="s">
        <v>3615</v>
      </c>
      <c r="D1429" s="523" t="s">
        <v>3606</v>
      </c>
      <c r="E1429" s="523" t="s">
        <v>3607</v>
      </c>
      <c r="F1429" s="523" t="s">
        <v>36</v>
      </c>
    </row>
    <row r="1430">
      <c r="A1430" s="523">
        <v>1429</v>
      </c>
      <c r="B1430" s="523" t="s">
        <v>3616</v>
      </c>
      <c r="C1430" s="523" t="s">
        <v>1727</v>
      </c>
      <c r="D1430" s="523" t="s">
        <v>3606</v>
      </c>
      <c r="E1430" s="523" t="s">
        <v>3607</v>
      </c>
      <c r="F1430" s="523" t="s">
        <v>36</v>
      </c>
    </row>
    <row r="1431">
      <c r="A1431" s="523">
        <v>1430</v>
      </c>
      <c r="B1431" s="523" t="s">
        <v>3617</v>
      </c>
      <c r="C1431" s="523" t="s">
        <v>3618</v>
      </c>
      <c r="D1431" s="523" t="s">
        <v>3606</v>
      </c>
      <c r="E1431" s="523" t="s">
        <v>3607</v>
      </c>
      <c r="F1431" s="523" t="s">
        <v>36</v>
      </c>
    </row>
    <row r="1432">
      <c r="A1432" s="523">
        <v>1431</v>
      </c>
      <c r="B1432" s="523" t="s">
        <v>3619</v>
      </c>
      <c r="C1432" s="523" t="s">
        <v>3620</v>
      </c>
      <c r="D1432" s="523" t="s">
        <v>3606</v>
      </c>
      <c r="E1432" s="523" t="s">
        <v>3607</v>
      </c>
      <c r="F1432" s="523" t="s">
        <v>36</v>
      </c>
    </row>
    <row r="1433">
      <c r="A1433" s="523">
        <v>1432</v>
      </c>
      <c r="B1433" s="523" t="s">
        <v>3621</v>
      </c>
      <c r="C1433" s="523" t="s">
        <v>1739</v>
      </c>
      <c r="D1433" s="523" t="s">
        <v>3606</v>
      </c>
      <c r="E1433" s="523" t="s">
        <v>3607</v>
      </c>
      <c r="F1433" s="523" t="s">
        <v>36</v>
      </c>
    </row>
    <row r="1434">
      <c r="A1434" s="523">
        <v>1433</v>
      </c>
      <c r="B1434" s="523" t="s">
        <v>3622</v>
      </c>
      <c r="C1434" s="523" t="s">
        <v>3623</v>
      </c>
      <c r="D1434" s="523" t="s">
        <v>3606</v>
      </c>
      <c r="E1434" s="523" t="s">
        <v>3607</v>
      </c>
      <c r="F1434" s="523" t="s">
        <v>36</v>
      </c>
    </row>
    <row r="1435">
      <c r="A1435" s="523">
        <v>1434</v>
      </c>
      <c r="B1435" s="523" t="s">
        <v>3624</v>
      </c>
      <c r="C1435" s="523" t="s">
        <v>3625</v>
      </c>
      <c r="D1435" s="523" t="s">
        <v>3606</v>
      </c>
      <c r="E1435" s="523" t="s">
        <v>3607</v>
      </c>
      <c r="F1435" s="523" t="s">
        <v>36</v>
      </c>
    </row>
    <row r="1436">
      <c r="A1436" s="523">
        <v>1435</v>
      </c>
      <c r="B1436" s="523" t="s">
        <v>3626</v>
      </c>
      <c r="C1436" s="523" t="s">
        <v>3627</v>
      </c>
      <c r="D1436" s="523" t="s">
        <v>3606</v>
      </c>
      <c r="E1436" s="523" t="s">
        <v>3607</v>
      </c>
      <c r="F1436" s="523" t="s">
        <v>36</v>
      </c>
    </row>
    <row r="1437">
      <c r="A1437" s="523">
        <v>1436</v>
      </c>
      <c r="B1437" s="523" t="s">
        <v>3628</v>
      </c>
      <c r="C1437" s="523" t="s">
        <v>2646</v>
      </c>
      <c r="D1437" s="523" t="s">
        <v>3629</v>
      </c>
      <c r="E1437" s="523" t="s">
        <v>3630</v>
      </c>
      <c r="F1437" s="523" t="s">
        <v>36</v>
      </c>
    </row>
    <row r="1438">
      <c r="A1438" s="523">
        <v>1437</v>
      </c>
      <c r="B1438" s="523" t="s">
        <v>3631</v>
      </c>
      <c r="C1438" s="523" t="s">
        <v>3632</v>
      </c>
      <c r="D1438" s="523" t="s">
        <v>3629</v>
      </c>
      <c r="E1438" s="523" t="s">
        <v>3630</v>
      </c>
      <c r="F1438" s="523" t="s">
        <v>36</v>
      </c>
    </row>
    <row r="1439">
      <c r="A1439" s="523">
        <v>1438</v>
      </c>
      <c r="B1439" s="523" t="s">
        <v>3633</v>
      </c>
      <c r="C1439" s="523" t="s">
        <v>3634</v>
      </c>
      <c r="D1439" s="523" t="s">
        <v>3629</v>
      </c>
      <c r="E1439" s="523" t="s">
        <v>3630</v>
      </c>
      <c r="F1439" s="523" t="s">
        <v>36</v>
      </c>
    </row>
    <row r="1440">
      <c r="A1440" s="523">
        <v>1439</v>
      </c>
      <c r="B1440" s="523" t="s">
        <v>3635</v>
      </c>
      <c r="C1440" s="523" t="s">
        <v>3636</v>
      </c>
      <c r="D1440" s="523" t="s">
        <v>3629</v>
      </c>
      <c r="E1440" s="523" t="s">
        <v>3630</v>
      </c>
      <c r="F1440" s="523" t="s">
        <v>36</v>
      </c>
    </row>
    <row r="1441">
      <c r="A1441" s="523">
        <v>1440</v>
      </c>
      <c r="B1441" s="523" t="s">
        <v>3637</v>
      </c>
      <c r="C1441" s="523" t="s">
        <v>3638</v>
      </c>
      <c r="D1441" s="523" t="s">
        <v>3629</v>
      </c>
      <c r="E1441" s="523" t="s">
        <v>3630</v>
      </c>
      <c r="F1441" s="523" t="s">
        <v>36</v>
      </c>
    </row>
    <row r="1442">
      <c r="A1442" s="523">
        <v>1441</v>
      </c>
      <c r="B1442" s="523" t="s">
        <v>3639</v>
      </c>
      <c r="C1442" s="523" t="s">
        <v>3640</v>
      </c>
      <c r="D1442" s="523" t="s">
        <v>3629</v>
      </c>
      <c r="E1442" s="523" t="s">
        <v>3630</v>
      </c>
      <c r="F1442" s="523" t="s">
        <v>36</v>
      </c>
    </row>
    <row r="1443">
      <c r="A1443" s="523">
        <v>1442</v>
      </c>
      <c r="B1443" s="523" t="s">
        <v>3641</v>
      </c>
      <c r="C1443" s="523" t="s">
        <v>3642</v>
      </c>
      <c r="D1443" s="523" t="s">
        <v>3629</v>
      </c>
      <c r="E1443" s="523" t="s">
        <v>3630</v>
      </c>
      <c r="F1443" s="523" t="s">
        <v>36</v>
      </c>
    </row>
    <row r="1444">
      <c r="A1444" s="523">
        <v>1443</v>
      </c>
      <c r="B1444" s="523" t="s">
        <v>3643</v>
      </c>
      <c r="C1444" s="523" t="s">
        <v>3644</v>
      </c>
      <c r="D1444" s="523" t="s">
        <v>3629</v>
      </c>
      <c r="E1444" s="523" t="s">
        <v>3630</v>
      </c>
      <c r="F1444" s="523" t="s">
        <v>36</v>
      </c>
    </row>
    <row r="1445">
      <c r="A1445" s="523">
        <v>1444</v>
      </c>
      <c r="B1445" s="523" t="s">
        <v>3645</v>
      </c>
      <c r="C1445" s="523" t="s">
        <v>3646</v>
      </c>
      <c r="D1445" s="523" t="s">
        <v>3629</v>
      </c>
      <c r="E1445" s="523" t="s">
        <v>3630</v>
      </c>
      <c r="F1445" s="523" t="s">
        <v>36</v>
      </c>
    </row>
    <row r="1446">
      <c r="A1446" s="523">
        <v>1445</v>
      </c>
      <c r="B1446" s="523" t="s">
        <v>3647</v>
      </c>
      <c r="C1446" s="523" t="s">
        <v>3648</v>
      </c>
      <c r="D1446" s="523" t="s">
        <v>3629</v>
      </c>
      <c r="E1446" s="523" t="s">
        <v>3630</v>
      </c>
      <c r="F1446" s="523" t="s">
        <v>36</v>
      </c>
    </row>
    <row r="1447">
      <c r="A1447" s="523">
        <v>1446</v>
      </c>
      <c r="B1447" s="523" t="s">
        <v>3649</v>
      </c>
      <c r="C1447" s="523" t="s">
        <v>3410</v>
      </c>
      <c r="D1447" s="523" t="s">
        <v>3650</v>
      </c>
      <c r="E1447" s="523" t="s">
        <v>3651</v>
      </c>
      <c r="F1447" s="523" t="s">
        <v>36</v>
      </c>
    </row>
    <row r="1448">
      <c r="A1448" s="523">
        <v>1447</v>
      </c>
      <c r="B1448" s="523" t="s">
        <v>3652</v>
      </c>
      <c r="C1448" s="523" t="s">
        <v>3414</v>
      </c>
      <c r="D1448" s="523" t="s">
        <v>3650</v>
      </c>
      <c r="E1448" s="523" t="s">
        <v>3651</v>
      </c>
      <c r="F1448" s="523" t="s">
        <v>36</v>
      </c>
    </row>
    <row r="1449">
      <c r="A1449" s="523">
        <v>1448</v>
      </c>
      <c r="B1449" s="523" t="s">
        <v>3653</v>
      </c>
      <c r="C1449" s="523" t="s">
        <v>3416</v>
      </c>
      <c r="D1449" s="523" t="s">
        <v>3650</v>
      </c>
      <c r="E1449" s="523" t="s">
        <v>3651</v>
      </c>
      <c r="F1449" s="523" t="s">
        <v>36</v>
      </c>
    </row>
    <row r="1450">
      <c r="A1450" s="523">
        <v>1449</v>
      </c>
      <c r="B1450" s="523" t="s">
        <v>3654</v>
      </c>
      <c r="C1450" s="523" t="s">
        <v>3420</v>
      </c>
      <c r="D1450" s="523" t="s">
        <v>3650</v>
      </c>
      <c r="E1450" s="523" t="s">
        <v>3651</v>
      </c>
      <c r="F1450" s="523" t="s">
        <v>36</v>
      </c>
    </row>
    <row r="1451">
      <c r="A1451" s="523">
        <v>1450</v>
      </c>
      <c r="B1451" s="523" t="s">
        <v>3655</v>
      </c>
      <c r="C1451" s="523" t="s">
        <v>3422</v>
      </c>
      <c r="D1451" s="523" t="s">
        <v>3650</v>
      </c>
      <c r="E1451" s="523" t="s">
        <v>3651</v>
      </c>
      <c r="F1451" s="523" t="s">
        <v>36</v>
      </c>
    </row>
    <row r="1452">
      <c r="A1452" s="523">
        <v>1451</v>
      </c>
      <c r="B1452" s="523" t="s">
        <v>3656</v>
      </c>
      <c r="C1452" s="523" t="s">
        <v>3424</v>
      </c>
      <c r="D1452" s="523" t="s">
        <v>3650</v>
      </c>
      <c r="E1452" s="523" t="s">
        <v>3651</v>
      </c>
      <c r="F1452" s="523" t="s">
        <v>36</v>
      </c>
    </row>
    <row r="1453">
      <c r="A1453" s="523">
        <v>1452</v>
      </c>
      <c r="B1453" s="523" t="s">
        <v>3657</v>
      </c>
      <c r="C1453" s="523" t="s">
        <v>3223</v>
      </c>
      <c r="D1453" s="523" t="s">
        <v>3650</v>
      </c>
      <c r="E1453" s="523" t="s">
        <v>3651</v>
      </c>
      <c r="F1453" s="523" t="s">
        <v>36</v>
      </c>
    </row>
    <row r="1454">
      <c r="A1454" s="523">
        <v>1453</v>
      </c>
      <c r="B1454" s="523" t="s">
        <v>3658</v>
      </c>
      <c r="C1454" s="523" t="s">
        <v>3433</v>
      </c>
      <c r="D1454" s="523" t="s">
        <v>3650</v>
      </c>
      <c r="E1454" s="523" t="s">
        <v>3651</v>
      </c>
      <c r="F1454" s="523" t="s">
        <v>36</v>
      </c>
    </row>
    <row r="1455">
      <c r="A1455" s="523">
        <v>1454</v>
      </c>
      <c r="B1455" s="523" t="s">
        <v>3659</v>
      </c>
      <c r="C1455" s="523" t="s">
        <v>3435</v>
      </c>
      <c r="D1455" s="523" t="s">
        <v>3650</v>
      </c>
      <c r="E1455" s="523" t="s">
        <v>3651</v>
      </c>
      <c r="F1455" s="523" t="s">
        <v>36</v>
      </c>
    </row>
    <row r="1456">
      <c r="A1456" s="523">
        <v>1455</v>
      </c>
      <c r="B1456" s="523" t="s">
        <v>3660</v>
      </c>
      <c r="C1456" s="523" t="s">
        <v>3437</v>
      </c>
      <c r="D1456" s="523" t="s">
        <v>3650</v>
      </c>
      <c r="E1456" s="523" t="s">
        <v>3651</v>
      </c>
      <c r="F1456" s="523" t="s">
        <v>36</v>
      </c>
    </row>
    <row r="1457">
      <c r="A1457" s="523">
        <v>1456</v>
      </c>
      <c r="B1457" s="523" t="s">
        <v>3661</v>
      </c>
      <c r="C1457" s="523" t="s">
        <v>3439</v>
      </c>
      <c r="D1457" s="523" t="s">
        <v>3650</v>
      </c>
      <c r="E1457" s="523" t="s">
        <v>3651</v>
      </c>
      <c r="F1457" s="523" t="s">
        <v>36</v>
      </c>
    </row>
    <row r="1458">
      <c r="A1458" s="523">
        <v>1457</v>
      </c>
      <c r="B1458" s="523" t="s">
        <v>3662</v>
      </c>
      <c r="C1458" s="523" t="s">
        <v>3663</v>
      </c>
      <c r="D1458" s="523" t="s">
        <v>3650</v>
      </c>
      <c r="E1458" s="523" t="s">
        <v>3651</v>
      </c>
      <c r="F1458" s="523" t="s">
        <v>36</v>
      </c>
    </row>
    <row r="1459">
      <c r="A1459" s="523">
        <v>1458</v>
      </c>
      <c r="B1459" s="523" t="s">
        <v>3664</v>
      </c>
      <c r="C1459" s="523" t="s">
        <v>3665</v>
      </c>
      <c r="D1459" s="523" t="s">
        <v>3650</v>
      </c>
      <c r="E1459" s="523" t="s">
        <v>3651</v>
      </c>
      <c r="F1459" s="523" t="s">
        <v>36</v>
      </c>
    </row>
    <row r="1460">
      <c r="A1460" s="523">
        <v>1459</v>
      </c>
      <c r="B1460" s="523" t="s">
        <v>3666</v>
      </c>
      <c r="C1460" s="523" t="s">
        <v>3667</v>
      </c>
      <c r="D1460" s="523" t="s">
        <v>3650</v>
      </c>
      <c r="E1460" s="523" t="s">
        <v>3651</v>
      </c>
      <c r="F1460" s="523" t="s">
        <v>36</v>
      </c>
    </row>
    <row r="1461">
      <c r="A1461" s="523">
        <v>1460</v>
      </c>
      <c r="B1461" s="523" t="s">
        <v>3668</v>
      </c>
      <c r="C1461" s="523" t="s">
        <v>3669</v>
      </c>
      <c r="D1461" s="523" t="s">
        <v>3650</v>
      </c>
      <c r="E1461" s="523" t="s">
        <v>3651</v>
      </c>
      <c r="F1461" s="523" t="s">
        <v>36</v>
      </c>
    </row>
    <row r="1462">
      <c r="A1462" s="523">
        <v>1461</v>
      </c>
      <c r="B1462" s="523" t="s">
        <v>3670</v>
      </c>
      <c r="C1462" s="523" t="s">
        <v>3671</v>
      </c>
      <c r="D1462" s="523" t="s">
        <v>3650</v>
      </c>
      <c r="E1462" s="523" t="s">
        <v>3651</v>
      </c>
      <c r="F1462" s="523" t="s">
        <v>36</v>
      </c>
    </row>
    <row r="1463">
      <c r="A1463" s="523">
        <v>1462</v>
      </c>
      <c r="B1463" s="523" t="s">
        <v>3672</v>
      </c>
      <c r="C1463" s="523" t="s">
        <v>3673</v>
      </c>
      <c r="D1463" s="523" t="s">
        <v>3650</v>
      </c>
      <c r="E1463" s="523" t="s">
        <v>3651</v>
      </c>
      <c r="F1463" s="523" t="s">
        <v>36</v>
      </c>
    </row>
    <row r="1464">
      <c r="A1464" s="523">
        <v>1463</v>
      </c>
      <c r="B1464" s="523" t="s">
        <v>3674</v>
      </c>
      <c r="C1464" s="523" t="s">
        <v>3675</v>
      </c>
      <c r="D1464" s="523" t="s">
        <v>3650</v>
      </c>
      <c r="E1464" s="523" t="s">
        <v>3651</v>
      </c>
      <c r="F1464" s="523" t="s">
        <v>36</v>
      </c>
    </row>
    <row r="1465">
      <c r="A1465" s="523">
        <v>1464</v>
      </c>
      <c r="B1465" s="523" t="s">
        <v>3676</v>
      </c>
      <c r="C1465" s="523" t="s">
        <v>3677</v>
      </c>
      <c r="D1465" s="523" t="s">
        <v>3650</v>
      </c>
      <c r="E1465" s="523" t="s">
        <v>3651</v>
      </c>
      <c r="F1465" s="523" t="s">
        <v>36</v>
      </c>
    </row>
    <row r="1466">
      <c r="A1466" s="523">
        <v>1465</v>
      </c>
      <c r="B1466" s="523" t="s">
        <v>3678</v>
      </c>
      <c r="C1466" s="523" t="s">
        <v>3679</v>
      </c>
      <c r="D1466" s="523" t="s">
        <v>3650</v>
      </c>
      <c r="E1466" s="523" t="s">
        <v>3651</v>
      </c>
      <c r="F1466" s="523" t="s">
        <v>36</v>
      </c>
    </row>
    <row r="1467">
      <c r="A1467" s="523">
        <v>1466</v>
      </c>
      <c r="B1467" s="523" t="s">
        <v>3680</v>
      </c>
      <c r="C1467" s="523" t="s">
        <v>3410</v>
      </c>
      <c r="D1467" s="523" t="s">
        <v>3681</v>
      </c>
      <c r="E1467" s="523" t="s">
        <v>3682</v>
      </c>
      <c r="F1467" s="523" t="s">
        <v>36</v>
      </c>
    </row>
    <row r="1468">
      <c r="A1468" s="523">
        <v>1467</v>
      </c>
      <c r="B1468" s="523" t="s">
        <v>3683</v>
      </c>
      <c r="C1468" s="523" t="s">
        <v>3416</v>
      </c>
      <c r="D1468" s="523" t="s">
        <v>3681</v>
      </c>
      <c r="E1468" s="523" t="s">
        <v>3682</v>
      </c>
      <c r="F1468" s="523" t="s">
        <v>36</v>
      </c>
    </row>
    <row r="1469">
      <c r="A1469" s="523">
        <v>1468</v>
      </c>
      <c r="B1469" s="523" t="s">
        <v>3684</v>
      </c>
      <c r="C1469" s="523" t="s">
        <v>3418</v>
      </c>
      <c r="D1469" s="523" t="s">
        <v>3681</v>
      </c>
      <c r="E1469" s="523" t="s">
        <v>3682</v>
      </c>
      <c r="F1469" s="523" t="s">
        <v>36</v>
      </c>
    </row>
    <row r="1470">
      <c r="A1470" s="523">
        <v>1469</v>
      </c>
      <c r="B1470" s="523" t="s">
        <v>3685</v>
      </c>
      <c r="C1470" s="523" t="s">
        <v>3420</v>
      </c>
      <c r="D1470" s="523" t="s">
        <v>3681</v>
      </c>
      <c r="E1470" s="523" t="s">
        <v>3682</v>
      </c>
      <c r="F1470" s="523" t="s">
        <v>36</v>
      </c>
    </row>
    <row r="1471">
      <c r="A1471" s="523">
        <v>1470</v>
      </c>
      <c r="B1471" s="523" t="s">
        <v>3686</v>
      </c>
      <c r="C1471" s="523" t="s">
        <v>3424</v>
      </c>
      <c r="D1471" s="523" t="s">
        <v>3681</v>
      </c>
      <c r="E1471" s="523" t="s">
        <v>3682</v>
      </c>
      <c r="F1471" s="523" t="s">
        <v>36</v>
      </c>
    </row>
    <row r="1472">
      <c r="A1472" s="523">
        <v>1471</v>
      </c>
      <c r="B1472" s="523" t="s">
        <v>3687</v>
      </c>
      <c r="C1472" s="523" t="s">
        <v>3430</v>
      </c>
      <c r="D1472" s="523" t="s">
        <v>3681</v>
      </c>
      <c r="E1472" s="523" t="s">
        <v>3682</v>
      </c>
      <c r="F1472" s="523" t="s">
        <v>36</v>
      </c>
    </row>
    <row r="1473">
      <c r="A1473" s="523">
        <v>1472</v>
      </c>
      <c r="B1473" s="523" t="s">
        <v>3688</v>
      </c>
      <c r="C1473" s="523" t="s">
        <v>3223</v>
      </c>
      <c r="D1473" s="523" t="s">
        <v>3681</v>
      </c>
      <c r="E1473" s="523" t="s">
        <v>3682</v>
      </c>
      <c r="F1473" s="523" t="s">
        <v>36</v>
      </c>
    </row>
    <row r="1474">
      <c r="A1474" s="523">
        <v>1473</v>
      </c>
      <c r="B1474" s="523" t="s">
        <v>3689</v>
      </c>
      <c r="C1474" s="523" t="s">
        <v>3433</v>
      </c>
      <c r="D1474" s="523" t="s">
        <v>3681</v>
      </c>
      <c r="E1474" s="523" t="s">
        <v>3682</v>
      </c>
      <c r="F1474" s="523" t="s">
        <v>36</v>
      </c>
    </row>
    <row r="1475">
      <c r="A1475" s="523">
        <v>1474</v>
      </c>
      <c r="B1475" s="523" t="s">
        <v>3690</v>
      </c>
      <c r="C1475" s="523" t="s">
        <v>3435</v>
      </c>
      <c r="D1475" s="523" t="s">
        <v>3681</v>
      </c>
      <c r="E1475" s="523" t="s">
        <v>3682</v>
      </c>
      <c r="F1475" s="523" t="s">
        <v>36</v>
      </c>
    </row>
    <row r="1476">
      <c r="A1476" s="523">
        <v>1475</v>
      </c>
      <c r="B1476" s="523" t="s">
        <v>3691</v>
      </c>
      <c r="C1476" s="523" t="s">
        <v>3437</v>
      </c>
      <c r="D1476" s="523" t="s">
        <v>3681</v>
      </c>
      <c r="E1476" s="523" t="s">
        <v>3682</v>
      </c>
      <c r="F1476" s="523" t="s">
        <v>36</v>
      </c>
    </row>
    <row r="1477">
      <c r="A1477" s="523">
        <v>1476</v>
      </c>
      <c r="B1477" s="523" t="s">
        <v>3692</v>
      </c>
      <c r="C1477" s="523" t="s">
        <v>3439</v>
      </c>
      <c r="D1477" s="523" t="s">
        <v>3681</v>
      </c>
      <c r="E1477" s="523" t="s">
        <v>3682</v>
      </c>
      <c r="F1477" s="523" t="s">
        <v>36</v>
      </c>
    </row>
    <row r="1478">
      <c r="A1478" s="523">
        <v>1477</v>
      </c>
      <c r="B1478" s="523" t="s">
        <v>3693</v>
      </c>
      <c r="C1478" s="523" t="s">
        <v>3458</v>
      </c>
      <c r="D1478" s="523" t="s">
        <v>3681</v>
      </c>
      <c r="E1478" s="523" t="s">
        <v>3682</v>
      </c>
      <c r="F1478" s="523" t="s">
        <v>36</v>
      </c>
    </row>
    <row r="1479">
      <c r="A1479" s="523">
        <v>1478</v>
      </c>
      <c r="B1479" s="523" t="s">
        <v>3694</v>
      </c>
      <c r="C1479" s="523" t="s">
        <v>3663</v>
      </c>
      <c r="D1479" s="523" t="s">
        <v>3681</v>
      </c>
      <c r="E1479" s="523" t="s">
        <v>3682</v>
      </c>
      <c r="F1479" s="523" t="s">
        <v>36</v>
      </c>
    </row>
    <row r="1480">
      <c r="A1480" s="523">
        <v>1479</v>
      </c>
      <c r="B1480" s="523" t="s">
        <v>3695</v>
      </c>
      <c r="C1480" s="523" t="s">
        <v>2042</v>
      </c>
      <c r="D1480" s="523" t="s">
        <v>3681</v>
      </c>
      <c r="E1480" s="523" t="s">
        <v>3682</v>
      </c>
      <c r="F1480" s="523" t="s">
        <v>36</v>
      </c>
    </row>
    <row r="1481">
      <c r="A1481" s="523">
        <v>1480</v>
      </c>
      <c r="B1481" s="523" t="s">
        <v>3696</v>
      </c>
      <c r="C1481" s="523" t="s">
        <v>654</v>
      </c>
      <c r="D1481" s="523" t="s">
        <v>3681</v>
      </c>
      <c r="E1481" s="523" t="s">
        <v>3682</v>
      </c>
      <c r="F1481" s="523" t="s">
        <v>36</v>
      </c>
    </row>
    <row r="1482">
      <c r="A1482" s="523">
        <v>1481</v>
      </c>
      <c r="B1482" s="523" t="s">
        <v>3697</v>
      </c>
      <c r="C1482" s="523" t="s">
        <v>2498</v>
      </c>
      <c r="D1482" s="523" t="s">
        <v>3681</v>
      </c>
      <c r="E1482" s="523" t="s">
        <v>3682</v>
      </c>
      <c r="F1482" s="523" t="s">
        <v>36</v>
      </c>
    </row>
    <row r="1483">
      <c r="A1483" s="523">
        <v>1482</v>
      </c>
      <c r="B1483" s="523" t="s">
        <v>3698</v>
      </c>
      <c r="C1483" s="523" t="s">
        <v>3410</v>
      </c>
      <c r="D1483" s="523" t="s">
        <v>3699</v>
      </c>
      <c r="E1483" s="523" t="s">
        <v>3700</v>
      </c>
      <c r="F1483" s="523" t="s">
        <v>36</v>
      </c>
    </row>
    <row r="1484">
      <c r="A1484" s="523">
        <v>1483</v>
      </c>
      <c r="B1484" s="523" t="s">
        <v>3701</v>
      </c>
      <c r="C1484" s="523" t="s">
        <v>3414</v>
      </c>
      <c r="D1484" s="523" t="s">
        <v>3699</v>
      </c>
      <c r="E1484" s="523" t="s">
        <v>3700</v>
      </c>
      <c r="F1484" s="523" t="s">
        <v>36</v>
      </c>
    </row>
    <row r="1485">
      <c r="A1485" s="523">
        <v>1484</v>
      </c>
      <c r="B1485" s="523" t="s">
        <v>3702</v>
      </c>
      <c r="C1485" s="523" t="s">
        <v>3416</v>
      </c>
      <c r="D1485" s="523" t="s">
        <v>3699</v>
      </c>
      <c r="E1485" s="523" t="s">
        <v>3700</v>
      </c>
      <c r="F1485" s="523" t="s">
        <v>36</v>
      </c>
    </row>
    <row r="1486">
      <c r="A1486" s="523">
        <v>1485</v>
      </c>
      <c r="B1486" s="523" t="s">
        <v>3703</v>
      </c>
      <c r="C1486" s="523" t="s">
        <v>3418</v>
      </c>
      <c r="D1486" s="523" t="s">
        <v>3699</v>
      </c>
      <c r="E1486" s="523" t="s">
        <v>3700</v>
      </c>
      <c r="F1486" s="523" t="s">
        <v>36</v>
      </c>
    </row>
    <row r="1487">
      <c r="A1487" s="523">
        <v>1486</v>
      </c>
      <c r="B1487" s="523" t="s">
        <v>3704</v>
      </c>
      <c r="C1487" s="523" t="s">
        <v>3420</v>
      </c>
      <c r="D1487" s="523" t="s">
        <v>3699</v>
      </c>
      <c r="E1487" s="523" t="s">
        <v>3700</v>
      </c>
      <c r="F1487" s="523" t="s">
        <v>36</v>
      </c>
    </row>
    <row r="1488">
      <c r="A1488" s="523">
        <v>1487</v>
      </c>
      <c r="B1488" s="523" t="s">
        <v>3705</v>
      </c>
      <c r="C1488" s="523" t="s">
        <v>3424</v>
      </c>
      <c r="D1488" s="523" t="s">
        <v>3699</v>
      </c>
      <c r="E1488" s="523" t="s">
        <v>3700</v>
      </c>
      <c r="F1488" s="523" t="s">
        <v>36</v>
      </c>
    </row>
    <row r="1489">
      <c r="A1489" s="523">
        <v>1488</v>
      </c>
      <c r="B1489" s="523" t="s">
        <v>3706</v>
      </c>
      <c r="C1489" s="523" t="s">
        <v>3426</v>
      </c>
      <c r="D1489" s="523" t="s">
        <v>3699</v>
      </c>
      <c r="E1489" s="523" t="s">
        <v>3700</v>
      </c>
      <c r="F1489" s="523" t="s">
        <v>36</v>
      </c>
    </row>
    <row r="1490">
      <c r="A1490" s="523">
        <v>1489</v>
      </c>
      <c r="B1490" s="523" t="s">
        <v>3707</v>
      </c>
      <c r="C1490" s="523" t="s">
        <v>3428</v>
      </c>
      <c r="D1490" s="523" t="s">
        <v>3699</v>
      </c>
      <c r="E1490" s="523" t="s">
        <v>3700</v>
      </c>
      <c r="F1490" s="523" t="s">
        <v>36</v>
      </c>
    </row>
    <row r="1491">
      <c r="A1491" s="523">
        <v>1490</v>
      </c>
      <c r="B1491" s="523" t="s">
        <v>3708</v>
      </c>
      <c r="C1491" s="523" t="s">
        <v>3430</v>
      </c>
      <c r="D1491" s="523" t="s">
        <v>3699</v>
      </c>
      <c r="E1491" s="523" t="s">
        <v>3700</v>
      </c>
      <c r="F1491" s="523" t="s">
        <v>36</v>
      </c>
    </row>
    <row r="1492">
      <c r="A1492" s="523">
        <v>1491</v>
      </c>
      <c r="B1492" s="523" t="s">
        <v>3709</v>
      </c>
      <c r="C1492" s="523" t="s">
        <v>3223</v>
      </c>
      <c r="D1492" s="523" t="s">
        <v>3699</v>
      </c>
      <c r="E1492" s="523" t="s">
        <v>3700</v>
      </c>
      <c r="F1492" s="523" t="s">
        <v>36</v>
      </c>
    </row>
    <row r="1493">
      <c r="A1493" s="523">
        <v>1492</v>
      </c>
      <c r="B1493" s="523" t="s">
        <v>3710</v>
      </c>
      <c r="C1493" s="523" t="s">
        <v>3433</v>
      </c>
      <c r="D1493" s="523" t="s">
        <v>3699</v>
      </c>
      <c r="E1493" s="523" t="s">
        <v>3700</v>
      </c>
      <c r="F1493" s="523" t="s">
        <v>36</v>
      </c>
    </row>
    <row r="1494">
      <c r="A1494" s="523">
        <v>1493</v>
      </c>
      <c r="B1494" s="523" t="s">
        <v>3711</v>
      </c>
      <c r="C1494" s="523" t="s">
        <v>3435</v>
      </c>
      <c r="D1494" s="523" t="s">
        <v>3699</v>
      </c>
      <c r="E1494" s="523" t="s">
        <v>3700</v>
      </c>
      <c r="F1494" s="523" t="s">
        <v>36</v>
      </c>
    </row>
    <row r="1495">
      <c r="A1495" s="523">
        <v>1494</v>
      </c>
      <c r="B1495" s="523" t="s">
        <v>3712</v>
      </c>
      <c r="C1495" s="523" t="s">
        <v>3437</v>
      </c>
      <c r="D1495" s="523" t="s">
        <v>3699</v>
      </c>
      <c r="E1495" s="523" t="s">
        <v>3700</v>
      </c>
      <c r="F1495" s="523" t="s">
        <v>36</v>
      </c>
    </row>
    <row r="1496">
      <c r="A1496" s="523">
        <v>1495</v>
      </c>
      <c r="B1496" s="523" t="s">
        <v>3713</v>
      </c>
      <c r="C1496" s="523" t="s">
        <v>3439</v>
      </c>
      <c r="D1496" s="523" t="s">
        <v>3699</v>
      </c>
      <c r="E1496" s="523" t="s">
        <v>3700</v>
      </c>
      <c r="F1496" s="523" t="s">
        <v>36</v>
      </c>
    </row>
    <row r="1497">
      <c r="A1497" s="523">
        <v>1496</v>
      </c>
      <c r="B1497" s="523" t="s">
        <v>3714</v>
      </c>
      <c r="C1497" s="523" t="s">
        <v>3663</v>
      </c>
      <c r="D1497" s="523" t="s">
        <v>3699</v>
      </c>
      <c r="E1497" s="523" t="s">
        <v>3700</v>
      </c>
      <c r="F1497" s="523" t="s">
        <v>36</v>
      </c>
    </row>
    <row r="1498">
      <c r="A1498" s="523">
        <v>1497</v>
      </c>
      <c r="B1498" s="523" t="s">
        <v>3715</v>
      </c>
      <c r="C1498" s="523" t="s">
        <v>3410</v>
      </c>
      <c r="D1498" s="523" t="s">
        <v>3716</v>
      </c>
      <c r="E1498" s="523" t="s">
        <v>3717</v>
      </c>
      <c r="F1498" s="523" t="s">
        <v>36</v>
      </c>
    </row>
    <row r="1499">
      <c r="A1499" s="523">
        <v>1498</v>
      </c>
      <c r="B1499" s="523" t="s">
        <v>3718</v>
      </c>
      <c r="C1499" s="523" t="s">
        <v>3414</v>
      </c>
      <c r="D1499" s="523" t="s">
        <v>3716</v>
      </c>
      <c r="E1499" s="523" t="s">
        <v>3717</v>
      </c>
      <c r="F1499" s="523" t="s">
        <v>36</v>
      </c>
    </row>
    <row r="1500">
      <c r="A1500" s="523">
        <v>1499</v>
      </c>
      <c r="B1500" s="523" t="s">
        <v>3719</v>
      </c>
      <c r="C1500" s="523" t="s">
        <v>3416</v>
      </c>
      <c r="D1500" s="523" t="s">
        <v>3716</v>
      </c>
      <c r="E1500" s="523" t="s">
        <v>3717</v>
      </c>
      <c r="F1500" s="523" t="s">
        <v>36</v>
      </c>
    </row>
    <row r="1501">
      <c r="A1501" s="523">
        <v>1500</v>
      </c>
      <c r="B1501" s="523" t="s">
        <v>3720</v>
      </c>
      <c r="C1501" s="523" t="s">
        <v>3418</v>
      </c>
      <c r="D1501" s="523" t="s">
        <v>3716</v>
      </c>
      <c r="E1501" s="523" t="s">
        <v>3717</v>
      </c>
      <c r="F1501" s="523" t="s">
        <v>36</v>
      </c>
    </row>
    <row r="1502">
      <c r="A1502" s="523">
        <v>1501</v>
      </c>
      <c r="B1502" s="523" t="s">
        <v>3721</v>
      </c>
      <c r="C1502" s="523" t="s">
        <v>3420</v>
      </c>
      <c r="D1502" s="523" t="s">
        <v>3716</v>
      </c>
      <c r="E1502" s="523" t="s">
        <v>3717</v>
      </c>
      <c r="F1502" s="523" t="s">
        <v>36</v>
      </c>
    </row>
    <row r="1503">
      <c r="A1503" s="523">
        <v>1502</v>
      </c>
      <c r="B1503" s="523" t="s">
        <v>3722</v>
      </c>
      <c r="C1503" s="523" t="s">
        <v>3422</v>
      </c>
      <c r="D1503" s="523" t="s">
        <v>3716</v>
      </c>
      <c r="E1503" s="523" t="s">
        <v>3717</v>
      </c>
      <c r="F1503" s="523" t="s">
        <v>36</v>
      </c>
    </row>
    <row r="1504">
      <c r="A1504" s="523">
        <v>1503</v>
      </c>
      <c r="B1504" s="523" t="s">
        <v>3723</v>
      </c>
      <c r="C1504" s="523" t="s">
        <v>3424</v>
      </c>
      <c r="D1504" s="523" t="s">
        <v>3716</v>
      </c>
      <c r="E1504" s="523" t="s">
        <v>3717</v>
      </c>
      <c r="F1504" s="523" t="s">
        <v>36</v>
      </c>
    </row>
    <row r="1505">
      <c r="A1505" s="523">
        <v>1504</v>
      </c>
      <c r="B1505" s="523" t="s">
        <v>3724</v>
      </c>
      <c r="C1505" s="523" t="s">
        <v>3426</v>
      </c>
      <c r="D1505" s="523" t="s">
        <v>3716</v>
      </c>
      <c r="E1505" s="523" t="s">
        <v>3717</v>
      </c>
      <c r="F1505" s="523" t="s">
        <v>36</v>
      </c>
    </row>
    <row r="1506">
      <c r="A1506" s="523">
        <v>1505</v>
      </c>
      <c r="B1506" s="523" t="s">
        <v>3725</v>
      </c>
      <c r="C1506" s="523" t="s">
        <v>3428</v>
      </c>
      <c r="D1506" s="523" t="s">
        <v>3716</v>
      </c>
      <c r="E1506" s="523" t="s">
        <v>3717</v>
      </c>
      <c r="F1506" s="523" t="s">
        <v>36</v>
      </c>
    </row>
    <row r="1507">
      <c r="A1507" s="523">
        <v>1506</v>
      </c>
      <c r="B1507" s="523" t="s">
        <v>3726</v>
      </c>
      <c r="C1507" s="523" t="s">
        <v>3430</v>
      </c>
      <c r="D1507" s="523" t="s">
        <v>3716</v>
      </c>
      <c r="E1507" s="523" t="s">
        <v>3717</v>
      </c>
      <c r="F1507" s="523" t="s">
        <v>36</v>
      </c>
    </row>
    <row r="1508">
      <c r="A1508" s="523">
        <v>1507</v>
      </c>
      <c r="B1508" s="523" t="s">
        <v>3727</v>
      </c>
      <c r="C1508" s="523" t="s">
        <v>3223</v>
      </c>
      <c r="D1508" s="523" t="s">
        <v>3716</v>
      </c>
      <c r="E1508" s="523" t="s">
        <v>3717</v>
      </c>
      <c r="F1508" s="523" t="s">
        <v>36</v>
      </c>
    </row>
    <row r="1509">
      <c r="A1509" s="523">
        <v>1508</v>
      </c>
      <c r="B1509" s="523" t="s">
        <v>3728</v>
      </c>
      <c r="C1509" s="523" t="s">
        <v>3433</v>
      </c>
      <c r="D1509" s="523" t="s">
        <v>3716</v>
      </c>
      <c r="E1509" s="523" t="s">
        <v>3717</v>
      </c>
      <c r="F1509" s="523" t="s">
        <v>36</v>
      </c>
    </row>
    <row r="1510">
      <c r="A1510" s="523">
        <v>1509</v>
      </c>
      <c r="B1510" s="523" t="s">
        <v>3729</v>
      </c>
      <c r="C1510" s="523" t="s">
        <v>3435</v>
      </c>
      <c r="D1510" s="523" t="s">
        <v>3716</v>
      </c>
      <c r="E1510" s="523" t="s">
        <v>3717</v>
      </c>
      <c r="F1510" s="523" t="s">
        <v>36</v>
      </c>
    </row>
    <row r="1511">
      <c r="A1511" s="523">
        <v>1510</v>
      </c>
      <c r="B1511" s="523" t="s">
        <v>3730</v>
      </c>
      <c r="C1511" s="523" t="s">
        <v>3437</v>
      </c>
      <c r="D1511" s="523" t="s">
        <v>3716</v>
      </c>
      <c r="E1511" s="523" t="s">
        <v>3717</v>
      </c>
      <c r="F1511" s="523" t="s">
        <v>36</v>
      </c>
    </row>
    <row r="1512">
      <c r="A1512" s="523">
        <v>1511</v>
      </c>
      <c r="B1512" s="523" t="s">
        <v>3731</v>
      </c>
      <c r="C1512" s="523" t="s">
        <v>3439</v>
      </c>
      <c r="D1512" s="523" t="s">
        <v>3716</v>
      </c>
      <c r="E1512" s="523" t="s">
        <v>3717</v>
      </c>
      <c r="F1512" s="523" t="s">
        <v>36</v>
      </c>
    </row>
    <row r="1513">
      <c r="A1513" s="523">
        <v>1512</v>
      </c>
      <c r="B1513" s="523" t="s">
        <v>3732</v>
      </c>
      <c r="C1513" s="523" t="s">
        <v>3733</v>
      </c>
      <c r="D1513" s="523" t="s">
        <v>3734</v>
      </c>
      <c r="E1513" s="523" t="s">
        <v>3735</v>
      </c>
      <c r="F1513" s="523" t="s">
        <v>36</v>
      </c>
    </row>
    <row r="1514">
      <c r="A1514" s="523">
        <v>1513</v>
      </c>
      <c r="B1514" s="523" t="s">
        <v>3736</v>
      </c>
      <c r="C1514" s="523" t="s">
        <v>3737</v>
      </c>
      <c r="D1514" s="523" t="s">
        <v>3734</v>
      </c>
      <c r="E1514" s="523" t="s">
        <v>3735</v>
      </c>
      <c r="F1514" s="523" t="s">
        <v>36</v>
      </c>
    </row>
    <row r="1515">
      <c r="A1515" s="523">
        <v>1514</v>
      </c>
      <c r="B1515" s="523" t="s">
        <v>3738</v>
      </c>
      <c r="C1515" s="523" t="s">
        <v>3739</v>
      </c>
      <c r="D1515" s="523" t="s">
        <v>3734</v>
      </c>
      <c r="E1515" s="523" t="s">
        <v>3735</v>
      </c>
      <c r="F1515" s="523" t="s">
        <v>36</v>
      </c>
    </row>
    <row r="1516">
      <c r="A1516" s="523">
        <v>1515</v>
      </c>
      <c r="B1516" s="523" t="s">
        <v>3740</v>
      </c>
      <c r="C1516" s="523" t="s">
        <v>3741</v>
      </c>
      <c r="D1516" s="523" t="s">
        <v>3734</v>
      </c>
      <c r="E1516" s="523" t="s">
        <v>3735</v>
      </c>
      <c r="F1516" s="523" t="s">
        <v>36</v>
      </c>
    </row>
    <row r="1517">
      <c r="A1517" s="523">
        <v>1516</v>
      </c>
      <c r="B1517" s="523" t="s">
        <v>3742</v>
      </c>
      <c r="C1517" s="523" t="s">
        <v>3743</v>
      </c>
      <c r="D1517" s="523" t="s">
        <v>3734</v>
      </c>
      <c r="E1517" s="523" t="s">
        <v>3735</v>
      </c>
      <c r="F1517" s="523" t="s">
        <v>36</v>
      </c>
    </row>
    <row r="1518">
      <c r="A1518" s="523">
        <v>1517</v>
      </c>
      <c r="B1518" s="523" t="s">
        <v>3744</v>
      </c>
      <c r="C1518" s="523" t="s">
        <v>3745</v>
      </c>
      <c r="D1518" s="523" t="s">
        <v>3734</v>
      </c>
      <c r="E1518" s="523" t="s">
        <v>3735</v>
      </c>
      <c r="F1518" s="523" t="s">
        <v>36</v>
      </c>
    </row>
    <row r="1519">
      <c r="A1519" s="523">
        <v>1518</v>
      </c>
      <c r="B1519" s="523" t="s">
        <v>3746</v>
      </c>
      <c r="C1519" s="523" t="s">
        <v>3747</v>
      </c>
      <c r="D1519" s="523" t="s">
        <v>3734</v>
      </c>
      <c r="E1519" s="523" t="s">
        <v>3735</v>
      </c>
      <c r="F1519" s="523" t="s">
        <v>36</v>
      </c>
    </row>
    <row r="1520">
      <c r="A1520" s="523">
        <v>1519</v>
      </c>
      <c r="B1520" s="523" t="s">
        <v>3748</v>
      </c>
      <c r="C1520" s="523" t="s">
        <v>3749</v>
      </c>
      <c r="D1520" s="523" t="s">
        <v>3734</v>
      </c>
      <c r="E1520" s="523" t="s">
        <v>3735</v>
      </c>
      <c r="F1520" s="523" t="s">
        <v>36</v>
      </c>
    </row>
    <row r="1521">
      <c r="A1521" s="523">
        <v>1520</v>
      </c>
      <c r="B1521" s="523" t="s">
        <v>3750</v>
      </c>
      <c r="C1521" s="523" t="s">
        <v>2500</v>
      </c>
      <c r="D1521" s="523" t="s">
        <v>3734</v>
      </c>
      <c r="E1521" s="523" t="s">
        <v>3735</v>
      </c>
      <c r="F1521" s="523" t="s">
        <v>36</v>
      </c>
    </row>
    <row r="1522">
      <c r="A1522" s="523">
        <v>1521</v>
      </c>
      <c r="B1522" s="523" t="s">
        <v>3751</v>
      </c>
      <c r="C1522" s="523" t="s">
        <v>3752</v>
      </c>
      <c r="D1522" s="523" t="s">
        <v>3734</v>
      </c>
      <c r="E1522" s="523" t="s">
        <v>3735</v>
      </c>
      <c r="F1522" s="523" t="s">
        <v>36</v>
      </c>
    </row>
    <row r="1523">
      <c r="A1523" s="523">
        <v>1522</v>
      </c>
      <c r="B1523" s="523" t="s">
        <v>3753</v>
      </c>
      <c r="C1523" s="523" t="s">
        <v>3754</v>
      </c>
      <c r="D1523" s="523" t="s">
        <v>3734</v>
      </c>
      <c r="E1523" s="523" t="s">
        <v>3735</v>
      </c>
      <c r="F1523" s="523" t="s">
        <v>36</v>
      </c>
    </row>
    <row r="1524">
      <c r="A1524" s="523">
        <v>1523</v>
      </c>
      <c r="B1524" s="523" t="s">
        <v>3755</v>
      </c>
      <c r="C1524" s="523" t="s">
        <v>3756</v>
      </c>
      <c r="D1524" s="523" t="s">
        <v>3757</v>
      </c>
      <c r="E1524" s="523" t="s">
        <v>3758</v>
      </c>
      <c r="F1524" s="523" t="s">
        <v>36</v>
      </c>
    </row>
    <row r="1525">
      <c r="A1525" s="523">
        <v>1524</v>
      </c>
      <c r="B1525" s="523" t="s">
        <v>3759</v>
      </c>
      <c r="C1525" s="523" t="s">
        <v>3760</v>
      </c>
      <c r="D1525" s="523" t="s">
        <v>3757</v>
      </c>
      <c r="E1525" s="523" t="s">
        <v>3758</v>
      </c>
      <c r="F1525" s="523" t="s">
        <v>36</v>
      </c>
    </row>
    <row r="1526">
      <c r="A1526" s="523">
        <v>1525</v>
      </c>
      <c r="B1526" s="523" t="s">
        <v>3761</v>
      </c>
      <c r="C1526" s="523" t="s">
        <v>3762</v>
      </c>
      <c r="D1526" s="523" t="s">
        <v>3757</v>
      </c>
      <c r="E1526" s="523" t="s">
        <v>3758</v>
      </c>
      <c r="F1526" s="523" t="s">
        <v>36</v>
      </c>
    </row>
    <row r="1527">
      <c r="A1527" s="523">
        <v>1526</v>
      </c>
      <c r="B1527" s="523" t="s">
        <v>3763</v>
      </c>
      <c r="C1527" s="523" t="s">
        <v>3764</v>
      </c>
      <c r="D1527" s="523" t="s">
        <v>3757</v>
      </c>
      <c r="E1527" s="523" t="s">
        <v>3758</v>
      </c>
      <c r="F1527" s="523" t="s">
        <v>36</v>
      </c>
    </row>
    <row r="1528">
      <c r="A1528" s="523">
        <v>1527</v>
      </c>
      <c r="B1528" s="523" t="s">
        <v>3765</v>
      </c>
      <c r="C1528" s="523" t="s">
        <v>3766</v>
      </c>
      <c r="D1528" s="523" t="s">
        <v>3757</v>
      </c>
      <c r="E1528" s="523" t="s">
        <v>3758</v>
      </c>
      <c r="F1528" s="523" t="s">
        <v>36</v>
      </c>
    </row>
    <row r="1529">
      <c r="A1529" s="523">
        <v>1528</v>
      </c>
      <c r="B1529" s="523" t="s">
        <v>3767</v>
      </c>
      <c r="C1529" s="523" t="s">
        <v>3768</v>
      </c>
      <c r="D1529" s="523" t="s">
        <v>3757</v>
      </c>
      <c r="E1529" s="523" t="s">
        <v>3758</v>
      </c>
      <c r="F1529" s="523" t="s">
        <v>36</v>
      </c>
    </row>
    <row r="1530">
      <c r="A1530" s="523">
        <v>1529</v>
      </c>
      <c r="B1530" s="523" t="s">
        <v>3769</v>
      </c>
      <c r="C1530" s="523" t="s">
        <v>3770</v>
      </c>
      <c r="D1530" s="523" t="s">
        <v>3757</v>
      </c>
      <c r="E1530" s="523" t="s">
        <v>3758</v>
      </c>
      <c r="F1530" s="523" t="s">
        <v>36</v>
      </c>
    </row>
    <row r="1531">
      <c r="A1531" s="523">
        <v>1530</v>
      </c>
      <c r="B1531" s="523" t="s">
        <v>3771</v>
      </c>
      <c r="C1531" s="523" t="s">
        <v>3772</v>
      </c>
      <c r="D1531" s="523" t="s">
        <v>3757</v>
      </c>
      <c r="E1531" s="523" t="s">
        <v>3758</v>
      </c>
      <c r="F1531" s="523" t="s">
        <v>36</v>
      </c>
    </row>
    <row r="1532">
      <c r="A1532" s="523">
        <v>1531</v>
      </c>
      <c r="B1532" s="523" t="s">
        <v>3773</v>
      </c>
      <c r="C1532" s="523" t="s">
        <v>3774</v>
      </c>
      <c r="D1532" s="523" t="s">
        <v>3757</v>
      </c>
      <c r="E1532" s="523" t="s">
        <v>3758</v>
      </c>
      <c r="F1532" s="523" t="s">
        <v>36</v>
      </c>
    </row>
    <row r="1533">
      <c r="A1533" s="523">
        <v>1532</v>
      </c>
      <c r="B1533" s="523" t="s">
        <v>3775</v>
      </c>
      <c r="C1533" s="523" t="s">
        <v>3776</v>
      </c>
      <c r="D1533" s="523" t="s">
        <v>3757</v>
      </c>
      <c r="E1533" s="523" t="s">
        <v>3758</v>
      </c>
      <c r="F1533" s="523" t="s">
        <v>36</v>
      </c>
    </row>
    <row r="1534">
      <c r="A1534" s="523">
        <v>1533</v>
      </c>
      <c r="B1534" s="523" t="s">
        <v>3777</v>
      </c>
      <c r="C1534" s="523" t="s">
        <v>3778</v>
      </c>
      <c r="D1534" s="523" t="s">
        <v>3757</v>
      </c>
      <c r="E1534" s="523" t="s">
        <v>3758</v>
      </c>
      <c r="F1534" s="523" t="s">
        <v>36</v>
      </c>
    </row>
    <row r="1535">
      <c r="A1535" s="523">
        <v>1534</v>
      </c>
      <c r="B1535" s="523" t="s">
        <v>3779</v>
      </c>
      <c r="C1535" s="523" t="s">
        <v>3780</v>
      </c>
      <c r="D1535" s="523" t="s">
        <v>3757</v>
      </c>
      <c r="E1535" s="523" t="s">
        <v>3758</v>
      </c>
      <c r="F1535" s="523" t="s">
        <v>36</v>
      </c>
    </row>
    <row r="1536">
      <c r="A1536" s="523">
        <v>1535</v>
      </c>
      <c r="B1536" s="523" t="s">
        <v>3781</v>
      </c>
      <c r="C1536" s="523" t="s">
        <v>3782</v>
      </c>
      <c r="D1536" s="523" t="s">
        <v>3783</v>
      </c>
      <c r="E1536" s="523" t="s">
        <v>928</v>
      </c>
      <c r="F1536" s="523" t="s">
        <v>39</v>
      </c>
    </row>
    <row r="1537">
      <c r="A1537" s="523">
        <v>1536</v>
      </c>
      <c r="B1537" s="523" t="s">
        <v>3784</v>
      </c>
      <c r="C1537" s="523" t="s">
        <v>3785</v>
      </c>
      <c r="D1537" s="523" t="s">
        <v>3783</v>
      </c>
      <c r="E1537" s="523" t="s">
        <v>928</v>
      </c>
      <c r="F1537" s="523" t="s">
        <v>39</v>
      </c>
    </row>
    <row r="1538">
      <c r="A1538" s="523">
        <v>1537</v>
      </c>
      <c r="B1538" s="523" t="s">
        <v>3786</v>
      </c>
      <c r="C1538" s="523" t="s">
        <v>1006</v>
      </c>
      <c r="D1538" s="523" t="s">
        <v>3783</v>
      </c>
      <c r="E1538" s="523" t="s">
        <v>928</v>
      </c>
      <c r="F1538" s="523" t="s">
        <v>39</v>
      </c>
    </row>
    <row r="1539">
      <c r="A1539" s="523">
        <v>1538</v>
      </c>
      <c r="B1539" s="523" t="s">
        <v>3787</v>
      </c>
      <c r="C1539" s="523" t="s">
        <v>882</v>
      </c>
      <c r="D1539" s="523" t="s">
        <v>3783</v>
      </c>
      <c r="E1539" s="523" t="s">
        <v>928</v>
      </c>
      <c r="F1539" s="523" t="s">
        <v>39</v>
      </c>
    </row>
    <row r="1540">
      <c r="A1540" s="523">
        <v>1539</v>
      </c>
      <c r="B1540" s="523" t="s">
        <v>3788</v>
      </c>
      <c r="C1540" s="523" t="s">
        <v>2381</v>
      </c>
      <c r="D1540" s="523" t="s">
        <v>3783</v>
      </c>
      <c r="E1540" s="523" t="s">
        <v>928</v>
      </c>
      <c r="F1540" s="523" t="s">
        <v>39</v>
      </c>
    </row>
    <row r="1541">
      <c r="A1541" s="523">
        <v>1540</v>
      </c>
      <c r="B1541" s="523" t="s">
        <v>3789</v>
      </c>
      <c r="C1541" s="523" t="s">
        <v>3790</v>
      </c>
      <c r="D1541" s="523" t="s">
        <v>3783</v>
      </c>
      <c r="E1541" s="523" t="s">
        <v>928</v>
      </c>
      <c r="F1541" s="523" t="s">
        <v>39</v>
      </c>
    </row>
    <row r="1542">
      <c r="A1542" s="523">
        <v>1541</v>
      </c>
      <c r="B1542" s="523" t="s">
        <v>3791</v>
      </c>
      <c r="C1542" s="523" t="s">
        <v>3792</v>
      </c>
      <c r="D1542" s="523" t="s">
        <v>3783</v>
      </c>
      <c r="E1542" s="523" t="s">
        <v>928</v>
      </c>
      <c r="F1542" s="523" t="s">
        <v>39</v>
      </c>
    </row>
    <row r="1543">
      <c r="A1543" s="523">
        <v>1542</v>
      </c>
      <c r="B1543" s="523" t="s">
        <v>3793</v>
      </c>
      <c r="C1543" s="523" t="s">
        <v>3794</v>
      </c>
      <c r="D1543" s="523" t="s">
        <v>3783</v>
      </c>
      <c r="E1543" s="523" t="s">
        <v>928</v>
      </c>
      <c r="F1543" s="523" t="s">
        <v>39</v>
      </c>
    </row>
    <row r="1544">
      <c r="A1544" s="523">
        <v>1543</v>
      </c>
      <c r="B1544" s="523" t="s">
        <v>3795</v>
      </c>
      <c r="C1544" s="523" t="s">
        <v>3374</v>
      </c>
      <c r="D1544" s="523" t="s">
        <v>3783</v>
      </c>
      <c r="E1544" s="523" t="s">
        <v>928</v>
      </c>
      <c r="F1544" s="523" t="s">
        <v>39</v>
      </c>
    </row>
    <row r="1545">
      <c r="A1545" s="523">
        <v>1544</v>
      </c>
      <c r="B1545" s="523" t="s">
        <v>3796</v>
      </c>
      <c r="C1545" s="523" t="s">
        <v>3797</v>
      </c>
      <c r="D1545" s="523" t="s">
        <v>3798</v>
      </c>
      <c r="E1545" s="523" t="s">
        <v>3799</v>
      </c>
      <c r="F1545" s="523" t="s">
        <v>39</v>
      </c>
    </row>
    <row r="1546">
      <c r="A1546" s="523">
        <v>1545</v>
      </c>
      <c r="B1546" s="523" t="s">
        <v>3800</v>
      </c>
      <c r="C1546" s="523" t="s">
        <v>3801</v>
      </c>
      <c r="D1546" s="523" t="s">
        <v>3798</v>
      </c>
      <c r="E1546" s="523" t="s">
        <v>3799</v>
      </c>
      <c r="F1546" s="523" t="s">
        <v>39</v>
      </c>
    </row>
    <row r="1547">
      <c r="A1547" s="523">
        <v>1546</v>
      </c>
      <c r="B1547" s="523" t="s">
        <v>3802</v>
      </c>
      <c r="C1547" s="523" t="s">
        <v>3803</v>
      </c>
      <c r="D1547" s="523" t="s">
        <v>3798</v>
      </c>
      <c r="E1547" s="523" t="s">
        <v>3799</v>
      </c>
      <c r="F1547" s="523" t="s">
        <v>39</v>
      </c>
    </row>
    <row r="1548">
      <c r="A1548" s="523">
        <v>1547</v>
      </c>
      <c r="B1548" s="523" t="s">
        <v>3804</v>
      </c>
      <c r="C1548" s="523" t="s">
        <v>3805</v>
      </c>
      <c r="D1548" s="523" t="s">
        <v>3798</v>
      </c>
      <c r="E1548" s="523" t="s">
        <v>3799</v>
      </c>
      <c r="F1548" s="523" t="s">
        <v>39</v>
      </c>
    </row>
    <row r="1549">
      <c r="A1549" s="523">
        <v>1548</v>
      </c>
      <c r="B1549" s="523" t="s">
        <v>3806</v>
      </c>
      <c r="C1549" s="523" t="s">
        <v>3807</v>
      </c>
      <c r="D1549" s="523" t="s">
        <v>3798</v>
      </c>
      <c r="E1549" s="523" t="s">
        <v>3799</v>
      </c>
      <c r="F1549" s="523" t="s">
        <v>39</v>
      </c>
    </row>
    <row r="1550">
      <c r="A1550" s="523">
        <v>1549</v>
      </c>
      <c r="B1550" s="523" t="s">
        <v>3808</v>
      </c>
      <c r="C1550" s="523" t="s">
        <v>1024</v>
      </c>
      <c r="D1550" s="523" t="s">
        <v>3798</v>
      </c>
      <c r="E1550" s="523" t="s">
        <v>3799</v>
      </c>
      <c r="F1550" s="523" t="s">
        <v>39</v>
      </c>
    </row>
    <row r="1551">
      <c r="A1551" s="523">
        <v>1550</v>
      </c>
      <c r="B1551" s="523" t="s">
        <v>3809</v>
      </c>
      <c r="C1551" s="523" t="s">
        <v>3810</v>
      </c>
      <c r="D1551" s="523" t="s">
        <v>3798</v>
      </c>
      <c r="E1551" s="523" t="s">
        <v>3799</v>
      </c>
      <c r="F1551" s="523" t="s">
        <v>39</v>
      </c>
    </row>
    <row r="1552">
      <c r="A1552" s="523">
        <v>1551</v>
      </c>
      <c r="B1552" s="523" t="s">
        <v>3811</v>
      </c>
      <c r="C1552" s="523" t="s">
        <v>3812</v>
      </c>
      <c r="D1552" s="523" t="s">
        <v>3798</v>
      </c>
      <c r="E1552" s="523" t="s">
        <v>3799</v>
      </c>
      <c r="F1552" s="523" t="s">
        <v>39</v>
      </c>
    </row>
    <row r="1553">
      <c r="A1553" s="523">
        <v>1552</v>
      </c>
      <c r="B1553" s="523" t="s">
        <v>3813</v>
      </c>
      <c r="C1553" s="523" t="s">
        <v>3814</v>
      </c>
      <c r="D1553" s="523" t="s">
        <v>3798</v>
      </c>
      <c r="E1553" s="523" t="s">
        <v>3799</v>
      </c>
      <c r="F1553" s="523" t="s">
        <v>39</v>
      </c>
    </row>
    <row r="1554">
      <c r="A1554" s="523">
        <v>1553</v>
      </c>
      <c r="B1554" s="523" t="s">
        <v>3815</v>
      </c>
      <c r="C1554" s="523" t="s">
        <v>3816</v>
      </c>
      <c r="D1554" s="523" t="s">
        <v>3798</v>
      </c>
      <c r="E1554" s="523" t="s">
        <v>3799</v>
      </c>
      <c r="F1554" s="523" t="s">
        <v>39</v>
      </c>
    </row>
    <row r="1555">
      <c r="A1555" s="523">
        <v>1554</v>
      </c>
      <c r="B1555" s="523" t="s">
        <v>3817</v>
      </c>
      <c r="C1555" s="523" t="s">
        <v>3818</v>
      </c>
      <c r="D1555" s="523" t="s">
        <v>3819</v>
      </c>
      <c r="E1555" s="523" t="s">
        <v>3820</v>
      </c>
      <c r="F1555" s="523" t="s">
        <v>39</v>
      </c>
    </row>
    <row r="1556">
      <c r="A1556" s="523">
        <v>1555</v>
      </c>
      <c r="B1556" s="523" t="s">
        <v>3821</v>
      </c>
      <c r="C1556" s="523" t="s">
        <v>3822</v>
      </c>
      <c r="D1556" s="523" t="s">
        <v>3819</v>
      </c>
      <c r="E1556" s="523" t="s">
        <v>3820</v>
      </c>
      <c r="F1556" s="523" t="s">
        <v>39</v>
      </c>
    </row>
    <row r="1557">
      <c r="A1557" s="523">
        <v>1556</v>
      </c>
      <c r="B1557" s="523" t="s">
        <v>3823</v>
      </c>
      <c r="C1557" s="523" t="s">
        <v>2145</v>
      </c>
      <c r="D1557" s="523" t="s">
        <v>3819</v>
      </c>
      <c r="E1557" s="523" t="s">
        <v>3820</v>
      </c>
      <c r="F1557" s="523" t="s">
        <v>39</v>
      </c>
    </row>
    <row r="1558">
      <c r="A1558" s="523">
        <v>1557</v>
      </c>
      <c r="B1558" s="523" t="s">
        <v>3824</v>
      </c>
      <c r="C1558" s="523" t="s">
        <v>3825</v>
      </c>
      <c r="D1558" s="523" t="s">
        <v>3819</v>
      </c>
      <c r="E1558" s="523" t="s">
        <v>3820</v>
      </c>
      <c r="F1558" s="523" t="s">
        <v>39</v>
      </c>
    </row>
    <row r="1559">
      <c r="A1559" s="523">
        <v>1558</v>
      </c>
      <c r="B1559" s="523" t="s">
        <v>3826</v>
      </c>
      <c r="C1559" s="523" t="s">
        <v>3827</v>
      </c>
      <c r="D1559" s="523" t="s">
        <v>3819</v>
      </c>
      <c r="E1559" s="523" t="s">
        <v>3820</v>
      </c>
      <c r="F1559" s="523" t="s">
        <v>39</v>
      </c>
    </row>
    <row r="1560">
      <c r="A1560" s="523">
        <v>1559</v>
      </c>
      <c r="B1560" s="523" t="s">
        <v>3828</v>
      </c>
      <c r="C1560" s="523" t="s">
        <v>3829</v>
      </c>
      <c r="D1560" s="523" t="s">
        <v>3819</v>
      </c>
      <c r="E1560" s="523" t="s">
        <v>3820</v>
      </c>
      <c r="F1560" s="523" t="s">
        <v>39</v>
      </c>
    </row>
    <row r="1561">
      <c r="A1561" s="523">
        <v>1560</v>
      </c>
      <c r="B1561" s="523" t="s">
        <v>3830</v>
      </c>
      <c r="C1561" s="523" t="s">
        <v>3831</v>
      </c>
      <c r="D1561" s="523" t="s">
        <v>3819</v>
      </c>
      <c r="E1561" s="523" t="s">
        <v>3820</v>
      </c>
      <c r="F1561" s="523" t="s">
        <v>39</v>
      </c>
    </row>
    <row r="1562">
      <c r="A1562" s="523">
        <v>1561</v>
      </c>
      <c r="B1562" s="523" t="s">
        <v>3832</v>
      </c>
      <c r="C1562" s="523" t="s">
        <v>3833</v>
      </c>
      <c r="D1562" s="523" t="s">
        <v>3819</v>
      </c>
      <c r="E1562" s="523" t="s">
        <v>3820</v>
      </c>
      <c r="F1562" s="523" t="s">
        <v>39</v>
      </c>
    </row>
    <row r="1563">
      <c r="A1563" s="523">
        <v>1562</v>
      </c>
      <c r="B1563" s="523" t="s">
        <v>3834</v>
      </c>
      <c r="C1563" s="523" t="s">
        <v>3835</v>
      </c>
      <c r="D1563" s="523" t="s">
        <v>3836</v>
      </c>
      <c r="E1563" s="523" t="s">
        <v>3837</v>
      </c>
      <c r="F1563" s="523" t="s">
        <v>39</v>
      </c>
    </row>
    <row r="1564">
      <c r="A1564" s="523">
        <v>1563</v>
      </c>
      <c r="B1564" s="523" t="s">
        <v>3838</v>
      </c>
      <c r="C1564" s="523" t="s">
        <v>3839</v>
      </c>
      <c r="D1564" s="523" t="s">
        <v>3836</v>
      </c>
      <c r="E1564" s="523" t="s">
        <v>3837</v>
      </c>
      <c r="F1564" s="523" t="s">
        <v>39</v>
      </c>
    </row>
    <row r="1565">
      <c r="A1565" s="523">
        <v>1564</v>
      </c>
      <c r="B1565" s="523" t="s">
        <v>3840</v>
      </c>
      <c r="C1565" s="523" t="s">
        <v>3841</v>
      </c>
      <c r="D1565" s="523" t="s">
        <v>3836</v>
      </c>
      <c r="E1565" s="523" t="s">
        <v>3837</v>
      </c>
      <c r="F1565" s="523" t="s">
        <v>39</v>
      </c>
    </row>
    <row r="1566">
      <c r="A1566" s="523">
        <v>1565</v>
      </c>
      <c r="B1566" s="523" t="s">
        <v>3842</v>
      </c>
      <c r="C1566" s="523" t="s">
        <v>1038</v>
      </c>
      <c r="D1566" s="523" t="s">
        <v>3836</v>
      </c>
      <c r="E1566" s="523" t="s">
        <v>3837</v>
      </c>
      <c r="F1566" s="523" t="s">
        <v>39</v>
      </c>
    </row>
    <row r="1567">
      <c r="A1567" s="523">
        <v>1566</v>
      </c>
      <c r="B1567" s="523" t="s">
        <v>3843</v>
      </c>
      <c r="C1567" s="523" t="s">
        <v>3844</v>
      </c>
      <c r="D1567" s="523" t="s">
        <v>3836</v>
      </c>
      <c r="E1567" s="523" t="s">
        <v>3837</v>
      </c>
      <c r="F1567" s="523" t="s">
        <v>39</v>
      </c>
    </row>
    <row r="1568">
      <c r="A1568" s="523">
        <v>1567</v>
      </c>
      <c r="B1568" s="523" t="s">
        <v>3845</v>
      </c>
      <c r="C1568" s="523" t="s">
        <v>964</v>
      </c>
      <c r="D1568" s="523" t="s">
        <v>3836</v>
      </c>
      <c r="E1568" s="523" t="s">
        <v>3837</v>
      </c>
      <c r="F1568" s="523" t="s">
        <v>39</v>
      </c>
    </row>
    <row r="1569">
      <c r="A1569" s="523">
        <v>1568</v>
      </c>
      <c r="B1569" s="523" t="s">
        <v>3846</v>
      </c>
      <c r="C1569" s="523" t="s">
        <v>2323</v>
      </c>
      <c r="D1569" s="523" t="s">
        <v>3836</v>
      </c>
      <c r="E1569" s="523" t="s">
        <v>3837</v>
      </c>
      <c r="F1569" s="523" t="s">
        <v>39</v>
      </c>
    </row>
    <row r="1570">
      <c r="A1570" s="523">
        <v>1569</v>
      </c>
      <c r="B1570" s="523" t="s">
        <v>3847</v>
      </c>
      <c r="C1570" s="523" t="s">
        <v>1457</v>
      </c>
      <c r="D1570" s="523" t="s">
        <v>3836</v>
      </c>
      <c r="E1570" s="523" t="s">
        <v>3837</v>
      </c>
      <c r="F1570" s="523" t="s">
        <v>39</v>
      </c>
    </row>
    <row r="1571">
      <c r="A1571" s="523">
        <v>1570</v>
      </c>
      <c r="B1571" s="523" t="s">
        <v>3848</v>
      </c>
      <c r="C1571" s="523" t="s">
        <v>3849</v>
      </c>
      <c r="D1571" s="523" t="s">
        <v>3836</v>
      </c>
      <c r="E1571" s="523" t="s">
        <v>3837</v>
      </c>
      <c r="F1571" s="523" t="s">
        <v>39</v>
      </c>
    </row>
    <row r="1572">
      <c r="A1572" s="523">
        <v>1571</v>
      </c>
      <c r="B1572" s="523" t="s">
        <v>3850</v>
      </c>
      <c r="C1572" s="523" t="s">
        <v>3851</v>
      </c>
      <c r="D1572" s="523" t="s">
        <v>3836</v>
      </c>
      <c r="E1572" s="523" t="s">
        <v>3837</v>
      </c>
      <c r="F1572" s="523" t="s">
        <v>39</v>
      </c>
    </row>
    <row r="1573">
      <c r="A1573" s="523">
        <v>1572</v>
      </c>
      <c r="B1573" s="523" t="s">
        <v>3852</v>
      </c>
      <c r="C1573" s="523" t="s">
        <v>3853</v>
      </c>
      <c r="D1573" s="523" t="s">
        <v>3836</v>
      </c>
      <c r="E1573" s="523" t="s">
        <v>3837</v>
      </c>
      <c r="F1573" s="523" t="s">
        <v>39</v>
      </c>
    </row>
    <row r="1574">
      <c r="A1574" s="523">
        <v>1573</v>
      </c>
      <c r="B1574" s="523" t="s">
        <v>3854</v>
      </c>
      <c r="C1574" s="523" t="s">
        <v>1207</v>
      </c>
      <c r="D1574" s="523" t="s">
        <v>3836</v>
      </c>
      <c r="E1574" s="523" t="s">
        <v>3837</v>
      </c>
      <c r="F1574" s="523" t="s">
        <v>39</v>
      </c>
    </row>
    <row r="1575">
      <c r="A1575" s="523">
        <v>1574</v>
      </c>
      <c r="B1575" s="523" t="s">
        <v>3855</v>
      </c>
      <c r="C1575" s="523" t="s">
        <v>1279</v>
      </c>
      <c r="D1575" s="523" t="s">
        <v>3836</v>
      </c>
      <c r="E1575" s="523" t="s">
        <v>3837</v>
      </c>
      <c r="F1575" s="523" t="s">
        <v>39</v>
      </c>
    </row>
    <row r="1576">
      <c r="A1576" s="523">
        <v>1575</v>
      </c>
      <c r="B1576" s="523" t="s">
        <v>3856</v>
      </c>
      <c r="C1576" s="523" t="s">
        <v>3857</v>
      </c>
      <c r="D1576" s="523" t="s">
        <v>3836</v>
      </c>
      <c r="E1576" s="523" t="s">
        <v>3837</v>
      </c>
      <c r="F1576" s="523" t="s">
        <v>39</v>
      </c>
    </row>
    <row r="1577">
      <c r="A1577" s="523">
        <v>1576</v>
      </c>
      <c r="B1577" s="523" t="s">
        <v>3858</v>
      </c>
      <c r="C1577" s="523" t="s">
        <v>3859</v>
      </c>
      <c r="D1577" s="523" t="s">
        <v>3836</v>
      </c>
      <c r="E1577" s="523" t="s">
        <v>3837</v>
      </c>
      <c r="F1577" s="523" t="s">
        <v>39</v>
      </c>
    </row>
    <row r="1578">
      <c r="A1578" s="523">
        <v>1577</v>
      </c>
      <c r="B1578" s="523" t="s">
        <v>3860</v>
      </c>
      <c r="C1578" s="523" t="s">
        <v>3861</v>
      </c>
      <c r="D1578" s="523" t="s">
        <v>3862</v>
      </c>
      <c r="E1578" s="523" t="s">
        <v>3863</v>
      </c>
      <c r="F1578" s="523" t="s">
        <v>39</v>
      </c>
    </row>
    <row r="1579">
      <c r="A1579" s="523">
        <v>1578</v>
      </c>
      <c r="B1579" s="523" t="s">
        <v>3864</v>
      </c>
      <c r="C1579" s="523" t="s">
        <v>3865</v>
      </c>
      <c r="D1579" s="523" t="s">
        <v>3862</v>
      </c>
      <c r="E1579" s="523" t="s">
        <v>3863</v>
      </c>
      <c r="F1579" s="523" t="s">
        <v>39</v>
      </c>
    </row>
    <row r="1580">
      <c r="A1580" s="523">
        <v>1579</v>
      </c>
      <c r="B1580" s="523" t="s">
        <v>3866</v>
      </c>
      <c r="C1580" s="523" t="s">
        <v>3867</v>
      </c>
      <c r="D1580" s="523" t="s">
        <v>3862</v>
      </c>
      <c r="E1580" s="523" t="s">
        <v>3863</v>
      </c>
      <c r="F1580" s="523" t="s">
        <v>39</v>
      </c>
    </row>
    <row r="1581">
      <c r="A1581" s="523">
        <v>1580</v>
      </c>
      <c r="B1581" s="523" t="s">
        <v>3868</v>
      </c>
      <c r="C1581" s="523" t="s">
        <v>3869</v>
      </c>
      <c r="D1581" s="523" t="s">
        <v>3862</v>
      </c>
      <c r="E1581" s="523" t="s">
        <v>3863</v>
      </c>
      <c r="F1581" s="523" t="s">
        <v>39</v>
      </c>
    </row>
    <row r="1582">
      <c r="A1582" s="523">
        <v>1581</v>
      </c>
      <c r="B1582" s="523" t="s">
        <v>3870</v>
      </c>
      <c r="C1582" s="523" t="s">
        <v>3871</v>
      </c>
      <c r="D1582" s="523" t="s">
        <v>3862</v>
      </c>
      <c r="E1582" s="523" t="s">
        <v>3863</v>
      </c>
      <c r="F1582" s="523" t="s">
        <v>39</v>
      </c>
    </row>
    <row r="1583">
      <c r="A1583" s="523">
        <v>1582</v>
      </c>
      <c r="B1583" s="523" t="s">
        <v>3872</v>
      </c>
      <c r="C1583" s="523" t="s">
        <v>3873</v>
      </c>
      <c r="D1583" s="523" t="s">
        <v>3862</v>
      </c>
      <c r="E1583" s="523" t="s">
        <v>3863</v>
      </c>
      <c r="F1583" s="523" t="s">
        <v>39</v>
      </c>
    </row>
    <row r="1584">
      <c r="A1584" s="523">
        <v>1583</v>
      </c>
      <c r="B1584" s="523" t="s">
        <v>3874</v>
      </c>
      <c r="C1584" s="523" t="s">
        <v>3875</v>
      </c>
      <c r="D1584" s="523" t="s">
        <v>3862</v>
      </c>
      <c r="E1584" s="523" t="s">
        <v>3863</v>
      </c>
      <c r="F1584" s="523" t="s">
        <v>39</v>
      </c>
    </row>
    <row r="1585">
      <c r="A1585" s="523">
        <v>1584</v>
      </c>
      <c r="B1585" s="523" t="s">
        <v>3876</v>
      </c>
      <c r="C1585" s="523" t="s">
        <v>3877</v>
      </c>
      <c r="D1585" s="523" t="s">
        <v>3862</v>
      </c>
      <c r="E1585" s="523" t="s">
        <v>3863</v>
      </c>
      <c r="F1585" s="523" t="s">
        <v>39</v>
      </c>
    </row>
    <row r="1586">
      <c r="A1586" s="523">
        <v>1585</v>
      </c>
      <c r="B1586" s="523" t="s">
        <v>3878</v>
      </c>
      <c r="C1586" s="523" t="s">
        <v>1092</v>
      </c>
      <c r="D1586" s="523" t="s">
        <v>3862</v>
      </c>
      <c r="E1586" s="523" t="s">
        <v>3863</v>
      </c>
      <c r="F1586" s="523" t="s">
        <v>39</v>
      </c>
    </row>
    <row r="1587">
      <c r="A1587" s="523">
        <v>1586</v>
      </c>
      <c r="B1587" s="523" t="s">
        <v>3879</v>
      </c>
      <c r="C1587" s="523" t="s">
        <v>3880</v>
      </c>
      <c r="D1587" s="523" t="s">
        <v>3862</v>
      </c>
      <c r="E1587" s="523" t="s">
        <v>3863</v>
      </c>
      <c r="F1587" s="523" t="s">
        <v>39</v>
      </c>
    </row>
    <row r="1588">
      <c r="A1588" s="523">
        <v>1587</v>
      </c>
      <c r="B1588" s="523" t="s">
        <v>3881</v>
      </c>
      <c r="C1588" s="523" t="s">
        <v>3882</v>
      </c>
      <c r="D1588" s="523" t="s">
        <v>3883</v>
      </c>
      <c r="E1588" s="523" t="s">
        <v>3884</v>
      </c>
      <c r="F1588" s="523" t="s">
        <v>39</v>
      </c>
    </row>
    <row r="1589">
      <c r="A1589" s="523">
        <v>1588</v>
      </c>
      <c r="B1589" s="523" t="s">
        <v>3885</v>
      </c>
      <c r="C1589" s="523" t="s">
        <v>3886</v>
      </c>
      <c r="D1589" s="523" t="s">
        <v>3883</v>
      </c>
      <c r="E1589" s="523" t="s">
        <v>3884</v>
      </c>
      <c r="F1589" s="523" t="s">
        <v>39</v>
      </c>
    </row>
    <row r="1590">
      <c r="A1590" s="523">
        <v>1589</v>
      </c>
      <c r="B1590" s="523" t="s">
        <v>3887</v>
      </c>
      <c r="C1590" s="523" t="s">
        <v>3888</v>
      </c>
      <c r="D1590" s="523" t="s">
        <v>3883</v>
      </c>
      <c r="E1590" s="523" t="s">
        <v>3884</v>
      </c>
      <c r="F1590" s="523" t="s">
        <v>39</v>
      </c>
    </row>
    <row r="1591">
      <c r="A1591" s="523">
        <v>1590</v>
      </c>
      <c r="B1591" s="523" t="s">
        <v>3889</v>
      </c>
      <c r="C1591" s="523" t="s">
        <v>3890</v>
      </c>
      <c r="D1591" s="523" t="s">
        <v>3883</v>
      </c>
      <c r="E1591" s="523" t="s">
        <v>3884</v>
      </c>
      <c r="F1591" s="523" t="s">
        <v>39</v>
      </c>
    </row>
    <row r="1592">
      <c r="A1592" s="523">
        <v>1591</v>
      </c>
      <c r="B1592" s="523" t="s">
        <v>3891</v>
      </c>
      <c r="C1592" s="523" t="s">
        <v>3892</v>
      </c>
      <c r="D1592" s="523" t="s">
        <v>3883</v>
      </c>
      <c r="E1592" s="523" t="s">
        <v>3884</v>
      </c>
      <c r="F1592" s="523" t="s">
        <v>39</v>
      </c>
    </row>
    <row r="1593">
      <c r="A1593" s="523">
        <v>1592</v>
      </c>
      <c r="B1593" s="523" t="s">
        <v>3893</v>
      </c>
      <c r="C1593" s="523" t="s">
        <v>3894</v>
      </c>
      <c r="D1593" s="523" t="s">
        <v>3883</v>
      </c>
      <c r="E1593" s="523" t="s">
        <v>3884</v>
      </c>
      <c r="F1593" s="523" t="s">
        <v>39</v>
      </c>
    </row>
    <row r="1594">
      <c r="A1594" s="523">
        <v>1593</v>
      </c>
      <c r="B1594" s="523" t="s">
        <v>3895</v>
      </c>
      <c r="C1594" s="523" t="s">
        <v>3896</v>
      </c>
      <c r="D1594" s="523" t="s">
        <v>3883</v>
      </c>
      <c r="E1594" s="523" t="s">
        <v>3884</v>
      </c>
      <c r="F1594" s="523" t="s">
        <v>39</v>
      </c>
    </row>
    <row r="1595">
      <c r="A1595" s="523">
        <v>1594</v>
      </c>
      <c r="B1595" s="523" t="s">
        <v>3897</v>
      </c>
      <c r="C1595" s="523" t="s">
        <v>1587</v>
      </c>
      <c r="D1595" s="523" t="s">
        <v>3883</v>
      </c>
      <c r="E1595" s="523" t="s">
        <v>3884</v>
      </c>
      <c r="F1595" s="523" t="s">
        <v>39</v>
      </c>
    </row>
    <row r="1596">
      <c r="A1596" s="523">
        <v>1595</v>
      </c>
      <c r="B1596" s="523" t="s">
        <v>3898</v>
      </c>
      <c r="C1596" s="523" t="s">
        <v>3899</v>
      </c>
      <c r="D1596" s="523" t="s">
        <v>3883</v>
      </c>
      <c r="E1596" s="523" t="s">
        <v>3884</v>
      </c>
      <c r="F1596" s="523" t="s">
        <v>39</v>
      </c>
    </row>
    <row r="1597">
      <c r="A1597" s="523">
        <v>1596</v>
      </c>
      <c r="B1597" s="523" t="s">
        <v>3900</v>
      </c>
      <c r="C1597" s="523" t="s">
        <v>3901</v>
      </c>
      <c r="D1597" s="523" t="s">
        <v>3902</v>
      </c>
      <c r="E1597" s="523" t="s">
        <v>3903</v>
      </c>
      <c r="F1597" s="523" t="s">
        <v>39</v>
      </c>
    </row>
    <row r="1598">
      <c r="A1598" s="523">
        <v>1597</v>
      </c>
      <c r="B1598" s="523" t="s">
        <v>3904</v>
      </c>
      <c r="C1598" s="523" t="s">
        <v>2686</v>
      </c>
      <c r="D1598" s="523" t="s">
        <v>3902</v>
      </c>
      <c r="E1598" s="523" t="s">
        <v>3903</v>
      </c>
      <c r="F1598" s="523" t="s">
        <v>39</v>
      </c>
    </row>
    <row r="1599">
      <c r="A1599" s="523">
        <v>1598</v>
      </c>
      <c r="B1599" s="523" t="s">
        <v>3905</v>
      </c>
      <c r="C1599" s="523" t="s">
        <v>3906</v>
      </c>
      <c r="D1599" s="523" t="s">
        <v>3902</v>
      </c>
      <c r="E1599" s="523" t="s">
        <v>3903</v>
      </c>
      <c r="F1599" s="523" t="s">
        <v>39</v>
      </c>
    </row>
    <row r="1600">
      <c r="A1600" s="523">
        <v>1599</v>
      </c>
      <c r="B1600" s="523" t="s">
        <v>3907</v>
      </c>
      <c r="C1600" s="523" t="s">
        <v>3908</v>
      </c>
      <c r="D1600" s="523" t="s">
        <v>3902</v>
      </c>
      <c r="E1600" s="523" t="s">
        <v>3903</v>
      </c>
      <c r="F1600" s="523" t="s">
        <v>39</v>
      </c>
    </row>
    <row r="1601">
      <c r="A1601" s="523">
        <v>1600</v>
      </c>
      <c r="B1601" s="523" t="s">
        <v>3909</v>
      </c>
      <c r="C1601" s="523" t="s">
        <v>1675</v>
      </c>
      <c r="D1601" s="523" t="s">
        <v>3902</v>
      </c>
      <c r="E1601" s="523" t="s">
        <v>3903</v>
      </c>
      <c r="F1601" s="523" t="s">
        <v>39</v>
      </c>
    </row>
    <row r="1602">
      <c r="A1602" s="523">
        <v>1601</v>
      </c>
      <c r="B1602" s="523" t="s">
        <v>3910</v>
      </c>
      <c r="C1602" s="523" t="s">
        <v>3911</v>
      </c>
      <c r="D1602" s="523" t="s">
        <v>3902</v>
      </c>
      <c r="E1602" s="523" t="s">
        <v>3903</v>
      </c>
      <c r="F1602" s="523" t="s">
        <v>39</v>
      </c>
    </row>
    <row r="1603">
      <c r="A1603" s="523">
        <v>1602</v>
      </c>
      <c r="B1603" s="523" t="s">
        <v>3912</v>
      </c>
      <c r="C1603" s="523" t="s">
        <v>3913</v>
      </c>
      <c r="D1603" s="523" t="s">
        <v>3902</v>
      </c>
      <c r="E1603" s="523" t="s">
        <v>3903</v>
      </c>
      <c r="F1603" s="523" t="s">
        <v>39</v>
      </c>
    </row>
    <row r="1604">
      <c r="A1604" s="523">
        <v>1603</v>
      </c>
      <c r="B1604" s="523" t="s">
        <v>3914</v>
      </c>
      <c r="C1604" s="523" t="s">
        <v>3915</v>
      </c>
      <c r="D1604" s="523" t="s">
        <v>3902</v>
      </c>
      <c r="E1604" s="523" t="s">
        <v>3903</v>
      </c>
      <c r="F1604" s="523" t="s">
        <v>39</v>
      </c>
    </row>
    <row r="1605">
      <c r="A1605" s="523">
        <v>1604</v>
      </c>
      <c r="B1605" s="523" t="s">
        <v>3916</v>
      </c>
      <c r="C1605" s="523" t="s">
        <v>940</v>
      </c>
      <c r="D1605" s="523" t="s">
        <v>3902</v>
      </c>
      <c r="E1605" s="523" t="s">
        <v>3903</v>
      </c>
      <c r="F1605" s="523" t="s">
        <v>39</v>
      </c>
    </row>
    <row r="1606">
      <c r="A1606" s="523">
        <v>1605</v>
      </c>
      <c r="B1606" s="523" t="s">
        <v>3917</v>
      </c>
      <c r="C1606" s="523" t="s">
        <v>1290</v>
      </c>
      <c r="D1606" s="523" t="s">
        <v>3918</v>
      </c>
      <c r="E1606" s="523" t="s">
        <v>3919</v>
      </c>
      <c r="F1606" s="523" t="s">
        <v>39</v>
      </c>
    </row>
    <row r="1607">
      <c r="A1607" s="523">
        <v>1606</v>
      </c>
      <c r="B1607" s="523" t="s">
        <v>3920</v>
      </c>
      <c r="C1607" s="523" t="s">
        <v>3921</v>
      </c>
      <c r="D1607" s="523" t="s">
        <v>3918</v>
      </c>
      <c r="E1607" s="523" t="s">
        <v>3919</v>
      </c>
      <c r="F1607" s="523" t="s">
        <v>39</v>
      </c>
    </row>
    <row r="1608">
      <c r="A1608" s="523">
        <v>1607</v>
      </c>
      <c r="B1608" s="523" t="s">
        <v>3922</v>
      </c>
      <c r="C1608" s="523" t="s">
        <v>3923</v>
      </c>
      <c r="D1608" s="523" t="s">
        <v>3918</v>
      </c>
      <c r="E1608" s="523" t="s">
        <v>3919</v>
      </c>
      <c r="F1608" s="523" t="s">
        <v>39</v>
      </c>
    </row>
    <row r="1609">
      <c r="A1609" s="523">
        <v>1608</v>
      </c>
      <c r="B1609" s="523" t="s">
        <v>3924</v>
      </c>
      <c r="C1609" s="523" t="s">
        <v>3925</v>
      </c>
      <c r="D1609" s="523" t="s">
        <v>3918</v>
      </c>
      <c r="E1609" s="523" t="s">
        <v>3919</v>
      </c>
      <c r="F1609" s="523" t="s">
        <v>39</v>
      </c>
    </row>
    <row r="1610">
      <c r="A1610" s="523">
        <v>1609</v>
      </c>
      <c r="B1610" s="523" t="s">
        <v>3926</v>
      </c>
      <c r="C1610" s="523" t="s">
        <v>1212</v>
      </c>
      <c r="D1610" s="523" t="s">
        <v>3918</v>
      </c>
      <c r="E1610" s="523" t="s">
        <v>3919</v>
      </c>
      <c r="F1610" s="523" t="s">
        <v>39</v>
      </c>
    </row>
    <row r="1611">
      <c r="A1611" s="523">
        <v>1610</v>
      </c>
      <c r="B1611" s="523" t="s">
        <v>3927</v>
      </c>
      <c r="C1611" s="523" t="s">
        <v>3928</v>
      </c>
      <c r="D1611" s="523" t="s">
        <v>3918</v>
      </c>
      <c r="E1611" s="523" t="s">
        <v>3919</v>
      </c>
      <c r="F1611" s="523" t="s">
        <v>39</v>
      </c>
    </row>
    <row r="1612">
      <c r="A1612" s="523">
        <v>1611</v>
      </c>
      <c r="B1612" s="523" t="s">
        <v>3929</v>
      </c>
      <c r="C1612" s="523" t="s">
        <v>3930</v>
      </c>
      <c r="D1612" s="523" t="s">
        <v>3931</v>
      </c>
      <c r="E1612" s="523" t="s">
        <v>3932</v>
      </c>
      <c r="F1612" s="523" t="s">
        <v>42</v>
      </c>
    </row>
    <row r="1613">
      <c r="A1613" s="523">
        <v>1612</v>
      </c>
      <c r="B1613" s="523" t="s">
        <v>3933</v>
      </c>
      <c r="C1613" s="523" t="s">
        <v>3934</v>
      </c>
      <c r="D1613" s="523" t="s">
        <v>3931</v>
      </c>
      <c r="E1613" s="523" t="s">
        <v>3932</v>
      </c>
      <c r="F1613" s="523" t="s">
        <v>42</v>
      </c>
    </row>
    <row r="1614">
      <c r="A1614" s="523">
        <v>1613</v>
      </c>
      <c r="B1614" s="523" t="s">
        <v>3935</v>
      </c>
      <c r="C1614" s="523" t="s">
        <v>3936</v>
      </c>
      <c r="D1614" s="523" t="s">
        <v>3931</v>
      </c>
      <c r="E1614" s="523" t="s">
        <v>3932</v>
      </c>
      <c r="F1614" s="523" t="s">
        <v>42</v>
      </c>
    </row>
    <row r="1615">
      <c r="A1615" s="523">
        <v>1614</v>
      </c>
      <c r="B1615" s="523" t="s">
        <v>3937</v>
      </c>
      <c r="C1615" s="523" t="s">
        <v>3938</v>
      </c>
      <c r="D1615" s="523" t="s">
        <v>3931</v>
      </c>
      <c r="E1615" s="523" t="s">
        <v>3932</v>
      </c>
      <c r="F1615" s="523" t="s">
        <v>42</v>
      </c>
    </row>
    <row r="1616">
      <c r="A1616" s="523">
        <v>1615</v>
      </c>
      <c r="B1616" s="523" t="s">
        <v>3939</v>
      </c>
      <c r="C1616" s="523" t="s">
        <v>3940</v>
      </c>
      <c r="D1616" s="523" t="s">
        <v>3931</v>
      </c>
      <c r="E1616" s="523" t="s">
        <v>3932</v>
      </c>
      <c r="F1616" s="523" t="s">
        <v>42</v>
      </c>
    </row>
    <row r="1617">
      <c r="A1617" s="523">
        <v>1616</v>
      </c>
      <c r="B1617" s="523" t="s">
        <v>3941</v>
      </c>
      <c r="C1617" s="523" t="s">
        <v>3942</v>
      </c>
      <c r="D1617" s="523" t="s">
        <v>3931</v>
      </c>
      <c r="E1617" s="523" t="s">
        <v>3932</v>
      </c>
      <c r="F1617" s="523" t="s">
        <v>42</v>
      </c>
    </row>
    <row r="1618">
      <c r="A1618" s="523">
        <v>1617</v>
      </c>
      <c r="B1618" s="523" t="s">
        <v>3943</v>
      </c>
      <c r="C1618" s="523" t="s">
        <v>3944</v>
      </c>
      <c r="D1618" s="523" t="s">
        <v>3931</v>
      </c>
      <c r="E1618" s="523" t="s">
        <v>3932</v>
      </c>
      <c r="F1618" s="523" t="s">
        <v>42</v>
      </c>
    </row>
    <row r="1619">
      <c r="A1619" s="523">
        <v>1618</v>
      </c>
      <c r="B1619" s="523" t="s">
        <v>3945</v>
      </c>
      <c r="C1619" s="523" t="s">
        <v>3946</v>
      </c>
      <c r="D1619" s="523" t="s">
        <v>3931</v>
      </c>
      <c r="E1619" s="523" t="s">
        <v>3932</v>
      </c>
      <c r="F1619" s="523" t="s">
        <v>42</v>
      </c>
    </row>
    <row r="1620">
      <c r="A1620" s="523">
        <v>1619</v>
      </c>
      <c r="B1620" s="523" t="s">
        <v>3947</v>
      </c>
      <c r="C1620" s="523" t="s">
        <v>3948</v>
      </c>
      <c r="D1620" s="523" t="s">
        <v>3931</v>
      </c>
      <c r="E1620" s="523" t="s">
        <v>3932</v>
      </c>
      <c r="F1620" s="523" t="s">
        <v>42</v>
      </c>
    </row>
    <row r="1621">
      <c r="A1621" s="523">
        <v>1620</v>
      </c>
      <c r="B1621" s="523" t="s">
        <v>3949</v>
      </c>
      <c r="C1621" s="523" t="s">
        <v>3950</v>
      </c>
      <c r="D1621" s="523" t="s">
        <v>3951</v>
      </c>
      <c r="E1621" s="523" t="s">
        <v>3952</v>
      </c>
      <c r="F1621" s="523" t="s">
        <v>42</v>
      </c>
    </row>
    <row r="1622">
      <c r="A1622" s="523">
        <v>1621</v>
      </c>
      <c r="B1622" s="523" t="s">
        <v>3953</v>
      </c>
      <c r="C1622" s="523" t="s">
        <v>1194</v>
      </c>
      <c r="D1622" s="523" t="s">
        <v>3951</v>
      </c>
      <c r="E1622" s="523" t="s">
        <v>3952</v>
      </c>
      <c r="F1622" s="523" t="s">
        <v>42</v>
      </c>
    </row>
    <row r="1623">
      <c r="A1623" s="523">
        <v>1622</v>
      </c>
      <c r="B1623" s="523" t="s">
        <v>3954</v>
      </c>
      <c r="C1623" s="523" t="s">
        <v>2145</v>
      </c>
      <c r="D1623" s="523" t="s">
        <v>3951</v>
      </c>
      <c r="E1623" s="523" t="s">
        <v>3952</v>
      </c>
      <c r="F1623" s="523" t="s">
        <v>42</v>
      </c>
    </row>
    <row r="1624">
      <c r="A1624" s="523">
        <v>1623</v>
      </c>
      <c r="B1624" s="523" t="s">
        <v>3955</v>
      </c>
      <c r="C1624" s="523" t="s">
        <v>3956</v>
      </c>
      <c r="D1624" s="523" t="s">
        <v>3951</v>
      </c>
      <c r="E1624" s="523" t="s">
        <v>3952</v>
      </c>
      <c r="F1624" s="523" t="s">
        <v>42</v>
      </c>
    </row>
    <row r="1625">
      <c r="A1625" s="523">
        <v>1624</v>
      </c>
      <c r="B1625" s="523" t="s">
        <v>3957</v>
      </c>
      <c r="C1625" s="523" t="s">
        <v>3958</v>
      </c>
      <c r="D1625" s="523" t="s">
        <v>3951</v>
      </c>
      <c r="E1625" s="523" t="s">
        <v>3952</v>
      </c>
      <c r="F1625" s="523" t="s">
        <v>42</v>
      </c>
    </row>
    <row r="1626">
      <c r="A1626" s="523">
        <v>1625</v>
      </c>
      <c r="B1626" s="523" t="s">
        <v>3959</v>
      </c>
      <c r="C1626" s="523" t="s">
        <v>3960</v>
      </c>
      <c r="D1626" s="523" t="s">
        <v>3951</v>
      </c>
      <c r="E1626" s="523" t="s">
        <v>3952</v>
      </c>
      <c r="F1626" s="523" t="s">
        <v>42</v>
      </c>
    </row>
    <row r="1627">
      <c r="A1627" s="523">
        <v>1626</v>
      </c>
      <c r="B1627" s="523" t="s">
        <v>3961</v>
      </c>
      <c r="C1627" s="523" t="s">
        <v>2851</v>
      </c>
      <c r="D1627" s="523" t="s">
        <v>3951</v>
      </c>
      <c r="E1627" s="523" t="s">
        <v>3952</v>
      </c>
      <c r="F1627" s="523" t="s">
        <v>42</v>
      </c>
    </row>
    <row r="1628">
      <c r="A1628" s="523">
        <v>1627</v>
      </c>
      <c r="B1628" s="523" t="s">
        <v>3962</v>
      </c>
      <c r="C1628" s="523" t="s">
        <v>2337</v>
      </c>
      <c r="D1628" s="523" t="s">
        <v>3951</v>
      </c>
      <c r="E1628" s="523" t="s">
        <v>3952</v>
      </c>
      <c r="F1628" s="523" t="s">
        <v>42</v>
      </c>
    </row>
    <row r="1629">
      <c r="A1629" s="523">
        <v>1628</v>
      </c>
      <c r="B1629" s="523" t="s">
        <v>3963</v>
      </c>
      <c r="C1629" s="523" t="s">
        <v>3964</v>
      </c>
      <c r="D1629" s="523" t="s">
        <v>3951</v>
      </c>
      <c r="E1629" s="523" t="s">
        <v>3952</v>
      </c>
      <c r="F1629" s="523" t="s">
        <v>42</v>
      </c>
    </row>
    <row r="1630">
      <c r="A1630" s="523">
        <v>1629</v>
      </c>
      <c r="B1630" s="523" t="s">
        <v>3965</v>
      </c>
      <c r="C1630" s="523" t="s">
        <v>3966</v>
      </c>
      <c r="D1630" s="523" t="s">
        <v>3951</v>
      </c>
      <c r="E1630" s="523" t="s">
        <v>3952</v>
      </c>
      <c r="F1630" s="523" t="s">
        <v>42</v>
      </c>
    </row>
    <row r="1631">
      <c r="A1631" s="523">
        <v>1630</v>
      </c>
      <c r="B1631" s="523" t="s">
        <v>3967</v>
      </c>
      <c r="C1631" s="523" t="s">
        <v>3374</v>
      </c>
      <c r="D1631" s="523" t="s">
        <v>3951</v>
      </c>
      <c r="E1631" s="523" t="s">
        <v>3952</v>
      </c>
      <c r="F1631" s="523" t="s">
        <v>42</v>
      </c>
    </row>
    <row r="1632">
      <c r="A1632" s="523">
        <v>1631</v>
      </c>
      <c r="B1632" s="523" t="s">
        <v>3968</v>
      </c>
      <c r="C1632" s="523" t="s">
        <v>3969</v>
      </c>
      <c r="D1632" s="523" t="s">
        <v>3970</v>
      </c>
      <c r="E1632" s="523" t="s">
        <v>928</v>
      </c>
      <c r="F1632" s="523" t="s">
        <v>42</v>
      </c>
    </row>
    <row r="1633">
      <c r="A1633" s="523">
        <v>1632</v>
      </c>
      <c r="B1633" s="523" t="s">
        <v>3971</v>
      </c>
      <c r="C1633" s="523" t="s">
        <v>2067</v>
      </c>
      <c r="D1633" s="523" t="s">
        <v>3970</v>
      </c>
      <c r="E1633" s="523" t="s">
        <v>928</v>
      </c>
      <c r="F1633" s="523" t="s">
        <v>42</v>
      </c>
    </row>
    <row r="1634">
      <c r="A1634" s="523">
        <v>1633</v>
      </c>
      <c r="B1634" s="523" t="s">
        <v>3972</v>
      </c>
      <c r="C1634" s="523" t="s">
        <v>3973</v>
      </c>
      <c r="D1634" s="523" t="s">
        <v>3970</v>
      </c>
      <c r="E1634" s="523" t="s">
        <v>928</v>
      </c>
      <c r="F1634" s="523" t="s">
        <v>42</v>
      </c>
    </row>
    <row r="1635">
      <c r="A1635" s="523">
        <v>1634</v>
      </c>
      <c r="B1635" s="523" t="s">
        <v>3974</v>
      </c>
      <c r="C1635" s="523" t="s">
        <v>1245</v>
      </c>
      <c r="D1635" s="523" t="s">
        <v>3970</v>
      </c>
      <c r="E1635" s="523" t="s">
        <v>928</v>
      </c>
      <c r="F1635" s="523" t="s">
        <v>42</v>
      </c>
    </row>
    <row r="1636">
      <c r="A1636" s="523">
        <v>1635</v>
      </c>
      <c r="B1636" s="523" t="s">
        <v>3975</v>
      </c>
      <c r="C1636" s="523" t="s">
        <v>3976</v>
      </c>
      <c r="D1636" s="523" t="s">
        <v>3970</v>
      </c>
      <c r="E1636" s="523" t="s">
        <v>928</v>
      </c>
      <c r="F1636" s="523" t="s">
        <v>42</v>
      </c>
    </row>
    <row r="1637">
      <c r="A1637" s="523">
        <v>1636</v>
      </c>
      <c r="B1637" s="523" t="s">
        <v>3977</v>
      </c>
      <c r="C1637" s="523" t="s">
        <v>3978</v>
      </c>
      <c r="D1637" s="523" t="s">
        <v>3970</v>
      </c>
      <c r="E1637" s="523" t="s">
        <v>928</v>
      </c>
      <c r="F1637" s="523" t="s">
        <v>42</v>
      </c>
    </row>
    <row r="1638">
      <c r="A1638" s="523">
        <v>1637</v>
      </c>
      <c r="B1638" s="523" t="s">
        <v>3979</v>
      </c>
      <c r="C1638" s="523" t="s">
        <v>3980</v>
      </c>
      <c r="D1638" s="523" t="s">
        <v>3970</v>
      </c>
      <c r="E1638" s="523" t="s">
        <v>928</v>
      </c>
      <c r="F1638" s="523" t="s">
        <v>42</v>
      </c>
    </row>
    <row r="1639">
      <c r="A1639" s="523">
        <v>1638</v>
      </c>
      <c r="B1639" s="523" t="s">
        <v>3981</v>
      </c>
      <c r="C1639" s="523" t="s">
        <v>2587</v>
      </c>
      <c r="D1639" s="523" t="s">
        <v>3970</v>
      </c>
      <c r="E1639" s="523" t="s">
        <v>928</v>
      </c>
      <c r="F1639" s="523" t="s">
        <v>42</v>
      </c>
    </row>
    <row r="1640">
      <c r="A1640" s="523">
        <v>1639</v>
      </c>
      <c r="B1640" s="523" t="s">
        <v>3982</v>
      </c>
      <c r="C1640" s="523" t="s">
        <v>3983</v>
      </c>
      <c r="D1640" s="523" t="s">
        <v>3970</v>
      </c>
      <c r="E1640" s="523" t="s">
        <v>928</v>
      </c>
      <c r="F1640" s="523" t="s">
        <v>42</v>
      </c>
    </row>
    <row r="1641">
      <c r="A1641" s="523">
        <v>1640</v>
      </c>
      <c r="B1641" s="523" t="s">
        <v>3984</v>
      </c>
      <c r="C1641" s="523" t="s">
        <v>3985</v>
      </c>
      <c r="D1641" s="523" t="s">
        <v>3970</v>
      </c>
      <c r="E1641" s="523" t="s">
        <v>928</v>
      </c>
      <c r="F1641" s="523" t="s">
        <v>42</v>
      </c>
    </row>
    <row r="1642">
      <c r="A1642" s="523">
        <v>1641</v>
      </c>
      <c r="B1642" s="523" t="s">
        <v>3986</v>
      </c>
      <c r="C1642" s="523" t="s">
        <v>2919</v>
      </c>
      <c r="D1642" s="523" t="s">
        <v>3987</v>
      </c>
      <c r="E1642" s="523" t="s">
        <v>3988</v>
      </c>
      <c r="F1642" s="523" t="s">
        <v>42</v>
      </c>
    </row>
    <row r="1643">
      <c r="A1643" s="523">
        <v>1642</v>
      </c>
      <c r="B1643" s="523" t="s">
        <v>3989</v>
      </c>
      <c r="C1643" s="523" t="s">
        <v>1950</v>
      </c>
      <c r="D1643" s="523" t="s">
        <v>3987</v>
      </c>
      <c r="E1643" s="523" t="s">
        <v>3988</v>
      </c>
      <c r="F1643" s="523" t="s">
        <v>42</v>
      </c>
    </row>
    <row r="1644">
      <c r="A1644" s="523">
        <v>1643</v>
      </c>
      <c r="B1644" s="523" t="s">
        <v>3990</v>
      </c>
      <c r="C1644" s="523" t="s">
        <v>3991</v>
      </c>
      <c r="D1644" s="523" t="s">
        <v>3987</v>
      </c>
      <c r="E1644" s="523" t="s">
        <v>3988</v>
      </c>
      <c r="F1644" s="523" t="s">
        <v>42</v>
      </c>
    </row>
    <row r="1645">
      <c r="A1645" s="523">
        <v>1644</v>
      </c>
      <c r="B1645" s="523" t="s">
        <v>3992</v>
      </c>
      <c r="C1645" s="523" t="s">
        <v>1052</v>
      </c>
      <c r="D1645" s="523" t="s">
        <v>3987</v>
      </c>
      <c r="E1645" s="523" t="s">
        <v>3988</v>
      </c>
      <c r="F1645" s="523" t="s">
        <v>42</v>
      </c>
    </row>
    <row r="1646">
      <c r="A1646" s="523">
        <v>1645</v>
      </c>
      <c r="B1646" s="523" t="s">
        <v>3993</v>
      </c>
      <c r="C1646" s="523" t="s">
        <v>3994</v>
      </c>
      <c r="D1646" s="523" t="s">
        <v>3987</v>
      </c>
      <c r="E1646" s="523" t="s">
        <v>3988</v>
      </c>
      <c r="F1646" s="523" t="s">
        <v>42</v>
      </c>
    </row>
    <row r="1647">
      <c r="A1647" s="523">
        <v>1646</v>
      </c>
      <c r="B1647" s="523" t="s">
        <v>3995</v>
      </c>
      <c r="C1647" s="523" t="s">
        <v>3996</v>
      </c>
      <c r="D1647" s="523" t="s">
        <v>3997</v>
      </c>
      <c r="E1647" s="523" t="s">
        <v>3998</v>
      </c>
      <c r="F1647" s="523" t="s">
        <v>42</v>
      </c>
    </row>
    <row r="1648">
      <c r="A1648" s="523">
        <v>1647</v>
      </c>
      <c r="B1648" s="523" t="s">
        <v>3999</v>
      </c>
      <c r="C1648" s="523" t="s">
        <v>4000</v>
      </c>
      <c r="D1648" s="523" t="s">
        <v>3997</v>
      </c>
      <c r="E1648" s="523" t="s">
        <v>3998</v>
      </c>
      <c r="F1648" s="523" t="s">
        <v>42</v>
      </c>
    </row>
    <row r="1649">
      <c r="A1649" s="523">
        <v>1648</v>
      </c>
      <c r="B1649" s="523" t="s">
        <v>4001</v>
      </c>
      <c r="C1649" s="523" t="s">
        <v>4002</v>
      </c>
      <c r="D1649" s="523" t="s">
        <v>3997</v>
      </c>
      <c r="E1649" s="523" t="s">
        <v>3998</v>
      </c>
      <c r="F1649" s="523" t="s">
        <v>42</v>
      </c>
    </row>
    <row r="1650">
      <c r="A1650" s="523">
        <v>1649</v>
      </c>
      <c r="B1650" s="523" t="s">
        <v>4003</v>
      </c>
      <c r="C1650" s="523" t="s">
        <v>964</v>
      </c>
      <c r="D1650" s="523" t="s">
        <v>3997</v>
      </c>
      <c r="E1650" s="523" t="s">
        <v>3998</v>
      </c>
      <c r="F1650" s="523" t="s">
        <v>42</v>
      </c>
    </row>
    <row r="1651">
      <c r="A1651" s="523">
        <v>1650</v>
      </c>
      <c r="B1651" s="523" t="s">
        <v>4004</v>
      </c>
      <c r="C1651" s="523" t="s">
        <v>4005</v>
      </c>
      <c r="D1651" s="523" t="s">
        <v>3997</v>
      </c>
      <c r="E1651" s="523" t="s">
        <v>3998</v>
      </c>
      <c r="F1651" s="523" t="s">
        <v>42</v>
      </c>
    </row>
    <row r="1652">
      <c r="A1652" s="523">
        <v>1651</v>
      </c>
      <c r="B1652" s="523" t="s">
        <v>4006</v>
      </c>
      <c r="C1652" s="523" t="s">
        <v>2016</v>
      </c>
      <c r="D1652" s="523" t="s">
        <v>3997</v>
      </c>
      <c r="E1652" s="523" t="s">
        <v>3998</v>
      </c>
      <c r="F1652" s="523" t="s">
        <v>42</v>
      </c>
    </row>
    <row r="1653">
      <c r="A1653" s="523">
        <v>1652</v>
      </c>
      <c r="B1653" s="523" t="s">
        <v>4007</v>
      </c>
      <c r="C1653" s="523" t="s">
        <v>4008</v>
      </c>
      <c r="D1653" s="523" t="s">
        <v>3997</v>
      </c>
      <c r="E1653" s="523" t="s">
        <v>3998</v>
      </c>
      <c r="F1653" s="523" t="s">
        <v>42</v>
      </c>
    </row>
    <row r="1654">
      <c r="A1654" s="523">
        <v>1653</v>
      </c>
      <c r="B1654" s="523" t="s">
        <v>4009</v>
      </c>
      <c r="C1654" s="523" t="s">
        <v>1457</v>
      </c>
      <c r="D1654" s="523" t="s">
        <v>3997</v>
      </c>
      <c r="E1654" s="523" t="s">
        <v>3998</v>
      </c>
      <c r="F1654" s="523" t="s">
        <v>42</v>
      </c>
    </row>
    <row r="1655">
      <c r="A1655" s="523">
        <v>1654</v>
      </c>
      <c r="B1655" s="523" t="s">
        <v>4010</v>
      </c>
      <c r="C1655" s="523" t="s">
        <v>4011</v>
      </c>
      <c r="D1655" s="523" t="s">
        <v>3997</v>
      </c>
      <c r="E1655" s="523" t="s">
        <v>3998</v>
      </c>
      <c r="F1655" s="523" t="s">
        <v>42</v>
      </c>
    </row>
    <row r="1656">
      <c r="A1656" s="523">
        <v>1655</v>
      </c>
      <c r="B1656" s="523" t="s">
        <v>4012</v>
      </c>
      <c r="C1656" s="523" t="s">
        <v>4013</v>
      </c>
      <c r="D1656" s="523" t="s">
        <v>3997</v>
      </c>
      <c r="E1656" s="523" t="s">
        <v>3998</v>
      </c>
      <c r="F1656" s="523" t="s">
        <v>42</v>
      </c>
    </row>
    <row r="1657">
      <c r="A1657" s="523">
        <v>1656</v>
      </c>
      <c r="B1657" s="523" t="s">
        <v>4014</v>
      </c>
      <c r="C1657" s="523" t="s">
        <v>4015</v>
      </c>
      <c r="D1657" s="523" t="s">
        <v>3997</v>
      </c>
      <c r="E1657" s="523" t="s">
        <v>3998</v>
      </c>
      <c r="F1657" s="523" t="s">
        <v>42</v>
      </c>
    </row>
    <row r="1658">
      <c r="A1658" s="523">
        <v>1657</v>
      </c>
      <c r="B1658" s="523" t="s">
        <v>4016</v>
      </c>
      <c r="C1658" s="523" t="s">
        <v>4017</v>
      </c>
      <c r="D1658" s="523" t="s">
        <v>3997</v>
      </c>
      <c r="E1658" s="523" t="s">
        <v>3998</v>
      </c>
      <c r="F1658" s="523" t="s">
        <v>42</v>
      </c>
    </row>
    <row r="1659">
      <c r="A1659" s="523">
        <v>1658</v>
      </c>
      <c r="B1659" s="523" t="s">
        <v>4018</v>
      </c>
      <c r="C1659" s="523" t="s">
        <v>4019</v>
      </c>
      <c r="D1659" s="523" t="s">
        <v>3997</v>
      </c>
      <c r="E1659" s="523" t="s">
        <v>3998</v>
      </c>
      <c r="F1659" s="523" t="s">
        <v>42</v>
      </c>
    </row>
    <row r="1660">
      <c r="A1660" s="523">
        <v>1659</v>
      </c>
      <c r="B1660" s="523" t="s">
        <v>4020</v>
      </c>
      <c r="C1660" s="523" t="s">
        <v>3859</v>
      </c>
      <c r="D1660" s="523" t="s">
        <v>3997</v>
      </c>
      <c r="E1660" s="523" t="s">
        <v>3998</v>
      </c>
      <c r="F1660" s="523" t="s">
        <v>42</v>
      </c>
    </row>
    <row r="1661">
      <c r="A1661" s="523">
        <v>1660</v>
      </c>
      <c r="B1661" s="523" t="s">
        <v>4021</v>
      </c>
      <c r="C1661" s="523" t="s">
        <v>4022</v>
      </c>
      <c r="D1661" s="523" t="s">
        <v>3997</v>
      </c>
      <c r="E1661" s="523" t="s">
        <v>3998</v>
      </c>
      <c r="F1661" s="523" t="s">
        <v>42</v>
      </c>
    </row>
    <row r="1662">
      <c r="A1662" s="523">
        <v>1661</v>
      </c>
      <c r="B1662" s="523" t="s">
        <v>4023</v>
      </c>
      <c r="C1662" s="523" t="s">
        <v>2587</v>
      </c>
      <c r="D1662" s="523" t="s">
        <v>3997</v>
      </c>
      <c r="E1662" s="523" t="s">
        <v>3998</v>
      </c>
      <c r="F1662" s="523" t="s">
        <v>42</v>
      </c>
    </row>
    <row r="1663">
      <c r="A1663" s="523">
        <v>1662</v>
      </c>
      <c r="B1663" s="523" t="s">
        <v>4024</v>
      </c>
      <c r="C1663" s="523" t="s">
        <v>1817</v>
      </c>
      <c r="D1663" s="523" t="s">
        <v>3997</v>
      </c>
      <c r="E1663" s="523" t="s">
        <v>3998</v>
      </c>
      <c r="F1663" s="523" t="s">
        <v>42</v>
      </c>
    </row>
    <row r="1664">
      <c r="A1664" s="523">
        <v>1663</v>
      </c>
      <c r="B1664" s="523" t="s">
        <v>4025</v>
      </c>
      <c r="C1664" s="523" t="s">
        <v>1052</v>
      </c>
      <c r="D1664" s="523" t="s">
        <v>3997</v>
      </c>
      <c r="E1664" s="523" t="s">
        <v>3998</v>
      </c>
      <c r="F1664" s="523" t="s">
        <v>42</v>
      </c>
    </row>
    <row r="1665">
      <c r="A1665" s="523">
        <v>1664</v>
      </c>
      <c r="B1665" s="523" t="s">
        <v>4026</v>
      </c>
      <c r="C1665" s="523" t="s">
        <v>3137</v>
      </c>
      <c r="D1665" s="523" t="s">
        <v>3997</v>
      </c>
      <c r="E1665" s="523" t="s">
        <v>3998</v>
      </c>
      <c r="F1665" s="523" t="s">
        <v>42</v>
      </c>
    </row>
    <row r="1666">
      <c r="A1666" s="523">
        <v>1665</v>
      </c>
      <c r="B1666" s="523" t="s">
        <v>4027</v>
      </c>
      <c r="C1666" s="523" t="s">
        <v>4028</v>
      </c>
      <c r="D1666" s="523" t="s">
        <v>4029</v>
      </c>
      <c r="E1666" s="523" t="s">
        <v>4030</v>
      </c>
      <c r="F1666" s="523" t="s">
        <v>42</v>
      </c>
    </row>
    <row r="1667">
      <c r="A1667" s="523">
        <v>1666</v>
      </c>
      <c r="B1667" s="523" t="s">
        <v>4031</v>
      </c>
      <c r="C1667" s="523" t="s">
        <v>4032</v>
      </c>
      <c r="D1667" s="523" t="s">
        <v>4029</v>
      </c>
      <c r="E1667" s="523" t="s">
        <v>4030</v>
      </c>
      <c r="F1667" s="523" t="s">
        <v>42</v>
      </c>
    </row>
    <row r="1668">
      <c r="A1668" s="523">
        <v>1667</v>
      </c>
      <c r="B1668" s="523" t="s">
        <v>4033</v>
      </c>
      <c r="C1668" s="523" t="s">
        <v>4034</v>
      </c>
      <c r="D1668" s="523" t="s">
        <v>4029</v>
      </c>
      <c r="E1668" s="523" t="s">
        <v>4030</v>
      </c>
      <c r="F1668" s="523" t="s">
        <v>42</v>
      </c>
    </row>
    <row r="1669">
      <c r="A1669" s="523">
        <v>1668</v>
      </c>
      <c r="B1669" s="523" t="s">
        <v>4035</v>
      </c>
      <c r="C1669" s="523" t="s">
        <v>4036</v>
      </c>
      <c r="D1669" s="523" t="s">
        <v>4029</v>
      </c>
      <c r="E1669" s="523" t="s">
        <v>4030</v>
      </c>
      <c r="F1669" s="523" t="s">
        <v>42</v>
      </c>
    </row>
    <row r="1670">
      <c r="A1670" s="523">
        <v>1669</v>
      </c>
      <c r="B1670" s="523" t="s">
        <v>4037</v>
      </c>
      <c r="C1670" s="523" t="s">
        <v>4038</v>
      </c>
      <c r="D1670" s="523" t="s">
        <v>4029</v>
      </c>
      <c r="E1670" s="523" t="s">
        <v>4030</v>
      </c>
      <c r="F1670" s="523" t="s">
        <v>42</v>
      </c>
    </row>
    <row r="1671">
      <c r="A1671" s="523">
        <v>1670</v>
      </c>
      <c r="B1671" s="523" t="s">
        <v>4039</v>
      </c>
      <c r="C1671" s="523" t="s">
        <v>4040</v>
      </c>
      <c r="D1671" s="523" t="s">
        <v>4029</v>
      </c>
      <c r="E1671" s="523" t="s">
        <v>4030</v>
      </c>
      <c r="F1671" s="523" t="s">
        <v>42</v>
      </c>
    </row>
    <row r="1672">
      <c r="A1672" s="523">
        <v>1671</v>
      </c>
      <c r="B1672" s="523" t="s">
        <v>4041</v>
      </c>
      <c r="C1672" s="523" t="s">
        <v>4042</v>
      </c>
      <c r="D1672" s="523" t="s">
        <v>4029</v>
      </c>
      <c r="E1672" s="523" t="s">
        <v>4030</v>
      </c>
      <c r="F1672" s="523" t="s">
        <v>42</v>
      </c>
    </row>
    <row r="1673">
      <c r="A1673" s="523">
        <v>1672</v>
      </c>
      <c r="B1673" s="523" t="s">
        <v>4043</v>
      </c>
      <c r="C1673" s="523" t="s">
        <v>4044</v>
      </c>
      <c r="D1673" s="523" t="s">
        <v>4029</v>
      </c>
      <c r="E1673" s="523" t="s">
        <v>4030</v>
      </c>
      <c r="F1673" s="523" t="s">
        <v>42</v>
      </c>
    </row>
    <row r="1674">
      <c r="A1674" s="523">
        <v>1673</v>
      </c>
      <c r="B1674" s="523" t="s">
        <v>4045</v>
      </c>
      <c r="C1674" s="523" t="s">
        <v>4046</v>
      </c>
      <c r="D1674" s="523" t="s">
        <v>4029</v>
      </c>
      <c r="E1674" s="523" t="s">
        <v>4030</v>
      </c>
      <c r="F1674" s="523" t="s">
        <v>42</v>
      </c>
    </row>
    <row r="1675">
      <c r="A1675" s="523">
        <v>1674</v>
      </c>
      <c r="B1675" s="523" t="s">
        <v>4047</v>
      </c>
      <c r="C1675" s="523" t="s">
        <v>1255</v>
      </c>
      <c r="D1675" s="523" t="s">
        <v>4029</v>
      </c>
      <c r="E1675" s="523" t="s">
        <v>4030</v>
      </c>
      <c r="F1675" s="523" t="s">
        <v>42</v>
      </c>
    </row>
    <row r="1676">
      <c r="A1676" s="523">
        <v>1675</v>
      </c>
      <c r="B1676" s="523" t="s">
        <v>4048</v>
      </c>
      <c r="C1676" s="523" t="s">
        <v>3115</v>
      </c>
      <c r="D1676" s="523" t="s">
        <v>4029</v>
      </c>
      <c r="E1676" s="523" t="s">
        <v>4030</v>
      </c>
      <c r="F1676" s="523" t="s">
        <v>42</v>
      </c>
    </row>
    <row r="1677">
      <c r="A1677" s="523">
        <v>1676</v>
      </c>
      <c r="B1677" s="523" t="s">
        <v>4049</v>
      </c>
      <c r="C1677" s="523" t="s">
        <v>4050</v>
      </c>
      <c r="D1677" s="523" t="s">
        <v>4051</v>
      </c>
      <c r="E1677" s="523" t="s">
        <v>4052</v>
      </c>
      <c r="F1677" s="523" t="s">
        <v>42</v>
      </c>
    </row>
    <row r="1678">
      <c r="A1678" s="523">
        <v>1677</v>
      </c>
      <c r="B1678" s="523" t="s">
        <v>4053</v>
      </c>
      <c r="C1678" s="523" t="s">
        <v>4054</v>
      </c>
      <c r="D1678" s="523" t="s">
        <v>4051</v>
      </c>
      <c r="E1678" s="523" t="s">
        <v>4052</v>
      </c>
      <c r="F1678" s="523" t="s">
        <v>42</v>
      </c>
    </row>
    <row r="1679">
      <c r="A1679" s="523">
        <v>1678</v>
      </c>
      <c r="B1679" s="523" t="s">
        <v>4055</v>
      </c>
      <c r="C1679" s="523" t="s">
        <v>4056</v>
      </c>
      <c r="D1679" s="523" t="s">
        <v>4051</v>
      </c>
      <c r="E1679" s="523" t="s">
        <v>4052</v>
      </c>
      <c r="F1679" s="523" t="s">
        <v>42</v>
      </c>
    </row>
    <row r="1680">
      <c r="A1680" s="523">
        <v>1679</v>
      </c>
      <c r="B1680" s="523" t="s">
        <v>4057</v>
      </c>
      <c r="C1680" s="523" t="s">
        <v>1667</v>
      </c>
      <c r="D1680" s="523" t="s">
        <v>4051</v>
      </c>
      <c r="E1680" s="523" t="s">
        <v>4052</v>
      </c>
      <c r="F1680" s="523" t="s">
        <v>42</v>
      </c>
    </row>
    <row r="1681">
      <c r="A1681" s="523">
        <v>1680</v>
      </c>
      <c r="B1681" s="523" t="s">
        <v>4058</v>
      </c>
      <c r="C1681" s="523" t="s">
        <v>4059</v>
      </c>
      <c r="D1681" s="523" t="s">
        <v>4051</v>
      </c>
      <c r="E1681" s="523" t="s">
        <v>4052</v>
      </c>
      <c r="F1681" s="523" t="s">
        <v>42</v>
      </c>
    </row>
    <row r="1682">
      <c r="A1682" s="523">
        <v>1681</v>
      </c>
      <c r="B1682" s="523" t="s">
        <v>4060</v>
      </c>
      <c r="C1682" s="523" t="s">
        <v>4061</v>
      </c>
      <c r="D1682" s="523" t="s">
        <v>4051</v>
      </c>
      <c r="E1682" s="523" t="s">
        <v>4052</v>
      </c>
      <c r="F1682" s="523" t="s">
        <v>42</v>
      </c>
    </row>
    <row r="1683">
      <c r="A1683" s="523">
        <v>1682</v>
      </c>
      <c r="B1683" s="523" t="s">
        <v>4062</v>
      </c>
      <c r="C1683" s="523" t="s">
        <v>4063</v>
      </c>
      <c r="D1683" s="523" t="s">
        <v>4051</v>
      </c>
      <c r="E1683" s="523" t="s">
        <v>4052</v>
      </c>
      <c r="F1683" s="523" t="s">
        <v>42</v>
      </c>
    </row>
    <row r="1684">
      <c r="A1684" s="523">
        <v>1683</v>
      </c>
      <c r="B1684" s="523" t="s">
        <v>4064</v>
      </c>
      <c r="C1684" s="523" t="s">
        <v>4065</v>
      </c>
      <c r="D1684" s="523" t="s">
        <v>4051</v>
      </c>
      <c r="E1684" s="523" t="s">
        <v>4052</v>
      </c>
      <c r="F1684" s="523" t="s">
        <v>42</v>
      </c>
    </row>
    <row r="1685">
      <c r="A1685" s="523">
        <v>1684</v>
      </c>
      <c r="B1685" s="523" t="s">
        <v>4066</v>
      </c>
      <c r="C1685" s="523" t="s">
        <v>4067</v>
      </c>
      <c r="D1685" s="523" t="s">
        <v>4051</v>
      </c>
      <c r="E1685" s="523" t="s">
        <v>4052</v>
      </c>
      <c r="F1685" s="523" t="s">
        <v>42</v>
      </c>
    </row>
    <row r="1686">
      <c r="A1686" s="523">
        <v>1685</v>
      </c>
      <c r="B1686" s="523" t="s">
        <v>4068</v>
      </c>
      <c r="C1686" s="523" t="s">
        <v>4069</v>
      </c>
      <c r="D1686" s="523" t="s">
        <v>4051</v>
      </c>
      <c r="E1686" s="523" t="s">
        <v>4052</v>
      </c>
      <c r="F1686" s="523" t="s">
        <v>42</v>
      </c>
    </row>
    <row r="1687">
      <c r="A1687" s="523">
        <v>1686</v>
      </c>
      <c r="B1687" s="523" t="s">
        <v>4070</v>
      </c>
      <c r="C1687" s="523" t="s">
        <v>4071</v>
      </c>
      <c r="D1687" s="523" t="s">
        <v>4051</v>
      </c>
      <c r="E1687" s="523" t="s">
        <v>4052</v>
      </c>
      <c r="F1687" s="523" t="s">
        <v>42</v>
      </c>
    </row>
    <row r="1688">
      <c r="A1688" s="523">
        <v>1687</v>
      </c>
      <c r="B1688" s="523" t="s">
        <v>4072</v>
      </c>
      <c r="C1688" s="523" t="s">
        <v>4073</v>
      </c>
      <c r="D1688" s="523" t="s">
        <v>4051</v>
      </c>
      <c r="E1688" s="523" t="s">
        <v>4052</v>
      </c>
      <c r="F1688" s="523" t="s">
        <v>42</v>
      </c>
    </row>
    <row r="1689">
      <c r="A1689" s="523">
        <v>1688</v>
      </c>
      <c r="B1689" s="523" t="s">
        <v>4074</v>
      </c>
      <c r="C1689" s="523" t="s">
        <v>4075</v>
      </c>
      <c r="D1689" s="523" t="s">
        <v>4051</v>
      </c>
      <c r="E1689" s="523" t="s">
        <v>4052</v>
      </c>
      <c r="F1689" s="523" t="s">
        <v>42</v>
      </c>
    </row>
    <row r="1690">
      <c r="A1690" s="523">
        <v>1689</v>
      </c>
      <c r="B1690" s="523" t="s">
        <v>4076</v>
      </c>
      <c r="C1690" s="523" t="s">
        <v>4077</v>
      </c>
      <c r="D1690" s="523" t="s">
        <v>4051</v>
      </c>
      <c r="E1690" s="523" t="s">
        <v>4052</v>
      </c>
      <c r="F1690" s="523" t="s">
        <v>42</v>
      </c>
    </row>
    <row r="1691">
      <c r="A1691" s="523">
        <v>1690</v>
      </c>
      <c r="B1691" s="523" t="s">
        <v>4078</v>
      </c>
      <c r="C1691" s="523" t="s">
        <v>1390</v>
      </c>
      <c r="D1691" s="523" t="s">
        <v>4079</v>
      </c>
      <c r="E1691" s="523" t="s">
        <v>4080</v>
      </c>
      <c r="F1691" s="523" t="s">
        <v>42</v>
      </c>
    </row>
    <row r="1692">
      <c r="A1692" s="523">
        <v>1691</v>
      </c>
      <c r="B1692" s="523" t="s">
        <v>4081</v>
      </c>
      <c r="C1692" s="523" t="s">
        <v>4082</v>
      </c>
      <c r="D1692" s="523" t="s">
        <v>4079</v>
      </c>
      <c r="E1692" s="523" t="s">
        <v>4080</v>
      </c>
      <c r="F1692" s="523" t="s">
        <v>42</v>
      </c>
    </row>
    <row r="1693">
      <c r="A1693" s="523">
        <v>1692</v>
      </c>
      <c r="B1693" s="523" t="s">
        <v>4083</v>
      </c>
      <c r="C1693" s="523" t="s">
        <v>4084</v>
      </c>
      <c r="D1693" s="523" t="s">
        <v>4079</v>
      </c>
      <c r="E1693" s="523" t="s">
        <v>4080</v>
      </c>
      <c r="F1693" s="523" t="s">
        <v>42</v>
      </c>
    </row>
    <row r="1694">
      <c r="A1694" s="523">
        <v>1693</v>
      </c>
      <c r="B1694" s="523" t="s">
        <v>4085</v>
      </c>
      <c r="C1694" s="523" t="s">
        <v>4086</v>
      </c>
      <c r="D1694" s="523" t="s">
        <v>4079</v>
      </c>
      <c r="E1694" s="523" t="s">
        <v>4080</v>
      </c>
      <c r="F1694" s="523" t="s">
        <v>42</v>
      </c>
    </row>
    <row r="1695">
      <c r="A1695" s="523">
        <v>1694</v>
      </c>
      <c r="B1695" s="523" t="s">
        <v>4087</v>
      </c>
      <c r="C1695" s="523" t="s">
        <v>4088</v>
      </c>
      <c r="D1695" s="523" t="s">
        <v>4089</v>
      </c>
      <c r="E1695" s="523" t="s">
        <v>4090</v>
      </c>
      <c r="F1695" s="523" t="s">
        <v>42</v>
      </c>
    </row>
    <row r="1696">
      <c r="A1696" s="523">
        <v>1695</v>
      </c>
      <c r="B1696" s="523" t="s">
        <v>4091</v>
      </c>
      <c r="C1696" s="523" t="s">
        <v>2067</v>
      </c>
      <c r="D1696" s="523" t="s">
        <v>4089</v>
      </c>
      <c r="E1696" s="523" t="s">
        <v>4090</v>
      </c>
      <c r="F1696" s="523" t="s">
        <v>42</v>
      </c>
    </row>
    <row r="1697">
      <c r="A1697" s="523">
        <v>1696</v>
      </c>
      <c r="B1697" s="523" t="s">
        <v>4092</v>
      </c>
      <c r="C1697" s="523" t="s">
        <v>4093</v>
      </c>
      <c r="D1697" s="523" t="s">
        <v>4089</v>
      </c>
      <c r="E1697" s="523" t="s">
        <v>4090</v>
      </c>
      <c r="F1697" s="523" t="s">
        <v>42</v>
      </c>
    </row>
    <row r="1698">
      <c r="A1698" s="523">
        <v>1697</v>
      </c>
      <c r="B1698" s="523" t="s">
        <v>4094</v>
      </c>
      <c r="C1698" s="523" t="s">
        <v>4095</v>
      </c>
      <c r="D1698" s="523" t="s">
        <v>4089</v>
      </c>
      <c r="E1698" s="523" t="s">
        <v>4090</v>
      </c>
      <c r="F1698" s="523" t="s">
        <v>42</v>
      </c>
    </row>
    <row r="1699">
      <c r="A1699" s="523">
        <v>1698</v>
      </c>
      <c r="B1699" s="523" t="s">
        <v>4096</v>
      </c>
      <c r="C1699" s="523" t="s">
        <v>4097</v>
      </c>
      <c r="D1699" s="523" t="s">
        <v>4089</v>
      </c>
      <c r="E1699" s="523" t="s">
        <v>4090</v>
      </c>
      <c r="F1699" s="523" t="s">
        <v>42</v>
      </c>
    </row>
    <row r="1700">
      <c r="A1700" s="523">
        <v>1699</v>
      </c>
      <c r="B1700" s="523" t="s">
        <v>4098</v>
      </c>
      <c r="C1700" s="523" t="s">
        <v>4099</v>
      </c>
      <c r="D1700" s="523" t="s">
        <v>4089</v>
      </c>
      <c r="E1700" s="523" t="s">
        <v>4090</v>
      </c>
      <c r="F1700" s="523" t="s">
        <v>42</v>
      </c>
    </row>
    <row r="1701">
      <c r="A1701" s="523">
        <v>1700</v>
      </c>
      <c r="B1701" s="523" t="s">
        <v>4100</v>
      </c>
      <c r="C1701" s="523" t="s">
        <v>4101</v>
      </c>
      <c r="D1701" s="523" t="s">
        <v>4089</v>
      </c>
      <c r="E1701" s="523" t="s">
        <v>4090</v>
      </c>
      <c r="F1701" s="523" t="s">
        <v>42</v>
      </c>
    </row>
    <row r="1702">
      <c r="A1702" s="523">
        <v>1701</v>
      </c>
      <c r="B1702" s="523" t="s">
        <v>4102</v>
      </c>
      <c r="C1702" s="523" t="s">
        <v>4103</v>
      </c>
      <c r="D1702" s="523" t="s">
        <v>4089</v>
      </c>
      <c r="E1702" s="523" t="s">
        <v>4090</v>
      </c>
      <c r="F1702" s="523" t="s">
        <v>42</v>
      </c>
    </row>
    <row r="1703">
      <c r="A1703" s="523">
        <v>1702</v>
      </c>
      <c r="B1703" s="523" t="s">
        <v>4104</v>
      </c>
      <c r="C1703" s="523" t="s">
        <v>4105</v>
      </c>
      <c r="D1703" s="523" t="s">
        <v>4106</v>
      </c>
      <c r="E1703" s="523" t="s">
        <v>4107</v>
      </c>
      <c r="F1703" s="523" t="s">
        <v>42</v>
      </c>
    </row>
    <row r="1704">
      <c r="A1704" s="523">
        <v>1703</v>
      </c>
      <c r="B1704" s="523" t="s">
        <v>4108</v>
      </c>
      <c r="C1704" s="523" t="s">
        <v>4109</v>
      </c>
      <c r="D1704" s="523" t="s">
        <v>4106</v>
      </c>
      <c r="E1704" s="523" t="s">
        <v>4107</v>
      </c>
      <c r="F1704" s="523" t="s">
        <v>42</v>
      </c>
    </row>
    <row r="1705">
      <c r="A1705" s="523">
        <v>1704</v>
      </c>
      <c r="B1705" s="523" t="s">
        <v>4110</v>
      </c>
      <c r="C1705" s="523" t="s">
        <v>4111</v>
      </c>
      <c r="D1705" s="523" t="s">
        <v>4106</v>
      </c>
      <c r="E1705" s="523" t="s">
        <v>4107</v>
      </c>
      <c r="F1705" s="523" t="s">
        <v>42</v>
      </c>
    </row>
    <row r="1706">
      <c r="A1706" s="523">
        <v>1705</v>
      </c>
      <c r="B1706" s="523" t="s">
        <v>4112</v>
      </c>
      <c r="C1706" s="523" t="s">
        <v>4113</v>
      </c>
      <c r="D1706" s="523" t="s">
        <v>4106</v>
      </c>
      <c r="E1706" s="523" t="s">
        <v>4107</v>
      </c>
      <c r="F1706" s="523" t="s">
        <v>42</v>
      </c>
    </row>
    <row r="1707">
      <c r="A1707" s="523">
        <v>1706</v>
      </c>
      <c r="B1707" s="523" t="s">
        <v>4114</v>
      </c>
      <c r="C1707" s="523" t="s">
        <v>4115</v>
      </c>
      <c r="D1707" s="523" t="s">
        <v>4106</v>
      </c>
      <c r="E1707" s="523" t="s">
        <v>4107</v>
      </c>
      <c r="F1707" s="523" t="s">
        <v>42</v>
      </c>
    </row>
    <row r="1708">
      <c r="A1708" s="523">
        <v>1707</v>
      </c>
      <c r="B1708" s="523" t="s">
        <v>4116</v>
      </c>
      <c r="C1708" s="523" t="s">
        <v>4117</v>
      </c>
      <c r="D1708" s="523" t="s">
        <v>4106</v>
      </c>
      <c r="E1708" s="523" t="s">
        <v>4107</v>
      </c>
      <c r="F1708" s="523" t="s">
        <v>42</v>
      </c>
    </row>
    <row r="1709">
      <c r="A1709" s="523">
        <v>1708</v>
      </c>
      <c r="B1709" s="523" t="s">
        <v>4118</v>
      </c>
      <c r="C1709" s="523" t="s">
        <v>4119</v>
      </c>
      <c r="D1709" s="523" t="s">
        <v>4106</v>
      </c>
      <c r="E1709" s="523" t="s">
        <v>4107</v>
      </c>
      <c r="F1709" s="523" t="s">
        <v>42</v>
      </c>
    </row>
    <row r="1710">
      <c r="A1710" s="523">
        <v>1709</v>
      </c>
      <c r="B1710" s="523" t="s">
        <v>4120</v>
      </c>
      <c r="C1710" s="523" t="s">
        <v>4121</v>
      </c>
      <c r="D1710" s="523" t="s">
        <v>4106</v>
      </c>
      <c r="E1710" s="523" t="s">
        <v>4107</v>
      </c>
      <c r="F1710" s="523" t="s">
        <v>42</v>
      </c>
    </row>
    <row r="1711">
      <c r="A1711" s="523">
        <v>1710</v>
      </c>
      <c r="B1711" s="523" t="s">
        <v>4122</v>
      </c>
      <c r="C1711" s="523" t="s">
        <v>4123</v>
      </c>
      <c r="D1711" s="523" t="s">
        <v>4106</v>
      </c>
      <c r="E1711" s="523" t="s">
        <v>4107</v>
      </c>
      <c r="F1711" s="523" t="s">
        <v>42</v>
      </c>
    </row>
    <row r="1712">
      <c r="A1712" s="523">
        <v>1711</v>
      </c>
      <c r="B1712" s="523" t="s">
        <v>4124</v>
      </c>
      <c r="C1712" s="523" t="s">
        <v>4125</v>
      </c>
      <c r="D1712" s="523" t="s">
        <v>4106</v>
      </c>
      <c r="E1712" s="523" t="s">
        <v>4107</v>
      </c>
      <c r="F1712" s="523" t="s">
        <v>42</v>
      </c>
    </row>
    <row r="1713">
      <c r="A1713" s="523">
        <v>1712</v>
      </c>
      <c r="B1713" s="523" t="s">
        <v>4126</v>
      </c>
      <c r="C1713" s="523" t="s">
        <v>4127</v>
      </c>
      <c r="D1713" s="523" t="s">
        <v>4128</v>
      </c>
      <c r="E1713" s="523" t="s">
        <v>4129</v>
      </c>
      <c r="F1713" s="523" t="s">
        <v>42</v>
      </c>
    </row>
    <row r="1714">
      <c r="A1714" s="523">
        <v>1713</v>
      </c>
      <c r="B1714" s="523" t="s">
        <v>4130</v>
      </c>
      <c r="C1714" s="523" t="s">
        <v>1192</v>
      </c>
      <c r="D1714" s="523" t="s">
        <v>4128</v>
      </c>
      <c r="E1714" s="523" t="s">
        <v>4129</v>
      </c>
      <c r="F1714" s="523" t="s">
        <v>42</v>
      </c>
    </row>
    <row r="1715">
      <c r="A1715" s="523">
        <v>1714</v>
      </c>
      <c r="B1715" s="523" t="s">
        <v>4131</v>
      </c>
      <c r="C1715" s="523" t="s">
        <v>4132</v>
      </c>
      <c r="D1715" s="523" t="s">
        <v>4128</v>
      </c>
      <c r="E1715" s="523" t="s">
        <v>4129</v>
      </c>
      <c r="F1715" s="523" t="s">
        <v>42</v>
      </c>
    </row>
    <row r="1716">
      <c r="A1716" s="523">
        <v>1715</v>
      </c>
      <c r="B1716" s="523" t="s">
        <v>4133</v>
      </c>
      <c r="C1716" s="523" t="s">
        <v>4134</v>
      </c>
      <c r="D1716" s="523" t="s">
        <v>4128</v>
      </c>
      <c r="E1716" s="523" t="s">
        <v>4129</v>
      </c>
      <c r="F1716" s="523" t="s">
        <v>42</v>
      </c>
    </row>
    <row r="1717">
      <c r="A1717" s="523">
        <v>1716</v>
      </c>
      <c r="B1717" s="523" t="s">
        <v>4135</v>
      </c>
      <c r="C1717" s="523" t="s">
        <v>1024</v>
      </c>
      <c r="D1717" s="523" t="s">
        <v>4128</v>
      </c>
      <c r="E1717" s="523" t="s">
        <v>4129</v>
      </c>
      <c r="F1717" s="523" t="s">
        <v>42</v>
      </c>
    </row>
    <row r="1718">
      <c r="A1718" s="523">
        <v>1717</v>
      </c>
      <c r="B1718" s="523" t="s">
        <v>4136</v>
      </c>
      <c r="C1718" s="523" t="s">
        <v>1990</v>
      </c>
      <c r="D1718" s="523" t="s">
        <v>4128</v>
      </c>
      <c r="E1718" s="523" t="s">
        <v>4129</v>
      </c>
      <c r="F1718" s="523" t="s">
        <v>42</v>
      </c>
    </row>
    <row r="1719">
      <c r="A1719" s="523">
        <v>1718</v>
      </c>
      <c r="B1719" s="523" t="s">
        <v>4137</v>
      </c>
      <c r="C1719" s="523" t="s">
        <v>1212</v>
      </c>
      <c r="D1719" s="523" t="s">
        <v>4128</v>
      </c>
      <c r="E1719" s="523" t="s">
        <v>4129</v>
      </c>
      <c r="F1719" s="523" t="s">
        <v>42</v>
      </c>
    </row>
    <row r="1720">
      <c r="A1720" s="523">
        <v>1719</v>
      </c>
      <c r="B1720" s="523" t="s">
        <v>4138</v>
      </c>
      <c r="C1720" s="523" t="s">
        <v>1819</v>
      </c>
      <c r="D1720" s="523" t="s">
        <v>4128</v>
      </c>
      <c r="E1720" s="523" t="s">
        <v>4129</v>
      </c>
      <c r="F1720" s="523" t="s">
        <v>42</v>
      </c>
    </row>
    <row r="1721">
      <c r="A1721" s="523">
        <v>1720</v>
      </c>
      <c r="B1721" s="523" t="s">
        <v>4139</v>
      </c>
      <c r="C1721" s="523" t="s">
        <v>4140</v>
      </c>
      <c r="D1721" s="523" t="s">
        <v>4128</v>
      </c>
      <c r="E1721" s="523" t="s">
        <v>4129</v>
      </c>
      <c r="F1721" s="523" t="s">
        <v>42</v>
      </c>
    </row>
    <row r="1722">
      <c r="A1722" s="523">
        <v>1721</v>
      </c>
      <c r="B1722" s="523" t="s">
        <v>4141</v>
      </c>
      <c r="C1722" s="523" t="s">
        <v>4142</v>
      </c>
      <c r="D1722" s="523" t="s">
        <v>4128</v>
      </c>
      <c r="E1722" s="523" t="s">
        <v>4129</v>
      </c>
      <c r="F1722" s="523" t="s">
        <v>42</v>
      </c>
    </row>
    <row r="1723">
      <c r="A1723" s="523">
        <v>1722</v>
      </c>
      <c r="B1723" s="523" t="s">
        <v>4143</v>
      </c>
      <c r="C1723" s="523" t="s">
        <v>4144</v>
      </c>
      <c r="D1723" s="523" t="s">
        <v>4128</v>
      </c>
      <c r="E1723" s="523" t="s">
        <v>4129</v>
      </c>
      <c r="F1723" s="523" t="s">
        <v>42</v>
      </c>
    </row>
    <row r="1724">
      <c r="A1724" s="523">
        <v>1723</v>
      </c>
      <c r="B1724" s="523" t="s">
        <v>4145</v>
      </c>
      <c r="C1724" s="523" t="s">
        <v>4146</v>
      </c>
      <c r="D1724" s="523" t="s">
        <v>4147</v>
      </c>
      <c r="E1724" s="523" t="s">
        <v>4148</v>
      </c>
      <c r="F1724" s="523" t="s">
        <v>42</v>
      </c>
    </row>
    <row r="1725">
      <c r="A1725" s="523">
        <v>1724</v>
      </c>
      <c r="B1725" s="523" t="s">
        <v>4149</v>
      </c>
      <c r="C1725" s="523" t="s">
        <v>4150</v>
      </c>
      <c r="D1725" s="523" t="s">
        <v>4147</v>
      </c>
      <c r="E1725" s="523" t="s">
        <v>4148</v>
      </c>
      <c r="F1725" s="523" t="s">
        <v>42</v>
      </c>
    </row>
    <row r="1726">
      <c r="A1726" s="523">
        <v>1725</v>
      </c>
      <c r="B1726" s="523" t="s">
        <v>4151</v>
      </c>
      <c r="C1726" s="523" t="s">
        <v>4152</v>
      </c>
      <c r="D1726" s="523" t="s">
        <v>4147</v>
      </c>
      <c r="E1726" s="523" t="s">
        <v>4148</v>
      </c>
      <c r="F1726" s="523" t="s">
        <v>42</v>
      </c>
    </row>
    <row r="1727">
      <c r="A1727" s="523">
        <v>1726</v>
      </c>
      <c r="B1727" s="523" t="s">
        <v>4153</v>
      </c>
      <c r="C1727" s="523" t="s">
        <v>4154</v>
      </c>
      <c r="D1727" s="523" t="s">
        <v>4147</v>
      </c>
      <c r="E1727" s="523" t="s">
        <v>4148</v>
      </c>
      <c r="F1727" s="523" t="s">
        <v>42</v>
      </c>
    </row>
    <row r="1728">
      <c r="A1728" s="523">
        <v>1727</v>
      </c>
      <c r="B1728" s="523" t="s">
        <v>4155</v>
      </c>
      <c r="C1728" s="523" t="s">
        <v>4156</v>
      </c>
      <c r="D1728" s="523" t="s">
        <v>4147</v>
      </c>
      <c r="E1728" s="523" t="s">
        <v>4148</v>
      </c>
      <c r="F1728" s="523" t="s">
        <v>42</v>
      </c>
    </row>
    <row r="1729">
      <c r="A1729" s="523">
        <v>1728</v>
      </c>
      <c r="B1729" s="523" t="s">
        <v>4157</v>
      </c>
      <c r="C1729" s="523" t="s">
        <v>1196</v>
      </c>
      <c r="D1729" s="523" t="s">
        <v>4147</v>
      </c>
      <c r="E1729" s="523" t="s">
        <v>4148</v>
      </c>
      <c r="F1729" s="523" t="s">
        <v>42</v>
      </c>
    </row>
    <row r="1730">
      <c r="A1730" s="523">
        <v>1729</v>
      </c>
      <c r="B1730" s="523" t="s">
        <v>4158</v>
      </c>
      <c r="C1730" s="523" t="s">
        <v>4159</v>
      </c>
      <c r="D1730" s="523" t="s">
        <v>4160</v>
      </c>
      <c r="E1730" s="523" t="s">
        <v>4161</v>
      </c>
      <c r="F1730" s="523" t="s">
        <v>42</v>
      </c>
    </row>
    <row r="1731">
      <c r="A1731" s="523">
        <v>1730</v>
      </c>
      <c r="B1731" s="523" t="s">
        <v>4162</v>
      </c>
      <c r="C1731" s="523" t="s">
        <v>1548</v>
      </c>
      <c r="D1731" s="523" t="s">
        <v>4160</v>
      </c>
      <c r="E1731" s="523" t="s">
        <v>4161</v>
      </c>
      <c r="F1731" s="523" t="s">
        <v>42</v>
      </c>
    </row>
    <row r="1732">
      <c r="A1732" s="523">
        <v>1731</v>
      </c>
      <c r="B1732" s="523" t="s">
        <v>4163</v>
      </c>
      <c r="C1732" s="523" t="s">
        <v>4164</v>
      </c>
      <c r="D1732" s="523" t="s">
        <v>4160</v>
      </c>
      <c r="E1732" s="523" t="s">
        <v>4161</v>
      </c>
      <c r="F1732" s="523" t="s">
        <v>42</v>
      </c>
    </row>
    <row r="1733">
      <c r="A1733" s="523">
        <v>1732</v>
      </c>
      <c r="B1733" s="523" t="s">
        <v>4165</v>
      </c>
      <c r="C1733" s="523" t="s">
        <v>2176</v>
      </c>
      <c r="D1733" s="523" t="s">
        <v>4160</v>
      </c>
      <c r="E1733" s="523" t="s">
        <v>4161</v>
      </c>
      <c r="F1733" s="523" t="s">
        <v>42</v>
      </c>
    </row>
    <row r="1734">
      <c r="A1734" s="523">
        <v>1733</v>
      </c>
      <c r="B1734" s="523" t="s">
        <v>4166</v>
      </c>
      <c r="C1734" s="523" t="s">
        <v>4167</v>
      </c>
      <c r="D1734" s="523" t="s">
        <v>4160</v>
      </c>
      <c r="E1734" s="523" t="s">
        <v>4161</v>
      </c>
      <c r="F1734" s="523" t="s">
        <v>42</v>
      </c>
    </row>
    <row r="1735">
      <c r="A1735" s="523">
        <v>1734</v>
      </c>
      <c r="B1735" s="523" t="s">
        <v>4168</v>
      </c>
      <c r="C1735" s="523" t="s">
        <v>4169</v>
      </c>
      <c r="D1735" s="523" t="s">
        <v>4160</v>
      </c>
      <c r="E1735" s="523" t="s">
        <v>4161</v>
      </c>
      <c r="F1735" s="523" t="s">
        <v>42</v>
      </c>
    </row>
    <row r="1736">
      <c r="A1736" s="523">
        <v>1735</v>
      </c>
      <c r="B1736" s="523" t="s">
        <v>4170</v>
      </c>
      <c r="C1736" s="523" t="s">
        <v>4171</v>
      </c>
      <c r="D1736" s="523" t="s">
        <v>4160</v>
      </c>
      <c r="E1736" s="523" t="s">
        <v>4161</v>
      </c>
      <c r="F1736" s="523" t="s">
        <v>42</v>
      </c>
    </row>
    <row r="1737">
      <c r="A1737" s="523">
        <v>1736</v>
      </c>
      <c r="B1737" s="523" t="s">
        <v>4172</v>
      </c>
      <c r="C1737" s="523" t="s">
        <v>4173</v>
      </c>
      <c r="D1737" s="523" t="s">
        <v>4160</v>
      </c>
      <c r="E1737" s="523" t="s">
        <v>4161</v>
      </c>
      <c r="F1737" s="523" t="s">
        <v>42</v>
      </c>
    </row>
    <row r="1738">
      <c r="A1738" s="523">
        <v>1737</v>
      </c>
      <c r="B1738" s="523" t="s">
        <v>4174</v>
      </c>
      <c r="C1738" s="523" t="s">
        <v>1328</v>
      </c>
      <c r="D1738" s="523" t="s">
        <v>4175</v>
      </c>
      <c r="E1738" s="523" t="s">
        <v>4176</v>
      </c>
      <c r="F1738" s="523" t="s">
        <v>42</v>
      </c>
    </row>
    <row r="1739">
      <c r="A1739" s="523">
        <v>1738</v>
      </c>
      <c r="B1739" s="523" t="s">
        <v>4177</v>
      </c>
      <c r="C1739" s="523" t="s">
        <v>2640</v>
      </c>
      <c r="D1739" s="523" t="s">
        <v>4175</v>
      </c>
      <c r="E1739" s="523" t="s">
        <v>4176</v>
      </c>
      <c r="F1739" s="523" t="s">
        <v>42</v>
      </c>
    </row>
    <row r="1740">
      <c r="A1740" s="523">
        <v>1739</v>
      </c>
      <c r="B1740" s="523" t="s">
        <v>4178</v>
      </c>
      <c r="C1740" s="523" t="s">
        <v>4179</v>
      </c>
      <c r="D1740" s="523" t="s">
        <v>4175</v>
      </c>
      <c r="E1740" s="523" t="s">
        <v>4176</v>
      </c>
      <c r="F1740" s="523" t="s">
        <v>42</v>
      </c>
    </row>
    <row r="1741">
      <c r="A1741" s="523">
        <v>1740</v>
      </c>
      <c r="B1741" s="523" t="s">
        <v>4180</v>
      </c>
      <c r="C1741" s="523" t="s">
        <v>4181</v>
      </c>
      <c r="D1741" s="523" t="s">
        <v>4175</v>
      </c>
      <c r="E1741" s="523" t="s">
        <v>4176</v>
      </c>
      <c r="F1741" s="523" t="s">
        <v>42</v>
      </c>
    </row>
    <row r="1742">
      <c r="A1742" s="523">
        <v>1741</v>
      </c>
      <c r="B1742" s="523" t="s">
        <v>4182</v>
      </c>
      <c r="C1742" s="523" t="s">
        <v>4183</v>
      </c>
      <c r="D1742" s="523" t="s">
        <v>4175</v>
      </c>
      <c r="E1742" s="523" t="s">
        <v>4176</v>
      </c>
      <c r="F1742" s="523" t="s">
        <v>42</v>
      </c>
    </row>
    <row r="1743">
      <c r="A1743" s="523">
        <v>1742</v>
      </c>
      <c r="B1743" s="523" t="s">
        <v>4184</v>
      </c>
      <c r="C1743" s="523" t="s">
        <v>4185</v>
      </c>
      <c r="D1743" s="523" t="s">
        <v>4175</v>
      </c>
      <c r="E1743" s="523" t="s">
        <v>4176</v>
      </c>
      <c r="F1743" s="523" t="s">
        <v>42</v>
      </c>
    </row>
    <row r="1744">
      <c r="A1744" s="523">
        <v>1743</v>
      </c>
      <c r="B1744" s="523" t="s">
        <v>4186</v>
      </c>
      <c r="C1744" s="523" t="s">
        <v>4187</v>
      </c>
      <c r="D1744" s="523" t="s">
        <v>4175</v>
      </c>
      <c r="E1744" s="523" t="s">
        <v>4176</v>
      </c>
      <c r="F1744" s="523" t="s">
        <v>42</v>
      </c>
    </row>
    <row r="1745">
      <c r="A1745" s="523">
        <v>1744</v>
      </c>
      <c r="B1745" s="523" t="s">
        <v>4188</v>
      </c>
      <c r="C1745" s="523" t="s">
        <v>4189</v>
      </c>
      <c r="D1745" s="523" t="s">
        <v>4175</v>
      </c>
      <c r="E1745" s="523" t="s">
        <v>4176</v>
      </c>
      <c r="F1745" s="523" t="s">
        <v>42</v>
      </c>
    </row>
    <row r="1746">
      <c r="A1746" s="523">
        <v>1745</v>
      </c>
      <c r="B1746" s="523" t="s">
        <v>4190</v>
      </c>
      <c r="C1746" s="523" t="s">
        <v>4191</v>
      </c>
      <c r="D1746" s="523" t="s">
        <v>4175</v>
      </c>
      <c r="E1746" s="523" t="s">
        <v>4176</v>
      </c>
      <c r="F1746" s="523" t="s">
        <v>42</v>
      </c>
    </row>
    <row r="1747">
      <c r="A1747" s="523">
        <v>1746</v>
      </c>
      <c r="B1747" s="523" t="s">
        <v>4192</v>
      </c>
      <c r="C1747" s="523" t="s">
        <v>4193</v>
      </c>
      <c r="D1747" s="523" t="s">
        <v>4175</v>
      </c>
      <c r="E1747" s="523" t="s">
        <v>4176</v>
      </c>
      <c r="F1747" s="523" t="s">
        <v>42</v>
      </c>
    </row>
    <row r="1748">
      <c r="A1748" s="523">
        <v>1747</v>
      </c>
      <c r="B1748" s="523" t="s">
        <v>4194</v>
      </c>
      <c r="C1748" s="523" t="s">
        <v>4195</v>
      </c>
      <c r="D1748" s="523" t="s">
        <v>4175</v>
      </c>
      <c r="E1748" s="523" t="s">
        <v>4176</v>
      </c>
      <c r="F1748" s="523" t="s">
        <v>42</v>
      </c>
    </row>
    <row r="1749">
      <c r="A1749" s="523">
        <v>1748</v>
      </c>
      <c r="B1749" s="523" t="s">
        <v>4196</v>
      </c>
      <c r="C1749" s="523" t="s">
        <v>4197</v>
      </c>
      <c r="D1749" s="523" t="s">
        <v>4175</v>
      </c>
      <c r="E1749" s="523" t="s">
        <v>4176</v>
      </c>
      <c r="F1749" s="523" t="s">
        <v>42</v>
      </c>
    </row>
    <row r="1750">
      <c r="A1750" s="523">
        <v>1749</v>
      </c>
      <c r="B1750" s="523" t="s">
        <v>4198</v>
      </c>
      <c r="C1750" s="523" t="s">
        <v>4199</v>
      </c>
      <c r="D1750" s="523" t="s">
        <v>4200</v>
      </c>
      <c r="E1750" s="523" t="s">
        <v>4201</v>
      </c>
      <c r="F1750" s="523" t="s">
        <v>42</v>
      </c>
    </row>
    <row r="1751">
      <c r="A1751" s="523">
        <v>1750</v>
      </c>
      <c r="B1751" s="523" t="s">
        <v>4202</v>
      </c>
      <c r="C1751" s="523" t="s">
        <v>4203</v>
      </c>
      <c r="D1751" s="523" t="s">
        <v>4200</v>
      </c>
      <c r="E1751" s="523" t="s">
        <v>4201</v>
      </c>
      <c r="F1751" s="523" t="s">
        <v>42</v>
      </c>
    </row>
    <row r="1752">
      <c r="A1752" s="523">
        <v>1751</v>
      </c>
      <c r="B1752" s="523" t="s">
        <v>4204</v>
      </c>
      <c r="C1752" s="523" t="s">
        <v>4205</v>
      </c>
      <c r="D1752" s="523" t="s">
        <v>4200</v>
      </c>
      <c r="E1752" s="523" t="s">
        <v>4201</v>
      </c>
      <c r="F1752" s="523" t="s">
        <v>42</v>
      </c>
    </row>
    <row r="1753">
      <c r="A1753" s="523">
        <v>1752</v>
      </c>
      <c r="B1753" s="523" t="s">
        <v>4206</v>
      </c>
      <c r="C1753" s="523" t="s">
        <v>4207</v>
      </c>
      <c r="D1753" s="523" t="s">
        <v>4200</v>
      </c>
      <c r="E1753" s="523" t="s">
        <v>4201</v>
      </c>
      <c r="F1753" s="523" t="s">
        <v>42</v>
      </c>
    </row>
    <row r="1754">
      <c r="A1754" s="523">
        <v>1753</v>
      </c>
      <c r="B1754" s="523" t="s">
        <v>4208</v>
      </c>
      <c r="C1754" s="523" t="s">
        <v>916</v>
      </c>
      <c r="D1754" s="523" t="s">
        <v>4200</v>
      </c>
      <c r="E1754" s="523" t="s">
        <v>4201</v>
      </c>
      <c r="F1754" s="523" t="s">
        <v>42</v>
      </c>
    </row>
    <row r="1755">
      <c r="A1755" s="523">
        <v>1754</v>
      </c>
      <c r="B1755" s="523" t="s">
        <v>4209</v>
      </c>
      <c r="C1755" s="523" t="s">
        <v>4210</v>
      </c>
      <c r="D1755" s="523" t="s">
        <v>4200</v>
      </c>
      <c r="E1755" s="523" t="s">
        <v>4201</v>
      </c>
      <c r="F1755" s="523" t="s">
        <v>42</v>
      </c>
    </row>
    <row r="1756">
      <c r="A1756" s="523">
        <v>1755</v>
      </c>
      <c r="B1756" s="523" t="s">
        <v>4211</v>
      </c>
      <c r="C1756" s="523" t="s">
        <v>4212</v>
      </c>
      <c r="D1756" s="523" t="s">
        <v>4200</v>
      </c>
      <c r="E1756" s="523" t="s">
        <v>4201</v>
      </c>
      <c r="F1756" s="523" t="s">
        <v>42</v>
      </c>
    </row>
    <row r="1757">
      <c r="A1757" s="523">
        <v>1756</v>
      </c>
      <c r="B1757" s="523" t="s">
        <v>4213</v>
      </c>
      <c r="C1757" s="523" t="s">
        <v>4214</v>
      </c>
      <c r="D1757" s="523" t="s">
        <v>4215</v>
      </c>
      <c r="E1757" s="523" t="s">
        <v>4216</v>
      </c>
      <c r="F1757" s="523" t="s">
        <v>45</v>
      </c>
    </row>
    <row r="1758">
      <c r="A1758" s="523">
        <v>1757</v>
      </c>
      <c r="B1758" s="523" t="s">
        <v>4217</v>
      </c>
      <c r="C1758" s="523" t="s">
        <v>1971</v>
      </c>
      <c r="D1758" s="523" t="s">
        <v>4215</v>
      </c>
      <c r="E1758" s="523" t="s">
        <v>4216</v>
      </c>
      <c r="F1758" s="523" t="s">
        <v>45</v>
      </c>
    </row>
    <row r="1759">
      <c r="A1759" s="523">
        <v>1758</v>
      </c>
      <c r="B1759" s="523" t="s">
        <v>4218</v>
      </c>
      <c r="C1759" s="523" t="s">
        <v>4219</v>
      </c>
      <c r="D1759" s="523" t="s">
        <v>4215</v>
      </c>
      <c r="E1759" s="523" t="s">
        <v>4216</v>
      </c>
      <c r="F1759" s="523" t="s">
        <v>45</v>
      </c>
    </row>
    <row r="1760">
      <c r="A1760" s="523">
        <v>1759</v>
      </c>
      <c r="B1760" s="523" t="s">
        <v>4220</v>
      </c>
      <c r="C1760" s="523" t="s">
        <v>4221</v>
      </c>
      <c r="D1760" s="523" t="s">
        <v>4215</v>
      </c>
      <c r="E1760" s="523" t="s">
        <v>4216</v>
      </c>
      <c r="F1760" s="523" t="s">
        <v>45</v>
      </c>
    </row>
    <row r="1761">
      <c r="A1761" s="523">
        <v>1760</v>
      </c>
      <c r="B1761" s="523" t="s">
        <v>4222</v>
      </c>
      <c r="C1761" s="523" t="s">
        <v>4223</v>
      </c>
      <c r="D1761" s="523" t="s">
        <v>4215</v>
      </c>
      <c r="E1761" s="523" t="s">
        <v>4216</v>
      </c>
      <c r="F1761" s="523" t="s">
        <v>45</v>
      </c>
    </row>
    <row r="1762">
      <c r="A1762" s="523">
        <v>1761</v>
      </c>
      <c r="B1762" s="523" t="s">
        <v>4224</v>
      </c>
      <c r="C1762" s="523" t="s">
        <v>1916</v>
      </c>
      <c r="D1762" s="523" t="s">
        <v>4215</v>
      </c>
      <c r="E1762" s="523" t="s">
        <v>4216</v>
      </c>
      <c r="F1762" s="523" t="s">
        <v>45</v>
      </c>
    </row>
    <row r="1763">
      <c r="A1763" s="523">
        <v>1762</v>
      </c>
      <c r="B1763" s="523" t="s">
        <v>4225</v>
      </c>
      <c r="C1763" s="523" t="s">
        <v>4226</v>
      </c>
      <c r="D1763" s="523" t="s">
        <v>4215</v>
      </c>
      <c r="E1763" s="523" t="s">
        <v>4216</v>
      </c>
      <c r="F1763" s="523" t="s">
        <v>45</v>
      </c>
    </row>
    <row r="1764">
      <c r="A1764" s="523">
        <v>1763</v>
      </c>
      <c r="B1764" s="523" t="s">
        <v>4227</v>
      </c>
      <c r="C1764" s="523" t="s">
        <v>4228</v>
      </c>
      <c r="D1764" s="523" t="s">
        <v>4215</v>
      </c>
      <c r="E1764" s="523" t="s">
        <v>4216</v>
      </c>
      <c r="F1764" s="523" t="s">
        <v>45</v>
      </c>
    </row>
    <row r="1765">
      <c r="A1765" s="523">
        <v>1764</v>
      </c>
      <c r="B1765" s="523" t="s">
        <v>4229</v>
      </c>
      <c r="C1765" s="523" t="s">
        <v>4230</v>
      </c>
      <c r="D1765" s="523" t="s">
        <v>4215</v>
      </c>
      <c r="E1765" s="523" t="s">
        <v>4216</v>
      </c>
      <c r="F1765" s="523" t="s">
        <v>45</v>
      </c>
    </row>
    <row r="1766">
      <c r="A1766" s="523">
        <v>1765</v>
      </c>
      <c r="B1766" s="523" t="s">
        <v>4231</v>
      </c>
      <c r="C1766" s="523" t="s">
        <v>4232</v>
      </c>
      <c r="D1766" s="523" t="s">
        <v>4215</v>
      </c>
      <c r="E1766" s="523" t="s">
        <v>4216</v>
      </c>
      <c r="F1766" s="523" t="s">
        <v>45</v>
      </c>
    </row>
    <row r="1767">
      <c r="A1767" s="523">
        <v>1766</v>
      </c>
      <c r="B1767" s="523" t="s">
        <v>4233</v>
      </c>
      <c r="C1767" s="523" t="s">
        <v>1024</v>
      </c>
      <c r="D1767" s="523" t="s">
        <v>4215</v>
      </c>
      <c r="E1767" s="523" t="s">
        <v>4216</v>
      </c>
      <c r="F1767" s="523" t="s">
        <v>45</v>
      </c>
    </row>
    <row r="1768">
      <c r="A1768" s="523">
        <v>1767</v>
      </c>
      <c r="B1768" s="523" t="s">
        <v>4234</v>
      </c>
      <c r="C1768" s="523" t="s">
        <v>3859</v>
      </c>
      <c r="D1768" s="523" t="s">
        <v>4215</v>
      </c>
      <c r="E1768" s="523" t="s">
        <v>4216</v>
      </c>
      <c r="F1768" s="523" t="s">
        <v>45</v>
      </c>
    </row>
    <row r="1769">
      <c r="A1769" s="523">
        <v>1768</v>
      </c>
      <c r="B1769" s="523" t="s">
        <v>4235</v>
      </c>
      <c r="C1769" s="523" t="s">
        <v>2589</v>
      </c>
      <c r="D1769" s="523" t="s">
        <v>4215</v>
      </c>
      <c r="E1769" s="523" t="s">
        <v>4216</v>
      </c>
      <c r="F1769" s="523" t="s">
        <v>45</v>
      </c>
    </row>
    <row r="1770">
      <c r="A1770" s="523">
        <v>1769</v>
      </c>
      <c r="B1770" s="523" t="s">
        <v>4236</v>
      </c>
      <c r="C1770" s="523" t="s">
        <v>1719</v>
      </c>
      <c r="D1770" s="523" t="s">
        <v>4215</v>
      </c>
      <c r="E1770" s="523" t="s">
        <v>4216</v>
      </c>
      <c r="F1770" s="523" t="s">
        <v>45</v>
      </c>
    </row>
    <row r="1771">
      <c r="A1771" s="523">
        <v>1770</v>
      </c>
      <c r="B1771" s="523" t="s">
        <v>4237</v>
      </c>
      <c r="C1771" s="523" t="s">
        <v>4238</v>
      </c>
      <c r="D1771" s="523" t="s">
        <v>4215</v>
      </c>
      <c r="E1771" s="523" t="s">
        <v>4216</v>
      </c>
      <c r="F1771" s="523" t="s">
        <v>45</v>
      </c>
    </row>
    <row r="1772">
      <c r="A1772" s="523">
        <v>1771</v>
      </c>
      <c r="B1772" s="523" t="s">
        <v>4239</v>
      </c>
      <c r="C1772" s="523" t="s">
        <v>4240</v>
      </c>
      <c r="D1772" s="523" t="s">
        <v>4241</v>
      </c>
      <c r="E1772" s="523" t="s">
        <v>4242</v>
      </c>
      <c r="F1772" s="523" t="s">
        <v>45</v>
      </c>
    </row>
    <row r="1773">
      <c r="A1773" s="523">
        <v>1772</v>
      </c>
      <c r="B1773" s="523" t="s">
        <v>4243</v>
      </c>
      <c r="C1773" s="523" t="s">
        <v>1186</v>
      </c>
      <c r="D1773" s="523" t="s">
        <v>4241</v>
      </c>
      <c r="E1773" s="523" t="s">
        <v>4242</v>
      </c>
      <c r="F1773" s="523" t="s">
        <v>45</v>
      </c>
    </row>
    <row r="1774">
      <c r="A1774" s="523">
        <v>1773</v>
      </c>
      <c r="B1774" s="523" t="s">
        <v>4244</v>
      </c>
      <c r="C1774" s="523" t="s">
        <v>3102</v>
      </c>
      <c r="D1774" s="523" t="s">
        <v>4241</v>
      </c>
      <c r="E1774" s="523" t="s">
        <v>4242</v>
      </c>
      <c r="F1774" s="523" t="s">
        <v>45</v>
      </c>
    </row>
    <row r="1775">
      <c r="A1775" s="523">
        <v>1774</v>
      </c>
      <c r="B1775" s="523" t="s">
        <v>4245</v>
      </c>
      <c r="C1775" s="523" t="s">
        <v>4246</v>
      </c>
      <c r="D1775" s="523" t="s">
        <v>4241</v>
      </c>
      <c r="E1775" s="523" t="s">
        <v>4242</v>
      </c>
      <c r="F1775" s="523" t="s">
        <v>45</v>
      </c>
    </row>
    <row r="1776">
      <c r="A1776" s="523">
        <v>1775</v>
      </c>
      <c r="B1776" s="523" t="s">
        <v>4247</v>
      </c>
      <c r="C1776" s="523" t="s">
        <v>4248</v>
      </c>
      <c r="D1776" s="523" t="s">
        <v>4241</v>
      </c>
      <c r="E1776" s="523" t="s">
        <v>4242</v>
      </c>
      <c r="F1776" s="523" t="s">
        <v>45</v>
      </c>
    </row>
    <row r="1777">
      <c r="A1777" s="523">
        <v>1776</v>
      </c>
      <c r="B1777" s="523" t="s">
        <v>4249</v>
      </c>
      <c r="C1777" s="523" t="s">
        <v>4250</v>
      </c>
      <c r="D1777" s="523" t="s">
        <v>4241</v>
      </c>
      <c r="E1777" s="523" t="s">
        <v>4242</v>
      </c>
      <c r="F1777" s="523" t="s">
        <v>45</v>
      </c>
    </row>
    <row r="1778">
      <c r="A1778" s="523">
        <v>1777</v>
      </c>
      <c r="B1778" s="523" t="s">
        <v>4251</v>
      </c>
      <c r="C1778" s="523" t="s">
        <v>4252</v>
      </c>
      <c r="D1778" s="523" t="s">
        <v>4241</v>
      </c>
      <c r="E1778" s="523" t="s">
        <v>4242</v>
      </c>
      <c r="F1778" s="523" t="s">
        <v>45</v>
      </c>
    </row>
    <row r="1779">
      <c r="A1779" s="523">
        <v>1778</v>
      </c>
      <c r="B1779" s="523" t="s">
        <v>4253</v>
      </c>
      <c r="C1779" s="523" t="s">
        <v>4254</v>
      </c>
      <c r="D1779" s="523" t="s">
        <v>4241</v>
      </c>
      <c r="E1779" s="523" t="s">
        <v>4242</v>
      </c>
      <c r="F1779" s="523" t="s">
        <v>45</v>
      </c>
    </row>
    <row r="1780">
      <c r="A1780" s="523">
        <v>1779</v>
      </c>
      <c r="B1780" s="523" t="s">
        <v>4255</v>
      </c>
      <c r="C1780" s="523" t="s">
        <v>4256</v>
      </c>
      <c r="D1780" s="523" t="s">
        <v>4241</v>
      </c>
      <c r="E1780" s="523" t="s">
        <v>4242</v>
      </c>
      <c r="F1780" s="523" t="s">
        <v>45</v>
      </c>
    </row>
    <row r="1781">
      <c r="A1781" s="523">
        <v>1780</v>
      </c>
      <c r="B1781" s="523" t="s">
        <v>4257</v>
      </c>
      <c r="C1781" s="523" t="s">
        <v>4258</v>
      </c>
      <c r="D1781" s="523" t="s">
        <v>4241</v>
      </c>
      <c r="E1781" s="523" t="s">
        <v>4242</v>
      </c>
      <c r="F1781" s="523" t="s">
        <v>45</v>
      </c>
    </row>
    <row r="1782">
      <c r="A1782" s="523">
        <v>1781</v>
      </c>
      <c r="B1782" s="523" t="s">
        <v>4259</v>
      </c>
      <c r="C1782" s="523" t="s">
        <v>4260</v>
      </c>
      <c r="D1782" s="523" t="s">
        <v>4241</v>
      </c>
      <c r="E1782" s="523" t="s">
        <v>4242</v>
      </c>
      <c r="F1782" s="523" t="s">
        <v>45</v>
      </c>
    </row>
    <row r="1783">
      <c r="A1783" s="523">
        <v>1782</v>
      </c>
      <c r="B1783" s="523" t="s">
        <v>4261</v>
      </c>
      <c r="C1783" s="523" t="s">
        <v>4262</v>
      </c>
      <c r="D1783" s="523" t="s">
        <v>4241</v>
      </c>
      <c r="E1783" s="523" t="s">
        <v>4242</v>
      </c>
      <c r="F1783" s="523" t="s">
        <v>45</v>
      </c>
    </row>
    <row r="1784">
      <c r="A1784" s="523">
        <v>1783</v>
      </c>
      <c r="B1784" s="523" t="s">
        <v>4263</v>
      </c>
      <c r="C1784" s="523" t="s">
        <v>4264</v>
      </c>
      <c r="D1784" s="523" t="s">
        <v>4241</v>
      </c>
      <c r="E1784" s="523" t="s">
        <v>4242</v>
      </c>
      <c r="F1784" s="523" t="s">
        <v>45</v>
      </c>
    </row>
    <row r="1785">
      <c r="A1785" s="523">
        <v>1784</v>
      </c>
      <c r="B1785" s="523" t="s">
        <v>4265</v>
      </c>
      <c r="C1785" s="523" t="s">
        <v>4266</v>
      </c>
      <c r="D1785" s="523" t="s">
        <v>4241</v>
      </c>
      <c r="E1785" s="523" t="s">
        <v>4242</v>
      </c>
      <c r="F1785" s="523" t="s">
        <v>45</v>
      </c>
    </row>
    <row r="1786">
      <c r="A1786" s="523">
        <v>1785</v>
      </c>
      <c r="B1786" s="523" t="s">
        <v>4267</v>
      </c>
      <c r="C1786" s="523" t="s">
        <v>4268</v>
      </c>
      <c r="D1786" s="523" t="s">
        <v>4241</v>
      </c>
      <c r="E1786" s="523" t="s">
        <v>4242</v>
      </c>
      <c r="F1786" s="523" t="s">
        <v>45</v>
      </c>
    </row>
    <row r="1787">
      <c r="A1787" s="523">
        <v>1786</v>
      </c>
      <c r="B1787" s="523" t="s">
        <v>4269</v>
      </c>
      <c r="C1787" s="523" t="s">
        <v>4270</v>
      </c>
      <c r="D1787" s="523" t="s">
        <v>4241</v>
      </c>
      <c r="E1787" s="523" t="s">
        <v>4242</v>
      </c>
      <c r="F1787" s="523" t="s">
        <v>45</v>
      </c>
    </row>
    <row r="1788">
      <c r="A1788" s="523">
        <v>1787</v>
      </c>
      <c r="B1788" s="523" t="s">
        <v>4271</v>
      </c>
      <c r="C1788" s="523" t="s">
        <v>3374</v>
      </c>
      <c r="D1788" s="523" t="s">
        <v>4241</v>
      </c>
      <c r="E1788" s="523" t="s">
        <v>4242</v>
      </c>
      <c r="F1788" s="523" t="s">
        <v>45</v>
      </c>
    </row>
    <row r="1789">
      <c r="A1789" s="523">
        <v>1788</v>
      </c>
      <c r="B1789" s="523" t="s">
        <v>4272</v>
      </c>
      <c r="C1789" s="523" t="s">
        <v>4273</v>
      </c>
      <c r="D1789" s="523" t="s">
        <v>4274</v>
      </c>
      <c r="E1789" s="523" t="s">
        <v>4275</v>
      </c>
      <c r="F1789" s="523" t="s">
        <v>45</v>
      </c>
    </row>
    <row r="1790">
      <c r="A1790" s="523">
        <v>1789</v>
      </c>
      <c r="B1790" s="523" t="s">
        <v>4276</v>
      </c>
      <c r="C1790" s="523" t="s">
        <v>4277</v>
      </c>
      <c r="D1790" s="523" t="s">
        <v>4274</v>
      </c>
      <c r="E1790" s="523" t="s">
        <v>4275</v>
      </c>
      <c r="F1790" s="523" t="s">
        <v>45</v>
      </c>
    </row>
    <row r="1791">
      <c r="A1791" s="523">
        <v>1790</v>
      </c>
      <c r="B1791" s="523" t="s">
        <v>4278</v>
      </c>
      <c r="C1791" s="523" t="s">
        <v>1004</v>
      </c>
      <c r="D1791" s="523" t="s">
        <v>4274</v>
      </c>
      <c r="E1791" s="523" t="s">
        <v>4275</v>
      </c>
      <c r="F1791" s="523" t="s">
        <v>45</v>
      </c>
    </row>
    <row r="1792">
      <c r="A1792" s="523">
        <v>1791</v>
      </c>
      <c r="B1792" s="523" t="s">
        <v>4279</v>
      </c>
      <c r="C1792" s="523" t="s">
        <v>4280</v>
      </c>
      <c r="D1792" s="523" t="s">
        <v>4274</v>
      </c>
      <c r="E1792" s="523" t="s">
        <v>4275</v>
      </c>
      <c r="F1792" s="523" t="s">
        <v>45</v>
      </c>
    </row>
    <row r="1793">
      <c r="A1793" s="523">
        <v>1792</v>
      </c>
      <c r="B1793" s="523" t="s">
        <v>4281</v>
      </c>
      <c r="C1793" s="523" t="s">
        <v>4282</v>
      </c>
      <c r="D1793" s="523" t="s">
        <v>4274</v>
      </c>
      <c r="E1793" s="523" t="s">
        <v>4275</v>
      </c>
      <c r="F1793" s="523" t="s">
        <v>45</v>
      </c>
    </row>
    <row r="1794">
      <c r="A1794" s="523">
        <v>1793</v>
      </c>
      <c r="B1794" s="523" t="s">
        <v>4283</v>
      </c>
      <c r="C1794" s="523" t="s">
        <v>4284</v>
      </c>
      <c r="D1794" s="523" t="s">
        <v>4274</v>
      </c>
      <c r="E1794" s="523" t="s">
        <v>4275</v>
      </c>
      <c r="F1794" s="523" t="s">
        <v>45</v>
      </c>
    </row>
    <row r="1795">
      <c r="A1795" s="523">
        <v>1794</v>
      </c>
      <c r="B1795" s="523" t="s">
        <v>4285</v>
      </c>
      <c r="C1795" s="523" t="s">
        <v>4286</v>
      </c>
      <c r="D1795" s="523" t="s">
        <v>4274</v>
      </c>
      <c r="E1795" s="523" t="s">
        <v>4275</v>
      </c>
      <c r="F1795" s="523" t="s">
        <v>45</v>
      </c>
    </row>
    <row r="1796">
      <c r="A1796" s="523">
        <v>1795</v>
      </c>
      <c r="B1796" s="523" t="s">
        <v>4287</v>
      </c>
      <c r="C1796" s="523" t="s">
        <v>4288</v>
      </c>
      <c r="D1796" s="523" t="s">
        <v>4274</v>
      </c>
      <c r="E1796" s="523" t="s">
        <v>4275</v>
      </c>
      <c r="F1796" s="523" t="s">
        <v>45</v>
      </c>
    </row>
    <row r="1797">
      <c r="A1797" s="523">
        <v>1796</v>
      </c>
      <c r="B1797" s="523" t="s">
        <v>4289</v>
      </c>
      <c r="C1797" s="523" t="s">
        <v>1809</v>
      </c>
      <c r="D1797" s="523" t="s">
        <v>4274</v>
      </c>
      <c r="E1797" s="523" t="s">
        <v>4275</v>
      </c>
      <c r="F1797" s="523" t="s">
        <v>45</v>
      </c>
    </row>
    <row r="1798">
      <c r="A1798" s="523">
        <v>1797</v>
      </c>
      <c r="B1798" s="523" t="s">
        <v>4290</v>
      </c>
      <c r="C1798" s="523" t="s">
        <v>4291</v>
      </c>
      <c r="D1798" s="523" t="s">
        <v>4274</v>
      </c>
      <c r="E1798" s="523" t="s">
        <v>4275</v>
      </c>
      <c r="F1798" s="523" t="s">
        <v>45</v>
      </c>
    </row>
    <row r="1799">
      <c r="A1799" s="523">
        <v>1798</v>
      </c>
      <c r="B1799" s="523" t="s">
        <v>4292</v>
      </c>
      <c r="C1799" s="523" t="s">
        <v>1788</v>
      </c>
      <c r="D1799" s="523" t="s">
        <v>4274</v>
      </c>
      <c r="E1799" s="523" t="s">
        <v>4275</v>
      </c>
      <c r="F1799" s="523" t="s">
        <v>45</v>
      </c>
    </row>
    <row r="1800">
      <c r="A1800" s="523">
        <v>1799</v>
      </c>
      <c r="B1800" s="523" t="s">
        <v>4293</v>
      </c>
      <c r="C1800" s="523" t="s">
        <v>4294</v>
      </c>
      <c r="D1800" s="523" t="s">
        <v>4274</v>
      </c>
      <c r="E1800" s="523" t="s">
        <v>4275</v>
      </c>
      <c r="F1800" s="523" t="s">
        <v>45</v>
      </c>
    </row>
    <row r="1801">
      <c r="A1801" s="523">
        <v>1800</v>
      </c>
      <c r="B1801" s="523" t="s">
        <v>4295</v>
      </c>
      <c r="C1801" s="523" t="s">
        <v>4296</v>
      </c>
      <c r="D1801" s="523" t="s">
        <v>4274</v>
      </c>
      <c r="E1801" s="523" t="s">
        <v>4275</v>
      </c>
      <c r="F1801" s="523" t="s">
        <v>45</v>
      </c>
    </row>
    <row r="1802">
      <c r="A1802" s="523">
        <v>1801</v>
      </c>
      <c r="B1802" s="523" t="s">
        <v>4297</v>
      </c>
      <c r="C1802" s="523" t="s">
        <v>2365</v>
      </c>
      <c r="D1802" s="523" t="s">
        <v>4274</v>
      </c>
      <c r="E1802" s="523" t="s">
        <v>4275</v>
      </c>
      <c r="F1802" s="523" t="s">
        <v>45</v>
      </c>
    </row>
    <row r="1803">
      <c r="A1803" s="523">
        <v>1802</v>
      </c>
      <c r="B1803" s="523" t="s">
        <v>4298</v>
      </c>
      <c r="C1803" s="523" t="s">
        <v>4299</v>
      </c>
      <c r="D1803" s="523" t="s">
        <v>4274</v>
      </c>
      <c r="E1803" s="523" t="s">
        <v>4275</v>
      </c>
      <c r="F1803" s="523" t="s">
        <v>45</v>
      </c>
    </row>
    <row r="1804">
      <c r="A1804" s="523">
        <v>1803</v>
      </c>
      <c r="B1804" s="523" t="s">
        <v>4300</v>
      </c>
      <c r="C1804" s="523" t="s">
        <v>4301</v>
      </c>
      <c r="D1804" s="523" t="s">
        <v>4274</v>
      </c>
      <c r="E1804" s="523" t="s">
        <v>4275</v>
      </c>
      <c r="F1804" s="523" t="s">
        <v>45</v>
      </c>
    </row>
    <row r="1805">
      <c r="A1805" s="523">
        <v>1804</v>
      </c>
      <c r="B1805" s="523" t="s">
        <v>4302</v>
      </c>
      <c r="C1805" s="523" t="s">
        <v>4303</v>
      </c>
      <c r="D1805" s="523" t="s">
        <v>4274</v>
      </c>
      <c r="E1805" s="523" t="s">
        <v>4275</v>
      </c>
      <c r="F1805" s="523" t="s">
        <v>45</v>
      </c>
    </row>
    <row r="1806">
      <c r="A1806" s="523">
        <v>1805</v>
      </c>
      <c r="B1806" s="523" t="s">
        <v>4304</v>
      </c>
      <c r="C1806" s="523" t="s">
        <v>4305</v>
      </c>
      <c r="D1806" s="523" t="s">
        <v>4306</v>
      </c>
      <c r="E1806" s="523" t="s">
        <v>928</v>
      </c>
      <c r="F1806" s="523" t="s">
        <v>45</v>
      </c>
    </row>
    <row r="1807">
      <c r="A1807" s="523">
        <v>1806</v>
      </c>
      <c r="B1807" s="523" t="s">
        <v>4307</v>
      </c>
      <c r="C1807" s="523" t="s">
        <v>4308</v>
      </c>
      <c r="D1807" s="523" t="s">
        <v>4306</v>
      </c>
      <c r="E1807" s="523" t="s">
        <v>928</v>
      </c>
      <c r="F1807" s="523" t="s">
        <v>45</v>
      </c>
    </row>
    <row r="1808">
      <c r="A1808" s="523">
        <v>1807</v>
      </c>
      <c r="B1808" s="523" t="s">
        <v>4309</v>
      </c>
      <c r="C1808" s="523" t="s">
        <v>4310</v>
      </c>
      <c r="D1808" s="523" t="s">
        <v>4306</v>
      </c>
      <c r="E1808" s="523" t="s">
        <v>928</v>
      </c>
      <c r="F1808" s="523" t="s">
        <v>45</v>
      </c>
    </row>
    <row r="1809">
      <c r="A1809" s="523">
        <v>1808</v>
      </c>
      <c r="B1809" s="523" t="s">
        <v>4311</v>
      </c>
      <c r="C1809" s="523" t="s">
        <v>4312</v>
      </c>
      <c r="D1809" s="523" t="s">
        <v>4306</v>
      </c>
      <c r="E1809" s="523" t="s">
        <v>928</v>
      </c>
      <c r="F1809" s="523" t="s">
        <v>45</v>
      </c>
    </row>
    <row r="1810">
      <c r="A1810" s="523">
        <v>1809</v>
      </c>
      <c r="B1810" s="523" t="s">
        <v>4313</v>
      </c>
      <c r="C1810" s="523" t="s">
        <v>4314</v>
      </c>
      <c r="D1810" s="523" t="s">
        <v>4306</v>
      </c>
      <c r="E1810" s="523" t="s">
        <v>928</v>
      </c>
      <c r="F1810" s="523" t="s">
        <v>45</v>
      </c>
    </row>
    <row r="1811">
      <c r="A1811" s="523">
        <v>1810</v>
      </c>
      <c r="B1811" s="523" t="s">
        <v>4315</v>
      </c>
      <c r="C1811" s="523" t="s">
        <v>2229</v>
      </c>
      <c r="D1811" s="523" t="s">
        <v>4306</v>
      </c>
      <c r="E1811" s="523" t="s">
        <v>928</v>
      </c>
      <c r="F1811" s="523" t="s">
        <v>45</v>
      </c>
    </row>
    <row r="1812">
      <c r="A1812" s="523">
        <v>1811</v>
      </c>
      <c r="B1812" s="523" t="s">
        <v>4316</v>
      </c>
      <c r="C1812" s="523" t="s">
        <v>4317</v>
      </c>
      <c r="D1812" s="523" t="s">
        <v>4306</v>
      </c>
      <c r="E1812" s="523" t="s">
        <v>928</v>
      </c>
      <c r="F1812" s="523" t="s">
        <v>45</v>
      </c>
    </row>
    <row r="1813">
      <c r="A1813" s="523">
        <v>1812</v>
      </c>
      <c r="B1813" s="523" t="s">
        <v>4318</v>
      </c>
      <c r="C1813" s="523" t="s">
        <v>4319</v>
      </c>
      <c r="D1813" s="523" t="s">
        <v>4306</v>
      </c>
      <c r="E1813" s="523" t="s">
        <v>928</v>
      </c>
      <c r="F1813" s="523" t="s">
        <v>45</v>
      </c>
    </row>
    <row r="1814">
      <c r="A1814" s="523">
        <v>1813</v>
      </c>
      <c r="B1814" s="523" t="s">
        <v>4320</v>
      </c>
      <c r="C1814" s="523" t="s">
        <v>4321</v>
      </c>
      <c r="D1814" s="523" t="s">
        <v>4306</v>
      </c>
      <c r="E1814" s="523" t="s">
        <v>928</v>
      </c>
      <c r="F1814" s="523" t="s">
        <v>45</v>
      </c>
    </row>
    <row r="1815">
      <c r="A1815" s="523">
        <v>1814</v>
      </c>
      <c r="B1815" s="523" t="s">
        <v>4322</v>
      </c>
      <c r="C1815" s="523" t="s">
        <v>4323</v>
      </c>
      <c r="D1815" s="523" t="s">
        <v>4306</v>
      </c>
      <c r="E1815" s="523" t="s">
        <v>928</v>
      </c>
      <c r="F1815" s="523" t="s">
        <v>45</v>
      </c>
    </row>
    <row r="1816">
      <c r="A1816" s="523">
        <v>1815</v>
      </c>
      <c r="B1816" s="523" t="s">
        <v>4324</v>
      </c>
      <c r="C1816" s="523" t="s">
        <v>4325</v>
      </c>
      <c r="D1816" s="523" t="s">
        <v>4306</v>
      </c>
      <c r="E1816" s="523" t="s">
        <v>928</v>
      </c>
      <c r="F1816" s="523" t="s">
        <v>45</v>
      </c>
    </row>
    <row r="1817">
      <c r="A1817" s="523">
        <v>1816</v>
      </c>
      <c r="B1817" s="523" t="s">
        <v>4326</v>
      </c>
      <c r="C1817" s="523" t="s">
        <v>4327</v>
      </c>
      <c r="D1817" s="523" t="s">
        <v>4306</v>
      </c>
      <c r="E1817" s="523" t="s">
        <v>928</v>
      </c>
      <c r="F1817" s="523" t="s">
        <v>45</v>
      </c>
    </row>
    <row r="1818">
      <c r="A1818" s="523">
        <v>1817</v>
      </c>
      <c r="B1818" s="523" t="s">
        <v>4328</v>
      </c>
      <c r="C1818" s="523" t="s">
        <v>4329</v>
      </c>
      <c r="D1818" s="523" t="s">
        <v>4306</v>
      </c>
      <c r="E1818" s="523" t="s">
        <v>928</v>
      </c>
      <c r="F1818" s="523" t="s">
        <v>45</v>
      </c>
    </row>
    <row r="1819">
      <c r="A1819" s="523">
        <v>1818</v>
      </c>
      <c r="B1819" s="523" t="s">
        <v>4330</v>
      </c>
      <c r="C1819" s="523" t="s">
        <v>4331</v>
      </c>
      <c r="D1819" s="523" t="s">
        <v>4332</v>
      </c>
      <c r="E1819" s="523" t="s">
        <v>4333</v>
      </c>
      <c r="F1819" s="523" t="s">
        <v>45</v>
      </c>
    </row>
    <row r="1820">
      <c r="A1820" s="523">
        <v>1819</v>
      </c>
      <c r="B1820" s="523" t="s">
        <v>4334</v>
      </c>
      <c r="C1820" s="523" t="s">
        <v>4335</v>
      </c>
      <c r="D1820" s="523" t="s">
        <v>4332</v>
      </c>
      <c r="E1820" s="523" t="s">
        <v>4333</v>
      </c>
      <c r="F1820" s="523" t="s">
        <v>45</v>
      </c>
    </row>
    <row r="1821">
      <c r="A1821" s="523">
        <v>1820</v>
      </c>
      <c r="B1821" s="523" t="s">
        <v>4336</v>
      </c>
      <c r="C1821" s="523" t="s">
        <v>4337</v>
      </c>
      <c r="D1821" s="523" t="s">
        <v>4332</v>
      </c>
      <c r="E1821" s="523" t="s">
        <v>4333</v>
      </c>
      <c r="F1821" s="523" t="s">
        <v>45</v>
      </c>
    </row>
    <row r="1822">
      <c r="A1822" s="523">
        <v>1821</v>
      </c>
      <c r="B1822" s="523" t="s">
        <v>4338</v>
      </c>
      <c r="C1822" s="523" t="s">
        <v>4339</v>
      </c>
      <c r="D1822" s="523" t="s">
        <v>4332</v>
      </c>
      <c r="E1822" s="523" t="s">
        <v>4333</v>
      </c>
      <c r="F1822" s="523" t="s">
        <v>45</v>
      </c>
    </row>
    <row r="1823">
      <c r="A1823" s="523">
        <v>1822</v>
      </c>
      <c r="B1823" s="523" t="s">
        <v>4340</v>
      </c>
      <c r="C1823" s="523" t="s">
        <v>934</v>
      </c>
      <c r="D1823" s="523" t="s">
        <v>4332</v>
      </c>
      <c r="E1823" s="523" t="s">
        <v>4333</v>
      </c>
      <c r="F1823" s="523" t="s">
        <v>45</v>
      </c>
    </row>
    <row r="1824">
      <c r="A1824" s="523">
        <v>1823</v>
      </c>
      <c r="B1824" s="523" t="s">
        <v>4341</v>
      </c>
      <c r="C1824" s="523" t="s">
        <v>1084</v>
      </c>
      <c r="D1824" s="523" t="s">
        <v>4332</v>
      </c>
      <c r="E1824" s="523" t="s">
        <v>4333</v>
      </c>
      <c r="F1824" s="523" t="s">
        <v>45</v>
      </c>
    </row>
    <row r="1825">
      <c r="A1825" s="523">
        <v>1824</v>
      </c>
      <c r="B1825" s="523" t="s">
        <v>4342</v>
      </c>
      <c r="C1825" s="523" t="s">
        <v>1212</v>
      </c>
      <c r="D1825" s="523" t="s">
        <v>4332</v>
      </c>
      <c r="E1825" s="523" t="s">
        <v>4333</v>
      </c>
      <c r="F1825" s="523" t="s">
        <v>45</v>
      </c>
    </row>
    <row r="1826">
      <c r="A1826" s="523">
        <v>1825</v>
      </c>
      <c r="B1826" s="523" t="s">
        <v>4343</v>
      </c>
      <c r="C1826" s="523" t="s">
        <v>4344</v>
      </c>
      <c r="D1826" s="523" t="s">
        <v>4345</v>
      </c>
      <c r="E1826" s="523" t="s">
        <v>4346</v>
      </c>
      <c r="F1826" s="523" t="s">
        <v>45</v>
      </c>
    </row>
    <row r="1827">
      <c r="A1827" s="523">
        <v>1826</v>
      </c>
      <c r="B1827" s="523" t="s">
        <v>4347</v>
      </c>
      <c r="C1827" s="523" t="s">
        <v>4348</v>
      </c>
      <c r="D1827" s="523" t="s">
        <v>4345</v>
      </c>
      <c r="E1827" s="523" t="s">
        <v>4346</v>
      </c>
      <c r="F1827" s="523" t="s">
        <v>45</v>
      </c>
    </row>
    <row r="1828">
      <c r="A1828" s="523">
        <v>1827</v>
      </c>
      <c r="B1828" s="523" t="s">
        <v>4349</v>
      </c>
      <c r="C1828" s="523" t="s">
        <v>3201</v>
      </c>
      <c r="D1828" s="523" t="s">
        <v>4345</v>
      </c>
      <c r="E1828" s="523" t="s">
        <v>4346</v>
      </c>
      <c r="F1828" s="523" t="s">
        <v>45</v>
      </c>
    </row>
    <row r="1829">
      <c r="A1829" s="523">
        <v>1828</v>
      </c>
      <c r="B1829" s="523" t="s">
        <v>4350</v>
      </c>
      <c r="C1829" s="523" t="s">
        <v>4351</v>
      </c>
      <c r="D1829" s="523" t="s">
        <v>4345</v>
      </c>
      <c r="E1829" s="523" t="s">
        <v>4346</v>
      </c>
      <c r="F1829" s="523" t="s">
        <v>45</v>
      </c>
    </row>
    <row r="1830">
      <c r="A1830" s="523">
        <v>1829</v>
      </c>
      <c r="B1830" s="523" t="s">
        <v>4352</v>
      </c>
      <c r="C1830" s="523" t="s">
        <v>4353</v>
      </c>
      <c r="D1830" s="523" t="s">
        <v>4345</v>
      </c>
      <c r="E1830" s="523" t="s">
        <v>4346</v>
      </c>
      <c r="F1830" s="523" t="s">
        <v>45</v>
      </c>
    </row>
    <row r="1831">
      <c r="A1831" s="523">
        <v>1830</v>
      </c>
      <c r="B1831" s="523" t="s">
        <v>4354</v>
      </c>
      <c r="C1831" s="523" t="s">
        <v>4022</v>
      </c>
      <c r="D1831" s="523" t="s">
        <v>4345</v>
      </c>
      <c r="E1831" s="523" t="s">
        <v>4346</v>
      </c>
      <c r="F1831" s="523" t="s">
        <v>45</v>
      </c>
    </row>
    <row r="1832">
      <c r="A1832" s="523">
        <v>1831</v>
      </c>
      <c r="B1832" s="523" t="s">
        <v>4355</v>
      </c>
      <c r="C1832" s="523" t="s">
        <v>4356</v>
      </c>
      <c r="D1832" s="523" t="s">
        <v>4345</v>
      </c>
      <c r="E1832" s="523" t="s">
        <v>4346</v>
      </c>
      <c r="F1832" s="523" t="s">
        <v>45</v>
      </c>
    </row>
    <row r="1833">
      <c r="A1833" s="523">
        <v>1832</v>
      </c>
      <c r="B1833" s="523" t="s">
        <v>4357</v>
      </c>
      <c r="C1833" s="523" t="s">
        <v>4358</v>
      </c>
      <c r="D1833" s="523" t="s">
        <v>4345</v>
      </c>
      <c r="E1833" s="523" t="s">
        <v>4346</v>
      </c>
      <c r="F1833" s="523" t="s">
        <v>45</v>
      </c>
    </row>
    <row r="1834">
      <c r="A1834" s="523">
        <v>1833</v>
      </c>
      <c r="B1834" s="523" t="s">
        <v>4359</v>
      </c>
      <c r="C1834" s="523" t="s">
        <v>4360</v>
      </c>
      <c r="D1834" s="523" t="s">
        <v>4345</v>
      </c>
      <c r="E1834" s="523" t="s">
        <v>4346</v>
      </c>
      <c r="F1834" s="523" t="s">
        <v>45</v>
      </c>
    </row>
    <row r="1835">
      <c r="A1835" s="523">
        <v>1834</v>
      </c>
      <c r="B1835" s="523" t="s">
        <v>4361</v>
      </c>
      <c r="C1835" s="523" t="s">
        <v>948</v>
      </c>
      <c r="D1835" s="523" t="s">
        <v>4345</v>
      </c>
      <c r="E1835" s="523" t="s">
        <v>4346</v>
      </c>
      <c r="F1835" s="523" t="s">
        <v>45</v>
      </c>
    </row>
    <row r="1836">
      <c r="A1836" s="523">
        <v>1835</v>
      </c>
      <c r="B1836" s="523" t="s">
        <v>4362</v>
      </c>
      <c r="C1836" s="523" t="s">
        <v>3137</v>
      </c>
      <c r="D1836" s="523" t="s">
        <v>4345</v>
      </c>
      <c r="E1836" s="523" t="s">
        <v>4346</v>
      </c>
      <c r="F1836" s="523" t="s">
        <v>45</v>
      </c>
    </row>
    <row r="1837">
      <c r="A1837" s="523">
        <v>1836</v>
      </c>
      <c r="B1837" s="523" t="s">
        <v>4363</v>
      </c>
      <c r="C1837" s="523" t="s">
        <v>4364</v>
      </c>
      <c r="D1837" s="523" t="s">
        <v>4345</v>
      </c>
      <c r="E1837" s="523" t="s">
        <v>4346</v>
      </c>
      <c r="F1837" s="523" t="s">
        <v>45</v>
      </c>
    </row>
    <row r="1838">
      <c r="A1838" s="523">
        <v>1837</v>
      </c>
      <c r="B1838" s="523" t="s">
        <v>4365</v>
      </c>
      <c r="C1838" s="523" t="s">
        <v>4366</v>
      </c>
      <c r="D1838" s="523" t="s">
        <v>4367</v>
      </c>
      <c r="E1838" s="523" t="s">
        <v>4368</v>
      </c>
      <c r="F1838" s="523" t="s">
        <v>45</v>
      </c>
    </row>
    <row r="1839">
      <c r="A1839" s="523">
        <v>1838</v>
      </c>
      <c r="B1839" s="523" t="s">
        <v>4369</v>
      </c>
      <c r="C1839" s="523" t="s">
        <v>4370</v>
      </c>
      <c r="D1839" s="523" t="s">
        <v>4367</v>
      </c>
      <c r="E1839" s="523" t="s">
        <v>4368</v>
      </c>
      <c r="F1839" s="523" t="s">
        <v>45</v>
      </c>
    </row>
    <row r="1840">
      <c r="A1840" s="523">
        <v>1839</v>
      </c>
      <c r="B1840" s="523" t="s">
        <v>4371</v>
      </c>
      <c r="C1840" s="523" t="s">
        <v>4372</v>
      </c>
      <c r="D1840" s="523" t="s">
        <v>4367</v>
      </c>
      <c r="E1840" s="523" t="s">
        <v>4368</v>
      </c>
      <c r="F1840" s="523" t="s">
        <v>45</v>
      </c>
    </row>
    <row r="1841">
      <c r="A1841" s="523">
        <v>1840</v>
      </c>
      <c r="B1841" s="523" t="s">
        <v>4373</v>
      </c>
      <c r="C1841" s="523" t="s">
        <v>4374</v>
      </c>
      <c r="D1841" s="523" t="s">
        <v>4367</v>
      </c>
      <c r="E1841" s="523" t="s">
        <v>4368</v>
      </c>
      <c r="F1841" s="523" t="s">
        <v>45</v>
      </c>
    </row>
    <row r="1842">
      <c r="A1842" s="523">
        <v>1841</v>
      </c>
      <c r="B1842" s="523" t="s">
        <v>4375</v>
      </c>
      <c r="C1842" s="523" t="s">
        <v>4376</v>
      </c>
      <c r="D1842" s="523" t="s">
        <v>4367</v>
      </c>
      <c r="E1842" s="523" t="s">
        <v>4368</v>
      </c>
      <c r="F1842" s="523" t="s">
        <v>45</v>
      </c>
    </row>
    <row r="1843">
      <c r="A1843" s="523">
        <v>1842</v>
      </c>
      <c r="B1843" s="523" t="s">
        <v>4377</v>
      </c>
      <c r="C1843" s="523" t="s">
        <v>4378</v>
      </c>
      <c r="D1843" s="523" t="s">
        <v>4367</v>
      </c>
      <c r="E1843" s="523" t="s">
        <v>4368</v>
      </c>
      <c r="F1843" s="523" t="s">
        <v>45</v>
      </c>
    </row>
    <row r="1844">
      <c r="A1844" s="523">
        <v>1843</v>
      </c>
      <c r="B1844" s="523" t="s">
        <v>4379</v>
      </c>
      <c r="C1844" s="523" t="s">
        <v>4380</v>
      </c>
      <c r="D1844" s="523" t="s">
        <v>4367</v>
      </c>
      <c r="E1844" s="523" t="s">
        <v>4368</v>
      </c>
      <c r="F1844" s="523" t="s">
        <v>45</v>
      </c>
    </row>
    <row r="1845">
      <c r="A1845" s="523">
        <v>1844</v>
      </c>
      <c r="B1845" s="523" t="s">
        <v>4381</v>
      </c>
      <c r="C1845" s="523" t="s">
        <v>4382</v>
      </c>
      <c r="D1845" s="523" t="s">
        <v>4367</v>
      </c>
      <c r="E1845" s="523" t="s">
        <v>4368</v>
      </c>
      <c r="F1845" s="523" t="s">
        <v>45</v>
      </c>
    </row>
    <row r="1846">
      <c r="A1846" s="523">
        <v>1845</v>
      </c>
      <c r="B1846" s="523" t="s">
        <v>4383</v>
      </c>
      <c r="C1846" s="523" t="s">
        <v>1207</v>
      </c>
      <c r="D1846" s="523" t="s">
        <v>4367</v>
      </c>
      <c r="E1846" s="523" t="s">
        <v>4368</v>
      </c>
      <c r="F1846" s="523" t="s">
        <v>45</v>
      </c>
    </row>
    <row r="1847">
      <c r="A1847" s="523">
        <v>1846</v>
      </c>
      <c r="B1847" s="523" t="s">
        <v>4384</v>
      </c>
      <c r="C1847" s="523" t="s">
        <v>1024</v>
      </c>
      <c r="D1847" s="523" t="s">
        <v>4367</v>
      </c>
      <c r="E1847" s="523" t="s">
        <v>4368</v>
      </c>
      <c r="F1847" s="523" t="s">
        <v>45</v>
      </c>
    </row>
    <row r="1848">
      <c r="A1848" s="523">
        <v>1847</v>
      </c>
      <c r="B1848" s="523" t="s">
        <v>4385</v>
      </c>
      <c r="C1848" s="523" t="s">
        <v>1084</v>
      </c>
      <c r="D1848" s="523" t="s">
        <v>4367</v>
      </c>
      <c r="E1848" s="523" t="s">
        <v>4368</v>
      </c>
      <c r="F1848" s="523" t="s">
        <v>45</v>
      </c>
    </row>
    <row r="1849">
      <c r="A1849" s="523">
        <v>1848</v>
      </c>
      <c r="B1849" s="523" t="s">
        <v>4386</v>
      </c>
      <c r="C1849" s="523" t="s">
        <v>4387</v>
      </c>
      <c r="D1849" s="523" t="s">
        <v>4367</v>
      </c>
      <c r="E1849" s="523" t="s">
        <v>4368</v>
      </c>
      <c r="F1849" s="523" t="s">
        <v>45</v>
      </c>
    </row>
    <row r="1850">
      <c r="A1850" s="523">
        <v>1849</v>
      </c>
      <c r="B1850" s="523" t="s">
        <v>4388</v>
      </c>
      <c r="C1850" s="523" t="s">
        <v>1212</v>
      </c>
      <c r="D1850" s="523" t="s">
        <v>4367</v>
      </c>
      <c r="E1850" s="523" t="s">
        <v>4368</v>
      </c>
      <c r="F1850" s="523" t="s">
        <v>45</v>
      </c>
    </row>
    <row r="1851">
      <c r="A1851" s="523">
        <v>1850</v>
      </c>
      <c r="B1851" s="523" t="s">
        <v>4389</v>
      </c>
      <c r="C1851" s="523" t="s">
        <v>4390</v>
      </c>
      <c r="D1851" s="523" t="s">
        <v>4391</v>
      </c>
      <c r="E1851" s="523" t="s">
        <v>4392</v>
      </c>
      <c r="F1851" s="523" t="s">
        <v>45</v>
      </c>
    </row>
    <row r="1852">
      <c r="A1852" s="523">
        <v>1851</v>
      </c>
      <c r="B1852" s="523" t="s">
        <v>4393</v>
      </c>
      <c r="C1852" s="523" t="s">
        <v>4394</v>
      </c>
      <c r="D1852" s="523" t="s">
        <v>4391</v>
      </c>
      <c r="E1852" s="523" t="s">
        <v>4392</v>
      </c>
      <c r="F1852" s="523" t="s">
        <v>45</v>
      </c>
    </row>
    <row r="1853">
      <c r="A1853" s="523">
        <v>1852</v>
      </c>
      <c r="B1853" s="523" t="s">
        <v>4395</v>
      </c>
      <c r="C1853" s="523" t="s">
        <v>4396</v>
      </c>
      <c r="D1853" s="523" t="s">
        <v>4391</v>
      </c>
      <c r="E1853" s="523" t="s">
        <v>4392</v>
      </c>
      <c r="F1853" s="523" t="s">
        <v>45</v>
      </c>
    </row>
    <row r="1854">
      <c r="A1854" s="523">
        <v>1853</v>
      </c>
      <c r="B1854" s="523" t="s">
        <v>4397</v>
      </c>
      <c r="C1854" s="523" t="s">
        <v>4398</v>
      </c>
      <c r="D1854" s="523" t="s">
        <v>4391</v>
      </c>
      <c r="E1854" s="523" t="s">
        <v>4392</v>
      </c>
      <c r="F1854" s="523" t="s">
        <v>45</v>
      </c>
    </row>
    <row r="1855">
      <c r="A1855" s="523">
        <v>1854</v>
      </c>
      <c r="B1855" s="523" t="s">
        <v>4399</v>
      </c>
      <c r="C1855" s="523" t="s">
        <v>4400</v>
      </c>
      <c r="D1855" s="523" t="s">
        <v>4391</v>
      </c>
      <c r="E1855" s="523" t="s">
        <v>4392</v>
      </c>
      <c r="F1855" s="523" t="s">
        <v>45</v>
      </c>
    </row>
    <row r="1856">
      <c r="A1856" s="523">
        <v>1855</v>
      </c>
      <c r="B1856" s="523" t="s">
        <v>4401</v>
      </c>
      <c r="C1856" s="523" t="s">
        <v>4402</v>
      </c>
      <c r="D1856" s="523" t="s">
        <v>4391</v>
      </c>
      <c r="E1856" s="523" t="s">
        <v>4392</v>
      </c>
      <c r="F1856" s="523" t="s">
        <v>45</v>
      </c>
    </row>
    <row r="1857">
      <c r="A1857" s="523">
        <v>1856</v>
      </c>
      <c r="B1857" s="523" t="s">
        <v>4403</v>
      </c>
      <c r="C1857" s="523" t="s">
        <v>4404</v>
      </c>
      <c r="D1857" s="523" t="s">
        <v>4391</v>
      </c>
      <c r="E1857" s="523" t="s">
        <v>4392</v>
      </c>
      <c r="F1857" s="523" t="s">
        <v>45</v>
      </c>
    </row>
    <row r="1858">
      <c r="A1858" s="523">
        <v>1857</v>
      </c>
      <c r="B1858" s="523" t="s">
        <v>4405</v>
      </c>
      <c r="C1858" s="523" t="s">
        <v>4406</v>
      </c>
      <c r="D1858" s="523" t="s">
        <v>4391</v>
      </c>
      <c r="E1858" s="523" t="s">
        <v>4392</v>
      </c>
      <c r="F1858" s="523" t="s">
        <v>45</v>
      </c>
    </row>
    <row r="1859">
      <c r="A1859" s="523">
        <v>1858</v>
      </c>
      <c r="B1859" s="523" t="s">
        <v>4407</v>
      </c>
      <c r="C1859" s="523" t="s">
        <v>4408</v>
      </c>
      <c r="D1859" s="523" t="s">
        <v>4391</v>
      </c>
      <c r="E1859" s="523" t="s">
        <v>4392</v>
      </c>
      <c r="F1859" s="523" t="s">
        <v>45</v>
      </c>
    </row>
    <row r="1860">
      <c r="A1860" s="523">
        <v>1859</v>
      </c>
      <c r="B1860" s="523" t="s">
        <v>4409</v>
      </c>
      <c r="C1860" s="523" t="s">
        <v>4410</v>
      </c>
      <c r="D1860" s="523" t="s">
        <v>4391</v>
      </c>
      <c r="E1860" s="523" t="s">
        <v>4392</v>
      </c>
      <c r="F1860" s="523" t="s">
        <v>45</v>
      </c>
    </row>
    <row r="1861">
      <c r="A1861" s="523">
        <v>1860</v>
      </c>
      <c r="B1861" s="523" t="s">
        <v>4411</v>
      </c>
      <c r="C1861" s="523" t="s">
        <v>2214</v>
      </c>
      <c r="D1861" s="523" t="s">
        <v>4391</v>
      </c>
      <c r="E1861" s="523" t="s">
        <v>4392</v>
      </c>
      <c r="F1861" s="523" t="s">
        <v>45</v>
      </c>
    </row>
    <row r="1862">
      <c r="A1862" s="523">
        <v>1861</v>
      </c>
      <c r="B1862" s="523" t="s">
        <v>4412</v>
      </c>
      <c r="C1862" s="523" t="s">
        <v>4413</v>
      </c>
      <c r="D1862" s="523" t="s">
        <v>4414</v>
      </c>
      <c r="E1862" s="523" t="s">
        <v>4415</v>
      </c>
      <c r="F1862" s="523" t="s">
        <v>45</v>
      </c>
    </row>
    <row r="1863">
      <c r="A1863" s="523">
        <v>1862</v>
      </c>
      <c r="B1863" s="523" t="s">
        <v>4416</v>
      </c>
      <c r="C1863" s="523" t="s">
        <v>1277</v>
      </c>
      <c r="D1863" s="523" t="s">
        <v>4414</v>
      </c>
      <c r="E1863" s="523" t="s">
        <v>4415</v>
      </c>
      <c r="F1863" s="523" t="s">
        <v>45</v>
      </c>
    </row>
    <row r="1864">
      <c r="A1864" s="523">
        <v>1863</v>
      </c>
      <c r="B1864" s="523" t="s">
        <v>4417</v>
      </c>
      <c r="C1864" s="523" t="s">
        <v>4418</v>
      </c>
      <c r="D1864" s="523" t="s">
        <v>4414</v>
      </c>
      <c r="E1864" s="523" t="s">
        <v>4415</v>
      </c>
      <c r="F1864" s="523" t="s">
        <v>45</v>
      </c>
    </row>
    <row r="1865">
      <c r="A1865" s="523">
        <v>1864</v>
      </c>
      <c r="B1865" s="523" t="s">
        <v>4419</v>
      </c>
      <c r="C1865" s="523" t="s">
        <v>4420</v>
      </c>
      <c r="D1865" s="523" t="s">
        <v>4414</v>
      </c>
      <c r="E1865" s="523" t="s">
        <v>4415</v>
      </c>
      <c r="F1865" s="523" t="s">
        <v>45</v>
      </c>
    </row>
    <row r="1866">
      <c r="A1866" s="523">
        <v>1865</v>
      </c>
      <c r="B1866" s="523" t="s">
        <v>4421</v>
      </c>
      <c r="C1866" s="523" t="s">
        <v>2585</v>
      </c>
      <c r="D1866" s="523" t="s">
        <v>4414</v>
      </c>
      <c r="E1866" s="523" t="s">
        <v>4415</v>
      </c>
      <c r="F1866" s="523" t="s">
        <v>45</v>
      </c>
    </row>
    <row r="1867">
      <c r="A1867" s="523">
        <v>1866</v>
      </c>
      <c r="B1867" s="523" t="s">
        <v>4422</v>
      </c>
      <c r="C1867" s="523" t="s">
        <v>2333</v>
      </c>
      <c r="D1867" s="523" t="s">
        <v>4414</v>
      </c>
      <c r="E1867" s="523" t="s">
        <v>4415</v>
      </c>
      <c r="F1867" s="523" t="s">
        <v>45</v>
      </c>
    </row>
    <row r="1868">
      <c r="A1868" s="523">
        <v>1867</v>
      </c>
      <c r="B1868" s="523" t="s">
        <v>4423</v>
      </c>
      <c r="C1868" s="523" t="s">
        <v>1817</v>
      </c>
      <c r="D1868" s="523" t="s">
        <v>4414</v>
      </c>
      <c r="E1868" s="523" t="s">
        <v>4415</v>
      </c>
      <c r="F1868" s="523" t="s">
        <v>45</v>
      </c>
    </row>
    <row r="1869">
      <c r="A1869" s="523">
        <v>1868</v>
      </c>
      <c r="B1869" s="523" t="s">
        <v>4424</v>
      </c>
      <c r="C1869" s="523" t="s">
        <v>4425</v>
      </c>
      <c r="D1869" s="523" t="s">
        <v>4414</v>
      </c>
      <c r="E1869" s="523" t="s">
        <v>4415</v>
      </c>
      <c r="F1869" s="523" t="s">
        <v>45</v>
      </c>
    </row>
    <row r="1870">
      <c r="A1870" s="523">
        <v>1869</v>
      </c>
      <c r="B1870" s="523" t="s">
        <v>4426</v>
      </c>
      <c r="C1870" s="523" t="s">
        <v>4427</v>
      </c>
      <c r="D1870" s="523" t="s">
        <v>4414</v>
      </c>
      <c r="E1870" s="523" t="s">
        <v>4415</v>
      </c>
      <c r="F1870" s="523" t="s">
        <v>45</v>
      </c>
    </row>
    <row r="1871">
      <c r="A1871" s="523">
        <v>1870</v>
      </c>
      <c r="B1871" s="523" t="s">
        <v>4428</v>
      </c>
      <c r="C1871" s="523" t="s">
        <v>4429</v>
      </c>
      <c r="D1871" s="523" t="s">
        <v>4414</v>
      </c>
      <c r="E1871" s="523" t="s">
        <v>4415</v>
      </c>
      <c r="F1871" s="523" t="s">
        <v>45</v>
      </c>
    </row>
    <row r="1872">
      <c r="A1872" s="523">
        <v>1871</v>
      </c>
      <c r="B1872" s="523" t="s">
        <v>4430</v>
      </c>
      <c r="C1872" s="523" t="s">
        <v>4431</v>
      </c>
      <c r="D1872" s="523" t="s">
        <v>4414</v>
      </c>
      <c r="E1872" s="523" t="s">
        <v>4415</v>
      </c>
      <c r="F1872" s="523" t="s">
        <v>45</v>
      </c>
    </row>
    <row r="1873">
      <c r="A1873" s="523">
        <v>1872</v>
      </c>
      <c r="B1873" s="523" t="s">
        <v>4432</v>
      </c>
      <c r="C1873" s="523" t="s">
        <v>4433</v>
      </c>
      <c r="D1873" s="523" t="s">
        <v>4434</v>
      </c>
      <c r="E1873" s="523" t="s">
        <v>4435</v>
      </c>
      <c r="F1873" s="523" t="s">
        <v>45</v>
      </c>
    </row>
    <row r="1874">
      <c r="A1874" s="523">
        <v>1873</v>
      </c>
      <c r="B1874" s="523" t="s">
        <v>4436</v>
      </c>
      <c r="C1874" s="523" t="s">
        <v>2067</v>
      </c>
      <c r="D1874" s="523" t="s">
        <v>4434</v>
      </c>
      <c r="E1874" s="523" t="s">
        <v>4435</v>
      </c>
      <c r="F1874" s="523" t="s">
        <v>45</v>
      </c>
    </row>
    <row r="1875">
      <c r="A1875" s="523">
        <v>1874</v>
      </c>
      <c r="B1875" s="523" t="s">
        <v>4437</v>
      </c>
      <c r="C1875" s="523" t="s">
        <v>934</v>
      </c>
      <c r="D1875" s="523" t="s">
        <v>4434</v>
      </c>
      <c r="E1875" s="523" t="s">
        <v>4435</v>
      </c>
      <c r="F1875" s="523" t="s">
        <v>45</v>
      </c>
    </row>
    <row r="1876">
      <c r="A1876" s="523">
        <v>1875</v>
      </c>
      <c r="B1876" s="523" t="s">
        <v>4438</v>
      </c>
      <c r="C1876" s="523" t="s">
        <v>1457</v>
      </c>
      <c r="D1876" s="523" t="s">
        <v>4434</v>
      </c>
      <c r="E1876" s="523" t="s">
        <v>4435</v>
      </c>
      <c r="F1876" s="523" t="s">
        <v>45</v>
      </c>
    </row>
    <row r="1877">
      <c r="A1877" s="523">
        <v>1876</v>
      </c>
      <c r="B1877" s="523" t="s">
        <v>4439</v>
      </c>
      <c r="C1877" s="523" t="s">
        <v>3077</v>
      </c>
      <c r="D1877" s="523" t="s">
        <v>4434</v>
      </c>
      <c r="E1877" s="523" t="s">
        <v>4435</v>
      </c>
      <c r="F1877" s="523" t="s">
        <v>45</v>
      </c>
    </row>
    <row r="1878">
      <c r="A1878" s="523">
        <v>1877</v>
      </c>
      <c r="B1878" s="523" t="s">
        <v>4440</v>
      </c>
      <c r="C1878" s="523" t="s">
        <v>982</v>
      </c>
      <c r="D1878" s="523" t="s">
        <v>4434</v>
      </c>
      <c r="E1878" s="523" t="s">
        <v>4435</v>
      </c>
      <c r="F1878" s="523" t="s">
        <v>45</v>
      </c>
    </row>
    <row r="1879">
      <c r="A1879" s="523">
        <v>1878</v>
      </c>
      <c r="B1879" s="523" t="s">
        <v>4441</v>
      </c>
      <c r="C1879" s="523" t="s">
        <v>4442</v>
      </c>
      <c r="D1879" s="523" t="s">
        <v>4434</v>
      </c>
      <c r="E1879" s="523" t="s">
        <v>4435</v>
      </c>
      <c r="F1879" s="523" t="s">
        <v>45</v>
      </c>
    </row>
    <row r="1880">
      <c r="A1880" s="523">
        <v>1879</v>
      </c>
      <c r="B1880" s="523" t="s">
        <v>4443</v>
      </c>
      <c r="C1880" s="523" t="s">
        <v>914</v>
      </c>
      <c r="D1880" s="523" t="s">
        <v>4434</v>
      </c>
      <c r="E1880" s="523" t="s">
        <v>4435</v>
      </c>
      <c r="F1880" s="523" t="s">
        <v>45</v>
      </c>
    </row>
    <row r="1881">
      <c r="A1881" s="523">
        <v>1880</v>
      </c>
      <c r="B1881" s="523" t="s">
        <v>4444</v>
      </c>
      <c r="C1881" s="523" t="s">
        <v>1782</v>
      </c>
      <c r="D1881" s="523" t="s">
        <v>4434</v>
      </c>
      <c r="E1881" s="523" t="s">
        <v>4435</v>
      </c>
      <c r="F1881" s="523" t="s">
        <v>45</v>
      </c>
    </row>
    <row r="1882">
      <c r="A1882" s="523">
        <v>1881</v>
      </c>
      <c r="B1882" s="523" t="s">
        <v>4445</v>
      </c>
      <c r="C1882" s="523" t="s">
        <v>4446</v>
      </c>
      <c r="D1882" s="523" t="s">
        <v>4434</v>
      </c>
      <c r="E1882" s="523" t="s">
        <v>4435</v>
      </c>
      <c r="F1882" s="523" t="s">
        <v>45</v>
      </c>
    </row>
    <row r="1883">
      <c r="A1883" s="523">
        <v>1882</v>
      </c>
      <c r="B1883" s="523" t="s">
        <v>4447</v>
      </c>
      <c r="C1883" s="523" t="s">
        <v>1084</v>
      </c>
      <c r="D1883" s="523" t="s">
        <v>4434</v>
      </c>
      <c r="E1883" s="523" t="s">
        <v>4435</v>
      </c>
      <c r="F1883" s="523" t="s">
        <v>45</v>
      </c>
    </row>
    <row r="1884">
      <c r="A1884" s="523">
        <v>1883</v>
      </c>
      <c r="B1884" s="523" t="s">
        <v>4448</v>
      </c>
      <c r="C1884" s="523" t="s">
        <v>1212</v>
      </c>
      <c r="D1884" s="523" t="s">
        <v>4434</v>
      </c>
      <c r="E1884" s="523" t="s">
        <v>4435</v>
      </c>
      <c r="F1884" s="523" t="s">
        <v>45</v>
      </c>
    </row>
    <row r="1885">
      <c r="A1885" s="523">
        <v>1884</v>
      </c>
      <c r="B1885" s="523" t="s">
        <v>4449</v>
      </c>
      <c r="C1885" s="523" t="s">
        <v>4450</v>
      </c>
      <c r="D1885" s="523" t="s">
        <v>4451</v>
      </c>
      <c r="E1885" s="523" t="s">
        <v>4452</v>
      </c>
      <c r="F1885" s="523" t="s">
        <v>45</v>
      </c>
    </row>
    <row r="1886">
      <c r="A1886" s="523">
        <v>1885</v>
      </c>
      <c r="B1886" s="523" t="s">
        <v>4453</v>
      </c>
      <c r="C1886" s="523" t="s">
        <v>4454</v>
      </c>
      <c r="D1886" s="523" t="s">
        <v>4451</v>
      </c>
      <c r="E1886" s="523" t="s">
        <v>4452</v>
      </c>
      <c r="F1886" s="523" t="s">
        <v>45</v>
      </c>
    </row>
    <row r="1887">
      <c r="A1887" s="523">
        <v>1886</v>
      </c>
      <c r="B1887" s="523" t="s">
        <v>4455</v>
      </c>
      <c r="C1887" s="523" t="s">
        <v>2431</v>
      </c>
      <c r="D1887" s="523" t="s">
        <v>4451</v>
      </c>
      <c r="E1887" s="523" t="s">
        <v>4452</v>
      </c>
      <c r="F1887" s="523" t="s">
        <v>45</v>
      </c>
    </row>
    <row r="1888">
      <c r="A1888" s="523">
        <v>1887</v>
      </c>
      <c r="B1888" s="523" t="s">
        <v>4456</v>
      </c>
      <c r="C1888" s="523" t="s">
        <v>4457</v>
      </c>
      <c r="D1888" s="523" t="s">
        <v>4451</v>
      </c>
      <c r="E1888" s="523" t="s">
        <v>4452</v>
      </c>
      <c r="F1888" s="523" t="s">
        <v>45</v>
      </c>
    </row>
    <row r="1889">
      <c r="A1889" s="523">
        <v>1888</v>
      </c>
      <c r="B1889" s="523" t="s">
        <v>4458</v>
      </c>
      <c r="C1889" s="523" t="s">
        <v>4459</v>
      </c>
      <c r="D1889" s="523" t="s">
        <v>4451</v>
      </c>
      <c r="E1889" s="523" t="s">
        <v>4452</v>
      </c>
      <c r="F1889" s="523" t="s">
        <v>45</v>
      </c>
    </row>
    <row r="1890">
      <c r="A1890" s="523">
        <v>1889</v>
      </c>
      <c r="B1890" s="523" t="s">
        <v>4460</v>
      </c>
      <c r="C1890" s="523" t="s">
        <v>4461</v>
      </c>
      <c r="D1890" s="523" t="s">
        <v>4451</v>
      </c>
      <c r="E1890" s="523" t="s">
        <v>4452</v>
      </c>
      <c r="F1890" s="523" t="s">
        <v>45</v>
      </c>
    </row>
    <row r="1891">
      <c r="A1891" s="523">
        <v>1890</v>
      </c>
      <c r="B1891" s="523" t="s">
        <v>4462</v>
      </c>
      <c r="C1891" s="523" t="s">
        <v>4463</v>
      </c>
      <c r="D1891" s="523" t="s">
        <v>4451</v>
      </c>
      <c r="E1891" s="523" t="s">
        <v>4452</v>
      </c>
      <c r="F1891" s="523" t="s">
        <v>45</v>
      </c>
    </row>
    <row r="1892">
      <c r="A1892" s="523">
        <v>1891</v>
      </c>
      <c r="B1892" s="523" t="s">
        <v>4464</v>
      </c>
      <c r="C1892" s="523" t="s">
        <v>944</v>
      </c>
      <c r="D1892" s="523" t="s">
        <v>4451</v>
      </c>
      <c r="E1892" s="523" t="s">
        <v>4452</v>
      </c>
      <c r="F1892" s="523" t="s">
        <v>45</v>
      </c>
    </row>
    <row r="1893">
      <c r="A1893" s="523">
        <v>1892</v>
      </c>
      <c r="B1893" s="523" t="s">
        <v>4465</v>
      </c>
      <c r="C1893" s="523" t="s">
        <v>4173</v>
      </c>
      <c r="D1893" s="523" t="s">
        <v>4451</v>
      </c>
      <c r="E1893" s="523" t="s">
        <v>4452</v>
      </c>
      <c r="F1893" s="523" t="s">
        <v>45</v>
      </c>
    </row>
    <row r="1894">
      <c r="A1894" s="523">
        <v>1893</v>
      </c>
      <c r="B1894" s="523" t="s">
        <v>4466</v>
      </c>
      <c r="C1894" s="523" t="s">
        <v>4467</v>
      </c>
      <c r="D1894" s="523" t="s">
        <v>4451</v>
      </c>
      <c r="E1894" s="523" t="s">
        <v>4452</v>
      </c>
      <c r="F1894" s="523" t="s">
        <v>45</v>
      </c>
    </row>
    <row r="1895">
      <c r="A1895" s="523">
        <v>1894</v>
      </c>
      <c r="B1895" s="523" t="s">
        <v>4468</v>
      </c>
      <c r="C1895" s="523" t="s">
        <v>4469</v>
      </c>
      <c r="D1895" s="523" t="s">
        <v>4470</v>
      </c>
      <c r="E1895" s="523" t="s">
        <v>4471</v>
      </c>
      <c r="F1895" s="523" t="s">
        <v>45</v>
      </c>
    </row>
    <row r="1896">
      <c r="A1896" s="523">
        <v>1895</v>
      </c>
      <c r="B1896" s="523" t="s">
        <v>4472</v>
      </c>
      <c r="C1896" s="523" t="s">
        <v>4473</v>
      </c>
      <c r="D1896" s="523" t="s">
        <v>4470</v>
      </c>
      <c r="E1896" s="523" t="s">
        <v>4471</v>
      </c>
      <c r="F1896" s="523" t="s">
        <v>45</v>
      </c>
    </row>
    <row r="1897">
      <c r="A1897" s="523">
        <v>1896</v>
      </c>
      <c r="B1897" s="523" t="s">
        <v>4474</v>
      </c>
      <c r="C1897" s="523" t="s">
        <v>4475</v>
      </c>
      <c r="D1897" s="523" t="s">
        <v>4470</v>
      </c>
      <c r="E1897" s="523" t="s">
        <v>4471</v>
      </c>
      <c r="F1897" s="523" t="s">
        <v>45</v>
      </c>
    </row>
    <row r="1898">
      <c r="A1898" s="523">
        <v>1897</v>
      </c>
      <c r="B1898" s="523" t="s">
        <v>4476</v>
      </c>
      <c r="C1898" s="523" t="s">
        <v>4477</v>
      </c>
      <c r="D1898" s="523" t="s">
        <v>4470</v>
      </c>
      <c r="E1898" s="523" t="s">
        <v>4471</v>
      </c>
      <c r="F1898" s="523" t="s">
        <v>45</v>
      </c>
    </row>
    <row r="1899">
      <c r="A1899" s="523">
        <v>1898</v>
      </c>
      <c r="B1899" s="523" t="s">
        <v>4478</v>
      </c>
      <c r="C1899" s="523" t="s">
        <v>4479</v>
      </c>
      <c r="D1899" s="523" t="s">
        <v>4470</v>
      </c>
      <c r="E1899" s="523" t="s">
        <v>4471</v>
      </c>
      <c r="F1899" s="523" t="s">
        <v>45</v>
      </c>
    </row>
    <row r="1900">
      <c r="A1900" s="523">
        <v>1899</v>
      </c>
      <c r="B1900" s="523" t="s">
        <v>4480</v>
      </c>
      <c r="C1900" s="523" t="s">
        <v>2979</v>
      </c>
      <c r="D1900" s="523" t="s">
        <v>4470</v>
      </c>
      <c r="E1900" s="523" t="s">
        <v>4471</v>
      </c>
      <c r="F1900" s="523" t="s">
        <v>45</v>
      </c>
    </row>
    <row r="1901">
      <c r="A1901" s="523">
        <v>1900</v>
      </c>
      <c r="B1901" s="523" t="s">
        <v>4481</v>
      </c>
      <c r="C1901" s="523" t="s">
        <v>4482</v>
      </c>
      <c r="D1901" s="523" t="s">
        <v>4470</v>
      </c>
      <c r="E1901" s="523" t="s">
        <v>4471</v>
      </c>
      <c r="F1901" s="523" t="s">
        <v>45</v>
      </c>
    </row>
    <row r="1902">
      <c r="A1902" s="523">
        <v>1901</v>
      </c>
      <c r="B1902" s="523" t="s">
        <v>4483</v>
      </c>
      <c r="C1902" s="523" t="s">
        <v>4484</v>
      </c>
      <c r="D1902" s="523" t="s">
        <v>4470</v>
      </c>
      <c r="E1902" s="523" t="s">
        <v>4471</v>
      </c>
      <c r="F1902" s="523" t="s">
        <v>45</v>
      </c>
    </row>
    <row r="1903">
      <c r="A1903" s="523">
        <v>1902</v>
      </c>
      <c r="B1903" s="523" t="s">
        <v>4485</v>
      </c>
      <c r="C1903" s="523" t="s">
        <v>4486</v>
      </c>
      <c r="D1903" s="523" t="s">
        <v>4470</v>
      </c>
      <c r="E1903" s="523" t="s">
        <v>4471</v>
      </c>
      <c r="F1903" s="523" t="s">
        <v>45</v>
      </c>
    </row>
    <row r="1904">
      <c r="A1904" s="523">
        <v>1903</v>
      </c>
      <c r="B1904" s="523" t="s">
        <v>4487</v>
      </c>
      <c r="C1904" s="523" t="s">
        <v>4488</v>
      </c>
      <c r="D1904" s="523" t="s">
        <v>4470</v>
      </c>
      <c r="E1904" s="523" t="s">
        <v>4471</v>
      </c>
      <c r="F1904" s="523" t="s">
        <v>45</v>
      </c>
    </row>
    <row r="1905">
      <c r="A1905" s="523">
        <v>1904</v>
      </c>
      <c r="B1905" s="523" t="s">
        <v>4489</v>
      </c>
      <c r="C1905" s="523" t="s">
        <v>4490</v>
      </c>
      <c r="D1905" s="523" t="s">
        <v>4470</v>
      </c>
      <c r="E1905" s="523" t="s">
        <v>4471</v>
      </c>
      <c r="F1905" s="523" t="s">
        <v>45</v>
      </c>
    </row>
    <row r="1906">
      <c r="A1906" s="523">
        <v>1905</v>
      </c>
      <c r="B1906" s="523" t="s">
        <v>4491</v>
      </c>
      <c r="C1906" s="523" t="s">
        <v>4492</v>
      </c>
      <c r="D1906" s="523" t="s">
        <v>4470</v>
      </c>
      <c r="E1906" s="523" t="s">
        <v>4471</v>
      </c>
      <c r="F1906" s="523" t="s">
        <v>45</v>
      </c>
    </row>
    <row r="1907">
      <c r="A1907" s="523">
        <v>1906</v>
      </c>
      <c r="B1907" s="523" t="s">
        <v>4493</v>
      </c>
      <c r="C1907" s="523" t="s">
        <v>4494</v>
      </c>
      <c r="D1907" s="523" t="s">
        <v>4470</v>
      </c>
      <c r="E1907" s="523" t="s">
        <v>4471</v>
      </c>
      <c r="F1907" s="523" t="s">
        <v>45</v>
      </c>
    </row>
    <row r="1908">
      <c r="A1908" s="523">
        <v>1907</v>
      </c>
      <c r="B1908" s="523" t="s">
        <v>4495</v>
      </c>
      <c r="C1908" s="523" t="s">
        <v>1210</v>
      </c>
      <c r="D1908" s="523" t="s">
        <v>4470</v>
      </c>
      <c r="E1908" s="523" t="s">
        <v>4471</v>
      </c>
      <c r="F1908" s="523" t="s">
        <v>45</v>
      </c>
    </row>
    <row r="1909">
      <c r="A1909" s="523">
        <v>1908</v>
      </c>
      <c r="B1909" s="523" t="s">
        <v>4496</v>
      </c>
      <c r="C1909" s="523" t="s">
        <v>940</v>
      </c>
      <c r="D1909" s="523" t="s">
        <v>4470</v>
      </c>
      <c r="E1909" s="523" t="s">
        <v>4471</v>
      </c>
      <c r="F1909" s="523" t="s">
        <v>45</v>
      </c>
    </row>
    <row r="1910">
      <c r="A1910" s="523">
        <v>1909</v>
      </c>
      <c r="B1910" s="523" t="s">
        <v>4497</v>
      </c>
      <c r="C1910" s="523" t="s">
        <v>4498</v>
      </c>
      <c r="D1910" s="523" t="s">
        <v>4470</v>
      </c>
      <c r="E1910" s="523" t="s">
        <v>4471</v>
      </c>
      <c r="F1910" s="523" t="s">
        <v>45</v>
      </c>
    </row>
    <row r="1911">
      <c r="A1911" s="523">
        <v>1910</v>
      </c>
      <c r="B1911" s="523" t="s">
        <v>4499</v>
      </c>
      <c r="C1911" s="523" t="s">
        <v>4500</v>
      </c>
      <c r="D1911" s="523" t="s">
        <v>4470</v>
      </c>
      <c r="E1911" s="523" t="s">
        <v>4471</v>
      </c>
      <c r="F1911" s="523" t="s">
        <v>45</v>
      </c>
    </row>
    <row r="1912">
      <c r="A1912" s="523">
        <v>1911</v>
      </c>
      <c r="B1912" s="523" t="s">
        <v>4501</v>
      </c>
      <c r="C1912" s="523" t="s">
        <v>4502</v>
      </c>
      <c r="D1912" s="523" t="s">
        <v>4470</v>
      </c>
      <c r="E1912" s="523" t="s">
        <v>4471</v>
      </c>
      <c r="F1912" s="523" t="s">
        <v>45</v>
      </c>
    </row>
    <row r="1913">
      <c r="A1913" s="523">
        <v>1912</v>
      </c>
      <c r="B1913" s="523" t="s">
        <v>4503</v>
      </c>
      <c r="C1913" s="523" t="s">
        <v>4504</v>
      </c>
      <c r="D1913" s="523" t="s">
        <v>4470</v>
      </c>
      <c r="E1913" s="523" t="s">
        <v>4471</v>
      </c>
      <c r="F1913" s="523" t="s">
        <v>45</v>
      </c>
    </row>
    <row r="1914">
      <c r="A1914" s="523">
        <v>1913</v>
      </c>
      <c r="B1914" s="523" t="s">
        <v>4505</v>
      </c>
      <c r="C1914" s="523" t="s">
        <v>4506</v>
      </c>
      <c r="D1914" s="523" t="s">
        <v>4470</v>
      </c>
      <c r="E1914" s="523" t="s">
        <v>4471</v>
      </c>
      <c r="F1914" s="523" t="s">
        <v>45</v>
      </c>
    </row>
    <row r="1915">
      <c r="A1915" s="523">
        <v>1914</v>
      </c>
      <c r="B1915" s="523" t="s">
        <v>4507</v>
      </c>
      <c r="C1915" s="523" t="s">
        <v>4508</v>
      </c>
      <c r="D1915" s="523" t="s">
        <v>4509</v>
      </c>
      <c r="E1915" s="523" t="s">
        <v>4510</v>
      </c>
      <c r="F1915" s="523" t="s">
        <v>45</v>
      </c>
    </row>
    <row r="1916">
      <c r="A1916" s="523">
        <v>1915</v>
      </c>
      <c r="B1916" s="523" t="s">
        <v>4511</v>
      </c>
      <c r="C1916" s="523" t="s">
        <v>4512</v>
      </c>
      <c r="D1916" s="523" t="s">
        <v>4509</v>
      </c>
      <c r="E1916" s="523" t="s">
        <v>4510</v>
      </c>
      <c r="F1916" s="523" t="s">
        <v>45</v>
      </c>
    </row>
    <row r="1917">
      <c r="A1917" s="523">
        <v>1916</v>
      </c>
      <c r="B1917" s="523" t="s">
        <v>4513</v>
      </c>
      <c r="C1917" s="523" t="s">
        <v>4514</v>
      </c>
      <c r="D1917" s="523" t="s">
        <v>4509</v>
      </c>
      <c r="E1917" s="523" t="s">
        <v>4510</v>
      </c>
      <c r="F1917" s="523" t="s">
        <v>45</v>
      </c>
    </row>
    <row r="1918">
      <c r="A1918" s="523">
        <v>1917</v>
      </c>
      <c r="B1918" s="523" t="s">
        <v>4515</v>
      </c>
      <c r="C1918" s="523" t="s">
        <v>4516</v>
      </c>
      <c r="D1918" s="523" t="s">
        <v>4509</v>
      </c>
      <c r="E1918" s="523" t="s">
        <v>4510</v>
      </c>
      <c r="F1918" s="523" t="s">
        <v>45</v>
      </c>
    </row>
    <row r="1919">
      <c r="A1919" s="523">
        <v>1918</v>
      </c>
      <c r="B1919" s="523" t="s">
        <v>4517</v>
      </c>
      <c r="C1919" s="523" t="s">
        <v>1038</v>
      </c>
      <c r="D1919" s="523" t="s">
        <v>4509</v>
      </c>
      <c r="E1919" s="523" t="s">
        <v>4510</v>
      </c>
      <c r="F1919" s="523" t="s">
        <v>45</v>
      </c>
    </row>
    <row r="1920">
      <c r="A1920" s="523">
        <v>1919</v>
      </c>
      <c r="B1920" s="523" t="s">
        <v>4518</v>
      </c>
      <c r="C1920" s="523" t="s">
        <v>4404</v>
      </c>
      <c r="D1920" s="523" t="s">
        <v>4509</v>
      </c>
      <c r="E1920" s="523" t="s">
        <v>4510</v>
      </c>
      <c r="F1920" s="523" t="s">
        <v>45</v>
      </c>
    </row>
    <row r="1921">
      <c r="A1921" s="523">
        <v>1920</v>
      </c>
      <c r="B1921" s="523" t="s">
        <v>4519</v>
      </c>
      <c r="C1921" s="523" t="s">
        <v>4520</v>
      </c>
      <c r="D1921" s="523" t="s">
        <v>4509</v>
      </c>
      <c r="E1921" s="523" t="s">
        <v>4510</v>
      </c>
      <c r="F1921" s="523" t="s">
        <v>45</v>
      </c>
    </row>
    <row r="1922">
      <c r="A1922" s="523">
        <v>1921</v>
      </c>
      <c r="B1922" s="523" t="s">
        <v>4521</v>
      </c>
      <c r="C1922" s="523" t="s">
        <v>4522</v>
      </c>
      <c r="D1922" s="523" t="s">
        <v>4509</v>
      </c>
      <c r="E1922" s="523" t="s">
        <v>4510</v>
      </c>
      <c r="F1922" s="523" t="s">
        <v>45</v>
      </c>
    </row>
    <row r="1923">
      <c r="A1923" s="523">
        <v>1922</v>
      </c>
      <c r="B1923" s="523" t="s">
        <v>4523</v>
      </c>
      <c r="C1923" s="523" t="s">
        <v>4524</v>
      </c>
      <c r="D1923" s="523" t="s">
        <v>4509</v>
      </c>
      <c r="E1923" s="523" t="s">
        <v>4510</v>
      </c>
      <c r="F1923" s="523" t="s">
        <v>45</v>
      </c>
    </row>
    <row r="1924">
      <c r="A1924" s="523">
        <v>1923</v>
      </c>
      <c r="B1924" s="523" t="s">
        <v>4525</v>
      </c>
      <c r="C1924" s="523" t="s">
        <v>4526</v>
      </c>
      <c r="D1924" s="523" t="s">
        <v>4509</v>
      </c>
      <c r="E1924" s="523" t="s">
        <v>4510</v>
      </c>
      <c r="F1924" s="523" t="s">
        <v>45</v>
      </c>
    </row>
    <row r="1925">
      <c r="A1925" s="523">
        <v>1924</v>
      </c>
      <c r="B1925" s="523" t="s">
        <v>4527</v>
      </c>
      <c r="C1925" s="523" t="s">
        <v>4528</v>
      </c>
      <c r="D1925" s="523" t="s">
        <v>4509</v>
      </c>
      <c r="E1925" s="523" t="s">
        <v>4510</v>
      </c>
      <c r="F1925" s="523" t="s">
        <v>45</v>
      </c>
    </row>
    <row r="1926">
      <c r="A1926" s="523">
        <v>1925</v>
      </c>
      <c r="B1926" s="523" t="s">
        <v>4529</v>
      </c>
      <c r="C1926" s="523" t="s">
        <v>1486</v>
      </c>
      <c r="D1926" s="523" t="s">
        <v>4530</v>
      </c>
      <c r="E1926" s="523" t="s">
        <v>4531</v>
      </c>
      <c r="F1926" s="523" t="s">
        <v>45</v>
      </c>
    </row>
    <row r="1927">
      <c r="A1927" s="523">
        <v>1926</v>
      </c>
      <c r="B1927" s="523" t="s">
        <v>4532</v>
      </c>
      <c r="C1927" s="523" t="s">
        <v>1490</v>
      </c>
      <c r="D1927" s="523" t="s">
        <v>4530</v>
      </c>
      <c r="E1927" s="523" t="s">
        <v>4531</v>
      </c>
      <c r="F1927" s="523" t="s">
        <v>45</v>
      </c>
    </row>
    <row r="1928">
      <c r="A1928" s="523">
        <v>1927</v>
      </c>
      <c r="B1928" s="523" t="s">
        <v>4533</v>
      </c>
      <c r="C1928" s="523" t="s">
        <v>1492</v>
      </c>
      <c r="D1928" s="523" t="s">
        <v>4530</v>
      </c>
      <c r="E1928" s="523" t="s">
        <v>4531</v>
      </c>
      <c r="F1928" s="523" t="s">
        <v>45</v>
      </c>
    </row>
    <row r="1929">
      <c r="A1929" s="523">
        <v>1928</v>
      </c>
      <c r="B1929" s="523" t="s">
        <v>4534</v>
      </c>
      <c r="C1929" s="523" t="s">
        <v>2039</v>
      </c>
      <c r="D1929" s="523" t="s">
        <v>4530</v>
      </c>
      <c r="E1929" s="523" t="s">
        <v>4531</v>
      </c>
      <c r="F1929" s="523" t="s">
        <v>45</v>
      </c>
    </row>
    <row r="1930">
      <c r="A1930" s="523">
        <v>1929</v>
      </c>
      <c r="B1930" s="523" t="s">
        <v>4535</v>
      </c>
      <c r="C1930" s="523" t="s">
        <v>1494</v>
      </c>
      <c r="D1930" s="523" t="s">
        <v>4530</v>
      </c>
      <c r="E1930" s="523" t="s">
        <v>4531</v>
      </c>
      <c r="F1930" s="523" t="s">
        <v>45</v>
      </c>
    </row>
    <row r="1931">
      <c r="A1931" s="523">
        <v>1930</v>
      </c>
      <c r="B1931" s="523" t="s">
        <v>4536</v>
      </c>
      <c r="C1931" s="523" t="s">
        <v>2042</v>
      </c>
      <c r="D1931" s="523" t="s">
        <v>4530</v>
      </c>
      <c r="E1931" s="523" t="s">
        <v>4531</v>
      </c>
      <c r="F1931" s="523" t="s">
        <v>45</v>
      </c>
    </row>
    <row r="1932">
      <c r="A1932" s="523">
        <v>1931</v>
      </c>
      <c r="B1932" s="523" t="s">
        <v>4537</v>
      </c>
      <c r="C1932" s="523" t="s">
        <v>1496</v>
      </c>
      <c r="D1932" s="523" t="s">
        <v>4530</v>
      </c>
      <c r="E1932" s="523" t="s">
        <v>4531</v>
      </c>
      <c r="F1932" s="523" t="s">
        <v>45</v>
      </c>
    </row>
    <row r="1933">
      <c r="A1933" s="523">
        <v>1932</v>
      </c>
      <c r="B1933" s="523" t="s">
        <v>4538</v>
      </c>
      <c r="C1933" s="523" t="s">
        <v>4539</v>
      </c>
      <c r="D1933" s="523" t="s">
        <v>4530</v>
      </c>
      <c r="E1933" s="523" t="s">
        <v>4531</v>
      </c>
      <c r="F1933" s="523" t="s">
        <v>45</v>
      </c>
    </row>
    <row r="1934">
      <c r="A1934" s="523">
        <v>1933</v>
      </c>
      <c r="B1934" s="523" t="s">
        <v>4540</v>
      </c>
      <c r="C1934" s="523" t="s">
        <v>4541</v>
      </c>
      <c r="D1934" s="523" t="s">
        <v>4530</v>
      </c>
      <c r="E1934" s="523" t="s">
        <v>4531</v>
      </c>
      <c r="F1934" s="523" t="s">
        <v>45</v>
      </c>
    </row>
    <row r="1935">
      <c r="A1935" s="523">
        <v>1934</v>
      </c>
      <c r="B1935" s="523" t="s">
        <v>4542</v>
      </c>
      <c r="C1935" s="523" t="s">
        <v>4543</v>
      </c>
      <c r="D1935" s="523" t="s">
        <v>4530</v>
      </c>
      <c r="E1935" s="523" t="s">
        <v>4531</v>
      </c>
      <c r="F1935" s="523" t="s">
        <v>45</v>
      </c>
    </row>
    <row r="1936">
      <c r="A1936" s="523">
        <v>1935</v>
      </c>
      <c r="B1936" s="523" t="s">
        <v>4544</v>
      </c>
      <c r="C1936" s="523" t="s">
        <v>4545</v>
      </c>
      <c r="D1936" s="523" t="s">
        <v>4530</v>
      </c>
      <c r="E1936" s="523" t="s">
        <v>4531</v>
      </c>
      <c r="F1936" s="523" t="s">
        <v>45</v>
      </c>
    </row>
    <row r="1937">
      <c r="A1937" s="523">
        <v>1936</v>
      </c>
      <c r="B1937" s="523" t="s">
        <v>4546</v>
      </c>
      <c r="C1937" s="523" t="s">
        <v>4547</v>
      </c>
      <c r="D1937" s="523" t="s">
        <v>4530</v>
      </c>
      <c r="E1937" s="523" t="s">
        <v>4531</v>
      </c>
      <c r="F1937" s="523" t="s">
        <v>45</v>
      </c>
    </row>
    <row r="1938">
      <c r="A1938" s="523">
        <v>1937</v>
      </c>
      <c r="B1938" s="523" t="s">
        <v>4548</v>
      </c>
      <c r="C1938" s="523" t="s">
        <v>4549</v>
      </c>
      <c r="D1938" s="523" t="s">
        <v>4530</v>
      </c>
      <c r="E1938" s="523" t="s">
        <v>4531</v>
      </c>
      <c r="F1938" s="523" t="s">
        <v>45</v>
      </c>
    </row>
    <row r="1939">
      <c r="A1939" s="523">
        <v>1938</v>
      </c>
      <c r="B1939" s="523" t="s">
        <v>4550</v>
      </c>
      <c r="C1939" s="523" t="s">
        <v>4551</v>
      </c>
      <c r="D1939" s="523" t="s">
        <v>4530</v>
      </c>
      <c r="E1939" s="523" t="s">
        <v>4531</v>
      </c>
      <c r="F1939" s="523" t="s">
        <v>45</v>
      </c>
    </row>
    <row r="1940">
      <c r="A1940" s="523">
        <v>1939</v>
      </c>
      <c r="B1940" s="523" t="s">
        <v>4552</v>
      </c>
      <c r="C1940" s="523" t="s">
        <v>1486</v>
      </c>
      <c r="D1940" s="523" t="s">
        <v>4553</v>
      </c>
      <c r="E1940" s="523" t="s">
        <v>4554</v>
      </c>
      <c r="F1940" s="523" t="s">
        <v>45</v>
      </c>
    </row>
    <row r="1941">
      <c r="A1941" s="523">
        <v>1940</v>
      </c>
      <c r="B1941" s="523" t="s">
        <v>4555</v>
      </c>
      <c r="C1941" s="523" t="s">
        <v>1490</v>
      </c>
      <c r="D1941" s="523" t="s">
        <v>4553</v>
      </c>
      <c r="E1941" s="523" t="s">
        <v>4554</v>
      </c>
      <c r="F1941" s="523" t="s">
        <v>45</v>
      </c>
    </row>
    <row r="1942">
      <c r="A1942" s="523">
        <v>1941</v>
      </c>
      <c r="B1942" s="523" t="s">
        <v>4556</v>
      </c>
      <c r="C1942" s="523" t="s">
        <v>1492</v>
      </c>
      <c r="D1942" s="523" t="s">
        <v>4553</v>
      </c>
      <c r="E1942" s="523" t="s">
        <v>4554</v>
      </c>
      <c r="F1942" s="523" t="s">
        <v>45</v>
      </c>
    </row>
    <row r="1943">
      <c r="A1943" s="523">
        <v>1942</v>
      </c>
      <c r="B1943" s="523" t="s">
        <v>4557</v>
      </c>
      <c r="C1943" s="523" t="s">
        <v>4558</v>
      </c>
      <c r="D1943" s="523" t="s">
        <v>4553</v>
      </c>
      <c r="E1943" s="523" t="s">
        <v>4554</v>
      </c>
      <c r="F1943" s="523" t="s">
        <v>45</v>
      </c>
    </row>
    <row r="1944">
      <c r="A1944" s="523">
        <v>1943</v>
      </c>
      <c r="B1944" s="523" t="s">
        <v>4559</v>
      </c>
      <c r="C1944" s="523" t="s">
        <v>1671</v>
      </c>
      <c r="D1944" s="523" t="s">
        <v>4553</v>
      </c>
      <c r="E1944" s="523" t="s">
        <v>4554</v>
      </c>
      <c r="F1944" s="523" t="s">
        <v>45</v>
      </c>
    </row>
    <row r="1945">
      <c r="A1945" s="523">
        <v>1944</v>
      </c>
      <c r="B1945" s="523" t="s">
        <v>4560</v>
      </c>
      <c r="C1945" s="523" t="s">
        <v>4022</v>
      </c>
      <c r="D1945" s="523" t="s">
        <v>4553</v>
      </c>
      <c r="E1945" s="523" t="s">
        <v>4554</v>
      </c>
      <c r="F1945" s="523" t="s">
        <v>45</v>
      </c>
    </row>
    <row r="1946">
      <c r="A1946" s="523">
        <v>1945</v>
      </c>
      <c r="B1946" s="523" t="s">
        <v>4561</v>
      </c>
      <c r="C1946" s="523" t="s">
        <v>1819</v>
      </c>
      <c r="D1946" s="523" t="s">
        <v>4553</v>
      </c>
      <c r="E1946" s="523" t="s">
        <v>4554</v>
      </c>
      <c r="F1946" s="523" t="s">
        <v>45</v>
      </c>
    </row>
    <row r="1947">
      <c r="A1947" s="523">
        <v>1946</v>
      </c>
      <c r="B1947" s="523" t="s">
        <v>4562</v>
      </c>
      <c r="C1947" s="523" t="s">
        <v>4563</v>
      </c>
      <c r="D1947" s="523" t="s">
        <v>4553</v>
      </c>
      <c r="E1947" s="523" t="s">
        <v>4554</v>
      </c>
      <c r="F1947" s="523" t="s">
        <v>45</v>
      </c>
    </row>
    <row r="1948">
      <c r="A1948" s="523">
        <v>1947</v>
      </c>
      <c r="B1948" s="523" t="s">
        <v>4564</v>
      </c>
      <c r="C1948" s="523" t="s">
        <v>4565</v>
      </c>
      <c r="D1948" s="523" t="s">
        <v>4566</v>
      </c>
      <c r="E1948" s="523" t="s">
        <v>4567</v>
      </c>
      <c r="F1948" s="523" t="s">
        <v>48</v>
      </c>
    </row>
    <row r="1949">
      <c r="A1949" s="523">
        <v>1948</v>
      </c>
      <c r="B1949" s="523" t="s">
        <v>4568</v>
      </c>
      <c r="C1949" s="523" t="s">
        <v>4569</v>
      </c>
      <c r="D1949" s="523" t="s">
        <v>4566</v>
      </c>
      <c r="E1949" s="523" t="s">
        <v>4567</v>
      </c>
      <c r="F1949" s="523" t="s">
        <v>48</v>
      </c>
    </row>
    <row r="1950">
      <c r="A1950" s="523">
        <v>1949</v>
      </c>
      <c r="B1950" s="523" t="s">
        <v>4570</v>
      </c>
      <c r="C1950" s="523" t="s">
        <v>1639</v>
      </c>
      <c r="D1950" s="523" t="s">
        <v>4566</v>
      </c>
      <c r="E1950" s="523" t="s">
        <v>4567</v>
      </c>
      <c r="F1950" s="523" t="s">
        <v>48</v>
      </c>
    </row>
    <row r="1951">
      <c r="A1951" s="523">
        <v>1950</v>
      </c>
      <c r="B1951" s="523" t="s">
        <v>4571</v>
      </c>
      <c r="C1951" s="523" t="s">
        <v>4572</v>
      </c>
      <c r="D1951" s="523" t="s">
        <v>4566</v>
      </c>
      <c r="E1951" s="523" t="s">
        <v>4567</v>
      </c>
      <c r="F1951" s="523" t="s">
        <v>48</v>
      </c>
    </row>
    <row r="1952">
      <c r="A1952" s="523">
        <v>1951</v>
      </c>
      <c r="B1952" s="523" t="s">
        <v>4573</v>
      </c>
      <c r="C1952" s="523" t="s">
        <v>4574</v>
      </c>
      <c r="D1952" s="523" t="s">
        <v>4566</v>
      </c>
      <c r="E1952" s="523" t="s">
        <v>4567</v>
      </c>
      <c r="F1952" s="523" t="s">
        <v>48</v>
      </c>
    </row>
    <row r="1953">
      <c r="A1953" s="523">
        <v>1952</v>
      </c>
      <c r="B1953" s="523" t="s">
        <v>4575</v>
      </c>
      <c r="C1953" s="523" t="s">
        <v>4576</v>
      </c>
      <c r="D1953" s="523" t="s">
        <v>4566</v>
      </c>
      <c r="E1953" s="523" t="s">
        <v>4567</v>
      </c>
      <c r="F1953" s="523" t="s">
        <v>48</v>
      </c>
    </row>
    <row r="1954">
      <c r="A1954" s="523">
        <v>1953</v>
      </c>
      <c r="B1954" s="523" t="s">
        <v>4577</v>
      </c>
      <c r="C1954" s="523" t="s">
        <v>4578</v>
      </c>
      <c r="D1954" s="523" t="s">
        <v>4566</v>
      </c>
      <c r="E1954" s="523" t="s">
        <v>4567</v>
      </c>
      <c r="F1954" s="523" t="s">
        <v>48</v>
      </c>
    </row>
    <row r="1955">
      <c r="A1955" s="523">
        <v>1954</v>
      </c>
      <c r="B1955" s="523" t="s">
        <v>4579</v>
      </c>
      <c r="C1955" s="523" t="s">
        <v>4580</v>
      </c>
      <c r="D1955" s="523" t="s">
        <v>4566</v>
      </c>
      <c r="E1955" s="523" t="s">
        <v>4567</v>
      </c>
      <c r="F1955" s="523" t="s">
        <v>48</v>
      </c>
    </row>
    <row r="1956">
      <c r="A1956" s="523">
        <v>1955</v>
      </c>
      <c r="B1956" s="523" t="s">
        <v>4581</v>
      </c>
      <c r="C1956" s="523" t="s">
        <v>1649</v>
      </c>
      <c r="D1956" s="523" t="s">
        <v>4566</v>
      </c>
      <c r="E1956" s="523" t="s">
        <v>4567</v>
      </c>
      <c r="F1956" s="523" t="s">
        <v>48</v>
      </c>
    </row>
    <row r="1957">
      <c r="A1957" s="523">
        <v>1956</v>
      </c>
      <c r="B1957" s="523" t="s">
        <v>4582</v>
      </c>
      <c r="C1957" s="523" t="s">
        <v>4583</v>
      </c>
      <c r="D1957" s="523" t="s">
        <v>4566</v>
      </c>
      <c r="E1957" s="523" t="s">
        <v>4567</v>
      </c>
      <c r="F1957" s="523" t="s">
        <v>48</v>
      </c>
    </row>
    <row r="1958">
      <c r="A1958" s="523">
        <v>1957</v>
      </c>
      <c r="B1958" s="523" t="s">
        <v>4584</v>
      </c>
      <c r="C1958" s="523" t="s">
        <v>4585</v>
      </c>
      <c r="D1958" s="523" t="s">
        <v>4566</v>
      </c>
      <c r="E1958" s="523" t="s">
        <v>4567</v>
      </c>
      <c r="F1958" s="523" t="s">
        <v>48</v>
      </c>
    </row>
    <row r="1959">
      <c r="A1959" s="523">
        <v>1958</v>
      </c>
      <c r="B1959" s="523" t="s">
        <v>4586</v>
      </c>
      <c r="C1959" s="523" t="s">
        <v>4587</v>
      </c>
      <c r="D1959" s="523" t="s">
        <v>4566</v>
      </c>
      <c r="E1959" s="523" t="s">
        <v>4567</v>
      </c>
      <c r="F1959" s="523" t="s">
        <v>48</v>
      </c>
    </row>
    <row r="1960">
      <c r="A1960" s="523">
        <v>1959</v>
      </c>
      <c r="B1960" s="523" t="s">
        <v>4588</v>
      </c>
      <c r="C1960" s="523" t="s">
        <v>4589</v>
      </c>
      <c r="D1960" s="523" t="s">
        <v>4566</v>
      </c>
      <c r="E1960" s="523" t="s">
        <v>4567</v>
      </c>
      <c r="F1960" s="523" t="s">
        <v>48</v>
      </c>
    </row>
    <row r="1961">
      <c r="A1961" s="523">
        <v>1960</v>
      </c>
      <c r="B1961" s="523" t="s">
        <v>4590</v>
      </c>
      <c r="C1961" s="523" t="s">
        <v>4591</v>
      </c>
      <c r="D1961" s="523" t="s">
        <v>4566</v>
      </c>
      <c r="E1961" s="523" t="s">
        <v>4567</v>
      </c>
      <c r="F1961" s="523" t="s">
        <v>48</v>
      </c>
    </row>
    <row r="1962">
      <c r="A1962" s="523">
        <v>1961</v>
      </c>
      <c r="B1962" s="523" t="s">
        <v>4592</v>
      </c>
      <c r="C1962" s="523" t="s">
        <v>4593</v>
      </c>
      <c r="D1962" s="523" t="s">
        <v>4594</v>
      </c>
      <c r="E1962" s="523" t="s">
        <v>4595</v>
      </c>
      <c r="F1962" s="523" t="s">
        <v>48</v>
      </c>
    </row>
    <row r="1963">
      <c r="A1963" s="523">
        <v>1962</v>
      </c>
      <c r="B1963" s="523" t="s">
        <v>4596</v>
      </c>
      <c r="C1963" s="523" t="s">
        <v>4597</v>
      </c>
      <c r="D1963" s="523" t="s">
        <v>4594</v>
      </c>
      <c r="E1963" s="523" t="s">
        <v>4595</v>
      </c>
      <c r="F1963" s="523" t="s">
        <v>48</v>
      </c>
    </row>
    <row r="1964">
      <c r="A1964" s="523">
        <v>1963</v>
      </c>
      <c r="B1964" s="523" t="s">
        <v>4598</v>
      </c>
      <c r="C1964" s="523" t="s">
        <v>4063</v>
      </c>
      <c r="D1964" s="523" t="s">
        <v>4594</v>
      </c>
      <c r="E1964" s="523" t="s">
        <v>4595</v>
      </c>
      <c r="F1964" s="523" t="s">
        <v>48</v>
      </c>
    </row>
    <row r="1965">
      <c r="A1965" s="523">
        <v>1964</v>
      </c>
      <c r="B1965" s="523" t="s">
        <v>4599</v>
      </c>
      <c r="C1965" s="523" t="s">
        <v>4600</v>
      </c>
      <c r="D1965" s="523" t="s">
        <v>4594</v>
      </c>
      <c r="E1965" s="523" t="s">
        <v>4595</v>
      </c>
      <c r="F1965" s="523" t="s">
        <v>48</v>
      </c>
    </row>
    <row r="1966">
      <c r="A1966" s="523">
        <v>1965</v>
      </c>
      <c r="B1966" s="523" t="s">
        <v>4601</v>
      </c>
      <c r="C1966" s="523" t="s">
        <v>4602</v>
      </c>
      <c r="D1966" s="523" t="s">
        <v>4594</v>
      </c>
      <c r="E1966" s="523" t="s">
        <v>4595</v>
      </c>
      <c r="F1966" s="523" t="s">
        <v>48</v>
      </c>
    </row>
    <row r="1967">
      <c r="A1967" s="523">
        <v>1966</v>
      </c>
      <c r="B1967" s="523" t="s">
        <v>4603</v>
      </c>
      <c r="C1967" s="523" t="s">
        <v>4604</v>
      </c>
      <c r="D1967" s="523" t="s">
        <v>4594</v>
      </c>
      <c r="E1967" s="523" t="s">
        <v>4595</v>
      </c>
      <c r="F1967" s="523" t="s">
        <v>48</v>
      </c>
    </row>
    <row r="1968">
      <c r="A1968" s="523">
        <v>1967</v>
      </c>
      <c r="B1968" s="523" t="s">
        <v>4605</v>
      </c>
      <c r="C1968" s="523" t="s">
        <v>4606</v>
      </c>
      <c r="D1968" s="523" t="s">
        <v>4594</v>
      </c>
      <c r="E1968" s="523" t="s">
        <v>4595</v>
      </c>
      <c r="F1968" s="523" t="s">
        <v>48</v>
      </c>
    </row>
    <row r="1969">
      <c r="A1969" s="523">
        <v>1968</v>
      </c>
      <c r="B1969" s="523" t="s">
        <v>4607</v>
      </c>
      <c r="C1969" s="523" t="s">
        <v>4608</v>
      </c>
      <c r="D1969" s="523" t="s">
        <v>4594</v>
      </c>
      <c r="E1969" s="523" t="s">
        <v>4595</v>
      </c>
      <c r="F1969" s="523" t="s">
        <v>48</v>
      </c>
    </row>
    <row r="1970">
      <c r="A1970" s="523">
        <v>1969</v>
      </c>
      <c r="B1970" s="523" t="s">
        <v>4609</v>
      </c>
      <c r="C1970" s="523" t="s">
        <v>4610</v>
      </c>
      <c r="D1970" s="523" t="s">
        <v>4594</v>
      </c>
      <c r="E1970" s="523" t="s">
        <v>4595</v>
      </c>
      <c r="F1970" s="523" t="s">
        <v>48</v>
      </c>
    </row>
    <row r="1971">
      <c r="A1971" s="523">
        <v>1970</v>
      </c>
      <c r="B1971" s="523" t="s">
        <v>4611</v>
      </c>
      <c r="C1971" s="523" t="s">
        <v>4612</v>
      </c>
      <c r="D1971" s="523" t="s">
        <v>4594</v>
      </c>
      <c r="E1971" s="523" t="s">
        <v>4595</v>
      </c>
      <c r="F1971" s="523" t="s">
        <v>48</v>
      </c>
    </row>
    <row r="1972">
      <c r="A1972" s="523">
        <v>1971</v>
      </c>
      <c r="B1972" s="523" t="s">
        <v>4613</v>
      </c>
      <c r="C1972" s="523" t="s">
        <v>4614</v>
      </c>
      <c r="D1972" s="523" t="s">
        <v>4594</v>
      </c>
      <c r="E1972" s="523" t="s">
        <v>4595</v>
      </c>
      <c r="F1972" s="523" t="s">
        <v>48</v>
      </c>
    </row>
    <row r="1973">
      <c r="A1973" s="523">
        <v>1972</v>
      </c>
      <c r="B1973" s="523" t="s">
        <v>4615</v>
      </c>
      <c r="C1973" s="523" t="s">
        <v>4616</v>
      </c>
      <c r="D1973" s="523" t="s">
        <v>4617</v>
      </c>
      <c r="E1973" s="523" t="s">
        <v>4618</v>
      </c>
      <c r="F1973" s="523" t="s">
        <v>48</v>
      </c>
    </row>
    <row r="1974">
      <c r="A1974" s="523">
        <v>1973</v>
      </c>
      <c r="B1974" s="523" t="s">
        <v>4619</v>
      </c>
      <c r="C1974" s="523" t="s">
        <v>1774</v>
      </c>
      <c r="D1974" s="523" t="s">
        <v>4617</v>
      </c>
      <c r="E1974" s="523" t="s">
        <v>4618</v>
      </c>
      <c r="F1974" s="523" t="s">
        <v>48</v>
      </c>
    </row>
    <row r="1975">
      <c r="A1975" s="523">
        <v>1974</v>
      </c>
      <c r="B1975" s="523" t="s">
        <v>4620</v>
      </c>
      <c r="C1975" s="523" t="s">
        <v>4621</v>
      </c>
      <c r="D1975" s="523" t="s">
        <v>4617</v>
      </c>
      <c r="E1975" s="523" t="s">
        <v>4618</v>
      </c>
      <c r="F1975" s="523" t="s">
        <v>48</v>
      </c>
    </row>
    <row r="1976">
      <c r="A1976" s="523">
        <v>1975</v>
      </c>
      <c r="B1976" s="523" t="s">
        <v>4622</v>
      </c>
      <c r="C1976" s="523" t="s">
        <v>4623</v>
      </c>
      <c r="D1976" s="523" t="s">
        <v>4617</v>
      </c>
      <c r="E1976" s="523" t="s">
        <v>4618</v>
      </c>
      <c r="F1976" s="523" t="s">
        <v>48</v>
      </c>
    </row>
    <row r="1977">
      <c r="A1977" s="523">
        <v>1976</v>
      </c>
      <c r="B1977" s="523" t="s">
        <v>4624</v>
      </c>
      <c r="C1977" s="523" t="s">
        <v>4625</v>
      </c>
      <c r="D1977" s="523" t="s">
        <v>4617</v>
      </c>
      <c r="E1977" s="523" t="s">
        <v>4618</v>
      </c>
      <c r="F1977" s="523" t="s">
        <v>48</v>
      </c>
    </row>
    <row r="1978">
      <c r="A1978" s="523">
        <v>1977</v>
      </c>
      <c r="B1978" s="523" t="s">
        <v>4626</v>
      </c>
      <c r="C1978" s="523" t="s">
        <v>4627</v>
      </c>
      <c r="D1978" s="523" t="s">
        <v>4617</v>
      </c>
      <c r="E1978" s="523" t="s">
        <v>4618</v>
      </c>
      <c r="F1978" s="523" t="s">
        <v>48</v>
      </c>
    </row>
    <row r="1979">
      <c r="A1979" s="523">
        <v>1978</v>
      </c>
      <c r="B1979" s="523" t="s">
        <v>4628</v>
      </c>
      <c r="C1979" s="523" t="s">
        <v>4629</v>
      </c>
      <c r="D1979" s="523" t="s">
        <v>4617</v>
      </c>
      <c r="E1979" s="523" t="s">
        <v>4618</v>
      </c>
      <c r="F1979" s="523" t="s">
        <v>48</v>
      </c>
    </row>
    <row r="1980">
      <c r="A1980" s="523">
        <v>1979</v>
      </c>
      <c r="B1980" s="523" t="s">
        <v>4630</v>
      </c>
      <c r="C1980" s="523" t="s">
        <v>4631</v>
      </c>
      <c r="D1980" s="523" t="s">
        <v>4617</v>
      </c>
      <c r="E1980" s="523" t="s">
        <v>4618</v>
      </c>
      <c r="F1980" s="523" t="s">
        <v>48</v>
      </c>
    </row>
    <row r="1981">
      <c r="A1981" s="523">
        <v>1980</v>
      </c>
      <c r="B1981" s="523" t="s">
        <v>4632</v>
      </c>
      <c r="C1981" s="523" t="s">
        <v>4633</v>
      </c>
      <c r="D1981" s="523" t="s">
        <v>4617</v>
      </c>
      <c r="E1981" s="523" t="s">
        <v>4618</v>
      </c>
      <c r="F1981" s="523" t="s">
        <v>48</v>
      </c>
    </row>
    <row r="1982">
      <c r="A1982" s="523">
        <v>1981</v>
      </c>
      <c r="B1982" s="523" t="s">
        <v>4634</v>
      </c>
      <c r="C1982" s="523" t="s">
        <v>4635</v>
      </c>
      <c r="D1982" s="523" t="s">
        <v>4617</v>
      </c>
      <c r="E1982" s="523" t="s">
        <v>4618</v>
      </c>
      <c r="F1982" s="523" t="s">
        <v>48</v>
      </c>
    </row>
    <row r="1983">
      <c r="A1983" s="523">
        <v>1982</v>
      </c>
      <c r="B1983" s="523" t="s">
        <v>4636</v>
      </c>
      <c r="C1983" s="523" t="s">
        <v>4637</v>
      </c>
      <c r="D1983" s="523" t="s">
        <v>4617</v>
      </c>
      <c r="E1983" s="523" t="s">
        <v>4618</v>
      </c>
      <c r="F1983" s="523" t="s">
        <v>48</v>
      </c>
    </row>
    <row r="1984">
      <c r="A1984" s="523">
        <v>1983</v>
      </c>
      <c r="B1984" s="523" t="s">
        <v>4638</v>
      </c>
      <c r="C1984" s="523" t="s">
        <v>4639</v>
      </c>
      <c r="D1984" s="523" t="s">
        <v>4617</v>
      </c>
      <c r="E1984" s="523" t="s">
        <v>4618</v>
      </c>
      <c r="F1984" s="523" t="s">
        <v>48</v>
      </c>
    </row>
    <row r="1985">
      <c r="A1985" s="523">
        <v>1984</v>
      </c>
      <c r="B1985" s="523" t="s">
        <v>4640</v>
      </c>
      <c r="C1985" s="523" t="s">
        <v>4641</v>
      </c>
      <c r="D1985" s="523" t="s">
        <v>4617</v>
      </c>
      <c r="E1985" s="523" t="s">
        <v>4618</v>
      </c>
      <c r="F1985" s="523" t="s">
        <v>48</v>
      </c>
    </row>
    <row r="1986">
      <c r="A1986" s="523">
        <v>1985</v>
      </c>
      <c r="B1986" s="523" t="s">
        <v>4642</v>
      </c>
      <c r="C1986" s="523" t="s">
        <v>4643</v>
      </c>
      <c r="D1986" s="523" t="s">
        <v>4617</v>
      </c>
      <c r="E1986" s="523" t="s">
        <v>4618</v>
      </c>
      <c r="F1986" s="523" t="s">
        <v>48</v>
      </c>
    </row>
    <row r="1987">
      <c r="A1987" s="523">
        <v>1986</v>
      </c>
      <c r="B1987" s="523" t="s">
        <v>4644</v>
      </c>
      <c r="C1987" s="523" t="s">
        <v>3051</v>
      </c>
      <c r="D1987" s="523" t="s">
        <v>4617</v>
      </c>
      <c r="E1987" s="523" t="s">
        <v>4618</v>
      </c>
      <c r="F1987" s="523" t="s">
        <v>48</v>
      </c>
    </row>
    <row r="1988">
      <c r="A1988" s="523">
        <v>1987</v>
      </c>
      <c r="B1988" s="523" t="s">
        <v>4645</v>
      </c>
      <c r="C1988" s="523" t="s">
        <v>4646</v>
      </c>
      <c r="D1988" s="523" t="s">
        <v>4617</v>
      </c>
      <c r="E1988" s="523" t="s">
        <v>4618</v>
      </c>
      <c r="F1988" s="523" t="s">
        <v>48</v>
      </c>
    </row>
    <row r="1989">
      <c r="A1989" s="523">
        <v>1988</v>
      </c>
      <c r="B1989" s="523" t="s">
        <v>4647</v>
      </c>
      <c r="C1989" s="523" t="s">
        <v>4648</v>
      </c>
      <c r="D1989" s="523" t="s">
        <v>4617</v>
      </c>
      <c r="E1989" s="523" t="s">
        <v>4618</v>
      </c>
      <c r="F1989" s="523" t="s">
        <v>48</v>
      </c>
    </row>
    <row r="1990">
      <c r="A1990" s="523">
        <v>1989</v>
      </c>
      <c r="B1990" s="523" t="s">
        <v>4649</v>
      </c>
      <c r="C1990" s="523" t="s">
        <v>4650</v>
      </c>
      <c r="D1990" s="523" t="s">
        <v>4617</v>
      </c>
      <c r="E1990" s="523" t="s">
        <v>4618</v>
      </c>
      <c r="F1990" s="523" t="s">
        <v>48</v>
      </c>
    </row>
    <row r="1991">
      <c r="A1991" s="523">
        <v>1990</v>
      </c>
      <c r="B1991" s="523" t="s">
        <v>4651</v>
      </c>
      <c r="C1991" s="523" t="s">
        <v>4652</v>
      </c>
      <c r="D1991" s="523" t="s">
        <v>4617</v>
      </c>
      <c r="E1991" s="523" t="s">
        <v>4618</v>
      </c>
      <c r="F1991" s="523" t="s">
        <v>48</v>
      </c>
    </row>
    <row r="1992">
      <c r="A1992" s="523">
        <v>1991</v>
      </c>
      <c r="B1992" s="523" t="s">
        <v>4653</v>
      </c>
      <c r="C1992" s="523" t="s">
        <v>4654</v>
      </c>
      <c r="D1992" s="523" t="s">
        <v>4655</v>
      </c>
      <c r="E1992" s="523" t="s">
        <v>4656</v>
      </c>
      <c r="F1992" s="523" t="s">
        <v>48</v>
      </c>
    </row>
    <row r="1993">
      <c r="A1993" s="523">
        <v>1992</v>
      </c>
      <c r="B1993" s="523" t="s">
        <v>4657</v>
      </c>
      <c r="C1993" s="523" t="s">
        <v>4658</v>
      </c>
      <c r="D1993" s="523" t="s">
        <v>4655</v>
      </c>
      <c r="E1993" s="523" t="s">
        <v>4656</v>
      </c>
      <c r="F1993" s="523" t="s">
        <v>48</v>
      </c>
    </row>
    <row r="1994">
      <c r="A1994" s="523">
        <v>1993</v>
      </c>
      <c r="B1994" s="523" t="s">
        <v>4659</v>
      </c>
      <c r="C1994" s="523" t="s">
        <v>4660</v>
      </c>
      <c r="D1994" s="523" t="s">
        <v>4655</v>
      </c>
      <c r="E1994" s="523" t="s">
        <v>4656</v>
      </c>
      <c r="F1994" s="523" t="s">
        <v>48</v>
      </c>
    </row>
    <row r="1995">
      <c r="A1995" s="523">
        <v>1994</v>
      </c>
      <c r="B1995" s="523" t="s">
        <v>4661</v>
      </c>
      <c r="C1995" s="523" t="s">
        <v>4662</v>
      </c>
      <c r="D1995" s="523" t="s">
        <v>4655</v>
      </c>
      <c r="E1995" s="523" t="s">
        <v>4656</v>
      </c>
      <c r="F1995" s="523" t="s">
        <v>48</v>
      </c>
    </row>
    <row r="1996">
      <c r="A1996" s="523">
        <v>1995</v>
      </c>
      <c r="B1996" s="523" t="s">
        <v>4663</v>
      </c>
      <c r="C1996" s="523" t="s">
        <v>4664</v>
      </c>
      <c r="D1996" s="523" t="s">
        <v>4655</v>
      </c>
      <c r="E1996" s="523" t="s">
        <v>4656</v>
      </c>
      <c r="F1996" s="523" t="s">
        <v>48</v>
      </c>
    </row>
    <row r="1997">
      <c r="A1997" s="523">
        <v>1996</v>
      </c>
      <c r="B1997" s="523" t="s">
        <v>4665</v>
      </c>
      <c r="C1997" s="523" t="s">
        <v>4666</v>
      </c>
      <c r="D1997" s="523" t="s">
        <v>4655</v>
      </c>
      <c r="E1997" s="523" t="s">
        <v>4656</v>
      </c>
      <c r="F1997" s="523" t="s">
        <v>48</v>
      </c>
    </row>
    <row r="1998">
      <c r="A1998" s="523">
        <v>1997</v>
      </c>
      <c r="B1998" s="523" t="s">
        <v>4667</v>
      </c>
      <c r="C1998" s="523" t="s">
        <v>4668</v>
      </c>
      <c r="D1998" s="523" t="s">
        <v>4669</v>
      </c>
      <c r="E1998" s="523" t="s">
        <v>4670</v>
      </c>
      <c r="F1998" s="523" t="s">
        <v>48</v>
      </c>
    </row>
    <row r="1999">
      <c r="A1999" s="523">
        <v>1998</v>
      </c>
      <c r="B1999" s="523" t="s">
        <v>4671</v>
      </c>
      <c r="C1999" s="523" t="s">
        <v>4672</v>
      </c>
      <c r="D1999" s="523" t="s">
        <v>4669</v>
      </c>
      <c r="E1999" s="523" t="s">
        <v>4670</v>
      </c>
      <c r="F1999" s="523" t="s">
        <v>48</v>
      </c>
    </row>
    <row r="2000">
      <c r="A2000" s="523">
        <v>1999</v>
      </c>
      <c r="B2000" s="523" t="s">
        <v>4673</v>
      </c>
      <c r="C2000" s="523" t="s">
        <v>4674</v>
      </c>
      <c r="D2000" s="523" t="s">
        <v>4669</v>
      </c>
      <c r="E2000" s="523" t="s">
        <v>4670</v>
      </c>
      <c r="F2000" s="523" t="s">
        <v>48</v>
      </c>
    </row>
    <row r="2001">
      <c r="A2001" s="523">
        <v>2000</v>
      </c>
      <c r="B2001" s="523" t="s">
        <v>4675</v>
      </c>
      <c r="C2001" s="523" t="s">
        <v>4676</v>
      </c>
      <c r="D2001" s="523" t="s">
        <v>4669</v>
      </c>
      <c r="E2001" s="523" t="s">
        <v>4670</v>
      </c>
      <c r="F2001" s="523" t="s">
        <v>48</v>
      </c>
    </row>
    <row r="2002">
      <c r="A2002" s="523">
        <v>2001</v>
      </c>
      <c r="B2002" s="523" t="s">
        <v>4677</v>
      </c>
      <c r="C2002" s="523" t="s">
        <v>4678</v>
      </c>
      <c r="D2002" s="523" t="s">
        <v>4669</v>
      </c>
      <c r="E2002" s="523" t="s">
        <v>4670</v>
      </c>
      <c r="F2002" s="523" t="s">
        <v>48</v>
      </c>
    </row>
    <row r="2003">
      <c r="A2003" s="523">
        <v>2002</v>
      </c>
      <c r="B2003" s="523" t="s">
        <v>4679</v>
      </c>
      <c r="C2003" s="523" t="s">
        <v>4680</v>
      </c>
      <c r="D2003" s="523" t="s">
        <v>4669</v>
      </c>
      <c r="E2003" s="523" t="s">
        <v>4670</v>
      </c>
      <c r="F2003" s="523" t="s">
        <v>48</v>
      </c>
    </row>
    <row r="2004">
      <c r="A2004" s="523">
        <v>2003</v>
      </c>
      <c r="B2004" s="523" t="s">
        <v>4681</v>
      </c>
      <c r="C2004" s="523" t="s">
        <v>4682</v>
      </c>
      <c r="D2004" s="523" t="s">
        <v>4669</v>
      </c>
      <c r="E2004" s="523" t="s">
        <v>4670</v>
      </c>
      <c r="F2004" s="523" t="s">
        <v>48</v>
      </c>
    </row>
    <row r="2005">
      <c r="A2005" s="523">
        <v>2004</v>
      </c>
      <c r="B2005" s="523" t="s">
        <v>4683</v>
      </c>
      <c r="C2005" s="523" t="s">
        <v>4684</v>
      </c>
      <c r="D2005" s="523" t="s">
        <v>4669</v>
      </c>
      <c r="E2005" s="523" t="s">
        <v>4670</v>
      </c>
      <c r="F2005" s="523" t="s">
        <v>48</v>
      </c>
    </row>
    <row r="2006">
      <c r="A2006" s="523">
        <v>2005</v>
      </c>
      <c r="B2006" s="523" t="s">
        <v>4685</v>
      </c>
      <c r="C2006" s="523" t="s">
        <v>1558</v>
      </c>
      <c r="D2006" s="523" t="s">
        <v>4669</v>
      </c>
      <c r="E2006" s="523" t="s">
        <v>4670</v>
      </c>
      <c r="F2006" s="523" t="s">
        <v>48</v>
      </c>
    </row>
    <row r="2007">
      <c r="A2007" s="523">
        <v>2006</v>
      </c>
      <c r="B2007" s="523" t="s">
        <v>4686</v>
      </c>
      <c r="C2007" s="523" t="s">
        <v>4687</v>
      </c>
      <c r="D2007" s="523" t="s">
        <v>4669</v>
      </c>
      <c r="E2007" s="523" t="s">
        <v>4670</v>
      </c>
      <c r="F2007" s="523" t="s">
        <v>48</v>
      </c>
    </row>
    <row r="2008">
      <c r="A2008" s="523">
        <v>2007</v>
      </c>
      <c r="B2008" s="523" t="s">
        <v>4688</v>
      </c>
      <c r="C2008" s="523" t="s">
        <v>2108</v>
      </c>
      <c r="D2008" s="523" t="s">
        <v>4669</v>
      </c>
      <c r="E2008" s="523" t="s">
        <v>4670</v>
      </c>
      <c r="F2008" s="523" t="s">
        <v>48</v>
      </c>
    </row>
    <row r="2009">
      <c r="A2009" s="523">
        <v>2008</v>
      </c>
      <c r="B2009" s="523" t="s">
        <v>4689</v>
      </c>
      <c r="C2009" s="523" t="s">
        <v>1934</v>
      </c>
      <c r="D2009" s="523" t="s">
        <v>4669</v>
      </c>
      <c r="E2009" s="523" t="s">
        <v>4670</v>
      </c>
      <c r="F2009" s="523" t="s">
        <v>48</v>
      </c>
    </row>
    <row r="2010">
      <c r="A2010" s="523">
        <v>2009</v>
      </c>
      <c r="B2010" s="523" t="s">
        <v>4690</v>
      </c>
      <c r="C2010" s="523" t="s">
        <v>4691</v>
      </c>
      <c r="D2010" s="523" t="s">
        <v>4669</v>
      </c>
      <c r="E2010" s="523" t="s">
        <v>4670</v>
      </c>
      <c r="F2010" s="523" t="s">
        <v>48</v>
      </c>
    </row>
    <row r="2011">
      <c r="A2011" s="523">
        <v>2010</v>
      </c>
      <c r="B2011" s="523" t="s">
        <v>4692</v>
      </c>
      <c r="C2011" s="523" t="s">
        <v>4693</v>
      </c>
      <c r="D2011" s="523" t="s">
        <v>4669</v>
      </c>
      <c r="E2011" s="523" t="s">
        <v>4670</v>
      </c>
      <c r="F2011" s="523" t="s">
        <v>48</v>
      </c>
    </row>
    <row r="2012">
      <c r="A2012" s="523">
        <v>2011</v>
      </c>
      <c r="B2012" s="523" t="s">
        <v>4694</v>
      </c>
      <c r="C2012" s="523" t="s">
        <v>4695</v>
      </c>
      <c r="D2012" s="523" t="s">
        <v>4669</v>
      </c>
      <c r="E2012" s="523" t="s">
        <v>4670</v>
      </c>
      <c r="F2012" s="523" t="s">
        <v>48</v>
      </c>
    </row>
    <row r="2013">
      <c r="A2013" s="523">
        <v>2012</v>
      </c>
      <c r="B2013" s="523" t="s">
        <v>4696</v>
      </c>
      <c r="C2013" s="523" t="s">
        <v>4697</v>
      </c>
      <c r="D2013" s="523" t="s">
        <v>4669</v>
      </c>
      <c r="E2013" s="523" t="s">
        <v>4670</v>
      </c>
      <c r="F2013" s="523" t="s">
        <v>48</v>
      </c>
    </row>
    <row r="2014">
      <c r="A2014" s="523">
        <v>2013</v>
      </c>
      <c r="B2014" s="523" t="s">
        <v>4698</v>
      </c>
      <c r="C2014" s="523" t="s">
        <v>4699</v>
      </c>
      <c r="D2014" s="523" t="s">
        <v>4700</v>
      </c>
      <c r="E2014" s="523" t="s">
        <v>4701</v>
      </c>
      <c r="F2014" s="523" t="s">
        <v>48</v>
      </c>
    </row>
    <row r="2015">
      <c r="A2015" s="523">
        <v>2014</v>
      </c>
      <c r="B2015" s="523" t="s">
        <v>4702</v>
      </c>
      <c r="C2015" s="523" t="s">
        <v>4703</v>
      </c>
      <c r="D2015" s="523" t="s">
        <v>4700</v>
      </c>
      <c r="E2015" s="523" t="s">
        <v>4701</v>
      </c>
      <c r="F2015" s="523" t="s">
        <v>48</v>
      </c>
    </row>
    <row r="2016">
      <c r="A2016" s="523">
        <v>2015</v>
      </c>
      <c r="B2016" s="523" t="s">
        <v>4704</v>
      </c>
      <c r="C2016" s="523" t="s">
        <v>4705</v>
      </c>
      <c r="D2016" s="523" t="s">
        <v>4700</v>
      </c>
      <c r="E2016" s="523" t="s">
        <v>4701</v>
      </c>
      <c r="F2016" s="523" t="s">
        <v>48</v>
      </c>
    </row>
    <row r="2017">
      <c r="A2017" s="523">
        <v>2016</v>
      </c>
      <c r="B2017" s="523" t="s">
        <v>4706</v>
      </c>
      <c r="C2017" s="523" t="s">
        <v>4707</v>
      </c>
      <c r="D2017" s="523" t="s">
        <v>4700</v>
      </c>
      <c r="E2017" s="523" t="s">
        <v>4701</v>
      </c>
      <c r="F2017" s="523" t="s">
        <v>48</v>
      </c>
    </row>
    <row r="2018">
      <c r="A2018" s="523">
        <v>2017</v>
      </c>
      <c r="B2018" s="523" t="s">
        <v>4708</v>
      </c>
      <c r="C2018" s="523" t="s">
        <v>3387</v>
      </c>
      <c r="D2018" s="523" t="s">
        <v>4700</v>
      </c>
      <c r="E2018" s="523" t="s">
        <v>4701</v>
      </c>
      <c r="F2018" s="523" t="s">
        <v>48</v>
      </c>
    </row>
    <row r="2019">
      <c r="A2019" s="523">
        <v>2018</v>
      </c>
      <c r="B2019" s="523" t="s">
        <v>4709</v>
      </c>
      <c r="C2019" s="523" t="s">
        <v>4710</v>
      </c>
      <c r="D2019" s="523" t="s">
        <v>4700</v>
      </c>
      <c r="E2019" s="523" t="s">
        <v>4701</v>
      </c>
      <c r="F2019" s="523" t="s">
        <v>48</v>
      </c>
    </row>
    <row r="2020">
      <c r="A2020" s="523">
        <v>2019</v>
      </c>
      <c r="B2020" s="523" t="s">
        <v>4711</v>
      </c>
      <c r="C2020" s="523" t="s">
        <v>4712</v>
      </c>
      <c r="D2020" s="523" t="s">
        <v>4700</v>
      </c>
      <c r="E2020" s="523" t="s">
        <v>4701</v>
      </c>
      <c r="F2020" s="523" t="s">
        <v>48</v>
      </c>
    </row>
    <row r="2021">
      <c r="A2021" s="523">
        <v>2020</v>
      </c>
      <c r="B2021" s="523" t="s">
        <v>4713</v>
      </c>
      <c r="C2021" s="523" t="s">
        <v>4714</v>
      </c>
      <c r="D2021" s="523" t="s">
        <v>4700</v>
      </c>
      <c r="E2021" s="523" t="s">
        <v>4701</v>
      </c>
      <c r="F2021" s="523" t="s">
        <v>48</v>
      </c>
    </row>
    <row r="2022">
      <c r="A2022" s="523">
        <v>2021</v>
      </c>
      <c r="B2022" s="523" t="s">
        <v>4715</v>
      </c>
      <c r="C2022" s="523" t="s">
        <v>4716</v>
      </c>
      <c r="D2022" s="523" t="s">
        <v>4700</v>
      </c>
      <c r="E2022" s="523" t="s">
        <v>4701</v>
      </c>
      <c r="F2022" s="523" t="s">
        <v>48</v>
      </c>
    </row>
    <row r="2023">
      <c r="A2023" s="523">
        <v>2022</v>
      </c>
      <c r="B2023" s="523" t="s">
        <v>4717</v>
      </c>
      <c r="C2023" s="523" t="s">
        <v>1570</v>
      </c>
      <c r="D2023" s="523" t="s">
        <v>4700</v>
      </c>
      <c r="E2023" s="523" t="s">
        <v>4701</v>
      </c>
      <c r="F2023" s="523" t="s">
        <v>48</v>
      </c>
    </row>
    <row r="2024">
      <c r="A2024" s="523">
        <v>2023</v>
      </c>
      <c r="B2024" s="523" t="s">
        <v>4718</v>
      </c>
      <c r="C2024" s="523" t="s">
        <v>4719</v>
      </c>
      <c r="D2024" s="523" t="s">
        <v>4720</v>
      </c>
      <c r="E2024" s="523" t="s">
        <v>4721</v>
      </c>
      <c r="F2024" s="523" t="s">
        <v>48</v>
      </c>
    </row>
    <row r="2025">
      <c r="A2025" s="523">
        <v>2024</v>
      </c>
      <c r="B2025" s="523" t="s">
        <v>4722</v>
      </c>
      <c r="C2025" s="523" t="s">
        <v>2005</v>
      </c>
      <c r="D2025" s="523" t="s">
        <v>4720</v>
      </c>
      <c r="E2025" s="523" t="s">
        <v>4721</v>
      </c>
      <c r="F2025" s="523" t="s">
        <v>48</v>
      </c>
    </row>
    <row r="2026">
      <c r="A2026" s="523">
        <v>2025</v>
      </c>
      <c r="B2026" s="523" t="s">
        <v>4723</v>
      </c>
      <c r="C2026" s="523" t="s">
        <v>4724</v>
      </c>
      <c r="D2026" s="523" t="s">
        <v>4720</v>
      </c>
      <c r="E2026" s="523" t="s">
        <v>4721</v>
      </c>
      <c r="F2026" s="523" t="s">
        <v>48</v>
      </c>
    </row>
    <row r="2027">
      <c r="A2027" s="523">
        <v>2026</v>
      </c>
      <c r="B2027" s="523" t="s">
        <v>4725</v>
      </c>
      <c r="C2027" s="523" t="s">
        <v>4726</v>
      </c>
      <c r="D2027" s="523" t="s">
        <v>4720</v>
      </c>
      <c r="E2027" s="523" t="s">
        <v>4721</v>
      </c>
      <c r="F2027" s="523" t="s">
        <v>48</v>
      </c>
    </row>
    <row r="2028">
      <c r="A2028" s="523">
        <v>2027</v>
      </c>
      <c r="B2028" s="523" t="s">
        <v>4727</v>
      </c>
      <c r="C2028" s="523" t="s">
        <v>916</v>
      </c>
      <c r="D2028" s="523" t="s">
        <v>4720</v>
      </c>
      <c r="E2028" s="523" t="s">
        <v>4721</v>
      </c>
      <c r="F2028" s="523" t="s">
        <v>48</v>
      </c>
    </row>
    <row r="2029">
      <c r="A2029" s="523">
        <v>2028</v>
      </c>
      <c r="B2029" s="523" t="s">
        <v>4728</v>
      </c>
      <c r="C2029" s="523" t="s">
        <v>4729</v>
      </c>
      <c r="D2029" s="523" t="s">
        <v>4720</v>
      </c>
      <c r="E2029" s="523" t="s">
        <v>4721</v>
      </c>
      <c r="F2029" s="523" t="s">
        <v>48</v>
      </c>
    </row>
    <row r="2030">
      <c r="A2030" s="523">
        <v>2029</v>
      </c>
      <c r="B2030" s="523" t="s">
        <v>4730</v>
      </c>
      <c r="C2030" s="523" t="s">
        <v>4731</v>
      </c>
      <c r="D2030" s="523" t="s">
        <v>4720</v>
      </c>
      <c r="E2030" s="523" t="s">
        <v>4721</v>
      </c>
      <c r="F2030" s="523" t="s">
        <v>48</v>
      </c>
    </row>
    <row r="2031">
      <c r="A2031" s="523">
        <v>2030</v>
      </c>
      <c r="B2031" s="523" t="s">
        <v>4732</v>
      </c>
      <c r="C2031" s="523" t="s">
        <v>4733</v>
      </c>
      <c r="D2031" s="523" t="s">
        <v>4720</v>
      </c>
      <c r="E2031" s="523" t="s">
        <v>4721</v>
      </c>
      <c r="F2031" s="523" t="s">
        <v>48</v>
      </c>
    </row>
    <row r="2032">
      <c r="A2032" s="523">
        <v>2031</v>
      </c>
      <c r="B2032" s="523" t="s">
        <v>4734</v>
      </c>
      <c r="C2032" s="523" t="s">
        <v>4735</v>
      </c>
      <c r="D2032" s="523" t="s">
        <v>4720</v>
      </c>
      <c r="E2032" s="523" t="s">
        <v>4721</v>
      </c>
      <c r="F2032" s="523" t="s">
        <v>48</v>
      </c>
    </row>
    <row r="2033">
      <c r="A2033" s="523">
        <v>2032</v>
      </c>
      <c r="B2033" s="523" t="s">
        <v>4736</v>
      </c>
      <c r="C2033" s="523" t="s">
        <v>4737</v>
      </c>
      <c r="D2033" s="523" t="s">
        <v>4720</v>
      </c>
      <c r="E2033" s="523" t="s">
        <v>4721</v>
      </c>
      <c r="F2033" s="523" t="s">
        <v>48</v>
      </c>
    </row>
    <row r="2034">
      <c r="A2034" s="523">
        <v>2033</v>
      </c>
      <c r="B2034" s="523" t="s">
        <v>4738</v>
      </c>
      <c r="C2034" s="523" t="s">
        <v>4739</v>
      </c>
      <c r="D2034" s="523" t="s">
        <v>4720</v>
      </c>
      <c r="E2034" s="523" t="s">
        <v>4721</v>
      </c>
      <c r="F2034" s="523" t="s">
        <v>48</v>
      </c>
    </row>
    <row r="2035">
      <c r="A2035" s="523">
        <v>2034</v>
      </c>
      <c r="B2035" s="523" t="s">
        <v>4740</v>
      </c>
      <c r="C2035" s="523" t="s">
        <v>4741</v>
      </c>
      <c r="D2035" s="523" t="s">
        <v>4742</v>
      </c>
      <c r="E2035" s="523" t="s">
        <v>4743</v>
      </c>
      <c r="F2035" s="523" t="s">
        <v>48</v>
      </c>
    </row>
    <row r="2036">
      <c r="A2036" s="523">
        <v>2035</v>
      </c>
      <c r="B2036" s="523" t="s">
        <v>4744</v>
      </c>
      <c r="C2036" s="523" t="s">
        <v>4745</v>
      </c>
      <c r="D2036" s="523" t="s">
        <v>4742</v>
      </c>
      <c r="E2036" s="523" t="s">
        <v>4743</v>
      </c>
      <c r="F2036" s="523" t="s">
        <v>48</v>
      </c>
    </row>
    <row r="2037">
      <c r="A2037" s="523">
        <v>2036</v>
      </c>
      <c r="B2037" s="523" t="s">
        <v>4746</v>
      </c>
      <c r="C2037" s="523" t="s">
        <v>4747</v>
      </c>
      <c r="D2037" s="523" t="s">
        <v>4742</v>
      </c>
      <c r="E2037" s="523" t="s">
        <v>4743</v>
      </c>
      <c r="F2037" s="523" t="s">
        <v>48</v>
      </c>
    </row>
    <row r="2038">
      <c r="A2038" s="523">
        <v>2037</v>
      </c>
      <c r="B2038" s="523" t="s">
        <v>4748</v>
      </c>
      <c r="C2038" s="523" t="s">
        <v>4749</v>
      </c>
      <c r="D2038" s="523" t="s">
        <v>4742</v>
      </c>
      <c r="E2038" s="523" t="s">
        <v>4743</v>
      </c>
      <c r="F2038" s="523" t="s">
        <v>48</v>
      </c>
    </row>
    <row r="2039">
      <c r="A2039" s="523">
        <v>2038</v>
      </c>
      <c r="B2039" s="523" t="s">
        <v>4750</v>
      </c>
      <c r="C2039" s="523" t="s">
        <v>4751</v>
      </c>
      <c r="D2039" s="523" t="s">
        <v>4742</v>
      </c>
      <c r="E2039" s="523" t="s">
        <v>4743</v>
      </c>
      <c r="F2039" s="523" t="s">
        <v>48</v>
      </c>
    </row>
    <row r="2040">
      <c r="A2040" s="523">
        <v>2039</v>
      </c>
      <c r="B2040" s="523" t="s">
        <v>4752</v>
      </c>
      <c r="C2040" s="523" t="s">
        <v>4753</v>
      </c>
      <c r="D2040" s="523" t="s">
        <v>4742</v>
      </c>
      <c r="E2040" s="523" t="s">
        <v>4743</v>
      </c>
      <c r="F2040" s="523" t="s">
        <v>48</v>
      </c>
    </row>
    <row r="2041">
      <c r="A2041" s="523">
        <v>2040</v>
      </c>
      <c r="B2041" s="523" t="s">
        <v>4754</v>
      </c>
      <c r="C2041" s="523" t="s">
        <v>4755</v>
      </c>
      <c r="D2041" s="523" t="s">
        <v>4742</v>
      </c>
      <c r="E2041" s="523" t="s">
        <v>4743</v>
      </c>
      <c r="F2041" s="523" t="s">
        <v>48</v>
      </c>
    </row>
    <row r="2042">
      <c r="A2042" s="523">
        <v>2041</v>
      </c>
      <c r="B2042" s="523" t="s">
        <v>4756</v>
      </c>
      <c r="C2042" s="523" t="s">
        <v>4757</v>
      </c>
      <c r="D2042" s="523" t="s">
        <v>4742</v>
      </c>
      <c r="E2042" s="523" t="s">
        <v>4743</v>
      </c>
      <c r="F2042" s="523" t="s">
        <v>48</v>
      </c>
    </row>
    <row r="2043">
      <c r="A2043" s="523">
        <v>2042</v>
      </c>
      <c r="B2043" s="523" t="s">
        <v>4758</v>
      </c>
      <c r="C2043" s="523" t="s">
        <v>4759</v>
      </c>
      <c r="D2043" s="523" t="s">
        <v>4760</v>
      </c>
      <c r="E2043" s="523" t="s">
        <v>4761</v>
      </c>
      <c r="F2043" s="523" t="s">
        <v>48</v>
      </c>
    </row>
    <row r="2044">
      <c r="A2044" s="523">
        <v>2043</v>
      </c>
      <c r="B2044" s="523" t="s">
        <v>4762</v>
      </c>
      <c r="C2044" s="523" t="s">
        <v>4763</v>
      </c>
      <c r="D2044" s="523" t="s">
        <v>4760</v>
      </c>
      <c r="E2044" s="523" t="s">
        <v>4761</v>
      </c>
      <c r="F2044" s="523" t="s">
        <v>48</v>
      </c>
    </row>
    <row r="2045">
      <c r="A2045" s="523">
        <v>2044</v>
      </c>
      <c r="B2045" s="523" t="s">
        <v>4764</v>
      </c>
      <c r="C2045" s="523" t="s">
        <v>4765</v>
      </c>
      <c r="D2045" s="523" t="s">
        <v>4760</v>
      </c>
      <c r="E2045" s="523" t="s">
        <v>4761</v>
      </c>
      <c r="F2045" s="523" t="s">
        <v>48</v>
      </c>
    </row>
    <row r="2046">
      <c r="A2046" s="523">
        <v>2045</v>
      </c>
      <c r="B2046" s="523" t="s">
        <v>4766</v>
      </c>
      <c r="C2046" s="523" t="s">
        <v>4767</v>
      </c>
      <c r="D2046" s="523" t="s">
        <v>4760</v>
      </c>
      <c r="E2046" s="523" t="s">
        <v>4761</v>
      </c>
      <c r="F2046" s="523" t="s">
        <v>48</v>
      </c>
    </row>
    <row r="2047">
      <c r="A2047" s="523">
        <v>2046</v>
      </c>
      <c r="B2047" s="523" t="s">
        <v>4768</v>
      </c>
      <c r="C2047" s="523" t="s">
        <v>4769</v>
      </c>
      <c r="D2047" s="523" t="s">
        <v>4760</v>
      </c>
      <c r="E2047" s="523" t="s">
        <v>4761</v>
      </c>
      <c r="F2047" s="523" t="s">
        <v>48</v>
      </c>
    </row>
    <row r="2048">
      <c r="A2048" s="523">
        <v>2047</v>
      </c>
      <c r="B2048" s="523" t="s">
        <v>4770</v>
      </c>
      <c r="C2048" s="523" t="s">
        <v>4771</v>
      </c>
      <c r="D2048" s="523" t="s">
        <v>4760</v>
      </c>
      <c r="E2048" s="523" t="s">
        <v>4761</v>
      </c>
      <c r="F2048" s="523" t="s">
        <v>48</v>
      </c>
    </row>
    <row r="2049">
      <c r="A2049" s="523">
        <v>2048</v>
      </c>
      <c r="B2049" s="523" t="s">
        <v>4772</v>
      </c>
      <c r="C2049" s="523" t="s">
        <v>4773</v>
      </c>
      <c r="D2049" s="523" t="s">
        <v>4760</v>
      </c>
      <c r="E2049" s="523" t="s">
        <v>4761</v>
      </c>
      <c r="F2049" s="523" t="s">
        <v>48</v>
      </c>
    </row>
    <row r="2050">
      <c r="A2050" s="523">
        <v>2049</v>
      </c>
      <c r="B2050" s="523" t="s">
        <v>4774</v>
      </c>
      <c r="C2050" s="523" t="s">
        <v>4775</v>
      </c>
      <c r="D2050" s="523" t="s">
        <v>4760</v>
      </c>
      <c r="E2050" s="523" t="s">
        <v>4761</v>
      </c>
      <c r="F2050" s="523" t="s">
        <v>48</v>
      </c>
    </row>
    <row r="2051">
      <c r="A2051" s="523">
        <v>2050</v>
      </c>
      <c r="B2051" s="523" t="s">
        <v>4776</v>
      </c>
      <c r="C2051" s="523" t="s">
        <v>4777</v>
      </c>
      <c r="D2051" s="523" t="s">
        <v>4760</v>
      </c>
      <c r="E2051" s="523" t="s">
        <v>4761</v>
      </c>
      <c r="F2051" s="523" t="s">
        <v>48</v>
      </c>
    </row>
    <row r="2052">
      <c r="A2052" s="523">
        <v>2051</v>
      </c>
      <c r="B2052" s="523" t="s">
        <v>4778</v>
      </c>
      <c r="C2052" s="523" t="s">
        <v>4779</v>
      </c>
      <c r="D2052" s="523" t="s">
        <v>4760</v>
      </c>
      <c r="E2052" s="523" t="s">
        <v>4761</v>
      </c>
      <c r="F2052" s="523" t="s">
        <v>48</v>
      </c>
    </row>
    <row r="2053">
      <c r="A2053" s="523">
        <v>2052</v>
      </c>
      <c r="B2053" s="523" t="s">
        <v>4780</v>
      </c>
      <c r="C2053" s="523" t="s">
        <v>4781</v>
      </c>
      <c r="D2053" s="523" t="s">
        <v>4782</v>
      </c>
      <c r="E2053" s="523" t="s">
        <v>4783</v>
      </c>
      <c r="F2053" s="523" t="s">
        <v>48</v>
      </c>
    </row>
    <row r="2054">
      <c r="A2054" s="523">
        <v>2053</v>
      </c>
      <c r="B2054" s="523" t="s">
        <v>4784</v>
      </c>
      <c r="C2054" s="523" t="s">
        <v>934</v>
      </c>
      <c r="D2054" s="523" t="s">
        <v>4782</v>
      </c>
      <c r="E2054" s="523" t="s">
        <v>4783</v>
      </c>
      <c r="F2054" s="523" t="s">
        <v>48</v>
      </c>
    </row>
    <row r="2055">
      <c r="A2055" s="523">
        <v>2054</v>
      </c>
      <c r="B2055" s="523" t="s">
        <v>4785</v>
      </c>
      <c r="C2055" s="523" t="s">
        <v>4786</v>
      </c>
      <c r="D2055" s="523" t="s">
        <v>4782</v>
      </c>
      <c r="E2055" s="523" t="s">
        <v>4783</v>
      </c>
      <c r="F2055" s="523" t="s">
        <v>48</v>
      </c>
    </row>
    <row r="2056">
      <c r="A2056" s="523">
        <v>2055</v>
      </c>
      <c r="B2056" s="523" t="s">
        <v>4787</v>
      </c>
      <c r="C2056" s="523" t="s">
        <v>4314</v>
      </c>
      <c r="D2056" s="523" t="s">
        <v>4782</v>
      </c>
      <c r="E2056" s="523" t="s">
        <v>4783</v>
      </c>
      <c r="F2056" s="523" t="s">
        <v>48</v>
      </c>
    </row>
    <row r="2057">
      <c r="A2057" s="523">
        <v>2056</v>
      </c>
      <c r="B2057" s="523" t="s">
        <v>4788</v>
      </c>
      <c r="C2057" s="523" t="s">
        <v>4789</v>
      </c>
      <c r="D2057" s="523" t="s">
        <v>4782</v>
      </c>
      <c r="E2057" s="523" t="s">
        <v>4783</v>
      </c>
      <c r="F2057" s="523" t="s">
        <v>48</v>
      </c>
    </row>
    <row r="2058">
      <c r="A2058" s="523">
        <v>2057</v>
      </c>
      <c r="B2058" s="523" t="s">
        <v>4790</v>
      </c>
      <c r="C2058" s="523" t="s">
        <v>4791</v>
      </c>
      <c r="D2058" s="523" t="s">
        <v>4782</v>
      </c>
      <c r="E2058" s="523" t="s">
        <v>4783</v>
      </c>
      <c r="F2058" s="523" t="s">
        <v>48</v>
      </c>
    </row>
    <row r="2059">
      <c r="A2059" s="523">
        <v>2058</v>
      </c>
      <c r="B2059" s="523" t="s">
        <v>4792</v>
      </c>
      <c r="C2059" s="523" t="s">
        <v>4793</v>
      </c>
      <c r="D2059" s="523" t="s">
        <v>4782</v>
      </c>
      <c r="E2059" s="523" t="s">
        <v>4783</v>
      </c>
      <c r="F2059" s="523" t="s">
        <v>48</v>
      </c>
    </row>
    <row r="2060">
      <c r="A2060" s="523">
        <v>2059</v>
      </c>
      <c r="B2060" s="523" t="s">
        <v>4794</v>
      </c>
      <c r="C2060" s="523" t="s">
        <v>4795</v>
      </c>
      <c r="D2060" s="523" t="s">
        <v>4782</v>
      </c>
      <c r="E2060" s="523" t="s">
        <v>4783</v>
      </c>
      <c r="F2060" s="523" t="s">
        <v>48</v>
      </c>
    </row>
    <row r="2061">
      <c r="A2061" s="523">
        <v>2060</v>
      </c>
      <c r="B2061" s="523" t="s">
        <v>4796</v>
      </c>
      <c r="C2061" s="523" t="s">
        <v>880</v>
      </c>
      <c r="D2061" s="523" t="s">
        <v>4782</v>
      </c>
      <c r="E2061" s="523" t="s">
        <v>4783</v>
      </c>
      <c r="F2061" s="523" t="s">
        <v>48</v>
      </c>
    </row>
    <row r="2062">
      <c r="A2062" s="523">
        <v>2061</v>
      </c>
      <c r="B2062" s="523" t="s">
        <v>4797</v>
      </c>
      <c r="C2062" s="523" t="s">
        <v>4798</v>
      </c>
      <c r="D2062" s="523" t="s">
        <v>4782</v>
      </c>
      <c r="E2062" s="523" t="s">
        <v>4783</v>
      </c>
      <c r="F2062" s="523" t="s">
        <v>48</v>
      </c>
    </row>
    <row r="2063">
      <c r="A2063" s="523">
        <v>2062</v>
      </c>
      <c r="B2063" s="523" t="s">
        <v>4799</v>
      </c>
      <c r="C2063" s="523" t="s">
        <v>4800</v>
      </c>
      <c r="D2063" s="523" t="s">
        <v>4782</v>
      </c>
      <c r="E2063" s="523" t="s">
        <v>4783</v>
      </c>
      <c r="F2063" s="523" t="s">
        <v>48</v>
      </c>
    </row>
    <row r="2064">
      <c r="A2064" s="523">
        <v>2063</v>
      </c>
      <c r="B2064" s="523" t="s">
        <v>4801</v>
      </c>
      <c r="C2064" s="523" t="s">
        <v>1990</v>
      </c>
      <c r="D2064" s="523" t="s">
        <v>4782</v>
      </c>
      <c r="E2064" s="523" t="s">
        <v>4783</v>
      </c>
      <c r="F2064" s="523" t="s">
        <v>48</v>
      </c>
    </row>
    <row r="2065">
      <c r="A2065" s="523">
        <v>2064</v>
      </c>
      <c r="B2065" s="523" t="s">
        <v>4802</v>
      </c>
      <c r="C2065" s="523" t="s">
        <v>1212</v>
      </c>
      <c r="D2065" s="523" t="s">
        <v>4782</v>
      </c>
      <c r="E2065" s="523" t="s">
        <v>4783</v>
      </c>
      <c r="F2065" s="523" t="s">
        <v>48</v>
      </c>
    </row>
    <row r="2066">
      <c r="A2066" s="523">
        <v>2065</v>
      </c>
      <c r="B2066" s="523" t="s">
        <v>4803</v>
      </c>
      <c r="C2066" s="523" t="s">
        <v>4804</v>
      </c>
      <c r="D2066" s="523" t="s">
        <v>4782</v>
      </c>
      <c r="E2066" s="523" t="s">
        <v>4783</v>
      </c>
      <c r="F2066" s="523" t="s">
        <v>48</v>
      </c>
    </row>
    <row r="2067">
      <c r="A2067" s="523">
        <v>2066</v>
      </c>
      <c r="B2067" s="523" t="s">
        <v>4805</v>
      </c>
      <c r="C2067" s="523" t="s">
        <v>4806</v>
      </c>
      <c r="D2067" s="523" t="s">
        <v>4782</v>
      </c>
      <c r="E2067" s="523" t="s">
        <v>4783</v>
      </c>
      <c r="F2067" s="523" t="s">
        <v>48</v>
      </c>
    </row>
    <row r="2068">
      <c r="A2068" s="523">
        <v>2067</v>
      </c>
      <c r="B2068" s="523" t="s">
        <v>4807</v>
      </c>
      <c r="C2068" s="523" t="s">
        <v>1486</v>
      </c>
      <c r="D2068" s="523" t="s">
        <v>4808</v>
      </c>
      <c r="E2068" s="523" t="s">
        <v>4809</v>
      </c>
      <c r="F2068" s="523" t="s">
        <v>48</v>
      </c>
    </row>
    <row r="2069">
      <c r="A2069" s="523">
        <v>2068</v>
      </c>
      <c r="B2069" s="523" t="s">
        <v>4810</v>
      </c>
      <c r="C2069" s="523" t="s">
        <v>1490</v>
      </c>
      <c r="D2069" s="523" t="s">
        <v>4808</v>
      </c>
      <c r="E2069" s="523" t="s">
        <v>4809</v>
      </c>
      <c r="F2069" s="523" t="s">
        <v>48</v>
      </c>
    </row>
    <row r="2070">
      <c r="A2070" s="523">
        <v>2069</v>
      </c>
      <c r="B2070" s="523" t="s">
        <v>4811</v>
      </c>
      <c r="C2070" s="523" t="s">
        <v>4812</v>
      </c>
      <c r="D2070" s="523" t="s">
        <v>4808</v>
      </c>
      <c r="E2070" s="523" t="s">
        <v>4809</v>
      </c>
      <c r="F2070" s="523" t="s">
        <v>48</v>
      </c>
    </row>
    <row r="2071">
      <c r="A2071" s="523">
        <v>2070</v>
      </c>
      <c r="B2071" s="523" t="s">
        <v>4813</v>
      </c>
      <c r="C2071" s="523" t="s">
        <v>4814</v>
      </c>
      <c r="D2071" s="523" t="s">
        <v>4808</v>
      </c>
      <c r="E2071" s="523" t="s">
        <v>4809</v>
      </c>
      <c r="F2071" s="523" t="s">
        <v>48</v>
      </c>
    </row>
    <row r="2072">
      <c r="A2072" s="523">
        <v>2071</v>
      </c>
      <c r="B2072" s="523" t="s">
        <v>4815</v>
      </c>
      <c r="C2072" s="523" t="s">
        <v>4816</v>
      </c>
      <c r="D2072" s="523" t="s">
        <v>4808</v>
      </c>
      <c r="E2072" s="523" t="s">
        <v>4809</v>
      </c>
      <c r="F2072" s="523" t="s">
        <v>48</v>
      </c>
    </row>
    <row r="2073">
      <c r="A2073" s="523">
        <v>2072</v>
      </c>
      <c r="B2073" s="523" t="s">
        <v>4817</v>
      </c>
      <c r="C2073" s="523" t="s">
        <v>4818</v>
      </c>
      <c r="D2073" s="523" t="s">
        <v>4808</v>
      </c>
      <c r="E2073" s="523" t="s">
        <v>4809</v>
      </c>
      <c r="F2073" s="523" t="s">
        <v>48</v>
      </c>
    </row>
    <row r="2074">
      <c r="A2074" s="523">
        <v>2073</v>
      </c>
      <c r="B2074" s="523" t="s">
        <v>4819</v>
      </c>
      <c r="C2074" s="523" t="s">
        <v>4820</v>
      </c>
      <c r="D2074" s="523" t="s">
        <v>4808</v>
      </c>
      <c r="E2074" s="523" t="s">
        <v>4809</v>
      </c>
      <c r="F2074" s="523" t="s">
        <v>48</v>
      </c>
    </row>
    <row r="2075">
      <c r="A2075" s="523">
        <v>2074</v>
      </c>
      <c r="B2075" s="523" t="s">
        <v>4821</v>
      </c>
      <c r="C2075" s="523" t="s">
        <v>4822</v>
      </c>
      <c r="D2075" s="523" t="s">
        <v>4808</v>
      </c>
      <c r="E2075" s="523" t="s">
        <v>4809</v>
      </c>
      <c r="F2075" s="523" t="s">
        <v>48</v>
      </c>
    </row>
    <row r="2076">
      <c r="A2076" s="523">
        <v>2075</v>
      </c>
      <c r="B2076" s="523" t="s">
        <v>4823</v>
      </c>
      <c r="C2076" s="523" t="s">
        <v>4824</v>
      </c>
      <c r="D2076" s="523" t="s">
        <v>4808</v>
      </c>
      <c r="E2076" s="523" t="s">
        <v>4809</v>
      </c>
      <c r="F2076" s="523" t="s">
        <v>48</v>
      </c>
    </row>
    <row r="2077">
      <c r="A2077" s="523">
        <v>2076</v>
      </c>
      <c r="B2077" s="523" t="s">
        <v>4825</v>
      </c>
      <c r="C2077" s="523" t="s">
        <v>4826</v>
      </c>
      <c r="D2077" s="523" t="s">
        <v>4808</v>
      </c>
      <c r="E2077" s="523" t="s">
        <v>4809</v>
      </c>
      <c r="F2077" s="523" t="s">
        <v>48</v>
      </c>
    </row>
    <row r="2078">
      <c r="A2078" s="523">
        <v>2077</v>
      </c>
      <c r="B2078" s="523" t="s">
        <v>4827</v>
      </c>
      <c r="C2078" s="523" t="s">
        <v>4828</v>
      </c>
      <c r="D2078" s="523" t="s">
        <v>4808</v>
      </c>
      <c r="E2078" s="523" t="s">
        <v>4809</v>
      </c>
      <c r="F2078" s="523" t="s">
        <v>48</v>
      </c>
    </row>
    <row r="2079">
      <c r="A2079" s="523">
        <v>2078</v>
      </c>
      <c r="B2079" s="523" t="s">
        <v>4829</v>
      </c>
      <c r="C2079" s="523" t="s">
        <v>1486</v>
      </c>
      <c r="D2079" s="523" t="s">
        <v>4830</v>
      </c>
      <c r="E2079" s="523" t="s">
        <v>4831</v>
      </c>
      <c r="F2079" s="523" t="s">
        <v>48</v>
      </c>
    </row>
    <row r="2080">
      <c r="A2080" s="523">
        <v>2079</v>
      </c>
      <c r="B2080" s="523" t="s">
        <v>4832</v>
      </c>
      <c r="C2080" s="523" t="s">
        <v>3430</v>
      </c>
      <c r="D2080" s="523" t="s">
        <v>4830</v>
      </c>
      <c r="E2080" s="523" t="s">
        <v>4831</v>
      </c>
      <c r="F2080" s="523" t="s">
        <v>48</v>
      </c>
    </row>
    <row r="2081">
      <c r="A2081" s="523">
        <v>2080</v>
      </c>
      <c r="B2081" s="523" t="s">
        <v>4833</v>
      </c>
      <c r="C2081" s="523" t="s">
        <v>3223</v>
      </c>
      <c r="D2081" s="523" t="s">
        <v>4830</v>
      </c>
      <c r="E2081" s="523" t="s">
        <v>4831</v>
      </c>
      <c r="F2081" s="523" t="s">
        <v>48</v>
      </c>
    </row>
    <row r="2082">
      <c r="A2082" s="523">
        <v>2081</v>
      </c>
      <c r="B2082" s="523" t="s">
        <v>4834</v>
      </c>
      <c r="C2082" s="523" t="s">
        <v>3433</v>
      </c>
      <c r="D2082" s="523" t="s">
        <v>4830</v>
      </c>
      <c r="E2082" s="523" t="s">
        <v>4831</v>
      </c>
      <c r="F2082" s="523" t="s">
        <v>48</v>
      </c>
    </row>
    <row r="2083">
      <c r="A2083" s="523">
        <v>2082</v>
      </c>
      <c r="B2083" s="523" t="s">
        <v>4835</v>
      </c>
      <c r="C2083" s="523" t="s">
        <v>1490</v>
      </c>
      <c r="D2083" s="523" t="s">
        <v>4830</v>
      </c>
      <c r="E2083" s="523" t="s">
        <v>4831</v>
      </c>
      <c r="F2083" s="523" t="s">
        <v>48</v>
      </c>
    </row>
    <row r="2084">
      <c r="A2084" s="523">
        <v>2083</v>
      </c>
      <c r="B2084" s="523" t="s">
        <v>4836</v>
      </c>
      <c r="C2084" s="523" t="s">
        <v>1492</v>
      </c>
      <c r="D2084" s="523" t="s">
        <v>4830</v>
      </c>
      <c r="E2084" s="523" t="s">
        <v>4831</v>
      </c>
      <c r="F2084" s="523" t="s">
        <v>48</v>
      </c>
    </row>
    <row r="2085">
      <c r="A2085" s="523">
        <v>2084</v>
      </c>
      <c r="B2085" s="523" t="s">
        <v>4837</v>
      </c>
      <c r="C2085" s="523" t="s">
        <v>2039</v>
      </c>
      <c r="D2085" s="523" t="s">
        <v>4830</v>
      </c>
      <c r="E2085" s="523" t="s">
        <v>4831</v>
      </c>
      <c r="F2085" s="523" t="s">
        <v>48</v>
      </c>
    </row>
    <row r="2086">
      <c r="A2086" s="523">
        <v>2085</v>
      </c>
      <c r="B2086" s="523" t="s">
        <v>4838</v>
      </c>
      <c r="C2086" s="523" t="s">
        <v>1494</v>
      </c>
      <c r="D2086" s="523" t="s">
        <v>4830</v>
      </c>
      <c r="E2086" s="523" t="s">
        <v>4831</v>
      </c>
      <c r="F2086" s="523" t="s">
        <v>48</v>
      </c>
    </row>
    <row r="2087">
      <c r="A2087" s="523">
        <v>2086</v>
      </c>
      <c r="B2087" s="523" t="s">
        <v>4839</v>
      </c>
      <c r="C2087" s="523" t="s">
        <v>2042</v>
      </c>
      <c r="D2087" s="523" t="s">
        <v>4830</v>
      </c>
      <c r="E2087" s="523" t="s">
        <v>4831</v>
      </c>
      <c r="F2087" s="523" t="s">
        <v>48</v>
      </c>
    </row>
    <row r="2088">
      <c r="A2088" s="523">
        <v>2087</v>
      </c>
      <c r="B2088" s="523" t="s">
        <v>4840</v>
      </c>
      <c r="C2088" s="523" t="s">
        <v>1496</v>
      </c>
      <c r="D2088" s="523" t="s">
        <v>4830</v>
      </c>
      <c r="E2088" s="523" t="s">
        <v>4831</v>
      </c>
      <c r="F2088" s="523" t="s">
        <v>48</v>
      </c>
    </row>
    <row r="2089">
      <c r="A2089" s="523">
        <v>2088</v>
      </c>
      <c r="B2089" s="523" t="s">
        <v>4841</v>
      </c>
      <c r="C2089" s="523" t="s">
        <v>654</v>
      </c>
      <c r="D2089" s="523" t="s">
        <v>4830</v>
      </c>
      <c r="E2089" s="523" t="s">
        <v>4831</v>
      </c>
      <c r="F2089" s="523" t="s">
        <v>48</v>
      </c>
    </row>
    <row r="2090">
      <c r="A2090" s="523">
        <v>2089</v>
      </c>
      <c r="B2090" s="523" t="s">
        <v>4842</v>
      </c>
      <c r="C2090" s="523" t="s">
        <v>2498</v>
      </c>
      <c r="D2090" s="523" t="s">
        <v>4830</v>
      </c>
      <c r="E2090" s="523" t="s">
        <v>4831</v>
      </c>
      <c r="F2090" s="523" t="s">
        <v>48</v>
      </c>
    </row>
    <row r="2091">
      <c r="A2091" s="523">
        <v>2090</v>
      </c>
      <c r="B2091" s="523" t="s">
        <v>4843</v>
      </c>
      <c r="C2091" s="523" t="s">
        <v>4844</v>
      </c>
      <c r="D2091" s="523" t="s">
        <v>4830</v>
      </c>
      <c r="E2091" s="523" t="s">
        <v>4831</v>
      </c>
      <c r="F2091" s="523" t="s">
        <v>48</v>
      </c>
    </row>
    <row r="2092">
      <c r="A2092" s="523">
        <v>2091</v>
      </c>
      <c r="B2092" s="523" t="s">
        <v>4845</v>
      </c>
      <c r="C2092" s="523" t="s">
        <v>4846</v>
      </c>
      <c r="D2092" s="523" t="s">
        <v>4830</v>
      </c>
      <c r="E2092" s="523" t="s">
        <v>4831</v>
      </c>
      <c r="F2092" s="523" t="s">
        <v>48</v>
      </c>
    </row>
    <row r="2093">
      <c r="A2093" s="523">
        <v>2092</v>
      </c>
      <c r="B2093" s="523" t="s">
        <v>4847</v>
      </c>
      <c r="C2093" s="523" t="s">
        <v>2899</v>
      </c>
      <c r="D2093" s="523" t="s">
        <v>4830</v>
      </c>
      <c r="E2093" s="523" t="s">
        <v>4831</v>
      </c>
      <c r="F2093" s="523" t="s">
        <v>48</v>
      </c>
    </row>
    <row r="2094">
      <c r="A2094" s="523">
        <v>2093</v>
      </c>
      <c r="B2094" s="523" t="s">
        <v>4848</v>
      </c>
      <c r="C2094" s="523" t="s">
        <v>2901</v>
      </c>
      <c r="D2094" s="523" t="s">
        <v>4830</v>
      </c>
      <c r="E2094" s="523" t="s">
        <v>4831</v>
      </c>
      <c r="F2094" s="523" t="s">
        <v>48</v>
      </c>
    </row>
    <row r="2095">
      <c r="A2095" s="523">
        <v>2094</v>
      </c>
      <c r="B2095" s="523" t="s">
        <v>4849</v>
      </c>
      <c r="C2095" s="523" t="s">
        <v>2738</v>
      </c>
      <c r="D2095" s="523" t="s">
        <v>4850</v>
      </c>
      <c r="E2095" s="523" t="s">
        <v>4851</v>
      </c>
      <c r="F2095" s="523" t="s">
        <v>51</v>
      </c>
    </row>
    <row r="2096">
      <c r="A2096" s="523">
        <v>2095</v>
      </c>
      <c r="B2096" s="523" t="s">
        <v>4852</v>
      </c>
      <c r="C2096" s="523" t="s">
        <v>4853</v>
      </c>
      <c r="D2096" s="523" t="s">
        <v>4850</v>
      </c>
      <c r="E2096" s="523" t="s">
        <v>4851</v>
      </c>
      <c r="F2096" s="523" t="s">
        <v>51</v>
      </c>
    </row>
    <row r="2097">
      <c r="A2097" s="523">
        <v>2096</v>
      </c>
      <c r="B2097" s="523" t="s">
        <v>4854</v>
      </c>
      <c r="C2097" s="523" t="s">
        <v>1271</v>
      </c>
      <c r="D2097" s="523" t="s">
        <v>4850</v>
      </c>
      <c r="E2097" s="523" t="s">
        <v>4851</v>
      </c>
      <c r="F2097" s="523" t="s">
        <v>51</v>
      </c>
    </row>
    <row r="2098">
      <c r="A2098" s="523">
        <v>2097</v>
      </c>
      <c r="B2098" s="523" t="s">
        <v>4855</v>
      </c>
      <c r="C2098" s="523" t="s">
        <v>1686</v>
      </c>
      <c r="D2098" s="523" t="s">
        <v>4850</v>
      </c>
      <c r="E2098" s="523" t="s">
        <v>4851</v>
      </c>
      <c r="F2098" s="523" t="s">
        <v>51</v>
      </c>
    </row>
    <row r="2099">
      <c r="A2099" s="523">
        <v>2098</v>
      </c>
      <c r="B2099" s="523" t="s">
        <v>4856</v>
      </c>
      <c r="C2099" s="523" t="s">
        <v>4857</v>
      </c>
      <c r="D2099" s="523" t="s">
        <v>4850</v>
      </c>
      <c r="E2099" s="523" t="s">
        <v>4851</v>
      </c>
      <c r="F2099" s="523" t="s">
        <v>51</v>
      </c>
    </row>
    <row r="2100">
      <c r="A2100" s="523">
        <v>2099</v>
      </c>
      <c r="B2100" s="523" t="s">
        <v>4858</v>
      </c>
      <c r="C2100" s="523" t="s">
        <v>4859</v>
      </c>
      <c r="D2100" s="523" t="s">
        <v>4850</v>
      </c>
      <c r="E2100" s="523" t="s">
        <v>4851</v>
      </c>
      <c r="F2100" s="523" t="s">
        <v>51</v>
      </c>
    </row>
    <row r="2101">
      <c r="A2101" s="523">
        <v>2100</v>
      </c>
      <c r="B2101" s="523" t="s">
        <v>4860</v>
      </c>
      <c r="C2101" s="523" t="s">
        <v>4861</v>
      </c>
      <c r="D2101" s="523" t="s">
        <v>4850</v>
      </c>
      <c r="E2101" s="523" t="s">
        <v>4851</v>
      </c>
      <c r="F2101" s="523" t="s">
        <v>51</v>
      </c>
    </row>
    <row r="2102">
      <c r="A2102" s="523">
        <v>2101</v>
      </c>
      <c r="B2102" s="523" t="s">
        <v>4862</v>
      </c>
      <c r="C2102" s="523" t="s">
        <v>4863</v>
      </c>
      <c r="D2102" s="523" t="s">
        <v>4850</v>
      </c>
      <c r="E2102" s="523" t="s">
        <v>4851</v>
      </c>
      <c r="F2102" s="523" t="s">
        <v>51</v>
      </c>
    </row>
    <row r="2103">
      <c r="A2103" s="523">
        <v>2102</v>
      </c>
      <c r="B2103" s="523" t="s">
        <v>4864</v>
      </c>
      <c r="C2103" s="523" t="s">
        <v>4865</v>
      </c>
      <c r="D2103" s="523" t="s">
        <v>4850</v>
      </c>
      <c r="E2103" s="523" t="s">
        <v>4851</v>
      </c>
      <c r="F2103" s="523" t="s">
        <v>51</v>
      </c>
    </row>
    <row r="2104">
      <c r="A2104" s="523">
        <v>2103</v>
      </c>
      <c r="B2104" s="523" t="s">
        <v>4866</v>
      </c>
      <c r="C2104" s="523" t="s">
        <v>4867</v>
      </c>
      <c r="D2104" s="523" t="s">
        <v>4868</v>
      </c>
      <c r="E2104" s="523" t="s">
        <v>4869</v>
      </c>
      <c r="F2104" s="523" t="s">
        <v>51</v>
      </c>
    </row>
    <row r="2105">
      <c r="A2105" s="523">
        <v>2104</v>
      </c>
      <c r="B2105" s="523" t="s">
        <v>4870</v>
      </c>
      <c r="C2105" s="523" t="s">
        <v>4871</v>
      </c>
      <c r="D2105" s="523" t="s">
        <v>4868</v>
      </c>
      <c r="E2105" s="523" t="s">
        <v>4869</v>
      </c>
      <c r="F2105" s="523" t="s">
        <v>51</v>
      </c>
    </row>
    <row r="2106">
      <c r="A2106" s="523">
        <v>2105</v>
      </c>
      <c r="B2106" s="523" t="s">
        <v>4872</v>
      </c>
      <c r="C2106" s="523" t="s">
        <v>4873</v>
      </c>
      <c r="D2106" s="523" t="s">
        <v>4868</v>
      </c>
      <c r="E2106" s="523" t="s">
        <v>4869</v>
      </c>
      <c r="F2106" s="523" t="s">
        <v>51</v>
      </c>
    </row>
    <row r="2107">
      <c r="A2107" s="523">
        <v>2106</v>
      </c>
      <c r="B2107" s="523" t="s">
        <v>4874</v>
      </c>
      <c r="C2107" s="523" t="s">
        <v>4875</v>
      </c>
      <c r="D2107" s="523" t="s">
        <v>4868</v>
      </c>
      <c r="E2107" s="523" t="s">
        <v>4869</v>
      </c>
      <c r="F2107" s="523" t="s">
        <v>51</v>
      </c>
    </row>
    <row r="2108">
      <c r="A2108" s="523">
        <v>2107</v>
      </c>
      <c r="B2108" s="523" t="s">
        <v>4876</v>
      </c>
      <c r="C2108" s="523" t="s">
        <v>2315</v>
      </c>
      <c r="D2108" s="523" t="s">
        <v>4868</v>
      </c>
      <c r="E2108" s="523" t="s">
        <v>4869</v>
      </c>
      <c r="F2108" s="523" t="s">
        <v>51</v>
      </c>
    </row>
    <row r="2109">
      <c r="A2109" s="523">
        <v>2108</v>
      </c>
      <c r="B2109" s="523" t="s">
        <v>4877</v>
      </c>
      <c r="C2109" s="523" t="s">
        <v>4878</v>
      </c>
      <c r="D2109" s="523" t="s">
        <v>4868</v>
      </c>
      <c r="E2109" s="523" t="s">
        <v>4869</v>
      </c>
      <c r="F2109" s="523" t="s">
        <v>51</v>
      </c>
    </row>
    <row r="2110">
      <c r="A2110" s="523">
        <v>2109</v>
      </c>
      <c r="B2110" s="523" t="s">
        <v>4879</v>
      </c>
      <c r="C2110" s="523" t="s">
        <v>4880</v>
      </c>
      <c r="D2110" s="523" t="s">
        <v>4868</v>
      </c>
      <c r="E2110" s="523" t="s">
        <v>4869</v>
      </c>
      <c r="F2110" s="523" t="s">
        <v>51</v>
      </c>
    </row>
    <row r="2111">
      <c r="A2111" s="523">
        <v>2110</v>
      </c>
      <c r="B2111" s="523" t="s">
        <v>4881</v>
      </c>
      <c r="C2111" s="523" t="s">
        <v>4882</v>
      </c>
      <c r="D2111" s="523" t="s">
        <v>4868</v>
      </c>
      <c r="E2111" s="523" t="s">
        <v>4869</v>
      </c>
      <c r="F2111" s="523" t="s">
        <v>51</v>
      </c>
    </row>
    <row r="2112">
      <c r="A2112" s="523">
        <v>2111</v>
      </c>
      <c r="B2112" s="523" t="s">
        <v>4883</v>
      </c>
      <c r="C2112" s="523" t="s">
        <v>4884</v>
      </c>
      <c r="D2112" s="523" t="s">
        <v>4868</v>
      </c>
      <c r="E2112" s="523" t="s">
        <v>4869</v>
      </c>
      <c r="F2112" s="523" t="s">
        <v>51</v>
      </c>
    </row>
    <row r="2113">
      <c r="A2113" s="523">
        <v>2112</v>
      </c>
      <c r="B2113" s="523" t="s">
        <v>4885</v>
      </c>
      <c r="C2113" s="523" t="s">
        <v>4886</v>
      </c>
      <c r="D2113" s="523" t="s">
        <v>4887</v>
      </c>
      <c r="E2113" s="523" t="s">
        <v>4888</v>
      </c>
      <c r="F2113" s="523" t="s">
        <v>51</v>
      </c>
    </row>
    <row r="2114">
      <c r="A2114" s="523">
        <v>2113</v>
      </c>
      <c r="B2114" s="523" t="s">
        <v>4889</v>
      </c>
      <c r="C2114" s="523" t="s">
        <v>4890</v>
      </c>
      <c r="D2114" s="523" t="s">
        <v>4887</v>
      </c>
      <c r="E2114" s="523" t="s">
        <v>4888</v>
      </c>
      <c r="F2114" s="523" t="s">
        <v>51</v>
      </c>
    </row>
    <row r="2115">
      <c r="A2115" s="523">
        <v>2114</v>
      </c>
      <c r="B2115" s="523" t="s">
        <v>4891</v>
      </c>
      <c r="C2115" s="523" t="s">
        <v>4892</v>
      </c>
      <c r="D2115" s="523" t="s">
        <v>4887</v>
      </c>
      <c r="E2115" s="523" t="s">
        <v>4888</v>
      </c>
      <c r="F2115" s="523" t="s">
        <v>51</v>
      </c>
    </row>
    <row r="2116">
      <c r="A2116" s="523">
        <v>2115</v>
      </c>
      <c r="B2116" s="523" t="s">
        <v>4893</v>
      </c>
      <c r="C2116" s="523" t="s">
        <v>4252</v>
      </c>
      <c r="D2116" s="523" t="s">
        <v>4887</v>
      </c>
      <c r="E2116" s="523" t="s">
        <v>4888</v>
      </c>
      <c r="F2116" s="523" t="s">
        <v>51</v>
      </c>
    </row>
    <row r="2117">
      <c r="A2117" s="523">
        <v>2116</v>
      </c>
      <c r="B2117" s="523" t="s">
        <v>4894</v>
      </c>
      <c r="C2117" s="523" t="s">
        <v>4895</v>
      </c>
      <c r="D2117" s="523" t="s">
        <v>4887</v>
      </c>
      <c r="E2117" s="523" t="s">
        <v>4888</v>
      </c>
      <c r="F2117" s="523" t="s">
        <v>51</v>
      </c>
    </row>
    <row r="2118">
      <c r="A2118" s="523">
        <v>2117</v>
      </c>
      <c r="B2118" s="523" t="s">
        <v>4896</v>
      </c>
      <c r="C2118" s="523" t="s">
        <v>1560</v>
      </c>
      <c r="D2118" s="523" t="s">
        <v>4887</v>
      </c>
      <c r="E2118" s="523" t="s">
        <v>4888</v>
      </c>
      <c r="F2118" s="523" t="s">
        <v>51</v>
      </c>
    </row>
    <row r="2119">
      <c r="A2119" s="523">
        <v>2118</v>
      </c>
      <c r="B2119" s="523" t="s">
        <v>4897</v>
      </c>
      <c r="C2119" s="523" t="s">
        <v>2740</v>
      </c>
      <c r="D2119" s="523" t="s">
        <v>4887</v>
      </c>
      <c r="E2119" s="523" t="s">
        <v>4888</v>
      </c>
      <c r="F2119" s="523" t="s">
        <v>51</v>
      </c>
    </row>
    <row r="2120">
      <c r="A2120" s="523">
        <v>2119</v>
      </c>
      <c r="B2120" s="523" t="s">
        <v>4898</v>
      </c>
      <c r="C2120" s="523" t="s">
        <v>4899</v>
      </c>
      <c r="D2120" s="523" t="s">
        <v>4887</v>
      </c>
      <c r="E2120" s="523" t="s">
        <v>4888</v>
      </c>
      <c r="F2120" s="523" t="s">
        <v>51</v>
      </c>
    </row>
    <row r="2121">
      <c r="A2121" s="523">
        <v>2120</v>
      </c>
      <c r="B2121" s="523" t="s">
        <v>4900</v>
      </c>
      <c r="C2121" s="523" t="s">
        <v>4901</v>
      </c>
      <c r="D2121" s="523" t="s">
        <v>4887</v>
      </c>
      <c r="E2121" s="523" t="s">
        <v>4888</v>
      </c>
      <c r="F2121" s="523" t="s">
        <v>51</v>
      </c>
    </row>
    <row r="2122">
      <c r="A2122" s="523">
        <v>2121</v>
      </c>
      <c r="B2122" s="523" t="s">
        <v>4902</v>
      </c>
      <c r="C2122" s="523" t="s">
        <v>4903</v>
      </c>
      <c r="D2122" s="523" t="s">
        <v>4904</v>
      </c>
      <c r="E2122" s="523" t="s">
        <v>4905</v>
      </c>
      <c r="F2122" s="523" t="s">
        <v>51</v>
      </c>
    </row>
    <row r="2123">
      <c r="A2123" s="523">
        <v>2122</v>
      </c>
      <c r="B2123" s="523" t="s">
        <v>4906</v>
      </c>
      <c r="C2123" s="523" t="s">
        <v>4907</v>
      </c>
      <c r="D2123" s="523" t="s">
        <v>4904</v>
      </c>
      <c r="E2123" s="523" t="s">
        <v>4905</v>
      </c>
      <c r="F2123" s="523" t="s">
        <v>51</v>
      </c>
    </row>
    <row r="2124">
      <c r="A2124" s="523">
        <v>2123</v>
      </c>
      <c r="B2124" s="523" t="s">
        <v>4908</v>
      </c>
      <c r="C2124" s="523" t="s">
        <v>4909</v>
      </c>
      <c r="D2124" s="523" t="s">
        <v>4904</v>
      </c>
      <c r="E2124" s="523" t="s">
        <v>4905</v>
      </c>
      <c r="F2124" s="523" t="s">
        <v>51</v>
      </c>
    </row>
    <row r="2125">
      <c r="A2125" s="523">
        <v>2124</v>
      </c>
      <c r="B2125" s="523" t="s">
        <v>4910</v>
      </c>
      <c r="C2125" s="523" t="s">
        <v>4911</v>
      </c>
      <c r="D2125" s="523" t="s">
        <v>4904</v>
      </c>
      <c r="E2125" s="523" t="s">
        <v>4905</v>
      </c>
      <c r="F2125" s="523" t="s">
        <v>51</v>
      </c>
    </row>
    <row r="2126">
      <c r="A2126" s="523">
        <v>2125</v>
      </c>
      <c r="B2126" s="523" t="s">
        <v>4912</v>
      </c>
      <c r="C2126" s="523" t="s">
        <v>4913</v>
      </c>
      <c r="D2126" s="523" t="s">
        <v>4904</v>
      </c>
      <c r="E2126" s="523" t="s">
        <v>4905</v>
      </c>
      <c r="F2126" s="523" t="s">
        <v>51</v>
      </c>
    </row>
    <row r="2127">
      <c r="A2127" s="523">
        <v>2126</v>
      </c>
      <c r="B2127" s="523" t="s">
        <v>4914</v>
      </c>
      <c r="C2127" s="523" t="s">
        <v>4915</v>
      </c>
      <c r="D2127" s="523" t="s">
        <v>4904</v>
      </c>
      <c r="E2127" s="523" t="s">
        <v>4905</v>
      </c>
      <c r="F2127" s="523" t="s">
        <v>51</v>
      </c>
    </row>
    <row r="2128">
      <c r="A2128" s="523">
        <v>2127</v>
      </c>
      <c r="B2128" s="523" t="s">
        <v>4916</v>
      </c>
      <c r="C2128" s="523" t="s">
        <v>4917</v>
      </c>
      <c r="D2128" s="523" t="s">
        <v>4904</v>
      </c>
      <c r="E2128" s="523" t="s">
        <v>4905</v>
      </c>
      <c r="F2128" s="523" t="s">
        <v>51</v>
      </c>
    </row>
    <row r="2129">
      <c r="A2129" s="523">
        <v>2128</v>
      </c>
      <c r="B2129" s="523" t="s">
        <v>4918</v>
      </c>
      <c r="C2129" s="523" t="s">
        <v>4919</v>
      </c>
      <c r="D2129" s="523" t="s">
        <v>4904</v>
      </c>
      <c r="E2129" s="523" t="s">
        <v>4905</v>
      </c>
      <c r="F2129" s="523" t="s">
        <v>51</v>
      </c>
    </row>
    <row r="2130">
      <c r="A2130" s="523">
        <v>2129</v>
      </c>
      <c r="B2130" s="523" t="s">
        <v>4920</v>
      </c>
      <c r="C2130" s="523" t="s">
        <v>4921</v>
      </c>
      <c r="D2130" s="523" t="s">
        <v>4922</v>
      </c>
      <c r="E2130" s="523" t="s">
        <v>4923</v>
      </c>
      <c r="F2130" s="523" t="s">
        <v>51</v>
      </c>
    </row>
    <row r="2131">
      <c r="A2131" s="523">
        <v>2130</v>
      </c>
      <c r="B2131" s="523" t="s">
        <v>4924</v>
      </c>
      <c r="C2131" s="523" t="s">
        <v>2825</v>
      </c>
      <c r="D2131" s="523" t="s">
        <v>4922</v>
      </c>
      <c r="E2131" s="523" t="s">
        <v>4923</v>
      </c>
      <c r="F2131" s="523" t="s">
        <v>51</v>
      </c>
    </row>
    <row r="2132">
      <c r="A2132" s="523">
        <v>2131</v>
      </c>
      <c r="B2132" s="523" t="s">
        <v>4925</v>
      </c>
      <c r="C2132" s="523" t="s">
        <v>4926</v>
      </c>
      <c r="D2132" s="523" t="s">
        <v>4922</v>
      </c>
      <c r="E2132" s="523" t="s">
        <v>4923</v>
      </c>
      <c r="F2132" s="523" t="s">
        <v>51</v>
      </c>
    </row>
    <row r="2133">
      <c r="A2133" s="523">
        <v>2132</v>
      </c>
      <c r="B2133" s="523" t="s">
        <v>4927</v>
      </c>
      <c r="C2133" s="523" t="s">
        <v>4928</v>
      </c>
      <c r="D2133" s="523" t="s">
        <v>4922</v>
      </c>
      <c r="E2133" s="523" t="s">
        <v>4923</v>
      </c>
      <c r="F2133" s="523" t="s">
        <v>51</v>
      </c>
    </row>
    <row r="2134">
      <c r="A2134" s="523">
        <v>2133</v>
      </c>
      <c r="B2134" s="523" t="s">
        <v>4929</v>
      </c>
      <c r="C2134" s="523" t="s">
        <v>4930</v>
      </c>
      <c r="D2134" s="523" t="s">
        <v>4922</v>
      </c>
      <c r="E2134" s="523" t="s">
        <v>4923</v>
      </c>
      <c r="F2134" s="523" t="s">
        <v>51</v>
      </c>
    </row>
    <row r="2135">
      <c r="A2135" s="523">
        <v>2134</v>
      </c>
      <c r="B2135" s="523" t="s">
        <v>4931</v>
      </c>
      <c r="C2135" s="523" t="s">
        <v>4932</v>
      </c>
      <c r="D2135" s="523" t="s">
        <v>4922</v>
      </c>
      <c r="E2135" s="523" t="s">
        <v>4923</v>
      </c>
      <c r="F2135" s="523" t="s">
        <v>51</v>
      </c>
    </row>
    <row r="2136">
      <c r="A2136" s="523">
        <v>2135</v>
      </c>
      <c r="B2136" s="523" t="s">
        <v>4933</v>
      </c>
      <c r="C2136" s="523" t="s">
        <v>4934</v>
      </c>
      <c r="D2136" s="523" t="s">
        <v>4935</v>
      </c>
      <c r="E2136" s="523" t="s">
        <v>4936</v>
      </c>
      <c r="F2136" s="523" t="s">
        <v>51</v>
      </c>
    </row>
    <row r="2137">
      <c r="A2137" s="523">
        <v>2136</v>
      </c>
      <c r="B2137" s="523" t="s">
        <v>4937</v>
      </c>
      <c r="C2137" s="523" t="s">
        <v>4938</v>
      </c>
      <c r="D2137" s="523" t="s">
        <v>4935</v>
      </c>
      <c r="E2137" s="523" t="s">
        <v>4936</v>
      </c>
      <c r="F2137" s="523" t="s">
        <v>51</v>
      </c>
    </row>
    <row r="2138">
      <c r="A2138" s="523">
        <v>2137</v>
      </c>
      <c r="B2138" s="523" t="s">
        <v>4939</v>
      </c>
      <c r="C2138" s="523" t="s">
        <v>4940</v>
      </c>
      <c r="D2138" s="523" t="s">
        <v>4935</v>
      </c>
      <c r="E2138" s="523" t="s">
        <v>4936</v>
      </c>
      <c r="F2138" s="523" t="s">
        <v>51</v>
      </c>
    </row>
    <row r="2139">
      <c r="A2139" s="523">
        <v>2138</v>
      </c>
      <c r="B2139" s="523" t="s">
        <v>4941</v>
      </c>
      <c r="C2139" s="523" t="s">
        <v>4942</v>
      </c>
      <c r="D2139" s="523" t="s">
        <v>4935</v>
      </c>
      <c r="E2139" s="523" t="s">
        <v>4936</v>
      </c>
      <c r="F2139" s="523" t="s">
        <v>51</v>
      </c>
    </row>
    <row r="2140">
      <c r="A2140" s="523">
        <v>2139</v>
      </c>
      <c r="B2140" s="523" t="s">
        <v>4943</v>
      </c>
      <c r="C2140" s="523" t="s">
        <v>4944</v>
      </c>
      <c r="D2140" s="523" t="s">
        <v>4935</v>
      </c>
      <c r="E2140" s="523" t="s">
        <v>4936</v>
      </c>
      <c r="F2140" s="523" t="s">
        <v>51</v>
      </c>
    </row>
    <row r="2141">
      <c r="A2141" s="523">
        <v>2140</v>
      </c>
      <c r="B2141" s="523" t="s">
        <v>4945</v>
      </c>
      <c r="C2141" s="523" t="s">
        <v>1536</v>
      </c>
      <c r="D2141" s="523" t="s">
        <v>4935</v>
      </c>
      <c r="E2141" s="523" t="s">
        <v>4936</v>
      </c>
      <c r="F2141" s="523" t="s">
        <v>51</v>
      </c>
    </row>
    <row r="2142">
      <c r="A2142" s="523">
        <v>2141</v>
      </c>
      <c r="B2142" s="523" t="s">
        <v>4946</v>
      </c>
      <c r="C2142" s="523" t="s">
        <v>4947</v>
      </c>
      <c r="D2142" s="523" t="s">
        <v>4935</v>
      </c>
      <c r="E2142" s="523" t="s">
        <v>4936</v>
      </c>
      <c r="F2142" s="523" t="s">
        <v>51</v>
      </c>
    </row>
    <row r="2143">
      <c r="A2143" s="523">
        <v>2142</v>
      </c>
      <c r="B2143" s="523" t="s">
        <v>4948</v>
      </c>
      <c r="C2143" s="523" t="s">
        <v>4949</v>
      </c>
      <c r="D2143" s="523" t="s">
        <v>4935</v>
      </c>
      <c r="E2143" s="523" t="s">
        <v>4936</v>
      </c>
      <c r="F2143" s="523" t="s">
        <v>51</v>
      </c>
    </row>
    <row r="2144">
      <c r="A2144" s="523">
        <v>2143</v>
      </c>
      <c r="B2144" s="523" t="s">
        <v>4950</v>
      </c>
      <c r="C2144" s="523" t="s">
        <v>4951</v>
      </c>
      <c r="D2144" s="523" t="s">
        <v>4952</v>
      </c>
      <c r="E2144" s="523" t="s">
        <v>4953</v>
      </c>
      <c r="F2144" s="523" t="s">
        <v>51</v>
      </c>
    </row>
    <row r="2145">
      <c r="A2145" s="523">
        <v>2144</v>
      </c>
      <c r="B2145" s="523" t="s">
        <v>4954</v>
      </c>
      <c r="C2145" s="523" t="s">
        <v>4955</v>
      </c>
      <c r="D2145" s="523" t="s">
        <v>4952</v>
      </c>
      <c r="E2145" s="523" t="s">
        <v>4953</v>
      </c>
      <c r="F2145" s="523" t="s">
        <v>51</v>
      </c>
    </row>
    <row r="2146">
      <c r="A2146" s="523">
        <v>2145</v>
      </c>
      <c r="B2146" s="523" t="s">
        <v>4956</v>
      </c>
      <c r="C2146" s="523" t="s">
        <v>1148</v>
      </c>
      <c r="D2146" s="523" t="s">
        <v>4952</v>
      </c>
      <c r="E2146" s="523" t="s">
        <v>4953</v>
      </c>
      <c r="F2146" s="523" t="s">
        <v>51</v>
      </c>
    </row>
    <row r="2147">
      <c r="A2147" s="523">
        <v>2146</v>
      </c>
      <c r="B2147" s="523" t="s">
        <v>4957</v>
      </c>
      <c r="C2147" s="523" t="s">
        <v>4958</v>
      </c>
      <c r="D2147" s="523" t="s">
        <v>4952</v>
      </c>
      <c r="E2147" s="523" t="s">
        <v>4953</v>
      </c>
      <c r="F2147" s="523" t="s">
        <v>51</v>
      </c>
    </row>
    <row r="2148">
      <c r="A2148" s="523">
        <v>2147</v>
      </c>
      <c r="B2148" s="523" t="s">
        <v>4959</v>
      </c>
      <c r="C2148" s="523" t="s">
        <v>4960</v>
      </c>
      <c r="D2148" s="523" t="s">
        <v>4952</v>
      </c>
      <c r="E2148" s="523" t="s">
        <v>4953</v>
      </c>
      <c r="F2148" s="523" t="s">
        <v>51</v>
      </c>
    </row>
    <row r="2149">
      <c r="A2149" s="523">
        <v>2148</v>
      </c>
      <c r="B2149" s="523" t="s">
        <v>4961</v>
      </c>
      <c r="C2149" s="523" t="s">
        <v>4962</v>
      </c>
      <c r="D2149" s="523" t="s">
        <v>4952</v>
      </c>
      <c r="E2149" s="523" t="s">
        <v>4953</v>
      </c>
      <c r="F2149" s="523" t="s">
        <v>51</v>
      </c>
    </row>
    <row r="2150">
      <c r="A2150" s="523">
        <v>2149</v>
      </c>
      <c r="B2150" s="523" t="s">
        <v>4963</v>
      </c>
      <c r="C2150" s="523" t="s">
        <v>4964</v>
      </c>
      <c r="D2150" s="523" t="s">
        <v>4952</v>
      </c>
      <c r="E2150" s="523" t="s">
        <v>4953</v>
      </c>
      <c r="F2150" s="523" t="s">
        <v>51</v>
      </c>
    </row>
    <row r="2151">
      <c r="A2151" s="523">
        <v>2150</v>
      </c>
      <c r="B2151" s="523" t="s">
        <v>4965</v>
      </c>
      <c r="C2151" s="523" t="s">
        <v>4966</v>
      </c>
      <c r="D2151" s="523" t="s">
        <v>4952</v>
      </c>
      <c r="E2151" s="523" t="s">
        <v>4953</v>
      </c>
      <c r="F2151" s="523" t="s">
        <v>51</v>
      </c>
    </row>
    <row r="2152">
      <c r="A2152" s="523">
        <v>2151</v>
      </c>
      <c r="B2152" s="523" t="s">
        <v>4967</v>
      </c>
      <c r="C2152" s="523" t="s">
        <v>4968</v>
      </c>
      <c r="D2152" s="523" t="s">
        <v>4952</v>
      </c>
      <c r="E2152" s="523" t="s">
        <v>4953</v>
      </c>
      <c r="F2152" s="523" t="s">
        <v>51</v>
      </c>
    </row>
    <row r="2153">
      <c r="A2153" s="523">
        <v>2152</v>
      </c>
      <c r="B2153" s="523" t="s">
        <v>4969</v>
      </c>
      <c r="C2153" s="523" t="s">
        <v>4970</v>
      </c>
      <c r="D2153" s="523" t="s">
        <v>4952</v>
      </c>
      <c r="E2153" s="523" t="s">
        <v>4953</v>
      </c>
      <c r="F2153" s="523" t="s">
        <v>51</v>
      </c>
    </row>
    <row r="2154">
      <c r="A2154" s="523">
        <v>2153</v>
      </c>
      <c r="B2154" s="523" t="s">
        <v>4971</v>
      </c>
      <c r="C2154" s="523" t="s">
        <v>4972</v>
      </c>
      <c r="D2154" s="523" t="s">
        <v>4952</v>
      </c>
      <c r="E2154" s="523" t="s">
        <v>4953</v>
      </c>
      <c r="F2154" s="523" t="s">
        <v>51</v>
      </c>
    </row>
    <row r="2155">
      <c r="A2155" s="523">
        <v>2154</v>
      </c>
      <c r="B2155" s="523" t="s">
        <v>4973</v>
      </c>
      <c r="C2155" s="523" t="s">
        <v>4974</v>
      </c>
      <c r="D2155" s="523" t="s">
        <v>4952</v>
      </c>
      <c r="E2155" s="523" t="s">
        <v>4953</v>
      </c>
      <c r="F2155" s="523" t="s">
        <v>51</v>
      </c>
    </row>
    <row r="2156">
      <c r="A2156" s="523">
        <v>2155</v>
      </c>
      <c r="B2156" s="523" t="s">
        <v>4975</v>
      </c>
      <c r="C2156" s="523" t="s">
        <v>4976</v>
      </c>
      <c r="D2156" s="523" t="s">
        <v>4952</v>
      </c>
      <c r="E2156" s="523" t="s">
        <v>4953</v>
      </c>
      <c r="F2156" s="523" t="s">
        <v>51</v>
      </c>
    </row>
    <row r="2157">
      <c r="A2157" s="523">
        <v>2156</v>
      </c>
      <c r="B2157" s="523" t="s">
        <v>4977</v>
      </c>
      <c r="C2157" s="523" t="s">
        <v>4978</v>
      </c>
      <c r="D2157" s="523" t="s">
        <v>4952</v>
      </c>
      <c r="E2157" s="523" t="s">
        <v>4953</v>
      </c>
      <c r="F2157" s="523" t="s">
        <v>51</v>
      </c>
    </row>
    <row r="2158">
      <c r="A2158" s="523">
        <v>2157</v>
      </c>
      <c r="B2158" s="523" t="s">
        <v>4979</v>
      </c>
      <c r="C2158" s="523" t="s">
        <v>4980</v>
      </c>
      <c r="D2158" s="523" t="s">
        <v>4952</v>
      </c>
      <c r="E2158" s="523" t="s">
        <v>4953</v>
      </c>
      <c r="F2158" s="523" t="s">
        <v>51</v>
      </c>
    </row>
    <row r="2159">
      <c r="A2159" s="523">
        <v>2158</v>
      </c>
      <c r="B2159" s="523" t="s">
        <v>4981</v>
      </c>
      <c r="C2159" s="523" t="s">
        <v>4982</v>
      </c>
      <c r="D2159" s="523" t="s">
        <v>4952</v>
      </c>
      <c r="E2159" s="523" t="s">
        <v>4953</v>
      </c>
      <c r="F2159" s="523" t="s">
        <v>51</v>
      </c>
    </row>
    <row r="2160">
      <c r="A2160" s="523">
        <v>2159</v>
      </c>
      <c r="B2160" s="523" t="s">
        <v>4983</v>
      </c>
      <c r="C2160" s="523" t="s">
        <v>1835</v>
      </c>
      <c r="D2160" s="523" t="s">
        <v>4984</v>
      </c>
      <c r="E2160" s="523" t="s">
        <v>928</v>
      </c>
      <c r="F2160" s="523" t="s">
        <v>54</v>
      </c>
    </row>
    <row r="2161">
      <c r="A2161" s="523">
        <v>2160</v>
      </c>
      <c r="B2161" s="523" t="s">
        <v>4985</v>
      </c>
      <c r="C2161" s="523" t="s">
        <v>1758</v>
      </c>
      <c r="D2161" s="523" t="s">
        <v>4984</v>
      </c>
      <c r="E2161" s="523" t="s">
        <v>928</v>
      </c>
      <c r="F2161" s="523" t="s">
        <v>54</v>
      </c>
    </row>
    <row r="2162">
      <c r="A2162" s="523">
        <v>2161</v>
      </c>
      <c r="B2162" s="523" t="s">
        <v>4986</v>
      </c>
      <c r="C2162" s="523" t="s">
        <v>4987</v>
      </c>
      <c r="D2162" s="523" t="s">
        <v>4984</v>
      </c>
      <c r="E2162" s="523" t="s">
        <v>928</v>
      </c>
      <c r="F2162" s="523" t="s">
        <v>54</v>
      </c>
    </row>
    <row r="2163">
      <c r="A2163" s="523">
        <v>2162</v>
      </c>
      <c r="B2163" s="523" t="s">
        <v>4988</v>
      </c>
      <c r="C2163" s="523" t="s">
        <v>4989</v>
      </c>
      <c r="D2163" s="523" t="s">
        <v>4984</v>
      </c>
      <c r="E2163" s="523" t="s">
        <v>928</v>
      </c>
      <c r="F2163" s="523" t="s">
        <v>54</v>
      </c>
    </row>
    <row r="2164">
      <c r="A2164" s="523">
        <v>2163</v>
      </c>
      <c r="B2164" s="523" t="s">
        <v>4990</v>
      </c>
      <c r="C2164" s="523" t="s">
        <v>4991</v>
      </c>
      <c r="D2164" s="523" t="s">
        <v>4984</v>
      </c>
      <c r="E2164" s="523" t="s">
        <v>928</v>
      </c>
      <c r="F2164" s="523" t="s">
        <v>54</v>
      </c>
    </row>
    <row r="2165">
      <c r="A2165" s="523">
        <v>2164</v>
      </c>
      <c r="B2165" s="523" t="s">
        <v>4992</v>
      </c>
      <c r="C2165" s="523" t="s">
        <v>2381</v>
      </c>
      <c r="D2165" s="523" t="s">
        <v>4984</v>
      </c>
      <c r="E2165" s="523" t="s">
        <v>928</v>
      </c>
      <c r="F2165" s="523" t="s">
        <v>54</v>
      </c>
    </row>
    <row r="2166">
      <c r="A2166" s="523">
        <v>2165</v>
      </c>
      <c r="B2166" s="523" t="s">
        <v>4993</v>
      </c>
      <c r="C2166" s="523" t="s">
        <v>4994</v>
      </c>
      <c r="D2166" s="523" t="s">
        <v>4984</v>
      </c>
      <c r="E2166" s="523" t="s">
        <v>928</v>
      </c>
      <c r="F2166" s="523" t="s">
        <v>54</v>
      </c>
    </row>
    <row r="2167">
      <c r="A2167" s="523">
        <v>2166</v>
      </c>
      <c r="B2167" s="523" t="s">
        <v>4995</v>
      </c>
      <c r="C2167" s="523" t="s">
        <v>2145</v>
      </c>
      <c r="D2167" s="523" t="s">
        <v>4984</v>
      </c>
      <c r="E2167" s="523" t="s">
        <v>928</v>
      </c>
      <c r="F2167" s="523" t="s">
        <v>54</v>
      </c>
    </row>
    <row r="2168">
      <c r="A2168" s="523">
        <v>2167</v>
      </c>
      <c r="B2168" s="523" t="s">
        <v>4996</v>
      </c>
      <c r="C2168" s="523" t="s">
        <v>4997</v>
      </c>
      <c r="D2168" s="523" t="s">
        <v>4998</v>
      </c>
      <c r="E2168" s="523" t="s">
        <v>4999</v>
      </c>
      <c r="F2168" s="523" t="s">
        <v>54</v>
      </c>
    </row>
    <row r="2169">
      <c r="A2169" s="523">
        <v>2168</v>
      </c>
      <c r="B2169" s="523" t="s">
        <v>5000</v>
      </c>
      <c r="C2169" s="523" t="s">
        <v>5001</v>
      </c>
      <c r="D2169" s="523" t="s">
        <v>4998</v>
      </c>
      <c r="E2169" s="523" t="s">
        <v>4999</v>
      </c>
      <c r="F2169" s="523" t="s">
        <v>54</v>
      </c>
    </row>
    <row r="2170">
      <c r="A2170" s="523">
        <v>2169</v>
      </c>
      <c r="B2170" s="523" t="s">
        <v>5002</v>
      </c>
      <c r="C2170" s="523" t="s">
        <v>5003</v>
      </c>
      <c r="D2170" s="523" t="s">
        <v>4998</v>
      </c>
      <c r="E2170" s="523" t="s">
        <v>4999</v>
      </c>
      <c r="F2170" s="523" t="s">
        <v>54</v>
      </c>
    </row>
    <row r="2171">
      <c r="A2171" s="523">
        <v>2170</v>
      </c>
      <c r="B2171" s="523" t="s">
        <v>5004</v>
      </c>
      <c r="C2171" s="523" t="s">
        <v>5005</v>
      </c>
      <c r="D2171" s="523" t="s">
        <v>4998</v>
      </c>
      <c r="E2171" s="523" t="s">
        <v>4999</v>
      </c>
      <c r="F2171" s="523" t="s">
        <v>54</v>
      </c>
    </row>
    <row r="2172">
      <c r="A2172" s="523">
        <v>2171</v>
      </c>
      <c r="B2172" s="523" t="s">
        <v>5006</v>
      </c>
      <c r="C2172" s="523" t="s">
        <v>5007</v>
      </c>
      <c r="D2172" s="523" t="s">
        <v>4998</v>
      </c>
      <c r="E2172" s="523" t="s">
        <v>4999</v>
      </c>
      <c r="F2172" s="523" t="s">
        <v>54</v>
      </c>
    </row>
    <row r="2173">
      <c r="A2173" s="523">
        <v>2172</v>
      </c>
      <c r="B2173" s="523" t="s">
        <v>5008</v>
      </c>
      <c r="C2173" s="523" t="s">
        <v>5009</v>
      </c>
      <c r="D2173" s="523" t="s">
        <v>4998</v>
      </c>
      <c r="E2173" s="523" t="s">
        <v>4999</v>
      </c>
      <c r="F2173" s="523" t="s">
        <v>54</v>
      </c>
    </row>
    <row r="2174">
      <c r="A2174" s="523">
        <v>2173</v>
      </c>
      <c r="B2174" s="523" t="s">
        <v>5010</v>
      </c>
      <c r="C2174" s="523" t="s">
        <v>5011</v>
      </c>
      <c r="D2174" s="523" t="s">
        <v>4998</v>
      </c>
      <c r="E2174" s="523" t="s">
        <v>4999</v>
      </c>
      <c r="F2174" s="523" t="s">
        <v>54</v>
      </c>
    </row>
    <row r="2175">
      <c r="A2175" s="523">
        <v>2174</v>
      </c>
      <c r="B2175" s="523" t="s">
        <v>5012</v>
      </c>
      <c r="C2175" s="523" t="s">
        <v>5013</v>
      </c>
      <c r="D2175" s="523" t="s">
        <v>4998</v>
      </c>
      <c r="E2175" s="523" t="s">
        <v>4999</v>
      </c>
      <c r="F2175" s="523" t="s">
        <v>54</v>
      </c>
    </row>
    <row r="2176">
      <c r="A2176" s="523">
        <v>2175</v>
      </c>
      <c r="B2176" s="523" t="s">
        <v>5014</v>
      </c>
      <c r="C2176" s="523" t="s">
        <v>5015</v>
      </c>
      <c r="D2176" s="523" t="s">
        <v>5016</v>
      </c>
      <c r="E2176" s="523" t="s">
        <v>5017</v>
      </c>
      <c r="F2176" s="523" t="s">
        <v>54</v>
      </c>
    </row>
    <row r="2177">
      <c r="A2177" s="523">
        <v>2176</v>
      </c>
      <c r="B2177" s="523" t="s">
        <v>5018</v>
      </c>
      <c r="C2177" s="523" t="s">
        <v>5019</v>
      </c>
      <c r="D2177" s="523" t="s">
        <v>5016</v>
      </c>
      <c r="E2177" s="523" t="s">
        <v>5017</v>
      </c>
      <c r="F2177" s="523" t="s">
        <v>54</v>
      </c>
    </row>
    <row r="2178">
      <c r="A2178" s="523">
        <v>2177</v>
      </c>
      <c r="B2178" s="523" t="s">
        <v>5020</v>
      </c>
      <c r="C2178" s="523" t="s">
        <v>5021</v>
      </c>
      <c r="D2178" s="523" t="s">
        <v>5016</v>
      </c>
      <c r="E2178" s="523" t="s">
        <v>5017</v>
      </c>
      <c r="F2178" s="523" t="s">
        <v>54</v>
      </c>
    </row>
    <row r="2179">
      <c r="A2179" s="523">
        <v>2178</v>
      </c>
      <c r="B2179" s="523" t="s">
        <v>5022</v>
      </c>
      <c r="C2179" s="523" t="s">
        <v>5023</v>
      </c>
      <c r="D2179" s="523" t="s">
        <v>5016</v>
      </c>
      <c r="E2179" s="523" t="s">
        <v>5017</v>
      </c>
      <c r="F2179" s="523" t="s">
        <v>54</v>
      </c>
    </row>
    <row r="2180">
      <c r="A2180" s="523">
        <v>2179</v>
      </c>
      <c r="B2180" s="523" t="s">
        <v>5024</v>
      </c>
      <c r="C2180" s="523" t="s">
        <v>5025</v>
      </c>
      <c r="D2180" s="523" t="s">
        <v>5016</v>
      </c>
      <c r="E2180" s="523" t="s">
        <v>5017</v>
      </c>
      <c r="F2180" s="523" t="s">
        <v>54</v>
      </c>
    </row>
    <row r="2181">
      <c r="A2181" s="523">
        <v>2180</v>
      </c>
      <c r="B2181" s="523" t="s">
        <v>5026</v>
      </c>
      <c r="C2181" s="523" t="s">
        <v>5027</v>
      </c>
      <c r="D2181" s="523" t="s">
        <v>5016</v>
      </c>
      <c r="E2181" s="523" t="s">
        <v>5017</v>
      </c>
      <c r="F2181" s="523" t="s">
        <v>54</v>
      </c>
    </row>
    <row r="2182">
      <c r="A2182" s="523">
        <v>2181</v>
      </c>
      <c r="B2182" s="523" t="s">
        <v>5028</v>
      </c>
      <c r="C2182" s="523" t="s">
        <v>5029</v>
      </c>
      <c r="D2182" s="523" t="s">
        <v>5016</v>
      </c>
      <c r="E2182" s="523" t="s">
        <v>5017</v>
      </c>
      <c r="F2182" s="523" t="s">
        <v>54</v>
      </c>
    </row>
    <row r="2183">
      <c r="A2183" s="523">
        <v>2182</v>
      </c>
      <c r="B2183" s="523" t="s">
        <v>5030</v>
      </c>
      <c r="C2183" s="523" t="s">
        <v>988</v>
      </c>
      <c r="D2183" s="523" t="s">
        <v>5016</v>
      </c>
      <c r="E2183" s="523" t="s">
        <v>5017</v>
      </c>
      <c r="F2183" s="523" t="s">
        <v>54</v>
      </c>
    </row>
    <row r="2184">
      <c r="A2184" s="523">
        <v>2183</v>
      </c>
      <c r="B2184" s="523" t="s">
        <v>5031</v>
      </c>
      <c r="C2184" s="523" t="s">
        <v>1925</v>
      </c>
      <c r="D2184" s="523" t="s">
        <v>5016</v>
      </c>
      <c r="E2184" s="523" t="s">
        <v>5017</v>
      </c>
      <c r="F2184" s="523" t="s">
        <v>54</v>
      </c>
    </row>
    <row r="2185">
      <c r="A2185" s="523">
        <v>2184</v>
      </c>
      <c r="B2185" s="523" t="s">
        <v>5032</v>
      </c>
      <c r="C2185" s="523" t="s">
        <v>5033</v>
      </c>
      <c r="D2185" s="523" t="s">
        <v>5016</v>
      </c>
      <c r="E2185" s="523" t="s">
        <v>5017</v>
      </c>
      <c r="F2185" s="523" t="s">
        <v>54</v>
      </c>
    </row>
    <row r="2186">
      <c r="A2186" s="523">
        <v>2185</v>
      </c>
      <c r="B2186" s="523" t="s">
        <v>5034</v>
      </c>
      <c r="C2186" s="523" t="s">
        <v>5035</v>
      </c>
      <c r="D2186" s="523" t="s">
        <v>5016</v>
      </c>
      <c r="E2186" s="523" t="s">
        <v>5017</v>
      </c>
      <c r="F2186" s="523" t="s">
        <v>54</v>
      </c>
    </row>
    <row r="2187">
      <c r="A2187" s="523">
        <v>2186</v>
      </c>
      <c r="B2187" s="523" t="s">
        <v>5036</v>
      </c>
      <c r="C2187" s="523" t="s">
        <v>2889</v>
      </c>
      <c r="D2187" s="523" t="s">
        <v>5016</v>
      </c>
      <c r="E2187" s="523" t="s">
        <v>5017</v>
      </c>
      <c r="F2187" s="523" t="s">
        <v>54</v>
      </c>
    </row>
    <row r="2188">
      <c r="A2188" s="523">
        <v>2187</v>
      </c>
      <c r="B2188" s="523" t="s">
        <v>5037</v>
      </c>
      <c r="C2188" s="523" t="s">
        <v>5038</v>
      </c>
      <c r="D2188" s="523" t="s">
        <v>5016</v>
      </c>
      <c r="E2188" s="523" t="s">
        <v>5017</v>
      </c>
      <c r="F2188" s="523" t="s">
        <v>54</v>
      </c>
    </row>
    <row r="2189">
      <c r="A2189" s="523">
        <v>2188</v>
      </c>
      <c r="B2189" s="523" t="s">
        <v>5039</v>
      </c>
      <c r="C2189" s="523" t="s">
        <v>5040</v>
      </c>
      <c r="D2189" s="523" t="s">
        <v>5041</v>
      </c>
      <c r="E2189" s="523" t="s">
        <v>5042</v>
      </c>
      <c r="F2189" s="523" t="s">
        <v>54</v>
      </c>
    </row>
    <row r="2190">
      <c r="A2190" s="523">
        <v>2189</v>
      </c>
      <c r="B2190" s="523" t="s">
        <v>5043</v>
      </c>
      <c r="C2190" s="523" t="s">
        <v>5044</v>
      </c>
      <c r="D2190" s="523" t="s">
        <v>5041</v>
      </c>
      <c r="E2190" s="523" t="s">
        <v>5042</v>
      </c>
      <c r="F2190" s="523" t="s">
        <v>54</v>
      </c>
    </row>
    <row r="2191">
      <c r="A2191" s="523">
        <v>2190</v>
      </c>
      <c r="B2191" s="523" t="s">
        <v>5045</v>
      </c>
      <c r="C2191" s="523" t="s">
        <v>5046</v>
      </c>
      <c r="D2191" s="523" t="s">
        <v>5041</v>
      </c>
      <c r="E2191" s="523" t="s">
        <v>5042</v>
      </c>
      <c r="F2191" s="523" t="s">
        <v>54</v>
      </c>
    </row>
    <row r="2192">
      <c r="A2192" s="523">
        <v>2191</v>
      </c>
      <c r="B2192" s="523" t="s">
        <v>5047</v>
      </c>
      <c r="C2192" s="523" t="s">
        <v>5048</v>
      </c>
      <c r="D2192" s="523" t="s">
        <v>5041</v>
      </c>
      <c r="E2192" s="523" t="s">
        <v>5042</v>
      </c>
      <c r="F2192" s="523" t="s">
        <v>54</v>
      </c>
    </row>
    <row r="2193">
      <c r="A2193" s="523">
        <v>2192</v>
      </c>
      <c r="B2193" s="523" t="s">
        <v>5049</v>
      </c>
      <c r="C2193" s="523" t="s">
        <v>3911</v>
      </c>
      <c r="D2193" s="523" t="s">
        <v>5041</v>
      </c>
      <c r="E2193" s="523" t="s">
        <v>5042</v>
      </c>
      <c r="F2193" s="523" t="s">
        <v>54</v>
      </c>
    </row>
    <row r="2194">
      <c r="A2194" s="523">
        <v>2193</v>
      </c>
      <c r="B2194" s="523" t="s">
        <v>5050</v>
      </c>
      <c r="C2194" s="523" t="s">
        <v>2736</v>
      </c>
      <c r="D2194" s="523" t="s">
        <v>5041</v>
      </c>
      <c r="E2194" s="523" t="s">
        <v>5042</v>
      </c>
      <c r="F2194" s="523" t="s">
        <v>54</v>
      </c>
    </row>
    <row r="2195">
      <c r="A2195" s="523">
        <v>2194</v>
      </c>
      <c r="B2195" s="523" t="s">
        <v>5051</v>
      </c>
      <c r="C2195" s="523" t="s">
        <v>882</v>
      </c>
      <c r="D2195" s="523" t="s">
        <v>5041</v>
      </c>
      <c r="E2195" s="523" t="s">
        <v>5042</v>
      </c>
      <c r="F2195" s="523" t="s">
        <v>54</v>
      </c>
    </row>
    <row r="2196">
      <c r="A2196" s="523">
        <v>2195</v>
      </c>
      <c r="B2196" s="523" t="s">
        <v>5052</v>
      </c>
      <c r="C2196" s="523" t="s">
        <v>5053</v>
      </c>
      <c r="D2196" s="523" t="s">
        <v>5041</v>
      </c>
      <c r="E2196" s="523" t="s">
        <v>5042</v>
      </c>
      <c r="F2196" s="523" t="s">
        <v>54</v>
      </c>
    </row>
    <row r="2197">
      <c r="A2197" s="523">
        <v>2196</v>
      </c>
      <c r="B2197" s="523" t="s">
        <v>5054</v>
      </c>
      <c r="C2197" s="523" t="s">
        <v>1232</v>
      </c>
      <c r="D2197" s="523" t="s">
        <v>5041</v>
      </c>
      <c r="E2197" s="523" t="s">
        <v>5042</v>
      </c>
      <c r="F2197" s="523" t="s">
        <v>54</v>
      </c>
    </row>
    <row r="2198">
      <c r="A2198" s="523">
        <v>2197</v>
      </c>
      <c r="B2198" s="523" t="s">
        <v>5055</v>
      </c>
      <c r="C2198" s="523" t="s">
        <v>1194</v>
      </c>
      <c r="D2198" s="523" t="s">
        <v>5041</v>
      </c>
      <c r="E2198" s="523" t="s">
        <v>5042</v>
      </c>
      <c r="F2198" s="523" t="s">
        <v>54</v>
      </c>
    </row>
    <row r="2199">
      <c r="A2199" s="523">
        <v>2198</v>
      </c>
      <c r="B2199" s="523" t="s">
        <v>5056</v>
      </c>
      <c r="C2199" s="523" t="s">
        <v>5057</v>
      </c>
      <c r="D2199" s="523" t="s">
        <v>5041</v>
      </c>
      <c r="E2199" s="523" t="s">
        <v>5042</v>
      </c>
      <c r="F2199" s="523" t="s">
        <v>54</v>
      </c>
    </row>
    <row r="2200">
      <c r="A2200" s="523">
        <v>2199</v>
      </c>
      <c r="B2200" s="523" t="s">
        <v>5058</v>
      </c>
      <c r="C2200" s="523" t="s">
        <v>5059</v>
      </c>
      <c r="D2200" s="523" t="s">
        <v>5060</v>
      </c>
      <c r="E2200" s="523" t="s">
        <v>5061</v>
      </c>
      <c r="F2200" s="523" t="s">
        <v>54</v>
      </c>
    </row>
    <row r="2201">
      <c r="A2201" s="523">
        <v>2200</v>
      </c>
      <c r="B2201" s="523" t="s">
        <v>5062</v>
      </c>
      <c r="C2201" s="523" t="s">
        <v>1431</v>
      </c>
      <c r="D2201" s="523" t="s">
        <v>5060</v>
      </c>
      <c r="E2201" s="523" t="s">
        <v>5061</v>
      </c>
      <c r="F2201" s="523" t="s">
        <v>54</v>
      </c>
    </row>
    <row r="2202">
      <c r="A2202" s="523">
        <v>2201</v>
      </c>
      <c r="B2202" s="523" t="s">
        <v>5063</v>
      </c>
      <c r="C2202" s="523" t="s">
        <v>1679</v>
      </c>
      <c r="D2202" s="523" t="s">
        <v>5060</v>
      </c>
      <c r="E2202" s="523" t="s">
        <v>5061</v>
      </c>
      <c r="F2202" s="523" t="s">
        <v>54</v>
      </c>
    </row>
    <row r="2203">
      <c r="A2203" s="523">
        <v>2202</v>
      </c>
      <c r="B2203" s="523" t="s">
        <v>5064</v>
      </c>
      <c r="C2203" s="523" t="s">
        <v>5065</v>
      </c>
      <c r="D2203" s="523" t="s">
        <v>5060</v>
      </c>
      <c r="E2203" s="523" t="s">
        <v>5061</v>
      </c>
      <c r="F2203" s="523" t="s">
        <v>54</v>
      </c>
    </row>
    <row r="2204">
      <c r="A2204" s="523">
        <v>2203</v>
      </c>
      <c r="B2204" s="523" t="s">
        <v>5066</v>
      </c>
      <c r="C2204" s="523" t="s">
        <v>4065</v>
      </c>
      <c r="D2204" s="523" t="s">
        <v>5060</v>
      </c>
      <c r="E2204" s="523" t="s">
        <v>5061</v>
      </c>
      <c r="F2204" s="523" t="s">
        <v>54</v>
      </c>
    </row>
    <row r="2205">
      <c r="A2205" s="523">
        <v>2204</v>
      </c>
      <c r="B2205" s="523" t="s">
        <v>5067</v>
      </c>
      <c r="C2205" s="523" t="s">
        <v>4069</v>
      </c>
      <c r="D2205" s="523" t="s">
        <v>5060</v>
      </c>
      <c r="E2205" s="523" t="s">
        <v>5061</v>
      </c>
      <c r="F2205" s="523" t="s">
        <v>54</v>
      </c>
    </row>
    <row r="2206">
      <c r="A2206" s="523">
        <v>2205</v>
      </c>
      <c r="B2206" s="523" t="s">
        <v>5068</v>
      </c>
      <c r="C2206" s="523" t="s">
        <v>5069</v>
      </c>
      <c r="D2206" s="523" t="s">
        <v>5060</v>
      </c>
      <c r="E2206" s="523" t="s">
        <v>5061</v>
      </c>
      <c r="F2206" s="523" t="s">
        <v>54</v>
      </c>
    </row>
    <row r="2207">
      <c r="A2207" s="523">
        <v>2206</v>
      </c>
      <c r="B2207" s="523" t="s">
        <v>5070</v>
      </c>
      <c r="C2207" s="523" t="s">
        <v>1950</v>
      </c>
      <c r="D2207" s="523" t="s">
        <v>5060</v>
      </c>
      <c r="E2207" s="523" t="s">
        <v>5061</v>
      </c>
      <c r="F2207" s="523" t="s">
        <v>54</v>
      </c>
    </row>
    <row r="2208">
      <c r="A2208" s="523">
        <v>2207</v>
      </c>
      <c r="B2208" s="523" t="s">
        <v>5071</v>
      </c>
      <c r="C2208" s="523" t="s">
        <v>3825</v>
      </c>
      <c r="D2208" s="523" t="s">
        <v>5060</v>
      </c>
      <c r="E2208" s="523" t="s">
        <v>5061</v>
      </c>
      <c r="F2208" s="523" t="s">
        <v>54</v>
      </c>
    </row>
    <row r="2209">
      <c r="A2209" s="523">
        <v>2208</v>
      </c>
      <c r="B2209" s="523" t="s">
        <v>5072</v>
      </c>
      <c r="C2209" s="523" t="s">
        <v>5073</v>
      </c>
      <c r="D2209" s="523" t="s">
        <v>5074</v>
      </c>
      <c r="E2209" s="523" t="s">
        <v>5075</v>
      </c>
      <c r="F2209" s="523" t="s">
        <v>54</v>
      </c>
    </row>
    <row r="2210">
      <c r="A2210" s="523">
        <v>2209</v>
      </c>
      <c r="B2210" s="523" t="s">
        <v>5076</v>
      </c>
      <c r="C2210" s="523" t="s">
        <v>5077</v>
      </c>
      <c r="D2210" s="523" t="s">
        <v>5074</v>
      </c>
      <c r="E2210" s="523" t="s">
        <v>5075</v>
      </c>
      <c r="F2210" s="523" t="s">
        <v>54</v>
      </c>
    </row>
    <row r="2211">
      <c r="A2211" s="523">
        <v>2210</v>
      </c>
      <c r="B2211" s="523" t="s">
        <v>5078</v>
      </c>
      <c r="C2211" s="523" t="s">
        <v>5079</v>
      </c>
      <c r="D2211" s="523" t="s">
        <v>5074</v>
      </c>
      <c r="E2211" s="523" t="s">
        <v>5075</v>
      </c>
      <c r="F2211" s="523" t="s">
        <v>54</v>
      </c>
    </row>
    <row r="2212">
      <c r="A2212" s="523">
        <v>2211</v>
      </c>
      <c r="B2212" s="523" t="s">
        <v>5080</v>
      </c>
      <c r="C2212" s="523" t="s">
        <v>5081</v>
      </c>
      <c r="D2212" s="523" t="s">
        <v>5074</v>
      </c>
      <c r="E2212" s="523" t="s">
        <v>5075</v>
      </c>
      <c r="F2212" s="523" t="s">
        <v>54</v>
      </c>
    </row>
    <row r="2213">
      <c r="A2213" s="523">
        <v>2212</v>
      </c>
      <c r="B2213" s="523" t="s">
        <v>5082</v>
      </c>
      <c r="C2213" s="523" t="s">
        <v>5083</v>
      </c>
      <c r="D2213" s="523" t="s">
        <v>5074</v>
      </c>
      <c r="E2213" s="523" t="s">
        <v>5075</v>
      </c>
      <c r="F2213" s="523" t="s">
        <v>54</v>
      </c>
    </row>
    <row r="2214">
      <c r="A2214" s="523">
        <v>2213</v>
      </c>
      <c r="B2214" s="523" t="s">
        <v>5084</v>
      </c>
      <c r="C2214" s="523" t="s">
        <v>5085</v>
      </c>
      <c r="D2214" s="523" t="s">
        <v>5074</v>
      </c>
      <c r="E2214" s="523" t="s">
        <v>5075</v>
      </c>
      <c r="F2214" s="523" t="s">
        <v>54</v>
      </c>
    </row>
    <row r="2215">
      <c r="A2215" s="523">
        <v>2214</v>
      </c>
      <c r="B2215" s="523" t="s">
        <v>5086</v>
      </c>
      <c r="C2215" s="523" t="s">
        <v>5087</v>
      </c>
      <c r="D2215" s="523" t="s">
        <v>5074</v>
      </c>
      <c r="E2215" s="523" t="s">
        <v>5075</v>
      </c>
      <c r="F2215" s="523" t="s">
        <v>54</v>
      </c>
    </row>
    <row r="2216">
      <c r="A2216" s="523">
        <v>2215</v>
      </c>
      <c r="B2216" s="523" t="s">
        <v>5088</v>
      </c>
      <c r="C2216" s="523" t="s">
        <v>5089</v>
      </c>
      <c r="D2216" s="523" t="s">
        <v>5074</v>
      </c>
      <c r="E2216" s="523" t="s">
        <v>5075</v>
      </c>
      <c r="F2216" s="523" t="s">
        <v>54</v>
      </c>
    </row>
    <row r="2217">
      <c r="A2217" s="523">
        <v>2216</v>
      </c>
      <c r="B2217" s="523" t="s">
        <v>5090</v>
      </c>
      <c r="C2217" s="523" t="s">
        <v>2333</v>
      </c>
      <c r="D2217" s="523" t="s">
        <v>5074</v>
      </c>
      <c r="E2217" s="523" t="s">
        <v>5075</v>
      </c>
      <c r="F2217" s="523" t="s">
        <v>54</v>
      </c>
    </row>
    <row r="2218">
      <c r="A2218" s="523">
        <v>2217</v>
      </c>
      <c r="B2218" s="523" t="s">
        <v>5091</v>
      </c>
      <c r="C2218" s="523" t="s">
        <v>5092</v>
      </c>
      <c r="D2218" s="523" t="s">
        <v>5074</v>
      </c>
      <c r="E2218" s="523" t="s">
        <v>5075</v>
      </c>
      <c r="F2218" s="523" t="s">
        <v>54</v>
      </c>
    </row>
    <row r="2219">
      <c r="A2219" s="523">
        <v>2218</v>
      </c>
      <c r="B2219" s="523" t="s">
        <v>5093</v>
      </c>
      <c r="C2219" s="523" t="s">
        <v>5094</v>
      </c>
      <c r="D2219" s="523" t="s">
        <v>5074</v>
      </c>
      <c r="E2219" s="523" t="s">
        <v>5075</v>
      </c>
      <c r="F2219" s="523" t="s">
        <v>54</v>
      </c>
    </row>
    <row r="2220">
      <c r="A2220" s="523">
        <v>2219</v>
      </c>
      <c r="B2220" s="523" t="s">
        <v>5095</v>
      </c>
      <c r="C2220" s="523" t="s">
        <v>5096</v>
      </c>
      <c r="D2220" s="523" t="s">
        <v>5097</v>
      </c>
      <c r="E2220" s="523" t="s">
        <v>5098</v>
      </c>
      <c r="F2220" s="523" t="s">
        <v>54</v>
      </c>
    </row>
    <row r="2221">
      <c r="A2221" s="523">
        <v>2220</v>
      </c>
      <c r="B2221" s="523" t="s">
        <v>5099</v>
      </c>
      <c r="C2221" s="523" t="s">
        <v>5100</v>
      </c>
      <c r="D2221" s="523" t="s">
        <v>5097</v>
      </c>
      <c r="E2221" s="523" t="s">
        <v>5098</v>
      </c>
      <c r="F2221" s="523" t="s">
        <v>54</v>
      </c>
    </row>
    <row r="2222">
      <c r="A2222" s="523">
        <v>2221</v>
      </c>
      <c r="B2222" s="523" t="s">
        <v>5101</v>
      </c>
      <c r="C2222" s="523" t="s">
        <v>1805</v>
      </c>
      <c r="D2222" s="523" t="s">
        <v>5097</v>
      </c>
      <c r="E2222" s="523" t="s">
        <v>5098</v>
      </c>
      <c r="F2222" s="523" t="s">
        <v>54</v>
      </c>
    </row>
    <row r="2223">
      <c r="A2223" s="523">
        <v>2222</v>
      </c>
      <c r="B2223" s="523" t="s">
        <v>5102</v>
      </c>
      <c r="C2223" s="523" t="s">
        <v>5103</v>
      </c>
      <c r="D2223" s="523" t="s">
        <v>5097</v>
      </c>
      <c r="E2223" s="523" t="s">
        <v>5098</v>
      </c>
      <c r="F2223" s="523" t="s">
        <v>54</v>
      </c>
    </row>
    <row r="2224">
      <c r="A2224" s="523">
        <v>2223</v>
      </c>
      <c r="B2224" s="523" t="s">
        <v>5104</v>
      </c>
      <c r="C2224" s="523" t="s">
        <v>5105</v>
      </c>
      <c r="D2224" s="523" t="s">
        <v>5097</v>
      </c>
      <c r="E2224" s="523" t="s">
        <v>5098</v>
      </c>
      <c r="F2224" s="523" t="s">
        <v>54</v>
      </c>
    </row>
    <row r="2225">
      <c r="A2225" s="523">
        <v>2224</v>
      </c>
      <c r="B2225" s="523" t="s">
        <v>5106</v>
      </c>
      <c r="C2225" s="523" t="s">
        <v>5107</v>
      </c>
      <c r="D2225" s="523" t="s">
        <v>5097</v>
      </c>
      <c r="E2225" s="523" t="s">
        <v>5098</v>
      </c>
      <c r="F2225" s="523" t="s">
        <v>54</v>
      </c>
    </row>
    <row r="2226">
      <c r="A2226" s="523">
        <v>2225</v>
      </c>
      <c r="B2226" s="523" t="s">
        <v>5108</v>
      </c>
      <c r="C2226" s="523" t="s">
        <v>1819</v>
      </c>
      <c r="D2226" s="523" t="s">
        <v>5097</v>
      </c>
      <c r="E2226" s="523" t="s">
        <v>5098</v>
      </c>
      <c r="F2226" s="523" t="s">
        <v>54</v>
      </c>
    </row>
    <row r="2227">
      <c r="A2227" s="523">
        <v>2226</v>
      </c>
      <c r="B2227" s="523" t="s">
        <v>5109</v>
      </c>
      <c r="C2227" s="523" t="s">
        <v>5110</v>
      </c>
      <c r="D2227" s="523" t="s">
        <v>5097</v>
      </c>
      <c r="E2227" s="523" t="s">
        <v>5098</v>
      </c>
      <c r="F2227" s="523" t="s">
        <v>54</v>
      </c>
    </row>
    <row r="2228">
      <c r="A2228" s="523">
        <v>2227</v>
      </c>
      <c r="B2228" s="523" t="s">
        <v>5111</v>
      </c>
      <c r="C2228" s="523" t="s">
        <v>948</v>
      </c>
      <c r="D2228" s="523" t="s">
        <v>5097</v>
      </c>
      <c r="E2228" s="523" t="s">
        <v>5098</v>
      </c>
      <c r="F2228" s="523" t="s">
        <v>54</v>
      </c>
    </row>
    <row r="2229">
      <c r="A2229" s="523">
        <v>2228</v>
      </c>
      <c r="B2229" s="523" t="s">
        <v>5112</v>
      </c>
      <c r="C2229" s="523" t="s">
        <v>952</v>
      </c>
      <c r="D2229" s="523" t="s">
        <v>5097</v>
      </c>
      <c r="E2229" s="523" t="s">
        <v>5098</v>
      </c>
      <c r="F2229" s="523" t="s">
        <v>54</v>
      </c>
    </row>
    <row r="2230">
      <c r="A2230" s="523">
        <v>2229</v>
      </c>
      <c r="B2230" s="523" t="s">
        <v>5113</v>
      </c>
      <c r="C2230" s="523" t="s">
        <v>5114</v>
      </c>
      <c r="D2230" s="523" t="s">
        <v>5115</v>
      </c>
      <c r="E2230" s="523" t="s">
        <v>5116</v>
      </c>
      <c r="F2230" s="523" t="s">
        <v>54</v>
      </c>
    </row>
    <row r="2231">
      <c r="A2231" s="523">
        <v>2230</v>
      </c>
      <c r="B2231" s="523" t="s">
        <v>5117</v>
      </c>
      <c r="C2231" s="523" t="s">
        <v>5118</v>
      </c>
      <c r="D2231" s="523" t="s">
        <v>5115</v>
      </c>
      <c r="E2231" s="523" t="s">
        <v>5116</v>
      </c>
      <c r="F2231" s="523" t="s">
        <v>54</v>
      </c>
    </row>
    <row r="2232">
      <c r="A2232" s="523">
        <v>2231</v>
      </c>
      <c r="B2232" s="523" t="s">
        <v>5119</v>
      </c>
      <c r="C2232" s="523" t="s">
        <v>5120</v>
      </c>
      <c r="D2232" s="523" t="s">
        <v>5115</v>
      </c>
      <c r="E2232" s="523" t="s">
        <v>5116</v>
      </c>
      <c r="F2232" s="523" t="s">
        <v>54</v>
      </c>
    </row>
    <row r="2233">
      <c r="A2233" s="523">
        <v>2232</v>
      </c>
      <c r="B2233" s="523" t="s">
        <v>5121</v>
      </c>
      <c r="C2233" s="523" t="s">
        <v>5122</v>
      </c>
      <c r="D2233" s="523" t="s">
        <v>5115</v>
      </c>
      <c r="E2233" s="523" t="s">
        <v>5116</v>
      </c>
      <c r="F2233" s="523" t="s">
        <v>54</v>
      </c>
    </row>
    <row r="2234">
      <c r="A2234" s="523">
        <v>2233</v>
      </c>
      <c r="B2234" s="523" t="s">
        <v>5123</v>
      </c>
      <c r="C2234" s="523" t="s">
        <v>5124</v>
      </c>
      <c r="D2234" s="523" t="s">
        <v>5115</v>
      </c>
      <c r="E2234" s="523" t="s">
        <v>5116</v>
      </c>
      <c r="F2234" s="523" t="s">
        <v>54</v>
      </c>
    </row>
    <row r="2235">
      <c r="A2235" s="523">
        <v>2234</v>
      </c>
      <c r="B2235" s="523" t="s">
        <v>5125</v>
      </c>
      <c r="C2235" s="523" t="s">
        <v>5126</v>
      </c>
      <c r="D2235" s="523" t="s">
        <v>5115</v>
      </c>
      <c r="E2235" s="523" t="s">
        <v>5116</v>
      </c>
      <c r="F2235" s="523" t="s">
        <v>54</v>
      </c>
    </row>
    <row r="2236">
      <c r="A2236" s="523">
        <v>2235</v>
      </c>
      <c r="B2236" s="523" t="s">
        <v>5127</v>
      </c>
      <c r="C2236" s="523" t="s">
        <v>5128</v>
      </c>
      <c r="D2236" s="523" t="s">
        <v>5115</v>
      </c>
      <c r="E2236" s="523" t="s">
        <v>5116</v>
      </c>
      <c r="F2236" s="523" t="s">
        <v>54</v>
      </c>
    </row>
    <row r="2237">
      <c r="A2237" s="523">
        <v>2236</v>
      </c>
      <c r="B2237" s="523" t="s">
        <v>5129</v>
      </c>
      <c r="C2237" s="523" t="s">
        <v>5130</v>
      </c>
      <c r="D2237" s="523" t="s">
        <v>5115</v>
      </c>
      <c r="E2237" s="523" t="s">
        <v>5116</v>
      </c>
      <c r="F2237" s="523" t="s">
        <v>54</v>
      </c>
    </row>
    <row r="2238">
      <c r="A2238" s="523">
        <v>2237</v>
      </c>
      <c r="B2238" s="523" t="s">
        <v>5131</v>
      </c>
      <c r="C2238" s="523" t="s">
        <v>2369</v>
      </c>
      <c r="D2238" s="523" t="s">
        <v>5115</v>
      </c>
      <c r="E2238" s="523" t="s">
        <v>5116</v>
      </c>
      <c r="F2238" s="523" t="s">
        <v>54</v>
      </c>
    </row>
    <row r="2239">
      <c r="A2239" s="523">
        <v>2238</v>
      </c>
      <c r="B2239" s="523" t="s">
        <v>5132</v>
      </c>
      <c r="C2239" s="523" t="s">
        <v>5133</v>
      </c>
      <c r="D2239" s="523" t="s">
        <v>5115</v>
      </c>
      <c r="E2239" s="523" t="s">
        <v>5116</v>
      </c>
      <c r="F2239" s="523" t="s">
        <v>54</v>
      </c>
    </row>
    <row r="2240">
      <c r="A2240" s="523">
        <v>2239</v>
      </c>
      <c r="B2240" s="523" t="s">
        <v>5134</v>
      </c>
      <c r="C2240" s="523" t="s">
        <v>5135</v>
      </c>
      <c r="D2240" s="523" t="s">
        <v>5115</v>
      </c>
      <c r="E2240" s="523" t="s">
        <v>5116</v>
      </c>
      <c r="F2240" s="523" t="s">
        <v>54</v>
      </c>
    </row>
    <row r="2241">
      <c r="A2241" s="523">
        <v>2240</v>
      </c>
      <c r="B2241" s="523" t="s">
        <v>5136</v>
      </c>
      <c r="C2241" s="523" t="s">
        <v>1486</v>
      </c>
      <c r="D2241" s="523" t="s">
        <v>5137</v>
      </c>
      <c r="E2241" s="523" t="s">
        <v>5138</v>
      </c>
      <c r="F2241" s="523" t="s">
        <v>54</v>
      </c>
    </row>
    <row r="2242">
      <c r="A2242" s="523">
        <v>2241</v>
      </c>
      <c r="B2242" s="523" t="s">
        <v>5139</v>
      </c>
      <c r="C2242" s="523" t="s">
        <v>3430</v>
      </c>
      <c r="D2242" s="523" t="s">
        <v>5137</v>
      </c>
      <c r="E2242" s="523" t="s">
        <v>5138</v>
      </c>
      <c r="F2242" s="523" t="s">
        <v>54</v>
      </c>
    </row>
    <row r="2243">
      <c r="A2243" s="523">
        <v>2242</v>
      </c>
      <c r="B2243" s="523" t="s">
        <v>5140</v>
      </c>
      <c r="C2243" s="523" t="s">
        <v>1490</v>
      </c>
      <c r="D2243" s="523" t="s">
        <v>5137</v>
      </c>
      <c r="E2243" s="523" t="s">
        <v>5138</v>
      </c>
      <c r="F2243" s="523" t="s">
        <v>54</v>
      </c>
    </row>
    <row r="2244">
      <c r="A2244" s="523">
        <v>2243</v>
      </c>
      <c r="B2244" s="523" t="s">
        <v>5141</v>
      </c>
      <c r="C2244" s="523" t="s">
        <v>1492</v>
      </c>
      <c r="D2244" s="523" t="s">
        <v>5137</v>
      </c>
      <c r="E2244" s="523" t="s">
        <v>5138</v>
      </c>
      <c r="F2244" s="523" t="s">
        <v>54</v>
      </c>
    </row>
    <row r="2245">
      <c r="A2245" s="523">
        <v>2244</v>
      </c>
      <c r="B2245" s="523" t="s">
        <v>5142</v>
      </c>
      <c r="C2245" s="523" t="s">
        <v>2039</v>
      </c>
      <c r="D2245" s="523" t="s">
        <v>5137</v>
      </c>
      <c r="E2245" s="523" t="s">
        <v>5138</v>
      </c>
      <c r="F2245" s="523" t="s">
        <v>54</v>
      </c>
    </row>
    <row r="2246">
      <c r="A2246" s="523">
        <v>2245</v>
      </c>
      <c r="B2246" s="523" t="s">
        <v>5143</v>
      </c>
      <c r="C2246" s="523" t="s">
        <v>1494</v>
      </c>
      <c r="D2246" s="523" t="s">
        <v>5137</v>
      </c>
      <c r="E2246" s="523" t="s">
        <v>5138</v>
      </c>
      <c r="F2246" s="523" t="s">
        <v>54</v>
      </c>
    </row>
    <row r="2247">
      <c r="A2247" s="523">
        <v>2246</v>
      </c>
      <c r="B2247" s="523" t="s">
        <v>5144</v>
      </c>
      <c r="C2247" s="523" t="s">
        <v>2042</v>
      </c>
      <c r="D2247" s="523" t="s">
        <v>5137</v>
      </c>
      <c r="E2247" s="523" t="s">
        <v>5138</v>
      </c>
      <c r="F2247" s="523" t="s">
        <v>54</v>
      </c>
    </row>
    <row r="2248">
      <c r="A2248" s="523">
        <v>2247</v>
      </c>
      <c r="B2248" s="523" t="s">
        <v>5145</v>
      </c>
      <c r="C2248" s="523" t="s">
        <v>1496</v>
      </c>
      <c r="D2248" s="523" t="s">
        <v>5137</v>
      </c>
      <c r="E2248" s="523" t="s">
        <v>5138</v>
      </c>
      <c r="F2248" s="523" t="s">
        <v>54</v>
      </c>
    </row>
    <row r="2249">
      <c r="A2249" s="523">
        <v>2248</v>
      </c>
      <c r="B2249" s="523" t="s">
        <v>5146</v>
      </c>
      <c r="C2249" s="523" t="s">
        <v>654</v>
      </c>
      <c r="D2249" s="523" t="s">
        <v>5137</v>
      </c>
      <c r="E2249" s="523" t="s">
        <v>5138</v>
      </c>
      <c r="F2249" s="523" t="s">
        <v>54</v>
      </c>
    </row>
    <row r="2250">
      <c r="A2250" s="523">
        <v>2249</v>
      </c>
      <c r="B2250" s="523" t="s">
        <v>5147</v>
      </c>
      <c r="C2250" s="523" t="s">
        <v>2498</v>
      </c>
      <c r="D2250" s="523" t="s">
        <v>5137</v>
      </c>
      <c r="E2250" s="523" t="s">
        <v>5138</v>
      </c>
      <c r="F2250" s="523" t="s">
        <v>54</v>
      </c>
    </row>
    <row r="2251">
      <c r="A2251" s="523">
        <v>2250</v>
      </c>
      <c r="B2251" s="523" t="s">
        <v>5148</v>
      </c>
      <c r="C2251" s="523" t="s">
        <v>1486</v>
      </c>
      <c r="D2251" s="523" t="s">
        <v>5149</v>
      </c>
      <c r="E2251" s="523" t="s">
        <v>5150</v>
      </c>
      <c r="F2251" s="523" t="s">
        <v>54</v>
      </c>
    </row>
    <row r="2252">
      <c r="A2252" s="523">
        <v>2251</v>
      </c>
      <c r="B2252" s="523" t="s">
        <v>5151</v>
      </c>
      <c r="C2252" s="523" t="s">
        <v>1490</v>
      </c>
      <c r="D2252" s="523" t="s">
        <v>5149</v>
      </c>
      <c r="E2252" s="523" t="s">
        <v>5150</v>
      </c>
      <c r="F2252" s="523" t="s">
        <v>54</v>
      </c>
    </row>
    <row r="2253">
      <c r="A2253" s="523">
        <v>2252</v>
      </c>
      <c r="B2253" s="523" t="s">
        <v>5152</v>
      </c>
      <c r="C2253" s="523" t="s">
        <v>1492</v>
      </c>
      <c r="D2253" s="523" t="s">
        <v>5149</v>
      </c>
      <c r="E2253" s="523" t="s">
        <v>5150</v>
      </c>
      <c r="F2253" s="523" t="s">
        <v>54</v>
      </c>
    </row>
    <row r="2254">
      <c r="A2254" s="523">
        <v>2253</v>
      </c>
      <c r="B2254" s="523" t="s">
        <v>5153</v>
      </c>
      <c r="C2254" s="523" t="s">
        <v>1675</v>
      </c>
      <c r="D2254" s="523" t="s">
        <v>5149</v>
      </c>
      <c r="E2254" s="523" t="s">
        <v>5150</v>
      </c>
      <c r="F2254" s="523" t="s">
        <v>54</v>
      </c>
    </row>
    <row r="2255">
      <c r="A2255" s="523">
        <v>2254</v>
      </c>
      <c r="B2255" s="523" t="s">
        <v>5154</v>
      </c>
      <c r="C2255" s="523" t="s">
        <v>4404</v>
      </c>
      <c r="D2255" s="523" t="s">
        <v>5149</v>
      </c>
      <c r="E2255" s="523" t="s">
        <v>5150</v>
      </c>
      <c r="F2255" s="523" t="s">
        <v>54</v>
      </c>
    </row>
    <row r="2256">
      <c r="A2256" s="523">
        <v>2255</v>
      </c>
      <c r="B2256" s="523" t="s">
        <v>5155</v>
      </c>
      <c r="C2256" s="523" t="s">
        <v>5156</v>
      </c>
      <c r="D2256" s="523" t="s">
        <v>5149</v>
      </c>
      <c r="E2256" s="523" t="s">
        <v>5150</v>
      </c>
      <c r="F2256" s="523" t="s">
        <v>54</v>
      </c>
    </row>
    <row r="2257">
      <c r="A2257" s="523">
        <v>2256</v>
      </c>
      <c r="B2257" s="523" t="s">
        <v>5157</v>
      </c>
      <c r="C2257" s="523" t="s">
        <v>1279</v>
      </c>
      <c r="D2257" s="523" t="s">
        <v>5149</v>
      </c>
      <c r="E2257" s="523" t="s">
        <v>5150</v>
      </c>
      <c r="F2257" s="523" t="s">
        <v>54</v>
      </c>
    </row>
    <row r="2258">
      <c r="A2258" s="523">
        <v>2257</v>
      </c>
      <c r="B2258" s="523" t="s">
        <v>5158</v>
      </c>
      <c r="C2258" s="523" t="s">
        <v>5159</v>
      </c>
      <c r="D2258" s="523" t="s">
        <v>5149</v>
      </c>
      <c r="E2258" s="523" t="s">
        <v>5150</v>
      </c>
      <c r="F2258" s="523" t="s">
        <v>54</v>
      </c>
    </row>
    <row r="2259">
      <c r="A2259" s="523">
        <v>2258</v>
      </c>
      <c r="B2259" s="523" t="s">
        <v>5160</v>
      </c>
      <c r="C2259" s="523" t="s">
        <v>1486</v>
      </c>
      <c r="D2259" s="523" t="s">
        <v>5161</v>
      </c>
      <c r="E2259" s="523" t="s">
        <v>5162</v>
      </c>
      <c r="F2259" s="523" t="s">
        <v>54</v>
      </c>
    </row>
    <row r="2260">
      <c r="A2260" s="523">
        <v>2259</v>
      </c>
      <c r="B2260" s="523" t="s">
        <v>5163</v>
      </c>
      <c r="C2260" s="523" t="s">
        <v>1490</v>
      </c>
      <c r="D2260" s="523" t="s">
        <v>5161</v>
      </c>
      <c r="E2260" s="523" t="s">
        <v>5162</v>
      </c>
      <c r="F2260" s="523" t="s">
        <v>54</v>
      </c>
    </row>
    <row r="2261">
      <c r="A2261" s="523">
        <v>2260</v>
      </c>
      <c r="B2261" s="523" t="s">
        <v>5164</v>
      </c>
      <c r="C2261" s="523" t="s">
        <v>5165</v>
      </c>
      <c r="D2261" s="523" t="s">
        <v>5161</v>
      </c>
      <c r="E2261" s="523" t="s">
        <v>5162</v>
      </c>
      <c r="F2261" s="523" t="s">
        <v>54</v>
      </c>
    </row>
    <row r="2262">
      <c r="A2262" s="523">
        <v>2261</v>
      </c>
      <c r="B2262" s="523" t="s">
        <v>5166</v>
      </c>
      <c r="C2262" s="523" t="s">
        <v>5167</v>
      </c>
      <c r="D2262" s="523" t="s">
        <v>5161</v>
      </c>
      <c r="E2262" s="523" t="s">
        <v>5162</v>
      </c>
      <c r="F2262" s="523" t="s">
        <v>54</v>
      </c>
    </row>
    <row r="2263">
      <c r="A2263" s="523">
        <v>2262</v>
      </c>
      <c r="B2263" s="523" t="s">
        <v>5168</v>
      </c>
      <c r="C2263" s="523" t="s">
        <v>5169</v>
      </c>
      <c r="D2263" s="523" t="s">
        <v>5161</v>
      </c>
      <c r="E2263" s="523" t="s">
        <v>5162</v>
      </c>
      <c r="F2263" s="523" t="s">
        <v>54</v>
      </c>
    </row>
    <row r="2264">
      <c r="A2264" s="523">
        <v>2263</v>
      </c>
      <c r="B2264" s="523" t="s">
        <v>5170</v>
      </c>
      <c r="C2264" s="523" t="s">
        <v>5171</v>
      </c>
      <c r="D2264" s="523" t="s">
        <v>5161</v>
      </c>
      <c r="E2264" s="523" t="s">
        <v>5162</v>
      </c>
      <c r="F2264" s="523" t="s">
        <v>54</v>
      </c>
    </row>
    <row r="2265">
      <c r="A2265" s="523">
        <v>2264</v>
      </c>
      <c r="B2265" s="523" t="s">
        <v>5172</v>
      </c>
      <c r="C2265" s="523" t="s">
        <v>5173</v>
      </c>
      <c r="D2265" s="523" t="s">
        <v>5161</v>
      </c>
      <c r="E2265" s="523" t="s">
        <v>5162</v>
      </c>
      <c r="F2265" s="523" t="s">
        <v>54</v>
      </c>
    </row>
    <row r="2266">
      <c r="A2266" s="523">
        <v>2265</v>
      </c>
      <c r="B2266" s="523" t="s">
        <v>5174</v>
      </c>
      <c r="C2266" s="523" t="s">
        <v>4882</v>
      </c>
      <c r="D2266" s="523" t="s">
        <v>5161</v>
      </c>
      <c r="E2266" s="523" t="s">
        <v>5162</v>
      </c>
      <c r="F2266" s="523" t="s">
        <v>54</v>
      </c>
    </row>
    <row r="2267">
      <c r="A2267" s="523">
        <v>2266</v>
      </c>
      <c r="B2267" s="523" t="s">
        <v>5175</v>
      </c>
      <c r="C2267" s="523" t="s">
        <v>5176</v>
      </c>
      <c r="D2267" s="523" t="s">
        <v>5161</v>
      </c>
      <c r="E2267" s="523" t="s">
        <v>5162</v>
      </c>
      <c r="F2267" s="523" t="s">
        <v>54</v>
      </c>
    </row>
    <row r="2268">
      <c r="A2268" s="523">
        <v>2267</v>
      </c>
      <c r="B2268" s="523" t="s">
        <v>5177</v>
      </c>
      <c r="C2268" s="523" t="s">
        <v>1368</v>
      </c>
      <c r="D2268" s="523" t="s">
        <v>5161</v>
      </c>
      <c r="E2268" s="523" t="s">
        <v>5162</v>
      </c>
      <c r="F2268" s="523" t="s">
        <v>54</v>
      </c>
    </row>
    <row r="2269">
      <c r="A2269" s="523">
        <v>2268</v>
      </c>
      <c r="B2269" s="523" t="s">
        <v>5178</v>
      </c>
      <c r="C2269" s="523" t="s">
        <v>5179</v>
      </c>
      <c r="D2269" s="523" t="s">
        <v>5180</v>
      </c>
      <c r="E2269" s="523" t="s">
        <v>5181</v>
      </c>
      <c r="F2269" s="523" t="s">
        <v>57</v>
      </c>
    </row>
    <row r="2270">
      <c r="A2270" s="523">
        <v>2269</v>
      </c>
      <c r="B2270" s="523" t="s">
        <v>5182</v>
      </c>
      <c r="C2270" s="523" t="s">
        <v>1072</v>
      </c>
      <c r="D2270" s="523" t="s">
        <v>5180</v>
      </c>
      <c r="E2270" s="523" t="s">
        <v>5181</v>
      </c>
      <c r="F2270" s="523" t="s">
        <v>57</v>
      </c>
    </row>
    <row r="2271">
      <c r="A2271" s="523">
        <v>2270</v>
      </c>
      <c r="B2271" s="523" t="s">
        <v>5183</v>
      </c>
      <c r="C2271" s="523" t="s">
        <v>5184</v>
      </c>
      <c r="D2271" s="523" t="s">
        <v>5180</v>
      </c>
      <c r="E2271" s="523" t="s">
        <v>5181</v>
      </c>
      <c r="F2271" s="523" t="s">
        <v>57</v>
      </c>
    </row>
    <row r="2272">
      <c r="A2272" s="523">
        <v>2271</v>
      </c>
      <c r="B2272" s="523" t="s">
        <v>5185</v>
      </c>
      <c r="C2272" s="523" t="s">
        <v>5186</v>
      </c>
      <c r="D2272" s="523" t="s">
        <v>5180</v>
      </c>
      <c r="E2272" s="523" t="s">
        <v>5181</v>
      </c>
      <c r="F2272" s="523" t="s">
        <v>57</v>
      </c>
    </row>
    <row r="2273">
      <c r="A2273" s="523">
        <v>2272</v>
      </c>
      <c r="B2273" s="523" t="s">
        <v>5187</v>
      </c>
      <c r="C2273" s="523" t="s">
        <v>5188</v>
      </c>
      <c r="D2273" s="523" t="s">
        <v>5180</v>
      </c>
      <c r="E2273" s="523" t="s">
        <v>5181</v>
      </c>
      <c r="F2273" s="523" t="s">
        <v>57</v>
      </c>
    </row>
    <row r="2274">
      <c r="A2274" s="523">
        <v>2273</v>
      </c>
      <c r="B2274" s="523" t="s">
        <v>5189</v>
      </c>
      <c r="C2274" s="523" t="s">
        <v>5190</v>
      </c>
      <c r="D2274" s="523" t="s">
        <v>5180</v>
      </c>
      <c r="E2274" s="523" t="s">
        <v>5181</v>
      </c>
      <c r="F2274" s="523" t="s">
        <v>57</v>
      </c>
    </row>
    <row r="2275">
      <c r="A2275" s="523">
        <v>2274</v>
      </c>
      <c r="B2275" s="523" t="s">
        <v>5191</v>
      </c>
      <c r="C2275" s="523" t="s">
        <v>5192</v>
      </c>
      <c r="D2275" s="523" t="s">
        <v>5180</v>
      </c>
      <c r="E2275" s="523" t="s">
        <v>5181</v>
      </c>
      <c r="F2275" s="523" t="s">
        <v>57</v>
      </c>
    </row>
    <row r="2276">
      <c r="A2276" s="523">
        <v>2275</v>
      </c>
      <c r="B2276" s="523" t="s">
        <v>5193</v>
      </c>
      <c r="C2276" s="523" t="s">
        <v>5194</v>
      </c>
      <c r="D2276" s="523" t="s">
        <v>5180</v>
      </c>
      <c r="E2276" s="523" t="s">
        <v>5181</v>
      </c>
      <c r="F2276" s="523" t="s">
        <v>57</v>
      </c>
    </row>
    <row r="2277">
      <c r="A2277" s="523">
        <v>2276</v>
      </c>
      <c r="B2277" s="523" t="s">
        <v>5195</v>
      </c>
      <c r="C2277" s="523" t="s">
        <v>5196</v>
      </c>
      <c r="D2277" s="523" t="s">
        <v>5180</v>
      </c>
      <c r="E2277" s="523" t="s">
        <v>5181</v>
      </c>
      <c r="F2277" s="523" t="s">
        <v>57</v>
      </c>
    </row>
    <row r="2278">
      <c r="A2278" s="523">
        <v>2277</v>
      </c>
      <c r="B2278" s="523" t="s">
        <v>5197</v>
      </c>
      <c r="C2278" s="523" t="s">
        <v>5198</v>
      </c>
      <c r="D2278" s="523" t="s">
        <v>5180</v>
      </c>
      <c r="E2278" s="523" t="s">
        <v>5181</v>
      </c>
      <c r="F2278" s="523" t="s">
        <v>57</v>
      </c>
    </row>
    <row r="2279">
      <c r="A2279" s="523">
        <v>2278</v>
      </c>
      <c r="B2279" s="523" t="s">
        <v>5199</v>
      </c>
      <c r="C2279" s="523" t="s">
        <v>4005</v>
      </c>
      <c r="D2279" s="523" t="s">
        <v>5180</v>
      </c>
      <c r="E2279" s="523" t="s">
        <v>5181</v>
      </c>
      <c r="F2279" s="523" t="s">
        <v>57</v>
      </c>
    </row>
    <row r="2280">
      <c r="A2280" s="523">
        <v>2279</v>
      </c>
      <c r="B2280" s="523" t="s">
        <v>5200</v>
      </c>
      <c r="C2280" s="523" t="s">
        <v>5201</v>
      </c>
      <c r="D2280" s="523" t="s">
        <v>5180</v>
      </c>
      <c r="E2280" s="523" t="s">
        <v>5181</v>
      </c>
      <c r="F2280" s="523" t="s">
        <v>57</v>
      </c>
    </row>
    <row r="2281">
      <c r="A2281" s="523">
        <v>2280</v>
      </c>
      <c r="B2281" s="523" t="s">
        <v>5202</v>
      </c>
      <c r="C2281" s="523" t="s">
        <v>3034</v>
      </c>
      <c r="D2281" s="523" t="s">
        <v>5180</v>
      </c>
      <c r="E2281" s="523" t="s">
        <v>5181</v>
      </c>
      <c r="F2281" s="523" t="s">
        <v>57</v>
      </c>
    </row>
    <row r="2282">
      <c r="A2282" s="523">
        <v>2281</v>
      </c>
      <c r="B2282" s="523" t="s">
        <v>5203</v>
      </c>
      <c r="C2282" s="523" t="s">
        <v>5204</v>
      </c>
      <c r="D2282" s="523" t="s">
        <v>5180</v>
      </c>
      <c r="E2282" s="523" t="s">
        <v>5181</v>
      </c>
      <c r="F2282" s="523" t="s">
        <v>57</v>
      </c>
    </row>
    <row r="2283">
      <c r="A2283" s="523">
        <v>2282</v>
      </c>
      <c r="B2283" s="523" t="s">
        <v>5205</v>
      </c>
      <c r="C2283" s="523" t="s">
        <v>5206</v>
      </c>
      <c r="D2283" s="523" t="s">
        <v>5180</v>
      </c>
      <c r="E2283" s="523" t="s">
        <v>5181</v>
      </c>
      <c r="F2283" s="523" t="s">
        <v>57</v>
      </c>
    </row>
    <row r="2284">
      <c r="A2284" s="523">
        <v>2283</v>
      </c>
      <c r="B2284" s="523" t="s">
        <v>5207</v>
      </c>
      <c r="C2284" s="523" t="s">
        <v>5208</v>
      </c>
      <c r="D2284" s="523" t="s">
        <v>5180</v>
      </c>
      <c r="E2284" s="523" t="s">
        <v>5181</v>
      </c>
      <c r="F2284" s="523" t="s">
        <v>57</v>
      </c>
    </row>
    <row r="2285">
      <c r="A2285" s="523">
        <v>2284</v>
      </c>
      <c r="B2285" s="523" t="s">
        <v>5209</v>
      </c>
      <c r="C2285" s="523" t="s">
        <v>3236</v>
      </c>
      <c r="D2285" s="523" t="s">
        <v>5180</v>
      </c>
      <c r="E2285" s="523" t="s">
        <v>5181</v>
      </c>
      <c r="F2285" s="523" t="s">
        <v>57</v>
      </c>
    </row>
    <row r="2286">
      <c r="A2286" s="523">
        <v>2285</v>
      </c>
      <c r="B2286" s="523" t="s">
        <v>5210</v>
      </c>
      <c r="C2286" s="523" t="s">
        <v>5211</v>
      </c>
      <c r="D2286" s="523" t="s">
        <v>5180</v>
      </c>
      <c r="E2286" s="523" t="s">
        <v>5181</v>
      </c>
      <c r="F2286" s="523" t="s">
        <v>57</v>
      </c>
    </row>
    <row r="2287">
      <c r="A2287" s="523">
        <v>2286</v>
      </c>
      <c r="B2287" s="523" t="s">
        <v>5212</v>
      </c>
      <c r="C2287" s="523" t="s">
        <v>5213</v>
      </c>
      <c r="D2287" s="523" t="s">
        <v>5180</v>
      </c>
      <c r="E2287" s="523" t="s">
        <v>5181</v>
      </c>
      <c r="F2287" s="523" t="s">
        <v>57</v>
      </c>
    </row>
    <row r="2288">
      <c r="A2288" s="523">
        <v>2287</v>
      </c>
      <c r="B2288" s="523" t="s">
        <v>5214</v>
      </c>
      <c r="C2288" s="523" t="s">
        <v>5215</v>
      </c>
      <c r="D2288" s="523" t="s">
        <v>5180</v>
      </c>
      <c r="E2288" s="523" t="s">
        <v>5181</v>
      </c>
      <c r="F2288" s="523" t="s">
        <v>57</v>
      </c>
    </row>
    <row r="2289">
      <c r="A2289" s="523">
        <v>2288</v>
      </c>
      <c r="B2289" s="523" t="s">
        <v>5216</v>
      </c>
      <c r="C2289" s="523" t="s">
        <v>1232</v>
      </c>
      <c r="D2289" s="523" t="s">
        <v>5180</v>
      </c>
      <c r="E2289" s="523" t="s">
        <v>5181</v>
      </c>
      <c r="F2289" s="523" t="s">
        <v>57</v>
      </c>
    </row>
    <row r="2290">
      <c r="A2290" s="523">
        <v>2289</v>
      </c>
      <c r="B2290" s="523" t="s">
        <v>5217</v>
      </c>
      <c r="C2290" s="523" t="s">
        <v>1934</v>
      </c>
      <c r="D2290" s="523" t="s">
        <v>5180</v>
      </c>
      <c r="E2290" s="523" t="s">
        <v>5181</v>
      </c>
      <c r="F2290" s="523" t="s">
        <v>57</v>
      </c>
    </row>
    <row r="2291">
      <c r="A2291" s="523">
        <v>2290</v>
      </c>
      <c r="B2291" s="523" t="s">
        <v>5218</v>
      </c>
      <c r="C2291" s="523" t="s">
        <v>5219</v>
      </c>
      <c r="D2291" s="523" t="s">
        <v>5180</v>
      </c>
      <c r="E2291" s="523" t="s">
        <v>5181</v>
      </c>
      <c r="F2291" s="523" t="s">
        <v>57</v>
      </c>
    </row>
    <row r="2292">
      <c r="A2292" s="523">
        <v>2291</v>
      </c>
      <c r="B2292" s="523" t="s">
        <v>5220</v>
      </c>
      <c r="C2292" s="523" t="s">
        <v>5221</v>
      </c>
      <c r="D2292" s="523" t="s">
        <v>5180</v>
      </c>
      <c r="E2292" s="523" t="s">
        <v>5181</v>
      </c>
      <c r="F2292" s="523" t="s">
        <v>57</v>
      </c>
    </row>
    <row r="2293">
      <c r="A2293" s="523">
        <v>2292</v>
      </c>
      <c r="B2293" s="523" t="s">
        <v>5222</v>
      </c>
      <c r="C2293" s="523" t="s">
        <v>5223</v>
      </c>
      <c r="D2293" s="523" t="s">
        <v>5180</v>
      </c>
      <c r="E2293" s="523" t="s">
        <v>5181</v>
      </c>
      <c r="F2293" s="523" t="s">
        <v>57</v>
      </c>
    </row>
    <row r="2294">
      <c r="A2294" s="523">
        <v>2293</v>
      </c>
      <c r="B2294" s="523" t="s">
        <v>5224</v>
      </c>
      <c r="C2294" s="523" t="s">
        <v>908</v>
      </c>
      <c r="D2294" s="523" t="s">
        <v>5225</v>
      </c>
      <c r="E2294" s="523" t="s">
        <v>5226</v>
      </c>
      <c r="F2294" s="523" t="s">
        <v>57</v>
      </c>
    </row>
    <row r="2295">
      <c r="A2295" s="523">
        <v>2294</v>
      </c>
      <c r="B2295" s="523" t="s">
        <v>5227</v>
      </c>
      <c r="C2295" s="523" t="s">
        <v>1981</v>
      </c>
      <c r="D2295" s="523" t="s">
        <v>5225</v>
      </c>
      <c r="E2295" s="523" t="s">
        <v>5226</v>
      </c>
      <c r="F2295" s="523" t="s">
        <v>57</v>
      </c>
    </row>
    <row r="2296">
      <c r="A2296" s="523">
        <v>2295</v>
      </c>
      <c r="B2296" s="523" t="s">
        <v>5228</v>
      </c>
      <c r="C2296" s="523" t="s">
        <v>5229</v>
      </c>
      <c r="D2296" s="523" t="s">
        <v>5225</v>
      </c>
      <c r="E2296" s="523" t="s">
        <v>5226</v>
      </c>
      <c r="F2296" s="523" t="s">
        <v>57</v>
      </c>
    </row>
    <row r="2297">
      <c r="A2297" s="523">
        <v>2296</v>
      </c>
      <c r="B2297" s="523" t="s">
        <v>5230</v>
      </c>
      <c r="C2297" s="523" t="s">
        <v>5231</v>
      </c>
      <c r="D2297" s="523" t="s">
        <v>5225</v>
      </c>
      <c r="E2297" s="523" t="s">
        <v>5226</v>
      </c>
      <c r="F2297" s="523" t="s">
        <v>57</v>
      </c>
    </row>
    <row r="2298">
      <c r="A2298" s="523">
        <v>2297</v>
      </c>
      <c r="B2298" s="523" t="s">
        <v>5232</v>
      </c>
      <c r="C2298" s="523" t="s">
        <v>5233</v>
      </c>
      <c r="D2298" s="523" t="s">
        <v>5225</v>
      </c>
      <c r="E2298" s="523" t="s">
        <v>5226</v>
      </c>
      <c r="F2298" s="523" t="s">
        <v>57</v>
      </c>
    </row>
    <row r="2299">
      <c r="A2299" s="523">
        <v>2298</v>
      </c>
      <c r="B2299" s="523" t="s">
        <v>5234</v>
      </c>
      <c r="C2299" s="523" t="s">
        <v>5235</v>
      </c>
      <c r="D2299" s="523" t="s">
        <v>5225</v>
      </c>
      <c r="E2299" s="523" t="s">
        <v>5226</v>
      </c>
      <c r="F2299" s="523" t="s">
        <v>57</v>
      </c>
    </row>
    <row r="2300">
      <c r="A2300" s="523">
        <v>2299</v>
      </c>
      <c r="B2300" s="523" t="s">
        <v>5236</v>
      </c>
      <c r="C2300" s="523" t="s">
        <v>3036</v>
      </c>
      <c r="D2300" s="523" t="s">
        <v>5225</v>
      </c>
      <c r="E2300" s="523" t="s">
        <v>5226</v>
      </c>
      <c r="F2300" s="523" t="s">
        <v>57</v>
      </c>
    </row>
    <row r="2301">
      <c r="A2301" s="523">
        <v>2300</v>
      </c>
      <c r="B2301" s="523" t="s">
        <v>5237</v>
      </c>
      <c r="C2301" s="523" t="s">
        <v>5238</v>
      </c>
      <c r="D2301" s="523" t="s">
        <v>5225</v>
      </c>
      <c r="E2301" s="523" t="s">
        <v>5226</v>
      </c>
      <c r="F2301" s="523" t="s">
        <v>57</v>
      </c>
    </row>
    <row r="2302">
      <c r="A2302" s="523">
        <v>2301</v>
      </c>
      <c r="B2302" s="523" t="s">
        <v>5239</v>
      </c>
      <c r="C2302" s="523" t="s">
        <v>5240</v>
      </c>
      <c r="D2302" s="523" t="s">
        <v>5225</v>
      </c>
      <c r="E2302" s="523" t="s">
        <v>5226</v>
      </c>
      <c r="F2302" s="523" t="s">
        <v>57</v>
      </c>
    </row>
    <row r="2303">
      <c r="A2303" s="523">
        <v>2302</v>
      </c>
      <c r="B2303" s="523" t="s">
        <v>5241</v>
      </c>
      <c r="C2303" s="523" t="s">
        <v>5242</v>
      </c>
      <c r="D2303" s="523" t="s">
        <v>5225</v>
      </c>
      <c r="E2303" s="523" t="s">
        <v>5226</v>
      </c>
      <c r="F2303" s="523" t="s">
        <v>57</v>
      </c>
    </row>
    <row r="2304">
      <c r="A2304" s="523">
        <v>2303</v>
      </c>
      <c r="B2304" s="523" t="s">
        <v>5243</v>
      </c>
      <c r="C2304" s="523" t="s">
        <v>1006</v>
      </c>
      <c r="D2304" s="523" t="s">
        <v>5225</v>
      </c>
      <c r="E2304" s="523" t="s">
        <v>5226</v>
      </c>
      <c r="F2304" s="523" t="s">
        <v>57</v>
      </c>
    </row>
    <row r="2305">
      <c r="A2305" s="523">
        <v>2304</v>
      </c>
      <c r="B2305" s="523" t="s">
        <v>5244</v>
      </c>
      <c r="C2305" s="523" t="s">
        <v>2915</v>
      </c>
      <c r="D2305" s="523" t="s">
        <v>5225</v>
      </c>
      <c r="E2305" s="523" t="s">
        <v>5226</v>
      </c>
      <c r="F2305" s="523" t="s">
        <v>57</v>
      </c>
    </row>
    <row r="2306">
      <c r="A2306" s="523">
        <v>2305</v>
      </c>
      <c r="B2306" s="523" t="s">
        <v>5245</v>
      </c>
      <c r="C2306" s="523" t="s">
        <v>2057</v>
      </c>
      <c r="D2306" s="523" t="s">
        <v>5225</v>
      </c>
      <c r="E2306" s="523" t="s">
        <v>5226</v>
      </c>
      <c r="F2306" s="523" t="s">
        <v>57</v>
      </c>
    </row>
    <row r="2307">
      <c r="A2307" s="523">
        <v>2306</v>
      </c>
      <c r="B2307" s="523" t="s">
        <v>5246</v>
      </c>
      <c r="C2307" s="523" t="s">
        <v>5247</v>
      </c>
      <c r="D2307" s="523" t="s">
        <v>5225</v>
      </c>
      <c r="E2307" s="523" t="s">
        <v>5226</v>
      </c>
      <c r="F2307" s="523" t="s">
        <v>57</v>
      </c>
    </row>
    <row r="2308">
      <c r="A2308" s="523">
        <v>2307</v>
      </c>
      <c r="B2308" s="523" t="s">
        <v>5248</v>
      </c>
      <c r="C2308" s="523" t="s">
        <v>1523</v>
      </c>
      <c r="D2308" s="523" t="s">
        <v>5225</v>
      </c>
      <c r="E2308" s="523" t="s">
        <v>5226</v>
      </c>
      <c r="F2308" s="523" t="s">
        <v>57</v>
      </c>
    </row>
    <row r="2309">
      <c r="A2309" s="523">
        <v>2308</v>
      </c>
      <c r="B2309" s="523" t="s">
        <v>5249</v>
      </c>
      <c r="C2309" s="523" t="s">
        <v>2587</v>
      </c>
      <c r="D2309" s="523" t="s">
        <v>5225</v>
      </c>
      <c r="E2309" s="523" t="s">
        <v>5226</v>
      </c>
      <c r="F2309" s="523" t="s">
        <v>57</v>
      </c>
    </row>
    <row r="2310">
      <c r="A2310" s="523">
        <v>2309</v>
      </c>
      <c r="B2310" s="523" t="s">
        <v>5250</v>
      </c>
      <c r="C2310" s="523" t="s">
        <v>4127</v>
      </c>
      <c r="D2310" s="523" t="s">
        <v>5251</v>
      </c>
      <c r="E2310" s="523" t="s">
        <v>928</v>
      </c>
      <c r="F2310" s="523" t="s">
        <v>57</v>
      </c>
    </row>
    <row r="2311">
      <c r="A2311" s="523">
        <v>2310</v>
      </c>
      <c r="B2311" s="523" t="s">
        <v>5252</v>
      </c>
      <c r="C2311" s="523" t="s">
        <v>5253</v>
      </c>
      <c r="D2311" s="523" t="s">
        <v>5251</v>
      </c>
      <c r="E2311" s="523" t="s">
        <v>928</v>
      </c>
      <c r="F2311" s="523" t="s">
        <v>57</v>
      </c>
    </row>
    <row r="2312">
      <c r="A2312" s="523">
        <v>2311</v>
      </c>
      <c r="B2312" s="523" t="s">
        <v>5254</v>
      </c>
      <c r="C2312" s="523" t="s">
        <v>5255</v>
      </c>
      <c r="D2312" s="523" t="s">
        <v>5251</v>
      </c>
      <c r="E2312" s="523" t="s">
        <v>928</v>
      </c>
      <c r="F2312" s="523" t="s">
        <v>57</v>
      </c>
    </row>
    <row r="2313">
      <c r="A2313" s="523">
        <v>2312</v>
      </c>
      <c r="B2313" s="523" t="s">
        <v>5256</v>
      </c>
      <c r="C2313" s="523" t="s">
        <v>4219</v>
      </c>
      <c r="D2313" s="523" t="s">
        <v>5251</v>
      </c>
      <c r="E2313" s="523" t="s">
        <v>928</v>
      </c>
      <c r="F2313" s="523" t="s">
        <v>57</v>
      </c>
    </row>
    <row r="2314">
      <c r="A2314" s="523">
        <v>2313</v>
      </c>
      <c r="B2314" s="523" t="s">
        <v>5257</v>
      </c>
      <c r="C2314" s="523" t="s">
        <v>5258</v>
      </c>
      <c r="D2314" s="523" t="s">
        <v>5251</v>
      </c>
      <c r="E2314" s="523" t="s">
        <v>928</v>
      </c>
      <c r="F2314" s="523" t="s">
        <v>57</v>
      </c>
    </row>
    <row r="2315">
      <c r="A2315" s="523">
        <v>2314</v>
      </c>
      <c r="B2315" s="523" t="s">
        <v>5259</v>
      </c>
      <c r="C2315" s="523" t="s">
        <v>5260</v>
      </c>
      <c r="D2315" s="523" t="s">
        <v>5251</v>
      </c>
      <c r="E2315" s="523" t="s">
        <v>928</v>
      </c>
      <c r="F2315" s="523" t="s">
        <v>57</v>
      </c>
    </row>
    <row r="2316">
      <c r="A2316" s="523">
        <v>2315</v>
      </c>
      <c r="B2316" s="523" t="s">
        <v>5261</v>
      </c>
      <c r="C2316" s="523" t="s">
        <v>5262</v>
      </c>
      <c r="D2316" s="523" t="s">
        <v>5251</v>
      </c>
      <c r="E2316" s="523" t="s">
        <v>928</v>
      </c>
      <c r="F2316" s="523" t="s">
        <v>57</v>
      </c>
    </row>
    <row r="2317">
      <c r="A2317" s="523">
        <v>2316</v>
      </c>
      <c r="B2317" s="523" t="s">
        <v>5263</v>
      </c>
      <c r="C2317" s="523" t="s">
        <v>1186</v>
      </c>
      <c r="D2317" s="523" t="s">
        <v>5251</v>
      </c>
      <c r="E2317" s="523" t="s">
        <v>928</v>
      </c>
      <c r="F2317" s="523" t="s">
        <v>57</v>
      </c>
    </row>
    <row r="2318">
      <c r="A2318" s="523">
        <v>2317</v>
      </c>
      <c r="B2318" s="523" t="s">
        <v>5264</v>
      </c>
      <c r="C2318" s="523" t="s">
        <v>1679</v>
      </c>
      <c r="D2318" s="523" t="s">
        <v>5251</v>
      </c>
      <c r="E2318" s="523" t="s">
        <v>928</v>
      </c>
      <c r="F2318" s="523" t="s">
        <v>57</v>
      </c>
    </row>
    <row r="2319">
      <c r="A2319" s="523">
        <v>2318</v>
      </c>
      <c r="B2319" s="523" t="s">
        <v>5265</v>
      </c>
      <c r="C2319" s="523" t="s">
        <v>1809</v>
      </c>
      <c r="D2319" s="523" t="s">
        <v>5251</v>
      </c>
      <c r="E2319" s="523" t="s">
        <v>928</v>
      </c>
      <c r="F2319" s="523" t="s">
        <v>57</v>
      </c>
    </row>
    <row r="2320">
      <c r="A2320" s="523">
        <v>2319</v>
      </c>
      <c r="B2320" s="523" t="s">
        <v>5266</v>
      </c>
      <c r="C2320" s="523" t="s">
        <v>3358</v>
      </c>
      <c r="D2320" s="523" t="s">
        <v>5251</v>
      </c>
      <c r="E2320" s="523" t="s">
        <v>928</v>
      </c>
      <c r="F2320" s="523" t="s">
        <v>57</v>
      </c>
    </row>
    <row r="2321">
      <c r="A2321" s="523">
        <v>2320</v>
      </c>
      <c r="B2321" s="523" t="s">
        <v>5267</v>
      </c>
      <c r="C2321" s="523" t="s">
        <v>5268</v>
      </c>
      <c r="D2321" s="523" t="s">
        <v>5251</v>
      </c>
      <c r="E2321" s="523" t="s">
        <v>928</v>
      </c>
      <c r="F2321" s="523" t="s">
        <v>57</v>
      </c>
    </row>
    <row r="2322">
      <c r="A2322" s="523">
        <v>2321</v>
      </c>
      <c r="B2322" s="523" t="s">
        <v>5269</v>
      </c>
      <c r="C2322" s="523" t="s">
        <v>5270</v>
      </c>
      <c r="D2322" s="523" t="s">
        <v>5251</v>
      </c>
      <c r="E2322" s="523" t="s">
        <v>928</v>
      </c>
      <c r="F2322" s="523" t="s">
        <v>57</v>
      </c>
    </row>
    <row r="2323">
      <c r="A2323" s="523">
        <v>2322</v>
      </c>
      <c r="B2323" s="523" t="s">
        <v>5271</v>
      </c>
      <c r="C2323" s="523" t="s">
        <v>1815</v>
      </c>
      <c r="D2323" s="523" t="s">
        <v>5251</v>
      </c>
      <c r="E2323" s="523" t="s">
        <v>928</v>
      </c>
      <c r="F2323" s="523" t="s">
        <v>57</v>
      </c>
    </row>
    <row r="2324">
      <c r="A2324" s="523">
        <v>2323</v>
      </c>
      <c r="B2324" s="523" t="s">
        <v>5272</v>
      </c>
      <c r="C2324" s="523" t="s">
        <v>5273</v>
      </c>
      <c r="D2324" s="523" t="s">
        <v>5251</v>
      </c>
      <c r="E2324" s="523" t="s">
        <v>928</v>
      </c>
      <c r="F2324" s="523" t="s">
        <v>57</v>
      </c>
    </row>
    <row r="2325">
      <c r="A2325" s="523">
        <v>2324</v>
      </c>
      <c r="B2325" s="523" t="s">
        <v>5274</v>
      </c>
      <c r="C2325" s="523" t="s">
        <v>5275</v>
      </c>
      <c r="D2325" s="523" t="s">
        <v>5251</v>
      </c>
      <c r="E2325" s="523" t="s">
        <v>928</v>
      </c>
      <c r="F2325" s="523" t="s">
        <v>57</v>
      </c>
    </row>
    <row r="2326">
      <c r="A2326" s="523">
        <v>2325</v>
      </c>
      <c r="B2326" s="523" t="s">
        <v>5276</v>
      </c>
      <c r="C2326" s="523" t="s">
        <v>5277</v>
      </c>
      <c r="D2326" s="523" t="s">
        <v>5251</v>
      </c>
      <c r="E2326" s="523" t="s">
        <v>928</v>
      </c>
      <c r="F2326" s="523" t="s">
        <v>57</v>
      </c>
    </row>
    <row r="2327">
      <c r="A2327" s="523">
        <v>2326</v>
      </c>
      <c r="B2327" s="523" t="s">
        <v>5278</v>
      </c>
      <c r="C2327" s="523" t="s">
        <v>5279</v>
      </c>
      <c r="D2327" s="523" t="s">
        <v>5251</v>
      </c>
      <c r="E2327" s="523" t="s">
        <v>928</v>
      </c>
      <c r="F2327" s="523" t="s">
        <v>57</v>
      </c>
    </row>
    <row r="2328">
      <c r="A2328" s="523">
        <v>2327</v>
      </c>
      <c r="B2328" s="523" t="s">
        <v>5280</v>
      </c>
      <c r="C2328" s="523" t="s">
        <v>5281</v>
      </c>
      <c r="D2328" s="523" t="s">
        <v>5251</v>
      </c>
      <c r="E2328" s="523" t="s">
        <v>928</v>
      </c>
      <c r="F2328" s="523" t="s">
        <v>57</v>
      </c>
    </row>
    <row r="2329">
      <c r="A2329" s="523">
        <v>2328</v>
      </c>
      <c r="B2329" s="523" t="s">
        <v>5282</v>
      </c>
      <c r="C2329" s="523" t="s">
        <v>2333</v>
      </c>
      <c r="D2329" s="523" t="s">
        <v>5251</v>
      </c>
      <c r="E2329" s="523" t="s">
        <v>928</v>
      </c>
      <c r="F2329" s="523" t="s">
        <v>57</v>
      </c>
    </row>
    <row r="2330">
      <c r="A2330" s="523">
        <v>2329</v>
      </c>
      <c r="B2330" s="523" t="s">
        <v>5283</v>
      </c>
      <c r="C2330" s="523" t="s">
        <v>5284</v>
      </c>
      <c r="D2330" s="523" t="s">
        <v>5251</v>
      </c>
      <c r="E2330" s="523" t="s">
        <v>928</v>
      </c>
      <c r="F2330" s="523" t="s">
        <v>57</v>
      </c>
    </row>
    <row r="2331">
      <c r="A2331" s="523">
        <v>2330</v>
      </c>
      <c r="B2331" s="523" t="s">
        <v>5285</v>
      </c>
      <c r="C2331" s="523" t="s">
        <v>5286</v>
      </c>
      <c r="D2331" s="523" t="s">
        <v>5251</v>
      </c>
      <c r="E2331" s="523" t="s">
        <v>928</v>
      </c>
      <c r="F2331" s="523" t="s">
        <v>57</v>
      </c>
    </row>
    <row r="2332">
      <c r="A2332" s="523">
        <v>2331</v>
      </c>
      <c r="B2332" s="523" t="s">
        <v>5287</v>
      </c>
      <c r="C2332" s="523" t="s">
        <v>2851</v>
      </c>
      <c r="D2332" s="523" t="s">
        <v>5251</v>
      </c>
      <c r="E2332" s="523" t="s">
        <v>928</v>
      </c>
      <c r="F2332" s="523" t="s">
        <v>57</v>
      </c>
    </row>
    <row r="2333">
      <c r="A2333" s="523">
        <v>2332</v>
      </c>
      <c r="B2333" s="523" t="s">
        <v>5288</v>
      </c>
      <c r="C2333" s="523" t="s">
        <v>5289</v>
      </c>
      <c r="D2333" s="523" t="s">
        <v>5290</v>
      </c>
      <c r="E2333" s="523" t="s">
        <v>5291</v>
      </c>
      <c r="F2333" s="523" t="s">
        <v>57</v>
      </c>
    </row>
    <row r="2334">
      <c r="A2334" s="523">
        <v>2333</v>
      </c>
      <c r="B2334" s="523" t="s">
        <v>5292</v>
      </c>
      <c r="C2334" s="523" t="s">
        <v>5293</v>
      </c>
      <c r="D2334" s="523" t="s">
        <v>5290</v>
      </c>
      <c r="E2334" s="523" t="s">
        <v>5291</v>
      </c>
      <c r="F2334" s="523" t="s">
        <v>57</v>
      </c>
    </row>
    <row r="2335">
      <c r="A2335" s="523">
        <v>2334</v>
      </c>
      <c r="B2335" s="523" t="s">
        <v>5294</v>
      </c>
      <c r="C2335" s="523" t="s">
        <v>5295</v>
      </c>
      <c r="D2335" s="523" t="s">
        <v>5290</v>
      </c>
      <c r="E2335" s="523" t="s">
        <v>5291</v>
      </c>
      <c r="F2335" s="523" t="s">
        <v>57</v>
      </c>
    </row>
    <row r="2336">
      <c r="A2336" s="523">
        <v>2335</v>
      </c>
      <c r="B2336" s="523" t="s">
        <v>5296</v>
      </c>
      <c r="C2336" s="523" t="s">
        <v>5297</v>
      </c>
      <c r="D2336" s="523" t="s">
        <v>5290</v>
      </c>
      <c r="E2336" s="523" t="s">
        <v>5291</v>
      </c>
      <c r="F2336" s="523" t="s">
        <v>57</v>
      </c>
    </row>
    <row r="2337">
      <c r="A2337" s="523">
        <v>2336</v>
      </c>
      <c r="B2337" s="523" t="s">
        <v>5298</v>
      </c>
      <c r="C2337" s="523" t="s">
        <v>5299</v>
      </c>
      <c r="D2337" s="523" t="s">
        <v>5290</v>
      </c>
      <c r="E2337" s="523" t="s">
        <v>5291</v>
      </c>
      <c r="F2337" s="523" t="s">
        <v>57</v>
      </c>
    </row>
    <row r="2338">
      <c r="A2338" s="523">
        <v>2337</v>
      </c>
      <c r="B2338" s="523" t="s">
        <v>5300</v>
      </c>
      <c r="C2338" s="523" t="s">
        <v>5301</v>
      </c>
      <c r="D2338" s="523" t="s">
        <v>5290</v>
      </c>
      <c r="E2338" s="523" t="s">
        <v>5291</v>
      </c>
      <c r="F2338" s="523" t="s">
        <v>57</v>
      </c>
    </row>
    <row r="2339">
      <c r="A2339" s="523">
        <v>2338</v>
      </c>
      <c r="B2339" s="523" t="s">
        <v>5302</v>
      </c>
      <c r="C2339" s="523" t="s">
        <v>5303</v>
      </c>
      <c r="D2339" s="523" t="s">
        <v>5290</v>
      </c>
      <c r="E2339" s="523" t="s">
        <v>5291</v>
      </c>
      <c r="F2339" s="523" t="s">
        <v>57</v>
      </c>
    </row>
    <row r="2340">
      <c r="A2340" s="523">
        <v>2339</v>
      </c>
      <c r="B2340" s="523" t="s">
        <v>5304</v>
      </c>
      <c r="C2340" s="523" t="s">
        <v>5305</v>
      </c>
      <c r="D2340" s="523" t="s">
        <v>5290</v>
      </c>
      <c r="E2340" s="523" t="s">
        <v>5291</v>
      </c>
      <c r="F2340" s="523" t="s">
        <v>57</v>
      </c>
    </row>
    <row r="2341">
      <c r="A2341" s="523">
        <v>2340</v>
      </c>
      <c r="B2341" s="523" t="s">
        <v>5306</v>
      </c>
      <c r="C2341" s="523" t="s">
        <v>5307</v>
      </c>
      <c r="D2341" s="523" t="s">
        <v>5290</v>
      </c>
      <c r="E2341" s="523" t="s">
        <v>5291</v>
      </c>
      <c r="F2341" s="523" t="s">
        <v>57</v>
      </c>
    </row>
    <row r="2342">
      <c r="A2342" s="523">
        <v>2341</v>
      </c>
      <c r="B2342" s="523" t="s">
        <v>5308</v>
      </c>
      <c r="C2342" s="523" t="s">
        <v>5309</v>
      </c>
      <c r="D2342" s="523" t="s">
        <v>5290</v>
      </c>
      <c r="E2342" s="523" t="s">
        <v>5291</v>
      </c>
      <c r="F2342" s="523" t="s">
        <v>57</v>
      </c>
    </row>
    <row r="2343">
      <c r="A2343" s="523">
        <v>2342</v>
      </c>
      <c r="B2343" s="523" t="s">
        <v>5310</v>
      </c>
      <c r="C2343" s="523" t="s">
        <v>5311</v>
      </c>
      <c r="D2343" s="523" t="s">
        <v>5290</v>
      </c>
      <c r="E2343" s="523" t="s">
        <v>5291</v>
      </c>
      <c r="F2343" s="523" t="s">
        <v>57</v>
      </c>
    </row>
    <row r="2344">
      <c r="A2344" s="523">
        <v>2343</v>
      </c>
      <c r="B2344" s="523" t="s">
        <v>5312</v>
      </c>
      <c r="C2344" s="523" t="s">
        <v>5313</v>
      </c>
      <c r="D2344" s="523" t="s">
        <v>5290</v>
      </c>
      <c r="E2344" s="523" t="s">
        <v>5291</v>
      </c>
      <c r="F2344" s="523" t="s">
        <v>57</v>
      </c>
    </row>
    <row r="2345">
      <c r="A2345" s="523">
        <v>2344</v>
      </c>
      <c r="B2345" s="523" t="s">
        <v>5314</v>
      </c>
      <c r="C2345" s="523" t="s">
        <v>5315</v>
      </c>
      <c r="D2345" s="523" t="s">
        <v>5290</v>
      </c>
      <c r="E2345" s="523" t="s">
        <v>5291</v>
      </c>
      <c r="F2345" s="523" t="s">
        <v>57</v>
      </c>
    </row>
    <row r="2346">
      <c r="A2346" s="523">
        <v>2345</v>
      </c>
      <c r="B2346" s="523" t="s">
        <v>5316</v>
      </c>
      <c r="C2346" s="523" t="s">
        <v>5317</v>
      </c>
      <c r="D2346" s="523" t="s">
        <v>5290</v>
      </c>
      <c r="E2346" s="523" t="s">
        <v>5291</v>
      </c>
      <c r="F2346" s="523" t="s">
        <v>57</v>
      </c>
    </row>
    <row r="2347">
      <c r="A2347" s="523">
        <v>2346</v>
      </c>
      <c r="B2347" s="523" t="s">
        <v>5318</v>
      </c>
      <c r="C2347" s="523" t="s">
        <v>5319</v>
      </c>
      <c r="D2347" s="523" t="s">
        <v>5290</v>
      </c>
      <c r="E2347" s="523" t="s">
        <v>5291</v>
      </c>
      <c r="F2347" s="523" t="s">
        <v>57</v>
      </c>
    </row>
    <row r="2348">
      <c r="A2348" s="523">
        <v>2347</v>
      </c>
      <c r="B2348" s="523" t="s">
        <v>5320</v>
      </c>
      <c r="C2348" s="523" t="s">
        <v>1631</v>
      </c>
      <c r="D2348" s="523" t="s">
        <v>5290</v>
      </c>
      <c r="E2348" s="523" t="s">
        <v>5291</v>
      </c>
      <c r="F2348" s="523" t="s">
        <v>57</v>
      </c>
    </row>
    <row r="2349">
      <c r="A2349" s="523">
        <v>2348</v>
      </c>
      <c r="B2349" s="523" t="s">
        <v>5321</v>
      </c>
      <c r="C2349" s="523" t="s">
        <v>2847</v>
      </c>
      <c r="D2349" s="523" t="s">
        <v>5290</v>
      </c>
      <c r="E2349" s="523" t="s">
        <v>5291</v>
      </c>
      <c r="F2349" s="523" t="s">
        <v>57</v>
      </c>
    </row>
    <row r="2350">
      <c r="A2350" s="523">
        <v>2349</v>
      </c>
      <c r="B2350" s="523" t="s">
        <v>5322</v>
      </c>
      <c r="C2350" s="523" t="s">
        <v>2717</v>
      </c>
      <c r="D2350" s="523" t="s">
        <v>5290</v>
      </c>
      <c r="E2350" s="523" t="s">
        <v>5291</v>
      </c>
      <c r="F2350" s="523" t="s">
        <v>57</v>
      </c>
    </row>
    <row r="2351">
      <c r="A2351" s="523">
        <v>2350</v>
      </c>
      <c r="B2351" s="523" t="s">
        <v>5323</v>
      </c>
      <c r="C2351" s="523" t="s">
        <v>5324</v>
      </c>
      <c r="D2351" s="523" t="s">
        <v>5290</v>
      </c>
      <c r="E2351" s="523" t="s">
        <v>5291</v>
      </c>
      <c r="F2351" s="523" t="s">
        <v>57</v>
      </c>
    </row>
    <row r="2352">
      <c r="A2352" s="523">
        <v>2351</v>
      </c>
      <c r="B2352" s="523" t="s">
        <v>5325</v>
      </c>
      <c r="C2352" s="523" t="s">
        <v>5326</v>
      </c>
      <c r="D2352" s="523" t="s">
        <v>5327</v>
      </c>
      <c r="E2352" s="523" t="s">
        <v>5328</v>
      </c>
      <c r="F2352" s="523" t="s">
        <v>57</v>
      </c>
    </row>
    <row r="2353">
      <c r="A2353" s="523">
        <v>2352</v>
      </c>
      <c r="B2353" s="523" t="s">
        <v>5329</v>
      </c>
      <c r="C2353" s="523" t="s">
        <v>5330</v>
      </c>
      <c r="D2353" s="523" t="s">
        <v>5327</v>
      </c>
      <c r="E2353" s="523" t="s">
        <v>5328</v>
      </c>
      <c r="F2353" s="523" t="s">
        <v>57</v>
      </c>
    </row>
    <row r="2354">
      <c r="A2354" s="523">
        <v>2353</v>
      </c>
      <c r="B2354" s="523" t="s">
        <v>5331</v>
      </c>
      <c r="C2354" s="523" t="s">
        <v>908</v>
      </c>
      <c r="D2354" s="523" t="s">
        <v>5327</v>
      </c>
      <c r="E2354" s="523" t="s">
        <v>5328</v>
      </c>
      <c r="F2354" s="523" t="s">
        <v>57</v>
      </c>
    </row>
    <row r="2355">
      <c r="A2355" s="523">
        <v>2354</v>
      </c>
      <c r="B2355" s="523" t="s">
        <v>5332</v>
      </c>
      <c r="C2355" s="523" t="s">
        <v>1671</v>
      </c>
      <c r="D2355" s="523" t="s">
        <v>5327</v>
      </c>
      <c r="E2355" s="523" t="s">
        <v>5328</v>
      </c>
      <c r="F2355" s="523" t="s">
        <v>57</v>
      </c>
    </row>
    <row r="2356">
      <c r="A2356" s="523">
        <v>2355</v>
      </c>
      <c r="B2356" s="523" t="s">
        <v>5333</v>
      </c>
      <c r="C2356" s="523" t="s">
        <v>1675</v>
      </c>
      <c r="D2356" s="523" t="s">
        <v>5327</v>
      </c>
      <c r="E2356" s="523" t="s">
        <v>5328</v>
      </c>
      <c r="F2356" s="523" t="s">
        <v>57</v>
      </c>
    </row>
    <row r="2357">
      <c r="A2357" s="523">
        <v>2356</v>
      </c>
      <c r="B2357" s="523" t="s">
        <v>5334</v>
      </c>
      <c r="C2357" s="523" t="s">
        <v>5335</v>
      </c>
      <c r="D2357" s="523" t="s">
        <v>5327</v>
      </c>
      <c r="E2357" s="523" t="s">
        <v>5328</v>
      </c>
      <c r="F2357" s="523" t="s">
        <v>57</v>
      </c>
    </row>
    <row r="2358">
      <c r="A2358" s="523">
        <v>2357</v>
      </c>
      <c r="B2358" s="523" t="s">
        <v>5336</v>
      </c>
      <c r="C2358" s="523" t="s">
        <v>5337</v>
      </c>
      <c r="D2358" s="523" t="s">
        <v>5327</v>
      </c>
      <c r="E2358" s="523" t="s">
        <v>5328</v>
      </c>
      <c r="F2358" s="523" t="s">
        <v>57</v>
      </c>
    </row>
    <row r="2359">
      <c r="A2359" s="523">
        <v>2358</v>
      </c>
      <c r="B2359" s="523" t="s">
        <v>5338</v>
      </c>
      <c r="C2359" s="523" t="s">
        <v>5339</v>
      </c>
      <c r="D2359" s="523" t="s">
        <v>5327</v>
      </c>
      <c r="E2359" s="523" t="s">
        <v>5328</v>
      </c>
      <c r="F2359" s="523" t="s">
        <v>57</v>
      </c>
    </row>
    <row r="2360">
      <c r="A2360" s="523">
        <v>2359</v>
      </c>
      <c r="B2360" s="523" t="s">
        <v>5340</v>
      </c>
      <c r="C2360" s="523" t="s">
        <v>1819</v>
      </c>
      <c r="D2360" s="523" t="s">
        <v>5327</v>
      </c>
      <c r="E2360" s="523" t="s">
        <v>5328</v>
      </c>
      <c r="F2360" s="523" t="s">
        <v>57</v>
      </c>
    </row>
    <row r="2361">
      <c r="A2361" s="523">
        <v>2360</v>
      </c>
      <c r="B2361" s="523" t="s">
        <v>5341</v>
      </c>
      <c r="C2361" s="523" t="s">
        <v>5342</v>
      </c>
      <c r="D2361" s="523" t="s">
        <v>5327</v>
      </c>
      <c r="E2361" s="523" t="s">
        <v>5328</v>
      </c>
      <c r="F2361" s="523" t="s">
        <v>57</v>
      </c>
    </row>
    <row r="2362">
      <c r="A2362" s="523">
        <v>2361</v>
      </c>
      <c r="B2362" s="523" t="s">
        <v>5343</v>
      </c>
      <c r="C2362" s="523" t="s">
        <v>5344</v>
      </c>
      <c r="D2362" s="523" t="s">
        <v>5327</v>
      </c>
      <c r="E2362" s="523" t="s">
        <v>5328</v>
      </c>
      <c r="F2362" s="523" t="s">
        <v>57</v>
      </c>
    </row>
    <row r="2363">
      <c r="A2363" s="523">
        <v>2362</v>
      </c>
      <c r="B2363" s="523" t="s">
        <v>5345</v>
      </c>
      <c r="C2363" s="523" t="s">
        <v>5346</v>
      </c>
      <c r="D2363" s="523" t="s">
        <v>5327</v>
      </c>
      <c r="E2363" s="523" t="s">
        <v>5328</v>
      </c>
      <c r="F2363" s="523" t="s">
        <v>57</v>
      </c>
    </row>
    <row r="2364">
      <c r="A2364" s="523">
        <v>2363</v>
      </c>
      <c r="B2364" s="523" t="s">
        <v>5347</v>
      </c>
      <c r="C2364" s="523" t="s">
        <v>5348</v>
      </c>
      <c r="D2364" s="523" t="s">
        <v>5327</v>
      </c>
      <c r="E2364" s="523" t="s">
        <v>5328</v>
      </c>
      <c r="F2364" s="523" t="s">
        <v>57</v>
      </c>
    </row>
    <row r="2365">
      <c r="A2365" s="523">
        <v>2364</v>
      </c>
      <c r="B2365" s="523" t="s">
        <v>5349</v>
      </c>
      <c r="C2365" s="523" t="s">
        <v>5350</v>
      </c>
      <c r="D2365" s="523" t="s">
        <v>5351</v>
      </c>
      <c r="E2365" s="523" t="s">
        <v>5352</v>
      </c>
      <c r="F2365" s="523" t="s">
        <v>57</v>
      </c>
    </row>
    <row r="2366">
      <c r="A2366" s="523">
        <v>2365</v>
      </c>
      <c r="B2366" s="523" t="s">
        <v>5353</v>
      </c>
      <c r="C2366" s="523" t="s">
        <v>5354</v>
      </c>
      <c r="D2366" s="523" t="s">
        <v>5351</v>
      </c>
      <c r="E2366" s="523" t="s">
        <v>5352</v>
      </c>
      <c r="F2366" s="523" t="s">
        <v>57</v>
      </c>
    </row>
    <row r="2367">
      <c r="A2367" s="523">
        <v>2366</v>
      </c>
      <c r="B2367" s="523" t="s">
        <v>5355</v>
      </c>
      <c r="C2367" s="523" t="s">
        <v>5356</v>
      </c>
      <c r="D2367" s="523" t="s">
        <v>5351</v>
      </c>
      <c r="E2367" s="523" t="s">
        <v>5352</v>
      </c>
      <c r="F2367" s="523" t="s">
        <v>57</v>
      </c>
    </row>
    <row r="2368">
      <c r="A2368" s="523">
        <v>2367</v>
      </c>
      <c r="B2368" s="523" t="s">
        <v>5357</v>
      </c>
      <c r="C2368" s="523" t="s">
        <v>5358</v>
      </c>
      <c r="D2368" s="523" t="s">
        <v>5351</v>
      </c>
      <c r="E2368" s="523" t="s">
        <v>5352</v>
      </c>
      <c r="F2368" s="523" t="s">
        <v>57</v>
      </c>
    </row>
    <row r="2369">
      <c r="A2369" s="523">
        <v>2368</v>
      </c>
      <c r="B2369" s="523" t="s">
        <v>5359</v>
      </c>
      <c r="C2369" s="523" t="s">
        <v>5360</v>
      </c>
      <c r="D2369" s="523" t="s">
        <v>5351</v>
      </c>
      <c r="E2369" s="523" t="s">
        <v>5352</v>
      </c>
      <c r="F2369" s="523" t="s">
        <v>57</v>
      </c>
    </row>
    <row r="2370">
      <c r="A2370" s="523">
        <v>2369</v>
      </c>
      <c r="B2370" s="523" t="s">
        <v>5361</v>
      </c>
      <c r="C2370" s="523" t="s">
        <v>5362</v>
      </c>
      <c r="D2370" s="523" t="s">
        <v>5351</v>
      </c>
      <c r="E2370" s="523" t="s">
        <v>5352</v>
      </c>
      <c r="F2370" s="523" t="s">
        <v>57</v>
      </c>
    </row>
    <row r="2371">
      <c r="A2371" s="523">
        <v>2370</v>
      </c>
      <c r="B2371" s="523" t="s">
        <v>5363</v>
      </c>
      <c r="C2371" s="523" t="s">
        <v>4863</v>
      </c>
      <c r="D2371" s="523" t="s">
        <v>5351</v>
      </c>
      <c r="E2371" s="523" t="s">
        <v>5352</v>
      </c>
      <c r="F2371" s="523" t="s">
        <v>57</v>
      </c>
    </row>
    <row r="2372">
      <c r="A2372" s="523">
        <v>2371</v>
      </c>
      <c r="B2372" s="523" t="s">
        <v>5364</v>
      </c>
      <c r="C2372" s="523" t="s">
        <v>1696</v>
      </c>
      <c r="D2372" s="523" t="s">
        <v>5351</v>
      </c>
      <c r="E2372" s="523" t="s">
        <v>5352</v>
      </c>
      <c r="F2372" s="523" t="s">
        <v>57</v>
      </c>
    </row>
    <row r="2373">
      <c r="A2373" s="523">
        <v>2372</v>
      </c>
      <c r="B2373" s="523" t="s">
        <v>5365</v>
      </c>
      <c r="C2373" s="523" t="s">
        <v>4418</v>
      </c>
      <c r="D2373" s="523" t="s">
        <v>5351</v>
      </c>
      <c r="E2373" s="523" t="s">
        <v>5352</v>
      </c>
      <c r="F2373" s="523" t="s">
        <v>57</v>
      </c>
    </row>
    <row r="2374">
      <c r="A2374" s="523">
        <v>2373</v>
      </c>
      <c r="B2374" s="523" t="s">
        <v>5366</v>
      </c>
      <c r="C2374" s="523" t="s">
        <v>1212</v>
      </c>
      <c r="D2374" s="523" t="s">
        <v>5351</v>
      </c>
      <c r="E2374" s="523" t="s">
        <v>5352</v>
      </c>
      <c r="F2374" s="523" t="s">
        <v>57</v>
      </c>
    </row>
    <row r="2375">
      <c r="A2375" s="523">
        <v>2374</v>
      </c>
      <c r="B2375" s="523" t="s">
        <v>5367</v>
      </c>
      <c r="C2375" s="523" t="s">
        <v>5368</v>
      </c>
      <c r="D2375" s="523" t="s">
        <v>5351</v>
      </c>
      <c r="E2375" s="523" t="s">
        <v>5352</v>
      </c>
      <c r="F2375" s="523" t="s">
        <v>57</v>
      </c>
    </row>
    <row r="2376">
      <c r="A2376" s="523">
        <v>2375</v>
      </c>
      <c r="B2376" s="523" t="s">
        <v>5369</v>
      </c>
      <c r="C2376" s="523" t="s">
        <v>4420</v>
      </c>
      <c r="D2376" s="523" t="s">
        <v>5351</v>
      </c>
      <c r="E2376" s="523" t="s">
        <v>5352</v>
      </c>
      <c r="F2376" s="523" t="s">
        <v>57</v>
      </c>
    </row>
    <row r="2377">
      <c r="A2377" s="523">
        <v>2376</v>
      </c>
      <c r="B2377" s="523" t="s">
        <v>5370</v>
      </c>
      <c r="C2377" s="523" t="s">
        <v>5371</v>
      </c>
      <c r="D2377" s="523" t="s">
        <v>5351</v>
      </c>
      <c r="E2377" s="523" t="s">
        <v>5352</v>
      </c>
      <c r="F2377" s="523" t="s">
        <v>57</v>
      </c>
    </row>
    <row r="2378">
      <c r="A2378" s="523">
        <v>2377</v>
      </c>
      <c r="B2378" s="523" t="s">
        <v>5372</v>
      </c>
      <c r="C2378" s="523" t="s">
        <v>2381</v>
      </c>
      <c r="D2378" s="523" t="s">
        <v>5373</v>
      </c>
      <c r="E2378" s="523" t="s">
        <v>5374</v>
      </c>
      <c r="F2378" s="523" t="s">
        <v>57</v>
      </c>
    </row>
    <row r="2379">
      <c r="A2379" s="523">
        <v>2378</v>
      </c>
      <c r="B2379" s="523" t="s">
        <v>5375</v>
      </c>
      <c r="C2379" s="523" t="s">
        <v>1018</v>
      </c>
      <c r="D2379" s="523" t="s">
        <v>5373</v>
      </c>
      <c r="E2379" s="523" t="s">
        <v>5374</v>
      </c>
      <c r="F2379" s="523" t="s">
        <v>57</v>
      </c>
    </row>
    <row r="2380">
      <c r="A2380" s="523">
        <v>2379</v>
      </c>
      <c r="B2380" s="523" t="s">
        <v>5376</v>
      </c>
      <c r="C2380" s="523" t="s">
        <v>2757</v>
      </c>
      <c r="D2380" s="523" t="s">
        <v>5373</v>
      </c>
      <c r="E2380" s="523" t="s">
        <v>5374</v>
      </c>
      <c r="F2380" s="523" t="s">
        <v>57</v>
      </c>
    </row>
    <row r="2381">
      <c r="A2381" s="523">
        <v>2380</v>
      </c>
      <c r="B2381" s="523" t="s">
        <v>5377</v>
      </c>
      <c r="C2381" s="523" t="s">
        <v>940</v>
      </c>
      <c r="D2381" s="523" t="s">
        <v>5373</v>
      </c>
      <c r="E2381" s="523" t="s">
        <v>5374</v>
      </c>
      <c r="F2381" s="523" t="s">
        <v>57</v>
      </c>
    </row>
    <row r="2382">
      <c r="A2382" s="523">
        <v>2381</v>
      </c>
      <c r="B2382" s="523" t="s">
        <v>5378</v>
      </c>
      <c r="C2382" s="523" t="s">
        <v>1194</v>
      </c>
      <c r="D2382" s="523" t="s">
        <v>5373</v>
      </c>
      <c r="E2382" s="523" t="s">
        <v>5374</v>
      </c>
      <c r="F2382" s="523" t="s">
        <v>57</v>
      </c>
    </row>
    <row r="2383">
      <c r="A2383" s="523">
        <v>2382</v>
      </c>
      <c r="B2383" s="523" t="s">
        <v>5379</v>
      </c>
      <c r="C2383" s="523" t="s">
        <v>2549</v>
      </c>
      <c r="D2383" s="523" t="s">
        <v>5373</v>
      </c>
      <c r="E2383" s="523" t="s">
        <v>5374</v>
      </c>
      <c r="F2383" s="523" t="s">
        <v>57</v>
      </c>
    </row>
    <row r="2384">
      <c r="A2384" s="523">
        <v>2383</v>
      </c>
      <c r="B2384" s="523" t="s">
        <v>5380</v>
      </c>
      <c r="C2384" s="523" t="s">
        <v>5381</v>
      </c>
      <c r="D2384" s="523" t="s">
        <v>5382</v>
      </c>
      <c r="E2384" s="523" t="s">
        <v>5383</v>
      </c>
      <c r="F2384" s="523" t="s">
        <v>57</v>
      </c>
    </row>
    <row r="2385">
      <c r="A2385" s="523">
        <v>2384</v>
      </c>
      <c r="B2385" s="523" t="s">
        <v>5384</v>
      </c>
      <c r="C2385" s="523" t="s">
        <v>3201</v>
      </c>
      <c r="D2385" s="523" t="s">
        <v>5382</v>
      </c>
      <c r="E2385" s="523" t="s">
        <v>5383</v>
      </c>
      <c r="F2385" s="523" t="s">
        <v>57</v>
      </c>
    </row>
    <row r="2386">
      <c r="A2386" s="523">
        <v>2385</v>
      </c>
      <c r="B2386" s="523" t="s">
        <v>5385</v>
      </c>
      <c r="C2386" s="523" t="s">
        <v>4065</v>
      </c>
      <c r="D2386" s="523" t="s">
        <v>5382</v>
      </c>
      <c r="E2386" s="523" t="s">
        <v>5383</v>
      </c>
      <c r="F2386" s="523" t="s">
        <v>57</v>
      </c>
    </row>
    <row r="2387">
      <c r="A2387" s="523">
        <v>2386</v>
      </c>
      <c r="B2387" s="523" t="s">
        <v>5386</v>
      </c>
      <c r="C2387" s="523" t="s">
        <v>1950</v>
      </c>
      <c r="D2387" s="523" t="s">
        <v>5382</v>
      </c>
      <c r="E2387" s="523" t="s">
        <v>5383</v>
      </c>
      <c r="F2387" s="523" t="s">
        <v>57</v>
      </c>
    </row>
    <row r="2388">
      <c r="A2388" s="523">
        <v>2387</v>
      </c>
      <c r="B2388" s="523" t="s">
        <v>5387</v>
      </c>
      <c r="C2388" s="523" t="s">
        <v>5388</v>
      </c>
      <c r="D2388" s="523" t="s">
        <v>5382</v>
      </c>
      <c r="E2388" s="523" t="s">
        <v>5383</v>
      </c>
      <c r="F2388" s="523" t="s">
        <v>57</v>
      </c>
    </row>
    <row r="2389">
      <c r="A2389" s="523">
        <v>2388</v>
      </c>
      <c r="B2389" s="523" t="s">
        <v>5389</v>
      </c>
      <c r="C2389" s="523" t="s">
        <v>5390</v>
      </c>
      <c r="D2389" s="523" t="s">
        <v>5382</v>
      </c>
      <c r="E2389" s="523" t="s">
        <v>5383</v>
      </c>
      <c r="F2389" s="523" t="s">
        <v>57</v>
      </c>
    </row>
    <row r="2390">
      <c r="A2390" s="523">
        <v>2389</v>
      </c>
      <c r="B2390" s="523" t="s">
        <v>5391</v>
      </c>
      <c r="C2390" s="523" t="s">
        <v>5392</v>
      </c>
      <c r="D2390" s="523" t="s">
        <v>5382</v>
      </c>
      <c r="E2390" s="523" t="s">
        <v>5383</v>
      </c>
      <c r="F2390" s="523" t="s">
        <v>57</v>
      </c>
    </row>
    <row r="2391">
      <c r="A2391" s="523">
        <v>2390</v>
      </c>
      <c r="B2391" s="523" t="s">
        <v>5393</v>
      </c>
      <c r="C2391" s="523" t="s">
        <v>5394</v>
      </c>
      <c r="D2391" s="523" t="s">
        <v>5382</v>
      </c>
      <c r="E2391" s="523" t="s">
        <v>5383</v>
      </c>
      <c r="F2391" s="523" t="s">
        <v>57</v>
      </c>
    </row>
    <row r="2392">
      <c r="A2392" s="523">
        <v>2391</v>
      </c>
      <c r="B2392" s="523" t="s">
        <v>5395</v>
      </c>
      <c r="C2392" s="523" t="s">
        <v>5396</v>
      </c>
      <c r="D2392" s="523" t="s">
        <v>5382</v>
      </c>
      <c r="E2392" s="523" t="s">
        <v>5383</v>
      </c>
      <c r="F2392" s="523" t="s">
        <v>57</v>
      </c>
    </row>
    <row r="2393">
      <c r="A2393" s="523">
        <v>2392</v>
      </c>
      <c r="B2393" s="523" t="s">
        <v>5397</v>
      </c>
      <c r="C2393" s="523" t="s">
        <v>5398</v>
      </c>
      <c r="D2393" s="523" t="s">
        <v>5382</v>
      </c>
      <c r="E2393" s="523" t="s">
        <v>5383</v>
      </c>
      <c r="F2393" s="523" t="s">
        <v>57</v>
      </c>
    </row>
    <row r="2394">
      <c r="A2394" s="523">
        <v>2393</v>
      </c>
      <c r="B2394" s="523" t="s">
        <v>5399</v>
      </c>
      <c r="C2394" s="523" t="s">
        <v>3859</v>
      </c>
      <c r="D2394" s="523" t="s">
        <v>5382</v>
      </c>
      <c r="E2394" s="523" t="s">
        <v>5383</v>
      </c>
      <c r="F2394" s="523" t="s">
        <v>57</v>
      </c>
    </row>
    <row r="2395">
      <c r="A2395" s="523">
        <v>2394</v>
      </c>
      <c r="B2395" s="523" t="s">
        <v>5400</v>
      </c>
      <c r="C2395" s="523" t="s">
        <v>2591</v>
      </c>
      <c r="D2395" s="523" t="s">
        <v>5382</v>
      </c>
      <c r="E2395" s="523" t="s">
        <v>5383</v>
      </c>
      <c r="F2395" s="523" t="s">
        <v>57</v>
      </c>
    </row>
    <row r="2396">
      <c r="A2396" s="523">
        <v>2395</v>
      </c>
      <c r="B2396" s="523" t="s">
        <v>5401</v>
      </c>
      <c r="C2396" s="523" t="s">
        <v>5107</v>
      </c>
      <c r="D2396" s="523" t="s">
        <v>5382</v>
      </c>
      <c r="E2396" s="523" t="s">
        <v>5383</v>
      </c>
      <c r="F2396" s="523" t="s">
        <v>57</v>
      </c>
    </row>
    <row r="2397">
      <c r="A2397" s="523">
        <v>2396</v>
      </c>
      <c r="B2397" s="523" t="s">
        <v>5402</v>
      </c>
      <c r="C2397" s="523" t="s">
        <v>1486</v>
      </c>
      <c r="D2397" s="523" t="s">
        <v>5403</v>
      </c>
      <c r="E2397" s="523" t="s">
        <v>5404</v>
      </c>
      <c r="F2397" s="523" t="s">
        <v>57</v>
      </c>
    </row>
    <row r="2398">
      <c r="A2398" s="523">
        <v>2397</v>
      </c>
      <c r="B2398" s="523" t="s">
        <v>5405</v>
      </c>
      <c r="C2398" s="523" t="s">
        <v>3430</v>
      </c>
      <c r="D2398" s="523" t="s">
        <v>5403</v>
      </c>
      <c r="E2398" s="523" t="s">
        <v>5404</v>
      </c>
      <c r="F2398" s="523" t="s">
        <v>57</v>
      </c>
    </row>
    <row r="2399">
      <c r="A2399" s="523">
        <v>2398</v>
      </c>
      <c r="B2399" s="523" t="s">
        <v>5406</v>
      </c>
      <c r="C2399" s="523" t="s">
        <v>1490</v>
      </c>
      <c r="D2399" s="523" t="s">
        <v>5403</v>
      </c>
      <c r="E2399" s="523" t="s">
        <v>5404</v>
      </c>
      <c r="F2399" s="523" t="s">
        <v>57</v>
      </c>
    </row>
    <row r="2400">
      <c r="A2400" s="523">
        <v>2399</v>
      </c>
      <c r="B2400" s="523" t="s">
        <v>5407</v>
      </c>
      <c r="C2400" s="523" t="s">
        <v>1492</v>
      </c>
      <c r="D2400" s="523" t="s">
        <v>5403</v>
      </c>
      <c r="E2400" s="523" t="s">
        <v>5404</v>
      </c>
      <c r="F2400" s="523" t="s">
        <v>57</v>
      </c>
    </row>
    <row r="2401">
      <c r="A2401" s="523">
        <v>2400</v>
      </c>
      <c r="B2401" s="523" t="s">
        <v>5408</v>
      </c>
      <c r="C2401" s="523" t="s">
        <v>2039</v>
      </c>
      <c r="D2401" s="523" t="s">
        <v>5403</v>
      </c>
      <c r="E2401" s="523" t="s">
        <v>5404</v>
      </c>
      <c r="F2401" s="523" t="s">
        <v>57</v>
      </c>
    </row>
    <row r="2402">
      <c r="A2402" s="523">
        <v>2401</v>
      </c>
      <c r="B2402" s="523" t="s">
        <v>5409</v>
      </c>
      <c r="C2402" s="523" t="s">
        <v>1494</v>
      </c>
      <c r="D2402" s="523" t="s">
        <v>5403</v>
      </c>
      <c r="E2402" s="523" t="s">
        <v>5404</v>
      </c>
      <c r="F2402" s="523" t="s">
        <v>57</v>
      </c>
    </row>
    <row r="2403">
      <c r="A2403" s="523">
        <v>2402</v>
      </c>
      <c r="B2403" s="523" t="s">
        <v>5410</v>
      </c>
      <c r="C2403" s="523" t="s">
        <v>2042</v>
      </c>
      <c r="D2403" s="523" t="s">
        <v>5403</v>
      </c>
      <c r="E2403" s="523" t="s">
        <v>5404</v>
      </c>
      <c r="F2403" s="523" t="s">
        <v>57</v>
      </c>
    </row>
    <row r="2404">
      <c r="A2404" s="523">
        <v>2403</v>
      </c>
      <c r="B2404" s="523" t="s">
        <v>5411</v>
      </c>
      <c r="C2404" s="523" t="s">
        <v>1496</v>
      </c>
      <c r="D2404" s="523" t="s">
        <v>5403</v>
      </c>
      <c r="E2404" s="523" t="s">
        <v>5404</v>
      </c>
      <c r="F2404" s="523" t="s">
        <v>57</v>
      </c>
    </row>
    <row r="2405">
      <c r="A2405" s="523">
        <v>2404</v>
      </c>
      <c r="B2405" s="523" t="s">
        <v>5412</v>
      </c>
      <c r="C2405" s="523" t="s">
        <v>654</v>
      </c>
      <c r="D2405" s="523" t="s">
        <v>5403</v>
      </c>
      <c r="E2405" s="523" t="s">
        <v>5404</v>
      </c>
      <c r="F2405" s="523" t="s">
        <v>57</v>
      </c>
    </row>
    <row r="2406">
      <c r="A2406" s="523">
        <v>2405</v>
      </c>
      <c r="B2406" s="523" t="s">
        <v>5413</v>
      </c>
      <c r="C2406" s="523" t="s">
        <v>2498</v>
      </c>
      <c r="D2406" s="523" t="s">
        <v>5403</v>
      </c>
      <c r="E2406" s="523" t="s">
        <v>5404</v>
      </c>
      <c r="F2406" s="523" t="s">
        <v>57</v>
      </c>
    </row>
    <row r="2407">
      <c r="A2407" s="523">
        <v>2406</v>
      </c>
      <c r="B2407" s="523" t="s">
        <v>5414</v>
      </c>
      <c r="C2407" s="523" t="s">
        <v>5415</v>
      </c>
      <c r="D2407" s="523" t="s">
        <v>5403</v>
      </c>
      <c r="E2407" s="523" t="s">
        <v>5404</v>
      </c>
      <c r="F2407" s="523" t="s">
        <v>57</v>
      </c>
    </row>
    <row r="2408">
      <c r="A2408" s="523">
        <v>2407</v>
      </c>
      <c r="B2408" s="523" t="s">
        <v>5416</v>
      </c>
      <c r="C2408" s="523" t="s">
        <v>5417</v>
      </c>
      <c r="D2408" s="523" t="s">
        <v>5403</v>
      </c>
      <c r="E2408" s="523" t="s">
        <v>5404</v>
      </c>
      <c r="F2408" s="523" t="s">
        <v>57</v>
      </c>
    </row>
    <row r="2409">
      <c r="A2409" s="523">
        <v>2408</v>
      </c>
      <c r="B2409" s="523" t="s">
        <v>5418</v>
      </c>
      <c r="C2409" s="523" t="s">
        <v>1857</v>
      </c>
      <c r="D2409" s="523" t="s">
        <v>5403</v>
      </c>
      <c r="E2409" s="523" t="s">
        <v>5404</v>
      </c>
      <c r="F2409" s="523" t="s">
        <v>57</v>
      </c>
    </row>
    <row r="2410">
      <c r="A2410" s="523">
        <v>2409</v>
      </c>
      <c r="B2410" s="523" t="s">
        <v>5419</v>
      </c>
      <c r="C2410" s="523" t="s">
        <v>5420</v>
      </c>
      <c r="D2410" s="523" t="s">
        <v>5403</v>
      </c>
      <c r="E2410" s="523" t="s">
        <v>5404</v>
      </c>
      <c r="F2410" s="523" t="s">
        <v>57</v>
      </c>
    </row>
    <row r="2411">
      <c r="A2411" s="523">
        <v>2410</v>
      </c>
      <c r="B2411" s="523" t="s">
        <v>5421</v>
      </c>
      <c r="C2411" s="523" t="s">
        <v>1088</v>
      </c>
      <c r="D2411" s="523" t="s">
        <v>5403</v>
      </c>
      <c r="E2411" s="523" t="s">
        <v>5404</v>
      </c>
      <c r="F2411" s="523" t="s">
        <v>57</v>
      </c>
    </row>
    <row r="2412">
      <c r="A2412" s="523">
        <v>2411</v>
      </c>
      <c r="B2412" s="523" t="s">
        <v>5422</v>
      </c>
      <c r="C2412" s="523" t="s">
        <v>2528</v>
      </c>
      <c r="D2412" s="523" t="s">
        <v>5403</v>
      </c>
      <c r="E2412" s="523" t="s">
        <v>5404</v>
      </c>
      <c r="F2412" s="523" t="s">
        <v>57</v>
      </c>
    </row>
    <row r="2413">
      <c r="A2413" s="523">
        <v>2412</v>
      </c>
      <c r="B2413" s="523" t="s">
        <v>5423</v>
      </c>
      <c r="C2413" s="523" t="s">
        <v>5424</v>
      </c>
      <c r="D2413" s="523" t="s">
        <v>5403</v>
      </c>
      <c r="E2413" s="523" t="s">
        <v>5404</v>
      </c>
      <c r="F2413" s="523" t="s">
        <v>57</v>
      </c>
    </row>
    <row r="2414">
      <c r="A2414" s="523">
        <v>2413</v>
      </c>
      <c r="B2414" s="523" t="s">
        <v>5425</v>
      </c>
      <c r="C2414" s="523" t="s">
        <v>1486</v>
      </c>
      <c r="D2414" s="523" t="s">
        <v>5426</v>
      </c>
      <c r="E2414" s="523" t="s">
        <v>5427</v>
      </c>
      <c r="F2414" s="523" t="s">
        <v>57</v>
      </c>
    </row>
    <row r="2415">
      <c r="A2415" s="523">
        <v>2414</v>
      </c>
      <c r="B2415" s="523" t="s">
        <v>5428</v>
      </c>
      <c r="C2415" s="523" t="s">
        <v>1490</v>
      </c>
      <c r="D2415" s="523" t="s">
        <v>5426</v>
      </c>
      <c r="E2415" s="523" t="s">
        <v>5427</v>
      </c>
      <c r="F2415" s="523" t="s">
        <v>57</v>
      </c>
    </row>
    <row r="2416">
      <c r="A2416" s="523">
        <v>2415</v>
      </c>
      <c r="B2416" s="523" t="s">
        <v>5429</v>
      </c>
      <c r="C2416" s="523" t="s">
        <v>1492</v>
      </c>
      <c r="D2416" s="523" t="s">
        <v>5426</v>
      </c>
      <c r="E2416" s="523" t="s">
        <v>5427</v>
      </c>
      <c r="F2416" s="523" t="s">
        <v>57</v>
      </c>
    </row>
    <row r="2417">
      <c r="A2417" s="523">
        <v>2416</v>
      </c>
      <c r="B2417" s="523" t="s">
        <v>5430</v>
      </c>
      <c r="C2417" s="523" t="s">
        <v>2039</v>
      </c>
      <c r="D2417" s="523" t="s">
        <v>5426</v>
      </c>
      <c r="E2417" s="523" t="s">
        <v>5427</v>
      </c>
      <c r="F2417" s="523" t="s">
        <v>57</v>
      </c>
    </row>
    <row r="2418">
      <c r="A2418" s="523">
        <v>2417</v>
      </c>
      <c r="B2418" s="523" t="s">
        <v>5431</v>
      </c>
      <c r="C2418" s="523" t="s">
        <v>1494</v>
      </c>
      <c r="D2418" s="523" t="s">
        <v>5426</v>
      </c>
      <c r="E2418" s="523" t="s">
        <v>5427</v>
      </c>
      <c r="F2418" s="523" t="s">
        <v>57</v>
      </c>
    </row>
    <row r="2419">
      <c r="A2419" s="523">
        <v>2418</v>
      </c>
      <c r="B2419" s="523" t="s">
        <v>5432</v>
      </c>
      <c r="C2419" s="523" t="s">
        <v>5433</v>
      </c>
      <c r="D2419" s="523" t="s">
        <v>5426</v>
      </c>
      <c r="E2419" s="523" t="s">
        <v>5427</v>
      </c>
      <c r="F2419" s="523" t="s">
        <v>57</v>
      </c>
    </row>
    <row r="2420">
      <c r="A2420" s="523">
        <v>2419</v>
      </c>
      <c r="B2420" s="523" t="s">
        <v>5434</v>
      </c>
      <c r="C2420" s="523" t="s">
        <v>5435</v>
      </c>
      <c r="D2420" s="523" t="s">
        <v>5426</v>
      </c>
      <c r="E2420" s="523" t="s">
        <v>5427</v>
      </c>
      <c r="F2420" s="523" t="s">
        <v>57</v>
      </c>
    </row>
    <row r="2421">
      <c r="A2421" s="523">
        <v>2420</v>
      </c>
      <c r="B2421" s="523" t="s">
        <v>5436</v>
      </c>
      <c r="C2421" s="523" t="s">
        <v>5437</v>
      </c>
      <c r="D2421" s="523" t="s">
        <v>5426</v>
      </c>
      <c r="E2421" s="523" t="s">
        <v>5427</v>
      </c>
      <c r="F2421" s="523" t="s">
        <v>57</v>
      </c>
    </row>
    <row r="2422">
      <c r="A2422" s="523">
        <v>2421</v>
      </c>
      <c r="B2422" s="523" t="s">
        <v>5438</v>
      </c>
      <c r="C2422" s="523" t="s">
        <v>5439</v>
      </c>
      <c r="D2422" s="523" t="s">
        <v>5426</v>
      </c>
      <c r="E2422" s="523" t="s">
        <v>5427</v>
      </c>
      <c r="F2422" s="523" t="s">
        <v>57</v>
      </c>
    </row>
    <row r="2423">
      <c r="A2423" s="523">
        <v>2422</v>
      </c>
      <c r="B2423" s="523" t="s">
        <v>5440</v>
      </c>
      <c r="C2423" s="523" t="s">
        <v>5441</v>
      </c>
      <c r="D2423" s="523" t="s">
        <v>5426</v>
      </c>
      <c r="E2423" s="523" t="s">
        <v>5427</v>
      </c>
      <c r="F2423" s="523" t="s">
        <v>57</v>
      </c>
    </row>
    <row r="2424">
      <c r="A2424" s="523">
        <v>2423</v>
      </c>
      <c r="B2424" s="523" t="s">
        <v>5442</v>
      </c>
      <c r="C2424" s="523" t="s">
        <v>5443</v>
      </c>
      <c r="D2424" s="523" t="s">
        <v>5426</v>
      </c>
      <c r="E2424" s="523" t="s">
        <v>5427</v>
      </c>
      <c r="F2424" s="523" t="s">
        <v>57</v>
      </c>
    </row>
    <row r="2425">
      <c r="A2425" s="523">
        <v>2424</v>
      </c>
      <c r="B2425" s="523" t="s">
        <v>5444</v>
      </c>
      <c r="C2425" s="523" t="s">
        <v>5445</v>
      </c>
      <c r="D2425" s="523" t="s">
        <v>5426</v>
      </c>
      <c r="E2425" s="523" t="s">
        <v>5427</v>
      </c>
      <c r="F2425" s="523" t="s">
        <v>57</v>
      </c>
    </row>
    <row r="2426">
      <c r="A2426" s="523">
        <v>2425</v>
      </c>
      <c r="B2426" s="523" t="s">
        <v>5446</v>
      </c>
      <c r="C2426" s="523" t="s">
        <v>1207</v>
      </c>
      <c r="D2426" s="523" t="s">
        <v>5426</v>
      </c>
      <c r="E2426" s="523" t="s">
        <v>5427</v>
      </c>
      <c r="F2426" s="523" t="s">
        <v>57</v>
      </c>
    </row>
    <row r="2427">
      <c r="A2427" s="523">
        <v>2426</v>
      </c>
      <c r="B2427" s="523" t="s">
        <v>5447</v>
      </c>
      <c r="C2427" s="523" t="s">
        <v>1990</v>
      </c>
      <c r="D2427" s="523" t="s">
        <v>5426</v>
      </c>
      <c r="E2427" s="523" t="s">
        <v>5427</v>
      </c>
      <c r="F2427" s="523" t="s">
        <v>57</v>
      </c>
    </row>
    <row r="2428">
      <c r="A2428" s="523">
        <v>2427</v>
      </c>
      <c r="B2428" s="523" t="s">
        <v>5448</v>
      </c>
      <c r="C2428" s="523" t="s">
        <v>940</v>
      </c>
      <c r="D2428" s="523" t="s">
        <v>5426</v>
      </c>
      <c r="E2428" s="523" t="s">
        <v>5427</v>
      </c>
      <c r="F2428" s="523" t="s">
        <v>57</v>
      </c>
    </row>
    <row r="2429">
      <c r="A2429" s="523">
        <v>2428</v>
      </c>
      <c r="B2429" s="523" t="s">
        <v>5449</v>
      </c>
      <c r="C2429" s="523" t="s">
        <v>1589</v>
      </c>
      <c r="D2429" s="523" t="s">
        <v>5426</v>
      </c>
      <c r="E2429" s="523" t="s">
        <v>5427</v>
      </c>
      <c r="F2429" s="523" t="s">
        <v>57</v>
      </c>
    </row>
    <row r="2430">
      <c r="A2430" s="523">
        <v>2429</v>
      </c>
      <c r="B2430" s="523" t="s">
        <v>5450</v>
      </c>
      <c r="C2430" s="523" t="s">
        <v>1486</v>
      </c>
      <c r="D2430" s="523" t="s">
        <v>5451</v>
      </c>
      <c r="E2430" s="523" t="s">
        <v>5452</v>
      </c>
      <c r="F2430" s="523" t="s">
        <v>57</v>
      </c>
    </row>
    <row r="2431">
      <c r="A2431" s="523">
        <v>2430</v>
      </c>
      <c r="B2431" s="523" t="s">
        <v>5453</v>
      </c>
      <c r="C2431" s="523" t="s">
        <v>1490</v>
      </c>
      <c r="D2431" s="523" t="s">
        <v>5451</v>
      </c>
      <c r="E2431" s="523" t="s">
        <v>5452</v>
      </c>
      <c r="F2431" s="523" t="s">
        <v>57</v>
      </c>
    </row>
    <row r="2432">
      <c r="A2432" s="523">
        <v>2431</v>
      </c>
      <c r="B2432" s="523" t="s">
        <v>5454</v>
      </c>
      <c r="C2432" s="523" t="s">
        <v>1492</v>
      </c>
      <c r="D2432" s="523" t="s">
        <v>5451</v>
      </c>
      <c r="E2432" s="523" t="s">
        <v>5452</v>
      </c>
      <c r="F2432" s="523" t="s">
        <v>57</v>
      </c>
    </row>
    <row r="2433">
      <c r="A2433" s="523">
        <v>2432</v>
      </c>
      <c r="B2433" s="523" t="s">
        <v>5455</v>
      </c>
      <c r="C2433" s="523" t="s">
        <v>2039</v>
      </c>
      <c r="D2433" s="523" t="s">
        <v>5451</v>
      </c>
      <c r="E2433" s="523" t="s">
        <v>5452</v>
      </c>
      <c r="F2433" s="523" t="s">
        <v>57</v>
      </c>
    </row>
    <row r="2434">
      <c r="A2434" s="523">
        <v>2433</v>
      </c>
      <c r="B2434" s="523" t="s">
        <v>5456</v>
      </c>
      <c r="C2434" s="523" t="s">
        <v>1494</v>
      </c>
      <c r="D2434" s="523" t="s">
        <v>5451</v>
      </c>
      <c r="E2434" s="523" t="s">
        <v>5452</v>
      </c>
      <c r="F2434" s="523" t="s">
        <v>57</v>
      </c>
    </row>
    <row r="2435">
      <c r="A2435" s="523">
        <v>2434</v>
      </c>
      <c r="B2435" s="523" t="s">
        <v>5457</v>
      </c>
      <c r="C2435" s="523" t="s">
        <v>5458</v>
      </c>
      <c r="D2435" s="523" t="s">
        <v>5451</v>
      </c>
      <c r="E2435" s="523" t="s">
        <v>5452</v>
      </c>
      <c r="F2435" s="523" t="s">
        <v>57</v>
      </c>
    </row>
    <row r="2436">
      <c r="A2436" s="523">
        <v>2435</v>
      </c>
      <c r="B2436" s="523" t="s">
        <v>5459</v>
      </c>
      <c r="C2436" s="523" t="s">
        <v>5460</v>
      </c>
      <c r="D2436" s="523" t="s">
        <v>5451</v>
      </c>
      <c r="E2436" s="523" t="s">
        <v>5452</v>
      </c>
      <c r="F2436" s="523" t="s">
        <v>57</v>
      </c>
    </row>
    <row r="2437">
      <c r="A2437" s="523">
        <v>2436</v>
      </c>
      <c r="B2437" s="523" t="s">
        <v>5461</v>
      </c>
      <c r="C2437" s="523" t="s">
        <v>5462</v>
      </c>
      <c r="D2437" s="523" t="s">
        <v>5451</v>
      </c>
      <c r="E2437" s="523" t="s">
        <v>5452</v>
      </c>
      <c r="F2437" s="523" t="s">
        <v>57</v>
      </c>
    </row>
    <row r="2438">
      <c r="A2438" s="523">
        <v>2437</v>
      </c>
      <c r="B2438" s="523" t="s">
        <v>5463</v>
      </c>
      <c r="C2438" s="523" t="s">
        <v>1004</v>
      </c>
      <c r="D2438" s="523" t="s">
        <v>5451</v>
      </c>
      <c r="E2438" s="523" t="s">
        <v>5452</v>
      </c>
      <c r="F2438" s="523" t="s">
        <v>57</v>
      </c>
    </row>
    <row r="2439">
      <c r="A2439" s="523">
        <v>2438</v>
      </c>
      <c r="B2439" s="523" t="s">
        <v>5464</v>
      </c>
      <c r="C2439" s="523" t="s">
        <v>1679</v>
      </c>
      <c r="D2439" s="523" t="s">
        <v>5451</v>
      </c>
      <c r="E2439" s="523" t="s">
        <v>5452</v>
      </c>
      <c r="F2439" s="523" t="s">
        <v>57</v>
      </c>
    </row>
    <row r="2440">
      <c r="A2440" s="523">
        <v>2439</v>
      </c>
      <c r="B2440" s="523" t="s">
        <v>5465</v>
      </c>
      <c r="C2440" s="523" t="s">
        <v>3077</v>
      </c>
      <c r="D2440" s="523" t="s">
        <v>5451</v>
      </c>
      <c r="E2440" s="523" t="s">
        <v>5452</v>
      </c>
      <c r="F2440" s="523" t="s">
        <v>57</v>
      </c>
    </row>
    <row r="2441">
      <c r="A2441" s="523">
        <v>2440</v>
      </c>
      <c r="B2441" s="523" t="s">
        <v>5466</v>
      </c>
      <c r="C2441" s="523" t="s">
        <v>1026</v>
      </c>
      <c r="D2441" s="523" t="s">
        <v>5451</v>
      </c>
      <c r="E2441" s="523" t="s">
        <v>5452</v>
      </c>
      <c r="F2441" s="523" t="s">
        <v>57</v>
      </c>
    </row>
    <row r="2442">
      <c r="A2442" s="523">
        <v>2441</v>
      </c>
      <c r="B2442" s="523" t="s">
        <v>5467</v>
      </c>
      <c r="C2442" s="523" t="s">
        <v>5468</v>
      </c>
      <c r="D2442" s="523" t="s">
        <v>5469</v>
      </c>
      <c r="E2442" s="523" t="s">
        <v>5470</v>
      </c>
      <c r="F2442" s="523" t="s">
        <v>60</v>
      </c>
    </row>
    <row r="2443">
      <c r="A2443" s="523">
        <v>2442</v>
      </c>
      <c r="B2443" s="523" t="s">
        <v>5471</v>
      </c>
      <c r="C2443" s="523" t="s">
        <v>1971</v>
      </c>
      <c r="D2443" s="523" t="s">
        <v>5469</v>
      </c>
      <c r="E2443" s="523" t="s">
        <v>5470</v>
      </c>
      <c r="F2443" s="523" t="s">
        <v>60</v>
      </c>
    </row>
    <row r="2444">
      <c r="A2444" s="523">
        <v>2443</v>
      </c>
      <c r="B2444" s="523" t="s">
        <v>5472</v>
      </c>
      <c r="C2444" s="523" t="s">
        <v>5473</v>
      </c>
      <c r="D2444" s="523" t="s">
        <v>5469</v>
      </c>
      <c r="E2444" s="523" t="s">
        <v>5470</v>
      </c>
      <c r="F2444" s="523" t="s">
        <v>60</v>
      </c>
    </row>
    <row r="2445">
      <c r="A2445" s="523">
        <v>2444</v>
      </c>
      <c r="B2445" s="523" t="s">
        <v>5474</v>
      </c>
      <c r="C2445" s="523" t="s">
        <v>5475</v>
      </c>
      <c r="D2445" s="523" t="s">
        <v>5469</v>
      </c>
      <c r="E2445" s="523" t="s">
        <v>5470</v>
      </c>
      <c r="F2445" s="523" t="s">
        <v>60</v>
      </c>
    </row>
    <row r="2446">
      <c r="A2446" s="523">
        <v>2445</v>
      </c>
      <c r="B2446" s="523" t="s">
        <v>5476</v>
      </c>
      <c r="C2446" s="523" t="s">
        <v>974</v>
      </c>
      <c r="D2446" s="523" t="s">
        <v>5469</v>
      </c>
      <c r="E2446" s="523" t="s">
        <v>5470</v>
      </c>
      <c r="F2446" s="523" t="s">
        <v>60</v>
      </c>
    </row>
    <row r="2447">
      <c r="A2447" s="523">
        <v>2446</v>
      </c>
      <c r="B2447" s="523" t="s">
        <v>5477</v>
      </c>
      <c r="C2447" s="523" t="s">
        <v>5435</v>
      </c>
      <c r="D2447" s="523" t="s">
        <v>5469</v>
      </c>
      <c r="E2447" s="523" t="s">
        <v>5470</v>
      </c>
      <c r="F2447" s="523" t="s">
        <v>60</v>
      </c>
    </row>
    <row r="2448">
      <c r="A2448" s="523">
        <v>2447</v>
      </c>
      <c r="B2448" s="523" t="s">
        <v>5478</v>
      </c>
      <c r="C2448" s="523" t="s">
        <v>2734</v>
      </c>
      <c r="D2448" s="523" t="s">
        <v>5469</v>
      </c>
      <c r="E2448" s="523" t="s">
        <v>5470</v>
      </c>
      <c r="F2448" s="523" t="s">
        <v>60</v>
      </c>
    </row>
    <row r="2449">
      <c r="A2449" s="523">
        <v>2448</v>
      </c>
      <c r="B2449" s="523" t="s">
        <v>5479</v>
      </c>
      <c r="C2449" s="523" t="s">
        <v>3077</v>
      </c>
      <c r="D2449" s="523" t="s">
        <v>5469</v>
      </c>
      <c r="E2449" s="523" t="s">
        <v>5470</v>
      </c>
      <c r="F2449" s="523" t="s">
        <v>60</v>
      </c>
    </row>
    <row r="2450">
      <c r="A2450" s="523">
        <v>2449</v>
      </c>
      <c r="B2450" s="523" t="s">
        <v>5480</v>
      </c>
      <c r="C2450" s="523" t="s">
        <v>5481</v>
      </c>
      <c r="D2450" s="523" t="s">
        <v>5469</v>
      </c>
      <c r="E2450" s="523" t="s">
        <v>5470</v>
      </c>
      <c r="F2450" s="523" t="s">
        <v>60</v>
      </c>
    </row>
    <row r="2451">
      <c r="A2451" s="523">
        <v>2450</v>
      </c>
      <c r="B2451" s="523" t="s">
        <v>5482</v>
      </c>
      <c r="C2451" s="523" t="s">
        <v>1835</v>
      </c>
      <c r="D2451" s="523" t="s">
        <v>5483</v>
      </c>
      <c r="E2451" s="523" t="s">
        <v>928</v>
      </c>
      <c r="F2451" s="523" t="s">
        <v>60</v>
      </c>
    </row>
    <row r="2452">
      <c r="A2452" s="523">
        <v>2451</v>
      </c>
      <c r="B2452" s="523" t="s">
        <v>5484</v>
      </c>
      <c r="C2452" s="523" t="s">
        <v>1036</v>
      </c>
      <c r="D2452" s="523" t="s">
        <v>5483</v>
      </c>
      <c r="E2452" s="523" t="s">
        <v>928</v>
      </c>
      <c r="F2452" s="523" t="s">
        <v>60</v>
      </c>
    </row>
    <row r="2453">
      <c r="A2453" s="523">
        <v>2452</v>
      </c>
      <c r="B2453" s="523" t="s">
        <v>5485</v>
      </c>
      <c r="C2453" s="523" t="s">
        <v>5486</v>
      </c>
      <c r="D2453" s="523" t="s">
        <v>5483</v>
      </c>
      <c r="E2453" s="523" t="s">
        <v>928</v>
      </c>
      <c r="F2453" s="523" t="s">
        <v>60</v>
      </c>
    </row>
    <row r="2454">
      <c r="A2454" s="523">
        <v>2453</v>
      </c>
      <c r="B2454" s="523" t="s">
        <v>5487</v>
      </c>
      <c r="C2454" s="523" t="s">
        <v>5488</v>
      </c>
      <c r="D2454" s="523" t="s">
        <v>5483</v>
      </c>
      <c r="E2454" s="523" t="s">
        <v>928</v>
      </c>
      <c r="F2454" s="523" t="s">
        <v>60</v>
      </c>
    </row>
    <row r="2455">
      <c r="A2455" s="523">
        <v>2454</v>
      </c>
      <c r="B2455" s="523" t="s">
        <v>5489</v>
      </c>
      <c r="C2455" s="523" t="s">
        <v>5490</v>
      </c>
      <c r="D2455" s="523" t="s">
        <v>5483</v>
      </c>
      <c r="E2455" s="523" t="s">
        <v>928</v>
      </c>
      <c r="F2455" s="523" t="s">
        <v>60</v>
      </c>
    </row>
    <row r="2456">
      <c r="A2456" s="523">
        <v>2455</v>
      </c>
      <c r="B2456" s="523" t="s">
        <v>5491</v>
      </c>
      <c r="C2456" s="523" t="s">
        <v>5492</v>
      </c>
      <c r="D2456" s="523" t="s">
        <v>5483</v>
      </c>
      <c r="E2456" s="523" t="s">
        <v>928</v>
      </c>
      <c r="F2456" s="523" t="s">
        <v>60</v>
      </c>
    </row>
    <row r="2457">
      <c r="A2457" s="523">
        <v>2456</v>
      </c>
      <c r="B2457" s="523" t="s">
        <v>5493</v>
      </c>
      <c r="C2457" s="523" t="s">
        <v>5494</v>
      </c>
      <c r="D2457" s="523" t="s">
        <v>5483</v>
      </c>
      <c r="E2457" s="523" t="s">
        <v>928</v>
      </c>
      <c r="F2457" s="523" t="s">
        <v>60</v>
      </c>
    </row>
    <row r="2458">
      <c r="A2458" s="523">
        <v>2457</v>
      </c>
      <c r="B2458" s="523" t="s">
        <v>5495</v>
      </c>
      <c r="C2458" s="523" t="s">
        <v>5335</v>
      </c>
      <c r="D2458" s="523" t="s">
        <v>5483</v>
      </c>
      <c r="E2458" s="523" t="s">
        <v>928</v>
      </c>
      <c r="F2458" s="523" t="s">
        <v>60</v>
      </c>
    </row>
    <row r="2459">
      <c r="A2459" s="523">
        <v>2458</v>
      </c>
      <c r="B2459" s="523" t="s">
        <v>5496</v>
      </c>
      <c r="C2459" s="523" t="s">
        <v>5497</v>
      </c>
      <c r="D2459" s="523" t="s">
        <v>5483</v>
      </c>
      <c r="E2459" s="523" t="s">
        <v>928</v>
      </c>
      <c r="F2459" s="523" t="s">
        <v>60</v>
      </c>
    </row>
    <row r="2460">
      <c r="A2460" s="523">
        <v>2459</v>
      </c>
      <c r="B2460" s="523" t="s">
        <v>5498</v>
      </c>
      <c r="C2460" s="523" t="s">
        <v>4901</v>
      </c>
      <c r="D2460" s="523" t="s">
        <v>5483</v>
      </c>
      <c r="E2460" s="523" t="s">
        <v>928</v>
      </c>
      <c r="F2460" s="523" t="s">
        <v>60</v>
      </c>
    </row>
    <row r="2461">
      <c r="A2461" s="523">
        <v>2460</v>
      </c>
      <c r="B2461" s="523" t="s">
        <v>5499</v>
      </c>
      <c r="C2461" s="523" t="s">
        <v>5500</v>
      </c>
      <c r="D2461" s="523" t="s">
        <v>5483</v>
      </c>
      <c r="E2461" s="523" t="s">
        <v>928</v>
      </c>
      <c r="F2461" s="523" t="s">
        <v>60</v>
      </c>
    </row>
    <row r="2462">
      <c r="A2462" s="523">
        <v>2461</v>
      </c>
      <c r="B2462" s="523" t="s">
        <v>5501</v>
      </c>
      <c r="C2462" s="523" t="s">
        <v>5502</v>
      </c>
      <c r="D2462" s="523" t="s">
        <v>5483</v>
      </c>
      <c r="E2462" s="523" t="s">
        <v>928</v>
      </c>
      <c r="F2462" s="523" t="s">
        <v>60</v>
      </c>
    </row>
    <row r="2463">
      <c r="A2463" s="523">
        <v>2462</v>
      </c>
      <c r="B2463" s="523" t="s">
        <v>5503</v>
      </c>
      <c r="C2463" s="523" t="s">
        <v>5504</v>
      </c>
      <c r="D2463" s="523" t="s">
        <v>5483</v>
      </c>
      <c r="E2463" s="523" t="s">
        <v>928</v>
      </c>
      <c r="F2463" s="523" t="s">
        <v>60</v>
      </c>
    </row>
    <row r="2464">
      <c r="A2464" s="523">
        <v>2463</v>
      </c>
      <c r="B2464" s="523" t="s">
        <v>5505</v>
      </c>
      <c r="C2464" s="523" t="s">
        <v>5506</v>
      </c>
      <c r="D2464" s="523" t="s">
        <v>5483</v>
      </c>
      <c r="E2464" s="523" t="s">
        <v>928</v>
      </c>
      <c r="F2464" s="523" t="s">
        <v>60</v>
      </c>
    </row>
    <row r="2465">
      <c r="A2465" s="523">
        <v>2464</v>
      </c>
      <c r="B2465" s="523" t="s">
        <v>5507</v>
      </c>
      <c r="C2465" s="523" t="s">
        <v>5508</v>
      </c>
      <c r="D2465" s="523" t="s">
        <v>5483</v>
      </c>
      <c r="E2465" s="523" t="s">
        <v>928</v>
      </c>
      <c r="F2465" s="523" t="s">
        <v>60</v>
      </c>
    </row>
    <row r="2466">
      <c r="A2466" s="523">
        <v>2465</v>
      </c>
      <c r="B2466" s="523" t="s">
        <v>5509</v>
      </c>
      <c r="C2466" s="523" t="s">
        <v>5510</v>
      </c>
      <c r="D2466" s="523" t="s">
        <v>5511</v>
      </c>
      <c r="E2466" s="523" t="s">
        <v>5512</v>
      </c>
      <c r="F2466" s="523" t="s">
        <v>60</v>
      </c>
    </row>
    <row r="2467">
      <c r="A2467" s="523">
        <v>2466</v>
      </c>
      <c r="B2467" s="523" t="s">
        <v>5513</v>
      </c>
      <c r="C2467" s="523" t="s">
        <v>5514</v>
      </c>
      <c r="D2467" s="523" t="s">
        <v>5511</v>
      </c>
      <c r="E2467" s="523" t="s">
        <v>5512</v>
      </c>
      <c r="F2467" s="523" t="s">
        <v>60</v>
      </c>
    </row>
    <row r="2468">
      <c r="A2468" s="523">
        <v>2467</v>
      </c>
      <c r="B2468" s="523" t="s">
        <v>5515</v>
      </c>
      <c r="C2468" s="523" t="s">
        <v>5516</v>
      </c>
      <c r="D2468" s="523" t="s">
        <v>5511</v>
      </c>
      <c r="E2468" s="523" t="s">
        <v>5512</v>
      </c>
      <c r="F2468" s="523" t="s">
        <v>60</v>
      </c>
    </row>
    <row r="2469">
      <c r="A2469" s="523">
        <v>2468</v>
      </c>
      <c r="B2469" s="523" t="s">
        <v>5517</v>
      </c>
      <c r="C2469" s="523" t="s">
        <v>5518</v>
      </c>
      <c r="D2469" s="523" t="s">
        <v>5511</v>
      </c>
      <c r="E2469" s="523" t="s">
        <v>5512</v>
      </c>
      <c r="F2469" s="523" t="s">
        <v>60</v>
      </c>
    </row>
    <row r="2470">
      <c r="A2470" s="523">
        <v>2469</v>
      </c>
      <c r="B2470" s="523" t="s">
        <v>5519</v>
      </c>
      <c r="C2470" s="523" t="s">
        <v>5520</v>
      </c>
      <c r="D2470" s="523" t="s">
        <v>5511</v>
      </c>
      <c r="E2470" s="523" t="s">
        <v>5512</v>
      </c>
      <c r="F2470" s="523" t="s">
        <v>60</v>
      </c>
    </row>
    <row r="2471">
      <c r="A2471" s="523">
        <v>2470</v>
      </c>
      <c r="B2471" s="523" t="s">
        <v>5521</v>
      </c>
      <c r="C2471" s="523" t="s">
        <v>1412</v>
      </c>
      <c r="D2471" s="523" t="s">
        <v>5511</v>
      </c>
      <c r="E2471" s="523" t="s">
        <v>5512</v>
      </c>
      <c r="F2471" s="523" t="s">
        <v>60</v>
      </c>
    </row>
    <row r="2472">
      <c r="A2472" s="523">
        <v>2471</v>
      </c>
      <c r="B2472" s="523" t="s">
        <v>5522</v>
      </c>
      <c r="C2472" s="523" t="s">
        <v>5523</v>
      </c>
      <c r="D2472" s="523" t="s">
        <v>5511</v>
      </c>
      <c r="E2472" s="523" t="s">
        <v>5512</v>
      </c>
      <c r="F2472" s="523" t="s">
        <v>60</v>
      </c>
    </row>
    <row r="2473">
      <c r="A2473" s="523">
        <v>2472</v>
      </c>
      <c r="B2473" s="523" t="s">
        <v>5524</v>
      </c>
      <c r="C2473" s="523" t="s">
        <v>1536</v>
      </c>
      <c r="D2473" s="523" t="s">
        <v>5511</v>
      </c>
      <c r="E2473" s="523" t="s">
        <v>5512</v>
      </c>
      <c r="F2473" s="523" t="s">
        <v>60</v>
      </c>
    </row>
    <row r="2474">
      <c r="A2474" s="523">
        <v>2473</v>
      </c>
      <c r="B2474" s="523" t="s">
        <v>5525</v>
      </c>
      <c r="C2474" s="523" t="s">
        <v>4949</v>
      </c>
      <c r="D2474" s="523" t="s">
        <v>5511</v>
      </c>
      <c r="E2474" s="523" t="s">
        <v>5512</v>
      </c>
      <c r="F2474" s="523" t="s">
        <v>60</v>
      </c>
    </row>
    <row r="2475">
      <c r="A2475" s="523">
        <v>2474</v>
      </c>
      <c r="B2475" s="523" t="s">
        <v>5526</v>
      </c>
      <c r="C2475" s="523" t="s">
        <v>5527</v>
      </c>
      <c r="D2475" s="523" t="s">
        <v>5511</v>
      </c>
      <c r="E2475" s="523" t="s">
        <v>5512</v>
      </c>
      <c r="F2475" s="523" t="s">
        <v>60</v>
      </c>
    </row>
    <row r="2476">
      <c r="A2476" s="523">
        <v>2475</v>
      </c>
      <c r="B2476" s="523" t="s">
        <v>5528</v>
      </c>
      <c r="C2476" s="523" t="s">
        <v>5529</v>
      </c>
      <c r="D2476" s="523" t="s">
        <v>5511</v>
      </c>
      <c r="E2476" s="523" t="s">
        <v>5512</v>
      </c>
      <c r="F2476" s="523" t="s">
        <v>60</v>
      </c>
    </row>
    <row r="2477">
      <c r="A2477" s="523">
        <v>2476</v>
      </c>
      <c r="B2477" s="523" t="s">
        <v>5530</v>
      </c>
      <c r="C2477" s="523" t="s">
        <v>5531</v>
      </c>
      <c r="D2477" s="523" t="s">
        <v>5532</v>
      </c>
      <c r="E2477" s="523" t="s">
        <v>5533</v>
      </c>
      <c r="F2477" s="523" t="s">
        <v>60</v>
      </c>
    </row>
    <row r="2478">
      <c r="A2478" s="523">
        <v>2477</v>
      </c>
      <c r="B2478" s="523" t="s">
        <v>5534</v>
      </c>
      <c r="C2478" s="523" t="s">
        <v>5535</v>
      </c>
      <c r="D2478" s="523" t="s">
        <v>5532</v>
      </c>
      <c r="E2478" s="523" t="s">
        <v>5533</v>
      </c>
      <c r="F2478" s="523" t="s">
        <v>60</v>
      </c>
    </row>
    <row r="2479">
      <c r="A2479" s="523">
        <v>2478</v>
      </c>
      <c r="B2479" s="523" t="s">
        <v>5536</v>
      </c>
      <c r="C2479" s="523" t="s">
        <v>5537</v>
      </c>
      <c r="D2479" s="523" t="s">
        <v>5532</v>
      </c>
      <c r="E2479" s="523" t="s">
        <v>5533</v>
      </c>
      <c r="F2479" s="523" t="s">
        <v>60</v>
      </c>
    </row>
    <row r="2480">
      <c r="A2480" s="523">
        <v>2479</v>
      </c>
      <c r="B2480" s="523" t="s">
        <v>5538</v>
      </c>
      <c r="C2480" s="523" t="s">
        <v>4314</v>
      </c>
      <c r="D2480" s="523" t="s">
        <v>5532</v>
      </c>
      <c r="E2480" s="523" t="s">
        <v>5533</v>
      </c>
      <c r="F2480" s="523" t="s">
        <v>60</v>
      </c>
    </row>
    <row r="2481">
      <c r="A2481" s="523">
        <v>2480</v>
      </c>
      <c r="B2481" s="523" t="s">
        <v>5539</v>
      </c>
      <c r="C2481" s="523" t="s">
        <v>1857</v>
      </c>
      <c r="D2481" s="523" t="s">
        <v>5532</v>
      </c>
      <c r="E2481" s="523" t="s">
        <v>5533</v>
      </c>
      <c r="F2481" s="523" t="s">
        <v>60</v>
      </c>
    </row>
    <row r="2482">
      <c r="A2482" s="523">
        <v>2481</v>
      </c>
      <c r="B2482" s="523" t="s">
        <v>5540</v>
      </c>
      <c r="C2482" s="523" t="s">
        <v>5541</v>
      </c>
      <c r="D2482" s="523" t="s">
        <v>5532</v>
      </c>
      <c r="E2482" s="523" t="s">
        <v>5533</v>
      </c>
      <c r="F2482" s="523" t="s">
        <v>60</v>
      </c>
    </row>
    <row r="2483">
      <c r="A2483" s="523">
        <v>2482</v>
      </c>
      <c r="B2483" s="523" t="s">
        <v>5542</v>
      </c>
      <c r="C2483" s="523" t="s">
        <v>4296</v>
      </c>
      <c r="D2483" s="523" t="s">
        <v>5532</v>
      </c>
      <c r="E2483" s="523" t="s">
        <v>5533</v>
      </c>
      <c r="F2483" s="523" t="s">
        <v>60</v>
      </c>
    </row>
    <row r="2484">
      <c r="A2484" s="523">
        <v>2483</v>
      </c>
      <c r="B2484" s="523" t="s">
        <v>5543</v>
      </c>
      <c r="C2484" s="523" t="s">
        <v>5544</v>
      </c>
      <c r="D2484" s="523" t="s">
        <v>5532</v>
      </c>
      <c r="E2484" s="523" t="s">
        <v>5533</v>
      </c>
      <c r="F2484" s="523" t="s">
        <v>60</v>
      </c>
    </row>
    <row r="2485">
      <c r="A2485" s="523">
        <v>2484</v>
      </c>
      <c r="B2485" s="523" t="s">
        <v>5545</v>
      </c>
      <c r="C2485" s="523" t="s">
        <v>4238</v>
      </c>
      <c r="D2485" s="523" t="s">
        <v>5532</v>
      </c>
      <c r="E2485" s="523" t="s">
        <v>5533</v>
      </c>
      <c r="F2485" s="523" t="s">
        <v>60</v>
      </c>
    </row>
    <row r="2486">
      <c r="A2486" s="523">
        <v>2485</v>
      </c>
      <c r="B2486" s="523" t="s">
        <v>5546</v>
      </c>
      <c r="C2486" s="523" t="s">
        <v>5547</v>
      </c>
      <c r="D2486" s="523" t="s">
        <v>5548</v>
      </c>
      <c r="E2486" s="523" t="s">
        <v>5549</v>
      </c>
      <c r="F2486" s="523" t="s">
        <v>60</v>
      </c>
    </row>
    <row r="2487">
      <c r="A2487" s="523">
        <v>2486</v>
      </c>
      <c r="B2487" s="523" t="s">
        <v>5550</v>
      </c>
      <c r="C2487" s="523" t="s">
        <v>5551</v>
      </c>
      <c r="D2487" s="523" t="s">
        <v>5548</v>
      </c>
      <c r="E2487" s="523" t="s">
        <v>5549</v>
      </c>
      <c r="F2487" s="523" t="s">
        <v>60</v>
      </c>
    </row>
    <row r="2488">
      <c r="A2488" s="523">
        <v>2487</v>
      </c>
      <c r="B2488" s="523" t="s">
        <v>5552</v>
      </c>
      <c r="C2488" s="523" t="s">
        <v>5553</v>
      </c>
      <c r="D2488" s="523" t="s">
        <v>5548</v>
      </c>
      <c r="E2488" s="523" t="s">
        <v>5549</v>
      </c>
      <c r="F2488" s="523" t="s">
        <v>60</v>
      </c>
    </row>
    <row r="2489">
      <c r="A2489" s="523">
        <v>2488</v>
      </c>
      <c r="B2489" s="523" t="s">
        <v>5554</v>
      </c>
      <c r="C2489" s="523" t="s">
        <v>5555</v>
      </c>
      <c r="D2489" s="523" t="s">
        <v>5548</v>
      </c>
      <c r="E2489" s="523" t="s">
        <v>5549</v>
      </c>
      <c r="F2489" s="523" t="s">
        <v>60</v>
      </c>
    </row>
    <row r="2490">
      <c r="A2490" s="523">
        <v>2489</v>
      </c>
      <c r="B2490" s="523" t="s">
        <v>5556</v>
      </c>
      <c r="C2490" s="523" t="s">
        <v>5557</v>
      </c>
      <c r="D2490" s="523" t="s">
        <v>5548</v>
      </c>
      <c r="E2490" s="523" t="s">
        <v>5549</v>
      </c>
      <c r="F2490" s="523" t="s">
        <v>60</v>
      </c>
    </row>
    <row r="2491">
      <c r="A2491" s="523">
        <v>2490</v>
      </c>
      <c r="B2491" s="523" t="s">
        <v>5558</v>
      </c>
      <c r="C2491" s="523" t="s">
        <v>5559</v>
      </c>
      <c r="D2491" s="523" t="s">
        <v>5548</v>
      </c>
      <c r="E2491" s="523" t="s">
        <v>5549</v>
      </c>
      <c r="F2491" s="523" t="s">
        <v>60</v>
      </c>
    </row>
    <row r="2492">
      <c r="A2492" s="523">
        <v>2491</v>
      </c>
      <c r="B2492" s="523" t="s">
        <v>5560</v>
      </c>
      <c r="C2492" s="523" t="s">
        <v>5561</v>
      </c>
      <c r="D2492" s="523" t="s">
        <v>5548</v>
      </c>
      <c r="E2492" s="523" t="s">
        <v>5549</v>
      </c>
      <c r="F2492" s="523" t="s">
        <v>60</v>
      </c>
    </row>
    <row r="2493">
      <c r="A2493" s="523">
        <v>2492</v>
      </c>
      <c r="B2493" s="523" t="s">
        <v>5562</v>
      </c>
      <c r="C2493" s="523" t="s">
        <v>5563</v>
      </c>
      <c r="D2493" s="523" t="s">
        <v>5548</v>
      </c>
      <c r="E2493" s="523" t="s">
        <v>5549</v>
      </c>
      <c r="F2493" s="523" t="s">
        <v>60</v>
      </c>
    </row>
    <row r="2494">
      <c r="A2494" s="523">
        <v>2493</v>
      </c>
      <c r="B2494" s="523" t="s">
        <v>5564</v>
      </c>
      <c r="C2494" s="523" t="s">
        <v>5565</v>
      </c>
      <c r="D2494" s="523" t="s">
        <v>5566</v>
      </c>
      <c r="E2494" s="523" t="s">
        <v>5567</v>
      </c>
      <c r="F2494" s="523" t="s">
        <v>60</v>
      </c>
    </row>
    <row r="2495">
      <c r="A2495" s="523">
        <v>2494</v>
      </c>
      <c r="B2495" s="523" t="s">
        <v>5568</v>
      </c>
      <c r="C2495" s="523" t="s">
        <v>5569</v>
      </c>
      <c r="D2495" s="523" t="s">
        <v>5566</v>
      </c>
      <c r="E2495" s="523" t="s">
        <v>5567</v>
      </c>
      <c r="F2495" s="523" t="s">
        <v>60</v>
      </c>
    </row>
    <row r="2496">
      <c r="A2496" s="523">
        <v>2495</v>
      </c>
      <c r="B2496" s="523" t="s">
        <v>5570</v>
      </c>
      <c r="C2496" s="523" t="s">
        <v>5571</v>
      </c>
      <c r="D2496" s="523" t="s">
        <v>5566</v>
      </c>
      <c r="E2496" s="523" t="s">
        <v>5567</v>
      </c>
      <c r="F2496" s="523" t="s">
        <v>60</v>
      </c>
    </row>
    <row r="2497">
      <c r="A2497" s="523">
        <v>2496</v>
      </c>
      <c r="B2497" s="523" t="s">
        <v>5572</v>
      </c>
      <c r="C2497" s="523" t="s">
        <v>1207</v>
      </c>
      <c r="D2497" s="523" t="s">
        <v>5566</v>
      </c>
      <c r="E2497" s="523" t="s">
        <v>5567</v>
      </c>
      <c r="F2497" s="523" t="s">
        <v>60</v>
      </c>
    </row>
    <row r="2498">
      <c r="A2498" s="523">
        <v>2497</v>
      </c>
      <c r="B2498" s="523" t="s">
        <v>5573</v>
      </c>
      <c r="C2498" s="523" t="s">
        <v>1084</v>
      </c>
      <c r="D2498" s="523" t="s">
        <v>5566</v>
      </c>
      <c r="E2498" s="523" t="s">
        <v>5567</v>
      </c>
      <c r="F2498" s="523" t="s">
        <v>60</v>
      </c>
    </row>
    <row r="2499">
      <c r="A2499" s="523">
        <v>2498</v>
      </c>
      <c r="B2499" s="523" t="s">
        <v>5574</v>
      </c>
      <c r="C2499" s="523" t="s">
        <v>1523</v>
      </c>
      <c r="D2499" s="523" t="s">
        <v>5566</v>
      </c>
      <c r="E2499" s="523" t="s">
        <v>5567</v>
      </c>
      <c r="F2499" s="523" t="s">
        <v>60</v>
      </c>
    </row>
    <row r="2500">
      <c r="A2500" s="523">
        <v>2499</v>
      </c>
      <c r="B2500" s="523" t="s">
        <v>5575</v>
      </c>
      <c r="C2500" s="523" t="s">
        <v>5576</v>
      </c>
      <c r="D2500" s="523" t="s">
        <v>5566</v>
      </c>
      <c r="E2500" s="523" t="s">
        <v>5567</v>
      </c>
      <c r="F2500" s="523" t="s">
        <v>60</v>
      </c>
    </row>
    <row r="2501">
      <c r="A2501" s="523">
        <v>2500</v>
      </c>
      <c r="B2501" s="523" t="s">
        <v>5577</v>
      </c>
      <c r="C2501" s="523" t="s">
        <v>4019</v>
      </c>
      <c r="D2501" s="523" t="s">
        <v>5566</v>
      </c>
      <c r="E2501" s="523" t="s">
        <v>5567</v>
      </c>
      <c r="F2501" s="523" t="s">
        <v>60</v>
      </c>
    </row>
    <row r="2502">
      <c r="A2502" s="523">
        <v>2501</v>
      </c>
      <c r="B2502" s="523" t="s">
        <v>5578</v>
      </c>
      <c r="C2502" s="523" t="s">
        <v>5579</v>
      </c>
      <c r="D2502" s="523" t="s">
        <v>5566</v>
      </c>
      <c r="E2502" s="523" t="s">
        <v>5567</v>
      </c>
      <c r="F2502" s="523" t="s">
        <v>60</v>
      </c>
    </row>
    <row r="2503">
      <c r="A2503" s="523">
        <v>2502</v>
      </c>
      <c r="B2503" s="523" t="s">
        <v>5580</v>
      </c>
      <c r="C2503" s="523" t="s">
        <v>5581</v>
      </c>
      <c r="D2503" s="523" t="s">
        <v>5566</v>
      </c>
      <c r="E2503" s="523" t="s">
        <v>5567</v>
      </c>
      <c r="F2503" s="523" t="s">
        <v>60</v>
      </c>
    </row>
    <row r="2504">
      <c r="A2504" s="523">
        <v>2503</v>
      </c>
      <c r="B2504" s="523" t="s">
        <v>5582</v>
      </c>
      <c r="C2504" s="523" t="s">
        <v>5583</v>
      </c>
      <c r="D2504" s="523" t="s">
        <v>5584</v>
      </c>
      <c r="E2504" s="523" t="s">
        <v>5585</v>
      </c>
      <c r="F2504" s="523" t="s">
        <v>60</v>
      </c>
    </row>
    <row r="2505">
      <c r="A2505" s="523">
        <v>2504</v>
      </c>
      <c r="B2505" s="523" t="s">
        <v>5586</v>
      </c>
      <c r="C2505" s="523" t="s">
        <v>5587</v>
      </c>
      <c r="D2505" s="523" t="s">
        <v>5584</v>
      </c>
      <c r="E2505" s="523" t="s">
        <v>5585</v>
      </c>
      <c r="F2505" s="523" t="s">
        <v>60</v>
      </c>
    </row>
    <row r="2506">
      <c r="A2506" s="523">
        <v>2505</v>
      </c>
      <c r="B2506" s="523" t="s">
        <v>5588</v>
      </c>
      <c r="C2506" s="523" t="s">
        <v>5589</v>
      </c>
      <c r="D2506" s="523" t="s">
        <v>5584</v>
      </c>
      <c r="E2506" s="523" t="s">
        <v>5585</v>
      </c>
      <c r="F2506" s="523" t="s">
        <v>60</v>
      </c>
    </row>
    <row r="2507">
      <c r="A2507" s="523">
        <v>2506</v>
      </c>
      <c r="B2507" s="523" t="s">
        <v>5590</v>
      </c>
      <c r="C2507" s="523" t="s">
        <v>2108</v>
      </c>
      <c r="D2507" s="523" t="s">
        <v>5584</v>
      </c>
      <c r="E2507" s="523" t="s">
        <v>5585</v>
      </c>
      <c r="F2507" s="523" t="s">
        <v>60</v>
      </c>
    </row>
    <row r="2508">
      <c r="A2508" s="523">
        <v>2507</v>
      </c>
      <c r="B2508" s="523" t="s">
        <v>5591</v>
      </c>
      <c r="C2508" s="523" t="s">
        <v>1277</v>
      </c>
      <c r="D2508" s="523" t="s">
        <v>5584</v>
      </c>
      <c r="E2508" s="523" t="s">
        <v>5585</v>
      </c>
      <c r="F2508" s="523" t="s">
        <v>60</v>
      </c>
    </row>
    <row r="2509">
      <c r="A2509" s="523">
        <v>2508</v>
      </c>
      <c r="B2509" s="523" t="s">
        <v>5592</v>
      </c>
      <c r="C2509" s="523" t="s">
        <v>1024</v>
      </c>
      <c r="D2509" s="523" t="s">
        <v>5584</v>
      </c>
      <c r="E2509" s="523" t="s">
        <v>5585</v>
      </c>
      <c r="F2509" s="523" t="s">
        <v>60</v>
      </c>
    </row>
    <row r="2510">
      <c r="A2510" s="523">
        <v>2509</v>
      </c>
      <c r="B2510" s="523" t="s">
        <v>5593</v>
      </c>
      <c r="C2510" s="523" t="s">
        <v>1990</v>
      </c>
      <c r="D2510" s="523" t="s">
        <v>5584</v>
      </c>
      <c r="E2510" s="523" t="s">
        <v>5585</v>
      </c>
      <c r="F2510" s="523" t="s">
        <v>60</v>
      </c>
    </row>
    <row r="2511">
      <c r="A2511" s="523">
        <v>2510</v>
      </c>
      <c r="B2511" s="523" t="s">
        <v>5594</v>
      </c>
      <c r="C2511" s="523" t="s">
        <v>1232</v>
      </c>
      <c r="D2511" s="523" t="s">
        <v>5584</v>
      </c>
      <c r="E2511" s="523" t="s">
        <v>5585</v>
      </c>
      <c r="F2511" s="523" t="s">
        <v>60</v>
      </c>
    </row>
    <row r="2512">
      <c r="A2512" s="523">
        <v>2511</v>
      </c>
      <c r="B2512" s="523" t="s">
        <v>5595</v>
      </c>
      <c r="C2512" s="523" t="s">
        <v>940</v>
      </c>
      <c r="D2512" s="523" t="s">
        <v>5584</v>
      </c>
      <c r="E2512" s="523" t="s">
        <v>5585</v>
      </c>
      <c r="F2512" s="523" t="s">
        <v>60</v>
      </c>
    </row>
    <row r="2513">
      <c r="A2513" s="523">
        <v>2512</v>
      </c>
      <c r="B2513" s="523" t="s">
        <v>5596</v>
      </c>
      <c r="C2513" s="523" t="s">
        <v>1212</v>
      </c>
      <c r="D2513" s="523" t="s">
        <v>5584</v>
      </c>
      <c r="E2513" s="523" t="s">
        <v>5585</v>
      </c>
      <c r="F2513" s="523" t="s">
        <v>60</v>
      </c>
    </row>
    <row r="2514">
      <c r="A2514" s="523">
        <v>2513</v>
      </c>
      <c r="B2514" s="523" t="s">
        <v>5597</v>
      </c>
      <c r="C2514" s="523" t="s">
        <v>4420</v>
      </c>
      <c r="D2514" s="523" t="s">
        <v>5584</v>
      </c>
      <c r="E2514" s="523" t="s">
        <v>5585</v>
      </c>
      <c r="F2514" s="523" t="s">
        <v>60</v>
      </c>
    </row>
    <row r="2515">
      <c r="A2515" s="523">
        <v>2514</v>
      </c>
      <c r="B2515" s="523" t="s">
        <v>5598</v>
      </c>
      <c r="C2515" s="523" t="s">
        <v>4140</v>
      </c>
      <c r="D2515" s="523" t="s">
        <v>5584</v>
      </c>
      <c r="E2515" s="523" t="s">
        <v>5585</v>
      </c>
      <c r="F2515" s="523" t="s">
        <v>60</v>
      </c>
    </row>
    <row r="2516">
      <c r="A2516" s="523">
        <v>2515</v>
      </c>
      <c r="B2516" s="523" t="s">
        <v>5599</v>
      </c>
      <c r="C2516" s="523" t="s">
        <v>5600</v>
      </c>
      <c r="D2516" s="523" t="s">
        <v>5601</v>
      </c>
      <c r="E2516" s="523" t="s">
        <v>5602</v>
      </c>
      <c r="F2516" s="523" t="s">
        <v>60</v>
      </c>
    </row>
    <row r="2517">
      <c r="A2517" s="523">
        <v>2516</v>
      </c>
      <c r="B2517" s="523" t="s">
        <v>5603</v>
      </c>
      <c r="C2517" s="523" t="s">
        <v>930</v>
      </c>
      <c r="D2517" s="523" t="s">
        <v>5601</v>
      </c>
      <c r="E2517" s="523" t="s">
        <v>5602</v>
      </c>
      <c r="F2517" s="523" t="s">
        <v>60</v>
      </c>
    </row>
    <row r="2518">
      <c r="A2518" s="523">
        <v>2517</v>
      </c>
      <c r="B2518" s="523" t="s">
        <v>5604</v>
      </c>
      <c r="C2518" s="523" t="s">
        <v>5605</v>
      </c>
      <c r="D2518" s="523" t="s">
        <v>5601</v>
      </c>
      <c r="E2518" s="523" t="s">
        <v>5602</v>
      </c>
      <c r="F2518" s="523" t="s">
        <v>60</v>
      </c>
    </row>
    <row r="2519">
      <c r="A2519" s="523">
        <v>2518</v>
      </c>
      <c r="B2519" s="523" t="s">
        <v>5606</v>
      </c>
      <c r="C2519" s="523" t="s">
        <v>934</v>
      </c>
      <c r="D2519" s="523" t="s">
        <v>5601</v>
      </c>
      <c r="E2519" s="523" t="s">
        <v>5602</v>
      </c>
      <c r="F2519" s="523" t="s">
        <v>60</v>
      </c>
    </row>
    <row r="2520">
      <c r="A2520" s="523">
        <v>2519</v>
      </c>
      <c r="B2520" s="523" t="s">
        <v>5607</v>
      </c>
      <c r="C2520" s="523" t="s">
        <v>5608</v>
      </c>
      <c r="D2520" s="523" t="s">
        <v>5601</v>
      </c>
      <c r="E2520" s="523" t="s">
        <v>5602</v>
      </c>
      <c r="F2520" s="523" t="s">
        <v>60</v>
      </c>
    </row>
    <row r="2521">
      <c r="A2521" s="523">
        <v>2520</v>
      </c>
      <c r="B2521" s="523" t="s">
        <v>5609</v>
      </c>
      <c r="C2521" s="523" t="s">
        <v>5610</v>
      </c>
      <c r="D2521" s="523" t="s">
        <v>5601</v>
      </c>
      <c r="E2521" s="523" t="s">
        <v>5602</v>
      </c>
      <c r="F2521" s="523" t="s">
        <v>60</v>
      </c>
    </row>
    <row r="2522">
      <c r="A2522" s="523">
        <v>2521</v>
      </c>
      <c r="B2522" s="523" t="s">
        <v>5611</v>
      </c>
      <c r="C2522" s="523" t="s">
        <v>5612</v>
      </c>
      <c r="D2522" s="523" t="s">
        <v>5601</v>
      </c>
      <c r="E2522" s="523" t="s">
        <v>5602</v>
      </c>
      <c r="F2522" s="523" t="s">
        <v>60</v>
      </c>
    </row>
    <row r="2523">
      <c r="A2523" s="523">
        <v>2522</v>
      </c>
      <c r="B2523" s="523" t="s">
        <v>5613</v>
      </c>
      <c r="C2523" s="523" t="s">
        <v>1645</v>
      </c>
      <c r="D2523" s="523" t="s">
        <v>5601</v>
      </c>
      <c r="E2523" s="523" t="s">
        <v>5602</v>
      </c>
      <c r="F2523" s="523" t="s">
        <v>60</v>
      </c>
    </row>
    <row r="2524">
      <c r="A2524" s="523">
        <v>2523</v>
      </c>
      <c r="B2524" s="523" t="s">
        <v>5614</v>
      </c>
      <c r="C2524" s="523" t="s">
        <v>5615</v>
      </c>
      <c r="D2524" s="523" t="s">
        <v>5601</v>
      </c>
      <c r="E2524" s="523" t="s">
        <v>5602</v>
      </c>
      <c r="F2524" s="523" t="s">
        <v>60</v>
      </c>
    </row>
    <row r="2525">
      <c r="A2525" s="523">
        <v>2524</v>
      </c>
      <c r="B2525" s="523" t="s">
        <v>5616</v>
      </c>
      <c r="C2525" s="523" t="s">
        <v>5617</v>
      </c>
      <c r="D2525" s="523" t="s">
        <v>5601</v>
      </c>
      <c r="E2525" s="523" t="s">
        <v>5602</v>
      </c>
      <c r="F2525" s="523" t="s">
        <v>60</v>
      </c>
    </row>
    <row r="2526">
      <c r="A2526" s="523">
        <v>2525</v>
      </c>
      <c r="B2526" s="523" t="s">
        <v>5618</v>
      </c>
      <c r="C2526" s="523" t="s">
        <v>5619</v>
      </c>
      <c r="D2526" s="523" t="s">
        <v>5601</v>
      </c>
      <c r="E2526" s="523" t="s">
        <v>5602</v>
      </c>
      <c r="F2526" s="523" t="s">
        <v>60</v>
      </c>
    </row>
    <row r="2527">
      <c r="A2527" s="523">
        <v>2526</v>
      </c>
      <c r="B2527" s="523" t="s">
        <v>5620</v>
      </c>
      <c r="C2527" s="523" t="s">
        <v>1486</v>
      </c>
      <c r="D2527" s="523" t="s">
        <v>5621</v>
      </c>
      <c r="E2527" s="523" t="s">
        <v>5622</v>
      </c>
      <c r="F2527" s="523" t="s">
        <v>60</v>
      </c>
    </row>
    <row r="2528">
      <c r="A2528" s="523">
        <v>2527</v>
      </c>
      <c r="B2528" s="523" t="s">
        <v>5623</v>
      </c>
      <c r="C2528" s="523" t="s">
        <v>1490</v>
      </c>
      <c r="D2528" s="523" t="s">
        <v>5621</v>
      </c>
      <c r="E2528" s="523" t="s">
        <v>5622</v>
      </c>
      <c r="F2528" s="523" t="s">
        <v>60</v>
      </c>
    </row>
    <row r="2529">
      <c r="A2529" s="523">
        <v>2528</v>
      </c>
      <c r="B2529" s="523" t="s">
        <v>5624</v>
      </c>
      <c r="C2529" s="523" t="s">
        <v>1492</v>
      </c>
      <c r="D2529" s="523" t="s">
        <v>5621</v>
      </c>
      <c r="E2529" s="523" t="s">
        <v>5622</v>
      </c>
      <c r="F2529" s="523" t="s">
        <v>60</v>
      </c>
    </row>
    <row r="2530">
      <c r="A2530" s="523">
        <v>2529</v>
      </c>
      <c r="B2530" s="523" t="s">
        <v>5625</v>
      </c>
      <c r="C2530" s="523" t="s">
        <v>2039</v>
      </c>
      <c r="D2530" s="523" t="s">
        <v>5621</v>
      </c>
      <c r="E2530" s="523" t="s">
        <v>5622</v>
      </c>
      <c r="F2530" s="523" t="s">
        <v>60</v>
      </c>
    </row>
    <row r="2531">
      <c r="A2531" s="523">
        <v>2530</v>
      </c>
      <c r="B2531" s="523" t="s">
        <v>5626</v>
      </c>
      <c r="C2531" s="523" t="s">
        <v>5627</v>
      </c>
      <c r="D2531" s="523" t="s">
        <v>5621</v>
      </c>
      <c r="E2531" s="523" t="s">
        <v>5622</v>
      </c>
      <c r="F2531" s="523" t="s">
        <v>60</v>
      </c>
    </row>
    <row r="2532">
      <c r="A2532" s="523">
        <v>2531</v>
      </c>
      <c r="B2532" s="523" t="s">
        <v>5628</v>
      </c>
      <c r="C2532" s="523" t="s">
        <v>5629</v>
      </c>
      <c r="D2532" s="523" t="s">
        <v>5621</v>
      </c>
      <c r="E2532" s="523" t="s">
        <v>5622</v>
      </c>
      <c r="F2532" s="523" t="s">
        <v>60</v>
      </c>
    </row>
    <row r="2533">
      <c r="A2533" s="523">
        <v>2532</v>
      </c>
      <c r="B2533" s="523" t="s">
        <v>5630</v>
      </c>
      <c r="C2533" s="523" t="s">
        <v>5631</v>
      </c>
      <c r="D2533" s="523" t="s">
        <v>5621</v>
      </c>
      <c r="E2533" s="523" t="s">
        <v>5622</v>
      </c>
      <c r="F2533" s="523" t="s">
        <v>60</v>
      </c>
    </row>
    <row r="2534">
      <c r="A2534" s="523">
        <v>2533</v>
      </c>
      <c r="B2534" s="523" t="s">
        <v>5632</v>
      </c>
      <c r="C2534" s="523" t="s">
        <v>1548</v>
      </c>
      <c r="D2534" s="523" t="s">
        <v>5621</v>
      </c>
      <c r="E2534" s="523" t="s">
        <v>5622</v>
      </c>
      <c r="F2534" s="523" t="s">
        <v>60</v>
      </c>
    </row>
    <row r="2535">
      <c r="A2535" s="523">
        <v>2534</v>
      </c>
      <c r="B2535" s="523" t="s">
        <v>5633</v>
      </c>
      <c r="C2535" s="523" t="s">
        <v>1207</v>
      </c>
      <c r="D2535" s="523" t="s">
        <v>5621</v>
      </c>
      <c r="E2535" s="523" t="s">
        <v>5622</v>
      </c>
      <c r="F2535" s="523" t="s">
        <v>60</v>
      </c>
    </row>
    <row r="2536">
      <c r="A2536" s="523">
        <v>2535</v>
      </c>
      <c r="B2536" s="523" t="s">
        <v>5634</v>
      </c>
      <c r="C2536" s="523" t="s">
        <v>5107</v>
      </c>
      <c r="D2536" s="523" t="s">
        <v>5621</v>
      </c>
      <c r="E2536" s="523" t="s">
        <v>5622</v>
      </c>
      <c r="F2536" s="523" t="s">
        <v>60</v>
      </c>
    </row>
    <row r="2537">
      <c r="A2537" s="523">
        <v>2536</v>
      </c>
      <c r="B2537" s="523" t="s">
        <v>5635</v>
      </c>
      <c r="C2537" s="523" t="s">
        <v>5636</v>
      </c>
      <c r="D2537" s="523" t="s">
        <v>5637</v>
      </c>
      <c r="E2537" s="523" t="s">
        <v>5638</v>
      </c>
      <c r="F2537" s="523" t="s">
        <v>63</v>
      </c>
    </row>
    <row r="2538">
      <c r="A2538" s="523">
        <v>2537</v>
      </c>
      <c r="B2538" s="523" t="s">
        <v>5639</v>
      </c>
      <c r="C2538" s="523" t="s">
        <v>5640</v>
      </c>
      <c r="D2538" s="523" t="s">
        <v>5637</v>
      </c>
      <c r="E2538" s="523" t="s">
        <v>5638</v>
      </c>
      <c r="F2538" s="523" t="s">
        <v>63</v>
      </c>
    </row>
    <row r="2539">
      <c r="A2539" s="523">
        <v>2538</v>
      </c>
      <c r="B2539" s="523" t="s">
        <v>5641</v>
      </c>
      <c r="C2539" s="523" t="s">
        <v>5642</v>
      </c>
      <c r="D2539" s="523" t="s">
        <v>5637</v>
      </c>
      <c r="E2539" s="523" t="s">
        <v>5638</v>
      </c>
      <c r="F2539" s="523" t="s">
        <v>63</v>
      </c>
    </row>
    <row r="2540">
      <c r="A2540" s="523">
        <v>2539</v>
      </c>
      <c r="B2540" s="523" t="s">
        <v>5643</v>
      </c>
      <c r="C2540" s="523" t="s">
        <v>908</v>
      </c>
      <c r="D2540" s="523" t="s">
        <v>5637</v>
      </c>
      <c r="E2540" s="523" t="s">
        <v>5638</v>
      </c>
      <c r="F2540" s="523" t="s">
        <v>63</v>
      </c>
    </row>
    <row r="2541">
      <c r="A2541" s="523">
        <v>2540</v>
      </c>
      <c r="B2541" s="523" t="s">
        <v>5644</v>
      </c>
      <c r="C2541" s="523" t="s">
        <v>5645</v>
      </c>
      <c r="D2541" s="523" t="s">
        <v>5637</v>
      </c>
      <c r="E2541" s="523" t="s">
        <v>5638</v>
      </c>
      <c r="F2541" s="523" t="s">
        <v>63</v>
      </c>
    </row>
    <row r="2542">
      <c r="A2542" s="523">
        <v>2541</v>
      </c>
      <c r="B2542" s="523" t="s">
        <v>5646</v>
      </c>
      <c r="C2542" s="523" t="s">
        <v>5647</v>
      </c>
      <c r="D2542" s="523" t="s">
        <v>5637</v>
      </c>
      <c r="E2542" s="523" t="s">
        <v>5638</v>
      </c>
      <c r="F2542" s="523" t="s">
        <v>63</v>
      </c>
    </row>
    <row r="2543">
      <c r="A2543" s="523">
        <v>2542</v>
      </c>
      <c r="B2543" s="523" t="s">
        <v>5648</v>
      </c>
      <c r="C2543" s="523" t="s">
        <v>5649</v>
      </c>
      <c r="D2543" s="523" t="s">
        <v>5637</v>
      </c>
      <c r="E2543" s="523" t="s">
        <v>5638</v>
      </c>
      <c r="F2543" s="523" t="s">
        <v>63</v>
      </c>
    </row>
    <row r="2544">
      <c r="A2544" s="523">
        <v>2543</v>
      </c>
      <c r="B2544" s="523" t="s">
        <v>5650</v>
      </c>
      <c r="C2544" s="523" t="s">
        <v>5651</v>
      </c>
      <c r="D2544" s="523" t="s">
        <v>5637</v>
      </c>
      <c r="E2544" s="523" t="s">
        <v>5638</v>
      </c>
      <c r="F2544" s="523" t="s">
        <v>63</v>
      </c>
    </row>
    <row r="2545">
      <c r="A2545" s="523">
        <v>2544</v>
      </c>
      <c r="B2545" s="523" t="s">
        <v>5652</v>
      </c>
      <c r="C2545" s="523" t="s">
        <v>5653</v>
      </c>
      <c r="D2545" s="523" t="s">
        <v>5637</v>
      </c>
      <c r="E2545" s="523" t="s">
        <v>5638</v>
      </c>
      <c r="F2545" s="523" t="s">
        <v>63</v>
      </c>
    </row>
    <row r="2546">
      <c r="A2546" s="523">
        <v>2545</v>
      </c>
      <c r="B2546" s="523" t="s">
        <v>5654</v>
      </c>
      <c r="C2546" s="523" t="s">
        <v>1192</v>
      </c>
      <c r="D2546" s="523" t="s">
        <v>5637</v>
      </c>
      <c r="E2546" s="523" t="s">
        <v>5638</v>
      </c>
      <c r="F2546" s="523" t="s">
        <v>63</v>
      </c>
    </row>
    <row r="2547">
      <c r="A2547" s="523">
        <v>2546</v>
      </c>
      <c r="B2547" s="523" t="s">
        <v>5655</v>
      </c>
      <c r="C2547" s="523" t="s">
        <v>1207</v>
      </c>
      <c r="D2547" s="523" t="s">
        <v>5637</v>
      </c>
      <c r="E2547" s="523" t="s">
        <v>5638</v>
      </c>
      <c r="F2547" s="523" t="s">
        <v>63</v>
      </c>
    </row>
    <row r="2548">
      <c r="A2548" s="523">
        <v>2547</v>
      </c>
      <c r="B2548" s="523" t="s">
        <v>5656</v>
      </c>
      <c r="C2548" s="523" t="s">
        <v>5657</v>
      </c>
      <c r="D2548" s="523" t="s">
        <v>5637</v>
      </c>
      <c r="E2548" s="523" t="s">
        <v>5638</v>
      </c>
      <c r="F2548" s="523" t="s">
        <v>63</v>
      </c>
    </row>
    <row r="2549">
      <c r="A2549" s="523">
        <v>2548</v>
      </c>
      <c r="B2549" s="523" t="s">
        <v>5658</v>
      </c>
      <c r="C2549" s="523" t="s">
        <v>2765</v>
      </c>
      <c r="D2549" s="523" t="s">
        <v>5637</v>
      </c>
      <c r="E2549" s="523" t="s">
        <v>5638</v>
      </c>
      <c r="F2549" s="523" t="s">
        <v>63</v>
      </c>
    </row>
    <row r="2550">
      <c r="A2550" s="523">
        <v>2549</v>
      </c>
      <c r="B2550" s="523" t="s">
        <v>5659</v>
      </c>
      <c r="C2550" s="523" t="s">
        <v>5660</v>
      </c>
      <c r="D2550" s="523" t="s">
        <v>5637</v>
      </c>
      <c r="E2550" s="523" t="s">
        <v>5638</v>
      </c>
      <c r="F2550" s="523" t="s">
        <v>63</v>
      </c>
    </row>
    <row r="2551">
      <c r="A2551" s="523">
        <v>2550</v>
      </c>
      <c r="B2551" s="523" t="s">
        <v>5661</v>
      </c>
      <c r="C2551" s="523" t="s">
        <v>5662</v>
      </c>
      <c r="D2551" s="523" t="s">
        <v>5663</v>
      </c>
      <c r="E2551" s="523" t="s">
        <v>5664</v>
      </c>
      <c r="F2551" s="523" t="s">
        <v>63</v>
      </c>
    </row>
    <row r="2552">
      <c r="A2552" s="523">
        <v>2551</v>
      </c>
      <c r="B2552" s="523" t="s">
        <v>5665</v>
      </c>
      <c r="C2552" s="523" t="s">
        <v>5666</v>
      </c>
      <c r="D2552" s="523" t="s">
        <v>5663</v>
      </c>
      <c r="E2552" s="523" t="s">
        <v>5664</v>
      </c>
      <c r="F2552" s="523" t="s">
        <v>63</v>
      </c>
    </row>
    <row r="2553">
      <c r="A2553" s="523">
        <v>2552</v>
      </c>
      <c r="B2553" s="523" t="s">
        <v>5667</v>
      </c>
      <c r="C2553" s="523" t="s">
        <v>5668</v>
      </c>
      <c r="D2553" s="523" t="s">
        <v>5663</v>
      </c>
      <c r="E2553" s="523" t="s">
        <v>5664</v>
      </c>
      <c r="F2553" s="523" t="s">
        <v>63</v>
      </c>
    </row>
    <row r="2554">
      <c r="A2554" s="523">
        <v>2553</v>
      </c>
      <c r="B2554" s="523" t="s">
        <v>5669</v>
      </c>
      <c r="C2554" s="523" t="s">
        <v>5670</v>
      </c>
      <c r="D2554" s="523" t="s">
        <v>5663</v>
      </c>
      <c r="E2554" s="523" t="s">
        <v>5664</v>
      </c>
      <c r="F2554" s="523" t="s">
        <v>63</v>
      </c>
    </row>
    <row r="2555">
      <c r="A2555" s="523">
        <v>2554</v>
      </c>
      <c r="B2555" s="523" t="s">
        <v>5671</v>
      </c>
      <c r="C2555" s="523" t="s">
        <v>2506</v>
      </c>
      <c r="D2555" s="523" t="s">
        <v>5663</v>
      </c>
      <c r="E2555" s="523" t="s">
        <v>5664</v>
      </c>
      <c r="F2555" s="523" t="s">
        <v>63</v>
      </c>
    </row>
    <row r="2556">
      <c r="A2556" s="523">
        <v>2555</v>
      </c>
      <c r="B2556" s="523" t="s">
        <v>5672</v>
      </c>
      <c r="C2556" s="523" t="s">
        <v>5673</v>
      </c>
      <c r="D2556" s="523" t="s">
        <v>5663</v>
      </c>
      <c r="E2556" s="523" t="s">
        <v>5664</v>
      </c>
      <c r="F2556" s="523" t="s">
        <v>63</v>
      </c>
    </row>
    <row r="2557">
      <c r="A2557" s="523">
        <v>2556</v>
      </c>
      <c r="B2557" s="523" t="s">
        <v>5674</v>
      </c>
      <c r="C2557" s="523" t="s">
        <v>2233</v>
      </c>
      <c r="D2557" s="523" t="s">
        <v>5663</v>
      </c>
      <c r="E2557" s="523" t="s">
        <v>5664</v>
      </c>
      <c r="F2557" s="523" t="s">
        <v>63</v>
      </c>
    </row>
    <row r="2558">
      <c r="A2558" s="523">
        <v>2557</v>
      </c>
      <c r="B2558" s="523" t="s">
        <v>5675</v>
      </c>
      <c r="C2558" s="523" t="s">
        <v>1515</v>
      </c>
      <c r="D2558" s="523" t="s">
        <v>5663</v>
      </c>
      <c r="E2558" s="523" t="s">
        <v>5664</v>
      </c>
      <c r="F2558" s="523" t="s">
        <v>63</v>
      </c>
    </row>
    <row r="2559">
      <c r="A2559" s="523">
        <v>2558</v>
      </c>
      <c r="B2559" s="523" t="s">
        <v>5676</v>
      </c>
      <c r="C2559" s="523" t="s">
        <v>5677</v>
      </c>
      <c r="D2559" s="523" t="s">
        <v>5663</v>
      </c>
      <c r="E2559" s="523" t="s">
        <v>5664</v>
      </c>
      <c r="F2559" s="523" t="s">
        <v>63</v>
      </c>
    </row>
    <row r="2560">
      <c r="A2560" s="523">
        <v>2559</v>
      </c>
      <c r="B2560" s="523" t="s">
        <v>5678</v>
      </c>
      <c r="C2560" s="523" t="s">
        <v>2333</v>
      </c>
      <c r="D2560" s="523" t="s">
        <v>5663</v>
      </c>
      <c r="E2560" s="523" t="s">
        <v>5664</v>
      </c>
      <c r="F2560" s="523" t="s">
        <v>63</v>
      </c>
    </row>
    <row r="2561">
      <c r="A2561" s="523">
        <v>2560</v>
      </c>
      <c r="B2561" s="523" t="s">
        <v>5679</v>
      </c>
      <c r="C2561" s="523" t="s">
        <v>5680</v>
      </c>
      <c r="D2561" s="523" t="s">
        <v>5663</v>
      </c>
      <c r="E2561" s="523" t="s">
        <v>5664</v>
      </c>
      <c r="F2561" s="523" t="s">
        <v>63</v>
      </c>
    </row>
    <row r="2562">
      <c r="A2562" s="523">
        <v>2561</v>
      </c>
      <c r="B2562" s="523" t="s">
        <v>5681</v>
      </c>
      <c r="C2562" s="523" t="s">
        <v>5682</v>
      </c>
      <c r="D2562" s="523" t="s">
        <v>5683</v>
      </c>
      <c r="E2562" s="523" t="s">
        <v>5684</v>
      </c>
      <c r="F2562" s="523" t="s">
        <v>63</v>
      </c>
    </row>
    <row r="2563">
      <c r="A2563" s="523">
        <v>2562</v>
      </c>
      <c r="B2563" s="523" t="s">
        <v>5685</v>
      </c>
      <c r="C2563" s="523" t="s">
        <v>5686</v>
      </c>
      <c r="D2563" s="523" t="s">
        <v>5683</v>
      </c>
      <c r="E2563" s="523" t="s">
        <v>5684</v>
      </c>
      <c r="F2563" s="523" t="s">
        <v>63</v>
      </c>
    </row>
    <row r="2564">
      <c r="A2564" s="523">
        <v>2563</v>
      </c>
      <c r="B2564" s="523" t="s">
        <v>5687</v>
      </c>
      <c r="C2564" s="523" t="s">
        <v>2979</v>
      </c>
      <c r="D2564" s="523" t="s">
        <v>5683</v>
      </c>
      <c r="E2564" s="523" t="s">
        <v>5684</v>
      </c>
      <c r="F2564" s="523" t="s">
        <v>63</v>
      </c>
    </row>
    <row r="2565">
      <c r="A2565" s="523">
        <v>2564</v>
      </c>
      <c r="B2565" s="523" t="s">
        <v>5688</v>
      </c>
      <c r="C2565" s="523" t="s">
        <v>5689</v>
      </c>
      <c r="D2565" s="523" t="s">
        <v>5683</v>
      </c>
      <c r="E2565" s="523" t="s">
        <v>5684</v>
      </c>
      <c r="F2565" s="523" t="s">
        <v>63</v>
      </c>
    </row>
    <row r="2566">
      <c r="A2566" s="523">
        <v>2565</v>
      </c>
      <c r="B2566" s="523" t="s">
        <v>5690</v>
      </c>
      <c r="C2566" s="523" t="s">
        <v>5691</v>
      </c>
      <c r="D2566" s="523" t="s">
        <v>5683</v>
      </c>
      <c r="E2566" s="523" t="s">
        <v>5684</v>
      </c>
      <c r="F2566" s="523" t="s">
        <v>63</v>
      </c>
    </row>
    <row r="2567">
      <c r="A2567" s="523">
        <v>2566</v>
      </c>
      <c r="B2567" s="523" t="s">
        <v>5692</v>
      </c>
      <c r="C2567" s="523" t="s">
        <v>5693</v>
      </c>
      <c r="D2567" s="523" t="s">
        <v>5683</v>
      </c>
      <c r="E2567" s="523" t="s">
        <v>5684</v>
      </c>
      <c r="F2567" s="523" t="s">
        <v>63</v>
      </c>
    </row>
    <row r="2568">
      <c r="A2568" s="523">
        <v>2567</v>
      </c>
      <c r="B2568" s="523" t="s">
        <v>5694</v>
      </c>
      <c r="C2568" s="523" t="s">
        <v>4286</v>
      </c>
      <c r="D2568" s="523" t="s">
        <v>5683</v>
      </c>
      <c r="E2568" s="523" t="s">
        <v>5684</v>
      </c>
      <c r="F2568" s="523" t="s">
        <v>63</v>
      </c>
    </row>
    <row r="2569">
      <c r="A2569" s="523">
        <v>2568</v>
      </c>
      <c r="B2569" s="523" t="s">
        <v>5695</v>
      </c>
      <c r="C2569" s="523" t="s">
        <v>1778</v>
      </c>
      <c r="D2569" s="523" t="s">
        <v>5683</v>
      </c>
      <c r="E2569" s="523" t="s">
        <v>5684</v>
      </c>
      <c r="F2569" s="523" t="s">
        <v>63</v>
      </c>
    </row>
    <row r="2570">
      <c r="A2570" s="523">
        <v>2569</v>
      </c>
      <c r="B2570" s="523" t="s">
        <v>5696</v>
      </c>
      <c r="C2570" s="523" t="s">
        <v>5697</v>
      </c>
      <c r="D2570" s="523" t="s">
        <v>5683</v>
      </c>
      <c r="E2570" s="523" t="s">
        <v>5684</v>
      </c>
      <c r="F2570" s="523" t="s">
        <v>63</v>
      </c>
    </row>
    <row r="2571">
      <c r="A2571" s="523">
        <v>2570</v>
      </c>
      <c r="B2571" s="523" t="s">
        <v>5698</v>
      </c>
      <c r="C2571" s="523" t="s">
        <v>5699</v>
      </c>
      <c r="D2571" s="523" t="s">
        <v>5683</v>
      </c>
      <c r="E2571" s="523" t="s">
        <v>5684</v>
      </c>
      <c r="F2571" s="523" t="s">
        <v>63</v>
      </c>
    </row>
    <row r="2572">
      <c r="A2572" s="523">
        <v>2571</v>
      </c>
      <c r="B2572" s="523" t="s">
        <v>5700</v>
      </c>
      <c r="C2572" s="523" t="s">
        <v>5701</v>
      </c>
      <c r="D2572" s="523" t="s">
        <v>5683</v>
      </c>
      <c r="E2572" s="523" t="s">
        <v>5684</v>
      </c>
      <c r="F2572" s="523" t="s">
        <v>63</v>
      </c>
    </row>
    <row r="2573">
      <c r="A2573" s="523">
        <v>2572</v>
      </c>
      <c r="B2573" s="523" t="s">
        <v>5702</v>
      </c>
      <c r="C2573" s="523" t="s">
        <v>5703</v>
      </c>
      <c r="D2573" s="523" t="s">
        <v>5683</v>
      </c>
      <c r="E2573" s="523" t="s">
        <v>5684</v>
      </c>
      <c r="F2573" s="523" t="s">
        <v>63</v>
      </c>
    </row>
    <row r="2574">
      <c r="A2574" s="523">
        <v>2573</v>
      </c>
      <c r="B2574" s="523" t="s">
        <v>5704</v>
      </c>
      <c r="C2574" s="523" t="s">
        <v>2145</v>
      </c>
      <c r="D2574" s="523" t="s">
        <v>5683</v>
      </c>
      <c r="E2574" s="523" t="s">
        <v>5684</v>
      </c>
      <c r="F2574" s="523" t="s">
        <v>63</v>
      </c>
    </row>
    <row r="2575">
      <c r="A2575" s="523">
        <v>2574</v>
      </c>
      <c r="B2575" s="523" t="s">
        <v>5705</v>
      </c>
      <c r="C2575" s="523" t="s">
        <v>5706</v>
      </c>
      <c r="D2575" s="523" t="s">
        <v>5683</v>
      </c>
      <c r="E2575" s="523" t="s">
        <v>5684</v>
      </c>
      <c r="F2575" s="523" t="s">
        <v>63</v>
      </c>
    </row>
    <row r="2576">
      <c r="A2576" s="523">
        <v>2575</v>
      </c>
      <c r="B2576" s="523" t="s">
        <v>5707</v>
      </c>
      <c r="C2576" s="523" t="s">
        <v>5284</v>
      </c>
      <c r="D2576" s="523" t="s">
        <v>5683</v>
      </c>
      <c r="E2576" s="523" t="s">
        <v>5684</v>
      </c>
      <c r="F2576" s="523" t="s">
        <v>63</v>
      </c>
    </row>
    <row r="2577">
      <c r="A2577" s="523">
        <v>2576</v>
      </c>
      <c r="B2577" s="523" t="s">
        <v>5708</v>
      </c>
      <c r="C2577" s="523" t="s">
        <v>1835</v>
      </c>
      <c r="D2577" s="523" t="s">
        <v>5709</v>
      </c>
      <c r="E2577" s="523" t="s">
        <v>928</v>
      </c>
      <c r="F2577" s="523" t="s">
        <v>63</v>
      </c>
    </row>
    <row r="2578">
      <c r="A2578" s="523">
        <v>2577</v>
      </c>
      <c r="B2578" s="523" t="s">
        <v>5710</v>
      </c>
      <c r="C2578" s="523" t="s">
        <v>2016</v>
      </c>
      <c r="D2578" s="523" t="s">
        <v>5709</v>
      </c>
      <c r="E2578" s="523" t="s">
        <v>928</v>
      </c>
      <c r="F2578" s="523" t="s">
        <v>63</v>
      </c>
    </row>
    <row r="2579">
      <c r="A2579" s="523">
        <v>2578</v>
      </c>
      <c r="B2579" s="523" t="s">
        <v>5711</v>
      </c>
      <c r="C2579" s="523" t="s">
        <v>2227</v>
      </c>
      <c r="D2579" s="523" t="s">
        <v>5709</v>
      </c>
      <c r="E2579" s="523" t="s">
        <v>928</v>
      </c>
      <c r="F2579" s="523" t="s">
        <v>63</v>
      </c>
    </row>
    <row r="2580">
      <c r="A2580" s="523">
        <v>2579</v>
      </c>
      <c r="B2580" s="523" t="s">
        <v>5712</v>
      </c>
      <c r="C2580" s="523" t="s">
        <v>4008</v>
      </c>
      <c r="D2580" s="523" t="s">
        <v>5709</v>
      </c>
      <c r="E2580" s="523" t="s">
        <v>928</v>
      </c>
      <c r="F2580" s="523" t="s">
        <v>63</v>
      </c>
    </row>
    <row r="2581">
      <c r="A2581" s="523">
        <v>2580</v>
      </c>
      <c r="B2581" s="523" t="s">
        <v>5713</v>
      </c>
      <c r="C2581" s="523" t="s">
        <v>2325</v>
      </c>
      <c r="D2581" s="523" t="s">
        <v>5709</v>
      </c>
      <c r="E2581" s="523" t="s">
        <v>928</v>
      </c>
      <c r="F2581" s="523" t="s">
        <v>63</v>
      </c>
    </row>
    <row r="2582">
      <c r="A2582" s="523">
        <v>2581</v>
      </c>
      <c r="B2582" s="523" t="s">
        <v>5714</v>
      </c>
      <c r="C2582" s="523" t="s">
        <v>1004</v>
      </c>
      <c r="D2582" s="523" t="s">
        <v>5709</v>
      </c>
      <c r="E2582" s="523" t="s">
        <v>928</v>
      </c>
      <c r="F2582" s="523" t="s">
        <v>63</v>
      </c>
    </row>
    <row r="2583">
      <c r="A2583" s="523">
        <v>2582</v>
      </c>
      <c r="B2583" s="523" t="s">
        <v>5715</v>
      </c>
      <c r="C2583" s="523" t="s">
        <v>1916</v>
      </c>
      <c r="D2583" s="523" t="s">
        <v>5709</v>
      </c>
      <c r="E2583" s="523" t="s">
        <v>928</v>
      </c>
      <c r="F2583" s="523" t="s">
        <v>63</v>
      </c>
    </row>
    <row r="2584">
      <c r="A2584" s="523">
        <v>2583</v>
      </c>
      <c r="B2584" s="523" t="s">
        <v>5716</v>
      </c>
      <c r="C2584" s="523" t="s">
        <v>5717</v>
      </c>
      <c r="D2584" s="523" t="s">
        <v>5709</v>
      </c>
      <c r="E2584" s="523" t="s">
        <v>928</v>
      </c>
      <c r="F2584" s="523" t="s">
        <v>63</v>
      </c>
    </row>
    <row r="2585">
      <c r="A2585" s="523">
        <v>2584</v>
      </c>
      <c r="B2585" s="523" t="s">
        <v>5718</v>
      </c>
      <c r="C2585" s="523" t="s">
        <v>1776</v>
      </c>
      <c r="D2585" s="523" t="s">
        <v>5709</v>
      </c>
      <c r="E2585" s="523" t="s">
        <v>928</v>
      </c>
      <c r="F2585" s="523" t="s">
        <v>63</v>
      </c>
    </row>
    <row r="2586">
      <c r="A2586" s="523">
        <v>2585</v>
      </c>
      <c r="B2586" s="523" t="s">
        <v>5719</v>
      </c>
      <c r="C2586" s="523" t="s">
        <v>5720</v>
      </c>
      <c r="D2586" s="523" t="s">
        <v>5709</v>
      </c>
      <c r="E2586" s="523" t="s">
        <v>928</v>
      </c>
      <c r="F2586" s="523" t="s">
        <v>63</v>
      </c>
    </row>
    <row r="2587">
      <c r="A2587" s="523">
        <v>2586</v>
      </c>
      <c r="B2587" s="523" t="s">
        <v>5721</v>
      </c>
      <c r="C2587" s="523" t="s">
        <v>5722</v>
      </c>
      <c r="D2587" s="523" t="s">
        <v>5709</v>
      </c>
      <c r="E2587" s="523" t="s">
        <v>928</v>
      </c>
      <c r="F2587" s="523" t="s">
        <v>63</v>
      </c>
    </row>
    <row r="2588">
      <c r="A2588" s="523">
        <v>2587</v>
      </c>
      <c r="B2588" s="523" t="s">
        <v>5723</v>
      </c>
      <c r="C2588" s="523" t="s">
        <v>5724</v>
      </c>
      <c r="D2588" s="523" t="s">
        <v>5709</v>
      </c>
      <c r="E2588" s="523" t="s">
        <v>928</v>
      </c>
      <c r="F2588" s="523" t="s">
        <v>63</v>
      </c>
    </row>
    <row r="2589">
      <c r="A2589" s="523">
        <v>2588</v>
      </c>
      <c r="B2589" s="523" t="s">
        <v>5725</v>
      </c>
      <c r="C2589" s="523" t="s">
        <v>3215</v>
      </c>
      <c r="D2589" s="523" t="s">
        <v>5709</v>
      </c>
      <c r="E2589" s="523" t="s">
        <v>928</v>
      </c>
      <c r="F2589" s="523" t="s">
        <v>63</v>
      </c>
    </row>
    <row r="2590">
      <c r="A2590" s="523">
        <v>2589</v>
      </c>
      <c r="B2590" s="523" t="s">
        <v>5726</v>
      </c>
      <c r="C2590" s="523" t="s">
        <v>5727</v>
      </c>
      <c r="D2590" s="523" t="s">
        <v>5709</v>
      </c>
      <c r="E2590" s="523" t="s">
        <v>928</v>
      </c>
      <c r="F2590" s="523" t="s">
        <v>63</v>
      </c>
    </row>
    <row r="2591">
      <c r="A2591" s="523">
        <v>2590</v>
      </c>
      <c r="B2591" s="523" t="s">
        <v>5728</v>
      </c>
      <c r="C2591" s="523" t="s">
        <v>2721</v>
      </c>
      <c r="D2591" s="523" t="s">
        <v>5729</v>
      </c>
      <c r="E2591" s="523" t="s">
        <v>5730</v>
      </c>
      <c r="F2591" s="523" t="s">
        <v>63</v>
      </c>
    </row>
    <row r="2592">
      <c r="A2592" s="523">
        <v>2591</v>
      </c>
      <c r="B2592" s="523" t="s">
        <v>5731</v>
      </c>
      <c r="C2592" s="523" t="s">
        <v>5435</v>
      </c>
      <c r="D2592" s="523" t="s">
        <v>5729</v>
      </c>
      <c r="E2592" s="523" t="s">
        <v>5730</v>
      </c>
      <c r="F2592" s="523" t="s">
        <v>63</v>
      </c>
    </row>
    <row r="2593">
      <c r="A2593" s="523">
        <v>2592</v>
      </c>
      <c r="B2593" s="523" t="s">
        <v>5732</v>
      </c>
      <c r="C2593" s="523" t="s">
        <v>5335</v>
      </c>
      <c r="D2593" s="523" t="s">
        <v>5729</v>
      </c>
      <c r="E2593" s="523" t="s">
        <v>5730</v>
      </c>
      <c r="F2593" s="523" t="s">
        <v>63</v>
      </c>
    </row>
    <row r="2594">
      <c r="A2594" s="523">
        <v>2593</v>
      </c>
      <c r="B2594" s="523" t="s">
        <v>5733</v>
      </c>
      <c r="C2594" s="523" t="s">
        <v>5734</v>
      </c>
      <c r="D2594" s="523" t="s">
        <v>5729</v>
      </c>
      <c r="E2594" s="523" t="s">
        <v>5730</v>
      </c>
      <c r="F2594" s="523" t="s">
        <v>63</v>
      </c>
    </row>
    <row r="2595">
      <c r="A2595" s="523">
        <v>2594</v>
      </c>
      <c r="B2595" s="523" t="s">
        <v>5735</v>
      </c>
      <c r="C2595" s="523" t="s">
        <v>5736</v>
      </c>
      <c r="D2595" s="523" t="s">
        <v>5729</v>
      </c>
      <c r="E2595" s="523" t="s">
        <v>5730</v>
      </c>
      <c r="F2595" s="523" t="s">
        <v>63</v>
      </c>
    </row>
    <row r="2596">
      <c r="A2596" s="523">
        <v>2595</v>
      </c>
      <c r="B2596" s="523" t="s">
        <v>5737</v>
      </c>
      <c r="C2596" s="523" t="s">
        <v>5738</v>
      </c>
      <c r="D2596" s="523" t="s">
        <v>5729</v>
      </c>
      <c r="E2596" s="523" t="s">
        <v>5730</v>
      </c>
      <c r="F2596" s="523" t="s">
        <v>63</v>
      </c>
    </row>
    <row r="2597">
      <c r="A2597" s="523">
        <v>2596</v>
      </c>
      <c r="B2597" s="523" t="s">
        <v>5739</v>
      </c>
      <c r="C2597" s="523" t="s">
        <v>5740</v>
      </c>
      <c r="D2597" s="523" t="s">
        <v>5729</v>
      </c>
      <c r="E2597" s="523" t="s">
        <v>5730</v>
      </c>
      <c r="F2597" s="523" t="s">
        <v>63</v>
      </c>
    </row>
    <row r="2598">
      <c r="A2598" s="523">
        <v>2597</v>
      </c>
      <c r="B2598" s="523" t="s">
        <v>5741</v>
      </c>
      <c r="C2598" s="523" t="s">
        <v>5742</v>
      </c>
      <c r="D2598" s="523" t="s">
        <v>5743</v>
      </c>
      <c r="E2598" s="523" t="s">
        <v>5744</v>
      </c>
      <c r="F2598" s="523" t="s">
        <v>63</v>
      </c>
    </row>
    <row r="2599">
      <c r="A2599" s="523">
        <v>2598</v>
      </c>
      <c r="B2599" s="523" t="s">
        <v>5745</v>
      </c>
      <c r="C2599" s="523" t="s">
        <v>5746</v>
      </c>
      <c r="D2599" s="523" t="s">
        <v>5743</v>
      </c>
      <c r="E2599" s="523" t="s">
        <v>5744</v>
      </c>
      <c r="F2599" s="523" t="s">
        <v>63</v>
      </c>
    </row>
    <row r="2600">
      <c r="A2600" s="523">
        <v>2599</v>
      </c>
      <c r="B2600" s="523" t="s">
        <v>5747</v>
      </c>
      <c r="C2600" s="523" t="s">
        <v>5748</v>
      </c>
      <c r="D2600" s="523" t="s">
        <v>5743</v>
      </c>
      <c r="E2600" s="523" t="s">
        <v>5744</v>
      </c>
      <c r="F2600" s="523" t="s">
        <v>63</v>
      </c>
    </row>
    <row r="2601">
      <c r="A2601" s="523">
        <v>2600</v>
      </c>
      <c r="B2601" s="523" t="s">
        <v>5749</v>
      </c>
      <c r="C2601" s="523" t="s">
        <v>5750</v>
      </c>
      <c r="D2601" s="523" t="s">
        <v>5743</v>
      </c>
      <c r="E2601" s="523" t="s">
        <v>5744</v>
      </c>
      <c r="F2601" s="523" t="s">
        <v>63</v>
      </c>
    </row>
    <row r="2602">
      <c r="A2602" s="523">
        <v>2601</v>
      </c>
      <c r="B2602" s="523" t="s">
        <v>5751</v>
      </c>
      <c r="C2602" s="523" t="s">
        <v>5752</v>
      </c>
      <c r="D2602" s="523" t="s">
        <v>5743</v>
      </c>
      <c r="E2602" s="523" t="s">
        <v>5744</v>
      </c>
      <c r="F2602" s="523" t="s">
        <v>63</v>
      </c>
    </row>
    <row r="2603">
      <c r="A2603" s="523">
        <v>2602</v>
      </c>
      <c r="B2603" s="523" t="s">
        <v>5753</v>
      </c>
      <c r="C2603" s="523" t="s">
        <v>1886</v>
      </c>
      <c r="D2603" s="523" t="s">
        <v>5743</v>
      </c>
      <c r="E2603" s="523" t="s">
        <v>5744</v>
      </c>
      <c r="F2603" s="523" t="s">
        <v>63</v>
      </c>
    </row>
    <row r="2604">
      <c r="A2604" s="523">
        <v>2603</v>
      </c>
      <c r="B2604" s="523" t="s">
        <v>5754</v>
      </c>
      <c r="C2604" s="523" t="s">
        <v>5755</v>
      </c>
      <c r="D2604" s="523" t="s">
        <v>5743</v>
      </c>
      <c r="E2604" s="523" t="s">
        <v>5744</v>
      </c>
      <c r="F2604" s="523" t="s">
        <v>63</v>
      </c>
    </row>
    <row r="2605">
      <c r="A2605" s="523">
        <v>2604</v>
      </c>
      <c r="B2605" s="523" t="s">
        <v>5756</v>
      </c>
      <c r="C2605" s="523" t="s">
        <v>5757</v>
      </c>
      <c r="D2605" s="523" t="s">
        <v>5743</v>
      </c>
      <c r="E2605" s="523" t="s">
        <v>5744</v>
      </c>
      <c r="F2605" s="523" t="s">
        <v>63</v>
      </c>
    </row>
    <row r="2606">
      <c r="A2606" s="523">
        <v>2605</v>
      </c>
      <c r="B2606" s="523" t="s">
        <v>5758</v>
      </c>
      <c r="C2606" s="523" t="s">
        <v>1024</v>
      </c>
      <c r="D2606" s="523" t="s">
        <v>5743</v>
      </c>
      <c r="E2606" s="523" t="s">
        <v>5744</v>
      </c>
      <c r="F2606" s="523" t="s">
        <v>63</v>
      </c>
    </row>
    <row r="2607">
      <c r="A2607" s="523">
        <v>2606</v>
      </c>
      <c r="B2607" s="523" t="s">
        <v>5759</v>
      </c>
      <c r="C2607" s="523" t="s">
        <v>5760</v>
      </c>
      <c r="D2607" s="523" t="s">
        <v>5743</v>
      </c>
      <c r="E2607" s="523" t="s">
        <v>5744</v>
      </c>
      <c r="F2607" s="523" t="s">
        <v>63</v>
      </c>
    </row>
    <row r="2608">
      <c r="A2608" s="523">
        <v>2607</v>
      </c>
      <c r="B2608" s="523" t="s">
        <v>5761</v>
      </c>
      <c r="C2608" s="523" t="s">
        <v>5762</v>
      </c>
      <c r="D2608" s="523" t="s">
        <v>5743</v>
      </c>
      <c r="E2608" s="523" t="s">
        <v>5744</v>
      </c>
      <c r="F2608" s="523" t="s">
        <v>63</v>
      </c>
    </row>
    <row r="2609">
      <c r="A2609" s="523">
        <v>2608</v>
      </c>
      <c r="B2609" s="523" t="s">
        <v>5763</v>
      </c>
      <c r="C2609" s="523" t="s">
        <v>5764</v>
      </c>
      <c r="D2609" s="523" t="s">
        <v>5765</v>
      </c>
      <c r="E2609" s="523" t="s">
        <v>5766</v>
      </c>
      <c r="F2609" s="523" t="s">
        <v>63</v>
      </c>
    </row>
    <row r="2610">
      <c r="A2610" s="523">
        <v>2609</v>
      </c>
      <c r="B2610" s="523" t="s">
        <v>5767</v>
      </c>
      <c r="C2610" s="523" t="s">
        <v>5768</v>
      </c>
      <c r="D2610" s="523" t="s">
        <v>5765</v>
      </c>
      <c r="E2610" s="523" t="s">
        <v>5766</v>
      </c>
      <c r="F2610" s="523" t="s">
        <v>63</v>
      </c>
    </row>
    <row r="2611">
      <c r="A2611" s="523">
        <v>2610</v>
      </c>
      <c r="B2611" s="523" t="s">
        <v>5769</v>
      </c>
      <c r="C2611" s="523" t="s">
        <v>5770</v>
      </c>
      <c r="D2611" s="523" t="s">
        <v>5765</v>
      </c>
      <c r="E2611" s="523" t="s">
        <v>5766</v>
      </c>
      <c r="F2611" s="523" t="s">
        <v>63</v>
      </c>
    </row>
    <row r="2612">
      <c r="A2612" s="523">
        <v>2611</v>
      </c>
      <c r="B2612" s="523" t="s">
        <v>5771</v>
      </c>
      <c r="C2612" s="523" t="s">
        <v>5772</v>
      </c>
      <c r="D2612" s="523" t="s">
        <v>5765</v>
      </c>
      <c r="E2612" s="523" t="s">
        <v>5766</v>
      </c>
      <c r="F2612" s="523" t="s">
        <v>63</v>
      </c>
    </row>
    <row r="2613">
      <c r="A2613" s="523">
        <v>2612</v>
      </c>
      <c r="B2613" s="523" t="s">
        <v>5773</v>
      </c>
      <c r="C2613" s="523" t="s">
        <v>5774</v>
      </c>
      <c r="D2613" s="523" t="s">
        <v>5765</v>
      </c>
      <c r="E2613" s="523" t="s">
        <v>5766</v>
      </c>
      <c r="F2613" s="523" t="s">
        <v>63</v>
      </c>
    </row>
    <row r="2614">
      <c r="A2614" s="523">
        <v>2613</v>
      </c>
      <c r="B2614" s="523" t="s">
        <v>5775</v>
      </c>
      <c r="C2614" s="523" t="s">
        <v>5262</v>
      </c>
      <c r="D2614" s="523" t="s">
        <v>5765</v>
      </c>
      <c r="E2614" s="523" t="s">
        <v>5766</v>
      </c>
      <c r="F2614" s="523" t="s">
        <v>63</v>
      </c>
    </row>
    <row r="2615">
      <c r="A2615" s="523">
        <v>2614</v>
      </c>
      <c r="B2615" s="523" t="s">
        <v>5776</v>
      </c>
      <c r="C2615" s="523" t="s">
        <v>4221</v>
      </c>
      <c r="D2615" s="523" t="s">
        <v>5765</v>
      </c>
      <c r="E2615" s="523" t="s">
        <v>5766</v>
      </c>
      <c r="F2615" s="523" t="s">
        <v>63</v>
      </c>
    </row>
    <row r="2616">
      <c r="A2616" s="523">
        <v>2615</v>
      </c>
      <c r="B2616" s="523" t="s">
        <v>5777</v>
      </c>
      <c r="C2616" s="523" t="s">
        <v>5778</v>
      </c>
      <c r="D2616" s="523" t="s">
        <v>5765</v>
      </c>
      <c r="E2616" s="523" t="s">
        <v>5766</v>
      </c>
      <c r="F2616" s="523" t="s">
        <v>63</v>
      </c>
    </row>
    <row r="2617">
      <c r="A2617" s="523">
        <v>2616</v>
      </c>
      <c r="B2617" s="523" t="s">
        <v>5779</v>
      </c>
      <c r="C2617" s="523" t="s">
        <v>5780</v>
      </c>
      <c r="D2617" s="523" t="s">
        <v>5765</v>
      </c>
      <c r="E2617" s="523" t="s">
        <v>5766</v>
      </c>
      <c r="F2617" s="523" t="s">
        <v>63</v>
      </c>
    </row>
    <row r="2618">
      <c r="A2618" s="523">
        <v>2617</v>
      </c>
      <c r="B2618" s="523" t="s">
        <v>5781</v>
      </c>
      <c r="C2618" s="523" t="s">
        <v>5782</v>
      </c>
      <c r="D2618" s="523" t="s">
        <v>5765</v>
      </c>
      <c r="E2618" s="523" t="s">
        <v>5766</v>
      </c>
      <c r="F2618" s="523" t="s">
        <v>63</v>
      </c>
    </row>
    <row r="2619">
      <c r="A2619" s="523">
        <v>2618</v>
      </c>
      <c r="B2619" s="523" t="s">
        <v>5783</v>
      </c>
      <c r="C2619" s="523" t="s">
        <v>884</v>
      </c>
      <c r="D2619" s="523" t="s">
        <v>5765</v>
      </c>
      <c r="E2619" s="523" t="s">
        <v>5766</v>
      </c>
      <c r="F2619" s="523" t="s">
        <v>63</v>
      </c>
    </row>
    <row r="2620">
      <c r="A2620" s="523">
        <v>2619</v>
      </c>
      <c r="B2620" s="523" t="s">
        <v>5784</v>
      </c>
      <c r="C2620" s="523" t="s">
        <v>1277</v>
      </c>
      <c r="D2620" s="523" t="s">
        <v>5765</v>
      </c>
      <c r="E2620" s="523" t="s">
        <v>5766</v>
      </c>
      <c r="F2620" s="523" t="s">
        <v>63</v>
      </c>
    </row>
    <row r="2621">
      <c r="A2621" s="523">
        <v>2620</v>
      </c>
      <c r="B2621" s="523" t="s">
        <v>5785</v>
      </c>
      <c r="C2621" s="523" t="s">
        <v>5786</v>
      </c>
      <c r="D2621" s="523" t="s">
        <v>5765</v>
      </c>
      <c r="E2621" s="523" t="s">
        <v>5766</v>
      </c>
      <c r="F2621" s="523" t="s">
        <v>63</v>
      </c>
    </row>
    <row r="2622">
      <c r="A2622" s="523">
        <v>2621</v>
      </c>
      <c r="B2622" s="523" t="s">
        <v>5787</v>
      </c>
      <c r="C2622" s="523" t="s">
        <v>5788</v>
      </c>
      <c r="D2622" s="523" t="s">
        <v>5765</v>
      </c>
      <c r="E2622" s="523" t="s">
        <v>5766</v>
      </c>
      <c r="F2622" s="523" t="s">
        <v>63</v>
      </c>
    </row>
    <row r="2623">
      <c r="A2623" s="523">
        <v>2622</v>
      </c>
      <c r="B2623" s="523" t="s">
        <v>5789</v>
      </c>
      <c r="C2623" s="523" t="s">
        <v>2791</v>
      </c>
      <c r="D2623" s="523" t="s">
        <v>5765</v>
      </c>
      <c r="E2623" s="523" t="s">
        <v>5766</v>
      </c>
      <c r="F2623" s="523" t="s">
        <v>63</v>
      </c>
    </row>
    <row r="2624">
      <c r="A2624" s="523">
        <v>2623</v>
      </c>
      <c r="B2624" s="523" t="s">
        <v>5790</v>
      </c>
      <c r="C2624" s="523" t="s">
        <v>5791</v>
      </c>
      <c r="D2624" s="523" t="s">
        <v>5765</v>
      </c>
      <c r="E2624" s="523" t="s">
        <v>5766</v>
      </c>
      <c r="F2624" s="523" t="s">
        <v>63</v>
      </c>
    </row>
    <row r="2625">
      <c r="A2625" s="523">
        <v>2624</v>
      </c>
      <c r="B2625" s="523" t="s">
        <v>5792</v>
      </c>
      <c r="C2625" s="523" t="s">
        <v>1255</v>
      </c>
      <c r="D2625" s="523" t="s">
        <v>5765</v>
      </c>
      <c r="E2625" s="523" t="s">
        <v>5766</v>
      </c>
      <c r="F2625" s="523" t="s">
        <v>63</v>
      </c>
    </row>
    <row r="2626">
      <c r="A2626" s="523">
        <v>2625</v>
      </c>
      <c r="B2626" s="523" t="s">
        <v>5793</v>
      </c>
      <c r="C2626" s="523" t="s">
        <v>1486</v>
      </c>
      <c r="D2626" s="523" t="s">
        <v>5794</v>
      </c>
      <c r="E2626" s="523" t="s">
        <v>5795</v>
      </c>
      <c r="F2626" s="523" t="s">
        <v>63</v>
      </c>
    </row>
    <row r="2627">
      <c r="A2627" s="523">
        <v>2626</v>
      </c>
      <c r="B2627" s="523" t="s">
        <v>5796</v>
      </c>
      <c r="C2627" s="523" t="s">
        <v>1490</v>
      </c>
      <c r="D2627" s="523" t="s">
        <v>5794</v>
      </c>
      <c r="E2627" s="523" t="s">
        <v>5795</v>
      </c>
      <c r="F2627" s="523" t="s">
        <v>63</v>
      </c>
    </row>
    <row r="2628">
      <c r="A2628" s="523">
        <v>2627</v>
      </c>
      <c r="B2628" s="523" t="s">
        <v>5797</v>
      </c>
      <c r="C2628" s="523" t="s">
        <v>1492</v>
      </c>
      <c r="D2628" s="523" t="s">
        <v>5794</v>
      </c>
      <c r="E2628" s="523" t="s">
        <v>5795</v>
      </c>
      <c r="F2628" s="523" t="s">
        <v>63</v>
      </c>
    </row>
    <row r="2629">
      <c r="A2629" s="523">
        <v>2628</v>
      </c>
      <c r="B2629" s="523" t="s">
        <v>5798</v>
      </c>
      <c r="C2629" s="523" t="s">
        <v>2039</v>
      </c>
      <c r="D2629" s="523" t="s">
        <v>5794</v>
      </c>
      <c r="E2629" s="523" t="s">
        <v>5795</v>
      </c>
      <c r="F2629" s="523" t="s">
        <v>63</v>
      </c>
    </row>
    <row r="2630">
      <c r="A2630" s="523">
        <v>2629</v>
      </c>
      <c r="B2630" s="523" t="s">
        <v>5799</v>
      </c>
      <c r="C2630" s="523" t="s">
        <v>1494</v>
      </c>
      <c r="D2630" s="523" t="s">
        <v>5794</v>
      </c>
      <c r="E2630" s="523" t="s">
        <v>5795</v>
      </c>
      <c r="F2630" s="523" t="s">
        <v>63</v>
      </c>
    </row>
    <row r="2631">
      <c r="A2631" s="523">
        <v>2630</v>
      </c>
      <c r="B2631" s="523" t="s">
        <v>5800</v>
      </c>
      <c r="C2631" s="523" t="s">
        <v>2042</v>
      </c>
      <c r="D2631" s="523" t="s">
        <v>5794</v>
      </c>
      <c r="E2631" s="523" t="s">
        <v>5795</v>
      </c>
      <c r="F2631" s="523" t="s">
        <v>63</v>
      </c>
    </row>
    <row r="2632">
      <c r="A2632" s="523">
        <v>2631</v>
      </c>
      <c r="B2632" s="523" t="s">
        <v>5801</v>
      </c>
      <c r="C2632" s="523" t="s">
        <v>1496</v>
      </c>
      <c r="D2632" s="523" t="s">
        <v>5794</v>
      </c>
      <c r="E2632" s="523" t="s">
        <v>5795</v>
      </c>
      <c r="F2632" s="523" t="s">
        <v>63</v>
      </c>
    </row>
    <row r="2633">
      <c r="A2633" s="523">
        <v>2632</v>
      </c>
      <c r="B2633" s="523" t="s">
        <v>5802</v>
      </c>
      <c r="C2633" s="523" t="s">
        <v>654</v>
      </c>
      <c r="D2633" s="523" t="s">
        <v>5794</v>
      </c>
      <c r="E2633" s="523" t="s">
        <v>5795</v>
      </c>
      <c r="F2633" s="523" t="s">
        <v>63</v>
      </c>
    </row>
    <row r="2634">
      <c r="A2634" s="523">
        <v>2633</v>
      </c>
      <c r="B2634" s="523" t="s">
        <v>5803</v>
      </c>
      <c r="C2634" s="523" t="s">
        <v>2498</v>
      </c>
      <c r="D2634" s="523" t="s">
        <v>5794</v>
      </c>
      <c r="E2634" s="523" t="s">
        <v>5795</v>
      </c>
      <c r="F2634" s="523" t="s">
        <v>63</v>
      </c>
    </row>
    <row r="2635">
      <c r="A2635" s="523">
        <v>2634</v>
      </c>
      <c r="B2635" s="523" t="s">
        <v>5804</v>
      </c>
      <c r="C2635" s="523" t="s">
        <v>2736</v>
      </c>
      <c r="D2635" s="523" t="s">
        <v>5794</v>
      </c>
      <c r="E2635" s="523" t="s">
        <v>5795</v>
      </c>
      <c r="F2635" s="523" t="s">
        <v>63</v>
      </c>
    </row>
    <row r="2636">
      <c r="A2636" s="523">
        <v>2635</v>
      </c>
      <c r="B2636" s="523" t="s">
        <v>5805</v>
      </c>
      <c r="C2636" s="523" t="s">
        <v>1486</v>
      </c>
      <c r="D2636" s="523" t="s">
        <v>5806</v>
      </c>
      <c r="E2636" s="523" t="s">
        <v>5807</v>
      </c>
      <c r="F2636" s="523" t="s">
        <v>63</v>
      </c>
    </row>
    <row r="2637">
      <c r="A2637" s="523">
        <v>2636</v>
      </c>
      <c r="B2637" s="523" t="s">
        <v>5808</v>
      </c>
      <c r="C2637" s="523" t="s">
        <v>1490</v>
      </c>
      <c r="D2637" s="523" t="s">
        <v>5806</v>
      </c>
      <c r="E2637" s="523" t="s">
        <v>5807</v>
      </c>
      <c r="F2637" s="523" t="s">
        <v>63</v>
      </c>
    </row>
    <row r="2638">
      <c r="A2638" s="523">
        <v>2637</v>
      </c>
      <c r="B2638" s="523" t="s">
        <v>5809</v>
      </c>
      <c r="C2638" s="523" t="s">
        <v>5810</v>
      </c>
      <c r="D2638" s="523" t="s">
        <v>5806</v>
      </c>
      <c r="E2638" s="523" t="s">
        <v>5807</v>
      </c>
      <c r="F2638" s="523" t="s">
        <v>63</v>
      </c>
    </row>
    <row r="2639">
      <c r="A2639" s="523">
        <v>2638</v>
      </c>
      <c r="B2639" s="523" t="s">
        <v>5811</v>
      </c>
      <c r="C2639" s="523" t="s">
        <v>4314</v>
      </c>
      <c r="D2639" s="523" t="s">
        <v>5806</v>
      </c>
      <c r="E2639" s="523" t="s">
        <v>5807</v>
      </c>
      <c r="F2639" s="523" t="s">
        <v>63</v>
      </c>
    </row>
    <row r="2640">
      <c r="A2640" s="523">
        <v>2639</v>
      </c>
      <c r="B2640" s="523" t="s">
        <v>5812</v>
      </c>
      <c r="C2640" s="523" t="s">
        <v>5813</v>
      </c>
      <c r="D2640" s="523" t="s">
        <v>5806</v>
      </c>
      <c r="E2640" s="523" t="s">
        <v>5807</v>
      </c>
      <c r="F2640" s="523" t="s">
        <v>63</v>
      </c>
    </row>
    <row r="2641">
      <c r="A2641" s="523">
        <v>2640</v>
      </c>
      <c r="B2641" s="523" t="s">
        <v>5814</v>
      </c>
      <c r="C2641" s="523" t="s">
        <v>5815</v>
      </c>
      <c r="D2641" s="523" t="s">
        <v>5806</v>
      </c>
      <c r="E2641" s="523" t="s">
        <v>5807</v>
      </c>
      <c r="F2641" s="523" t="s">
        <v>63</v>
      </c>
    </row>
    <row r="2642">
      <c r="A2642" s="523">
        <v>2641</v>
      </c>
      <c r="B2642" s="523" t="s">
        <v>5816</v>
      </c>
      <c r="C2642" s="523" t="s">
        <v>5817</v>
      </c>
      <c r="D2642" s="523" t="s">
        <v>5806</v>
      </c>
      <c r="E2642" s="523" t="s">
        <v>5807</v>
      </c>
      <c r="F2642" s="523" t="s">
        <v>63</v>
      </c>
    </row>
    <row r="2643">
      <c r="A2643" s="523">
        <v>2642</v>
      </c>
      <c r="B2643" s="523" t="s">
        <v>5818</v>
      </c>
      <c r="C2643" s="523" t="s">
        <v>4069</v>
      </c>
      <c r="D2643" s="523" t="s">
        <v>5819</v>
      </c>
      <c r="E2643" s="523" t="s">
        <v>5820</v>
      </c>
      <c r="F2643" s="523" t="s">
        <v>66</v>
      </c>
    </row>
    <row r="2644">
      <c r="A2644" s="523">
        <v>2643</v>
      </c>
      <c r="B2644" s="523" t="s">
        <v>5821</v>
      </c>
      <c r="C2644" s="523" t="s">
        <v>5822</v>
      </c>
      <c r="D2644" s="523" t="s">
        <v>5819</v>
      </c>
      <c r="E2644" s="523" t="s">
        <v>5820</v>
      </c>
      <c r="F2644" s="523" t="s">
        <v>66</v>
      </c>
    </row>
    <row r="2645">
      <c r="A2645" s="523">
        <v>2644</v>
      </c>
      <c r="B2645" s="523" t="s">
        <v>5823</v>
      </c>
      <c r="C2645" s="523" t="s">
        <v>5824</v>
      </c>
      <c r="D2645" s="523" t="s">
        <v>5819</v>
      </c>
      <c r="E2645" s="523" t="s">
        <v>5820</v>
      </c>
      <c r="F2645" s="523" t="s">
        <v>66</v>
      </c>
    </row>
    <row r="2646">
      <c r="A2646" s="523">
        <v>2645</v>
      </c>
      <c r="B2646" s="523" t="s">
        <v>5825</v>
      </c>
      <c r="C2646" s="523" t="s">
        <v>1207</v>
      </c>
      <c r="D2646" s="523" t="s">
        <v>5819</v>
      </c>
      <c r="E2646" s="523" t="s">
        <v>5820</v>
      </c>
      <c r="F2646" s="523" t="s">
        <v>66</v>
      </c>
    </row>
    <row r="2647">
      <c r="A2647" s="523">
        <v>2646</v>
      </c>
      <c r="B2647" s="523" t="s">
        <v>5826</v>
      </c>
      <c r="C2647" s="523" t="s">
        <v>1232</v>
      </c>
      <c r="D2647" s="523" t="s">
        <v>5819</v>
      </c>
      <c r="E2647" s="523" t="s">
        <v>5820</v>
      </c>
      <c r="F2647" s="523" t="s">
        <v>66</v>
      </c>
    </row>
    <row r="2648">
      <c r="A2648" s="523">
        <v>2647</v>
      </c>
      <c r="B2648" s="523" t="s">
        <v>5827</v>
      </c>
      <c r="C2648" s="523" t="s">
        <v>5828</v>
      </c>
      <c r="D2648" s="523" t="s">
        <v>5819</v>
      </c>
      <c r="E2648" s="523" t="s">
        <v>5820</v>
      </c>
      <c r="F2648" s="523" t="s">
        <v>66</v>
      </c>
    </row>
    <row r="2649">
      <c r="A2649" s="523">
        <v>2648</v>
      </c>
      <c r="B2649" s="523" t="s">
        <v>5829</v>
      </c>
      <c r="C2649" s="523" t="s">
        <v>3194</v>
      </c>
      <c r="D2649" s="523" t="s">
        <v>5819</v>
      </c>
      <c r="E2649" s="523" t="s">
        <v>5820</v>
      </c>
      <c r="F2649" s="523" t="s">
        <v>66</v>
      </c>
    </row>
    <row r="2650">
      <c r="A2650" s="523">
        <v>2649</v>
      </c>
      <c r="B2650" s="523" t="s">
        <v>5830</v>
      </c>
      <c r="C2650" s="523" t="s">
        <v>1212</v>
      </c>
      <c r="D2650" s="523" t="s">
        <v>5819</v>
      </c>
      <c r="E2650" s="523" t="s">
        <v>5820</v>
      </c>
      <c r="F2650" s="523" t="s">
        <v>66</v>
      </c>
    </row>
    <row r="2651">
      <c r="A2651" s="523">
        <v>2650</v>
      </c>
      <c r="B2651" s="523" t="s">
        <v>5831</v>
      </c>
      <c r="C2651" s="523" t="s">
        <v>5832</v>
      </c>
      <c r="D2651" s="523" t="s">
        <v>5819</v>
      </c>
      <c r="E2651" s="523" t="s">
        <v>5820</v>
      </c>
      <c r="F2651" s="523" t="s">
        <v>66</v>
      </c>
    </row>
    <row r="2652">
      <c r="A2652" s="523">
        <v>2651</v>
      </c>
      <c r="B2652" s="523" t="s">
        <v>5833</v>
      </c>
      <c r="C2652" s="523" t="s">
        <v>5834</v>
      </c>
      <c r="D2652" s="523" t="s">
        <v>5819</v>
      </c>
      <c r="E2652" s="523" t="s">
        <v>5820</v>
      </c>
      <c r="F2652" s="523" t="s">
        <v>66</v>
      </c>
    </row>
    <row r="2653">
      <c r="A2653" s="523">
        <v>2652</v>
      </c>
      <c r="B2653" s="523" t="s">
        <v>5835</v>
      </c>
      <c r="C2653" s="523" t="s">
        <v>5836</v>
      </c>
      <c r="D2653" s="523" t="s">
        <v>5819</v>
      </c>
      <c r="E2653" s="523" t="s">
        <v>5820</v>
      </c>
      <c r="F2653" s="523" t="s">
        <v>66</v>
      </c>
    </row>
    <row r="2654">
      <c r="A2654" s="523">
        <v>2653</v>
      </c>
      <c r="B2654" s="523" t="s">
        <v>5837</v>
      </c>
      <c r="C2654" s="523" t="s">
        <v>5838</v>
      </c>
      <c r="D2654" s="523" t="s">
        <v>5839</v>
      </c>
      <c r="E2654" s="523" t="s">
        <v>5840</v>
      </c>
      <c r="F2654" s="523" t="s">
        <v>66</v>
      </c>
    </row>
    <row r="2655">
      <c r="A2655" s="523">
        <v>2654</v>
      </c>
      <c r="B2655" s="523" t="s">
        <v>5841</v>
      </c>
      <c r="C2655" s="523" t="s">
        <v>1036</v>
      </c>
      <c r="D2655" s="523" t="s">
        <v>5839</v>
      </c>
      <c r="E2655" s="523" t="s">
        <v>5840</v>
      </c>
      <c r="F2655" s="523" t="s">
        <v>66</v>
      </c>
    </row>
    <row r="2656">
      <c r="A2656" s="523">
        <v>2655</v>
      </c>
      <c r="B2656" s="523" t="s">
        <v>5842</v>
      </c>
      <c r="C2656" s="523" t="s">
        <v>5843</v>
      </c>
      <c r="D2656" s="523" t="s">
        <v>5839</v>
      </c>
      <c r="E2656" s="523" t="s">
        <v>5840</v>
      </c>
      <c r="F2656" s="523" t="s">
        <v>66</v>
      </c>
    </row>
    <row r="2657">
      <c r="A2657" s="523">
        <v>2656</v>
      </c>
      <c r="B2657" s="523" t="s">
        <v>5844</v>
      </c>
      <c r="C2657" s="523" t="s">
        <v>4631</v>
      </c>
      <c r="D2657" s="523" t="s">
        <v>5839</v>
      </c>
      <c r="E2657" s="523" t="s">
        <v>5840</v>
      </c>
      <c r="F2657" s="523" t="s">
        <v>66</v>
      </c>
    </row>
    <row r="2658">
      <c r="A2658" s="523">
        <v>2657</v>
      </c>
      <c r="B2658" s="523" t="s">
        <v>5845</v>
      </c>
      <c r="C2658" s="523" t="s">
        <v>2229</v>
      </c>
      <c r="D2658" s="523" t="s">
        <v>5839</v>
      </c>
      <c r="E2658" s="523" t="s">
        <v>5840</v>
      </c>
      <c r="F2658" s="523" t="s">
        <v>66</v>
      </c>
    </row>
    <row r="2659">
      <c r="A2659" s="523">
        <v>2658</v>
      </c>
      <c r="B2659" s="523" t="s">
        <v>5846</v>
      </c>
      <c r="C2659" s="523" t="s">
        <v>1643</v>
      </c>
      <c r="D2659" s="523" t="s">
        <v>5839</v>
      </c>
      <c r="E2659" s="523" t="s">
        <v>5840</v>
      </c>
      <c r="F2659" s="523" t="s">
        <v>66</v>
      </c>
    </row>
    <row r="2660">
      <c r="A2660" s="523">
        <v>2659</v>
      </c>
      <c r="B2660" s="523" t="s">
        <v>5847</v>
      </c>
      <c r="C2660" s="523" t="s">
        <v>1186</v>
      </c>
      <c r="D2660" s="523" t="s">
        <v>5839</v>
      </c>
      <c r="E2660" s="523" t="s">
        <v>5840</v>
      </c>
      <c r="F2660" s="523" t="s">
        <v>66</v>
      </c>
    </row>
    <row r="2661">
      <c r="A2661" s="523">
        <v>2660</v>
      </c>
      <c r="B2661" s="523" t="s">
        <v>5848</v>
      </c>
      <c r="C2661" s="523" t="s">
        <v>2734</v>
      </c>
      <c r="D2661" s="523" t="s">
        <v>5839</v>
      </c>
      <c r="E2661" s="523" t="s">
        <v>5840</v>
      </c>
      <c r="F2661" s="523" t="s">
        <v>66</v>
      </c>
    </row>
    <row r="2662">
      <c r="A2662" s="523">
        <v>2661</v>
      </c>
      <c r="B2662" s="523" t="s">
        <v>5849</v>
      </c>
      <c r="C2662" s="523" t="s">
        <v>5850</v>
      </c>
      <c r="D2662" s="523" t="s">
        <v>5839</v>
      </c>
      <c r="E2662" s="523" t="s">
        <v>5840</v>
      </c>
      <c r="F2662" s="523" t="s">
        <v>66</v>
      </c>
    </row>
    <row r="2663">
      <c r="A2663" s="523">
        <v>2662</v>
      </c>
      <c r="B2663" s="523" t="s">
        <v>5851</v>
      </c>
      <c r="C2663" s="523" t="s">
        <v>1855</v>
      </c>
      <c r="D2663" s="523" t="s">
        <v>5839</v>
      </c>
      <c r="E2663" s="523" t="s">
        <v>5840</v>
      </c>
      <c r="F2663" s="523" t="s">
        <v>66</v>
      </c>
    </row>
    <row r="2664">
      <c r="A2664" s="523">
        <v>2663</v>
      </c>
      <c r="B2664" s="523" t="s">
        <v>5852</v>
      </c>
      <c r="C2664" s="523" t="s">
        <v>4252</v>
      </c>
      <c r="D2664" s="523" t="s">
        <v>5839</v>
      </c>
      <c r="E2664" s="523" t="s">
        <v>5840</v>
      </c>
      <c r="F2664" s="523" t="s">
        <v>66</v>
      </c>
    </row>
    <row r="2665">
      <c r="A2665" s="523">
        <v>2664</v>
      </c>
      <c r="B2665" s="523" t="s">
        <v>5853</v>
      </c>
      <c r="C2665" s="523" t="s">
        <v>2986</v>
      </c>
      <c r="D2665" s="523" t="s">
        <v>5839</v>
      </c>
      <c r="E2665" s="523" t="s">
        <v>5840</v>
      </c>
      <c r="F2665" s="523" t="s">
        <v>66</v>
      </c>
    </row>
    <row r="2666">
      <c r="A2666" s="523">
        <v>2665</v>
      </c>
      <c r="B2666" s="523" t="s">
        <v>5854</v>
      </c>
      <c r="C2666" s="523" t="s">
        <v>5092</v>
      </c>
      <c r="D2666" s="523" t="s">
        <v>5839</v>
      </c>
      <c r="E2666" s="523" t="s">
        <v>5840</v>
      </c>
      <c r="F2666" s="523" t="s">
        <v>66</v>
      </c>
    </row>
    <row r="2667">
      <c r="A2667" s="523">
        <v>2666</v>
      </c>
      <c r="B2667" s="523" t="s">
        <v>5855</v>
      </c>
      <c r="C2667" s="523" t="s">
        <v>5856</v>
      </c>
      <c r="D2667" s="523" t="s">
        <v>5839</v>
      </c>
      <c r="E2667" s="523" t="s">
        <v>5840</v>
      </c>
      <c r="F2667" s="523" t="s">
        <v>66</v>
      </c>
    </row>
    <row r="2668">
      <c r="A2668" s="523">
        <v>2667</v>
      </c>
      <c r="B2668" s="523" t="s">
        <v>5857</v>
      </c>
      <c r="C2668" s="523" t="s">
        <v>5858</v>
      </c>
      <c r="D2668" s="523" t="s">
        <v>5839</v>
      </c>
      <c r="E2668" s="523" t="s">
        <v>5840</v>
      </c>
      <c r="F2668" s="523" t="s">
        <v>66</v>
      </c>
    </row>
    <row r="2669">
      <c r="A2669" s="523">
        <v>2668</v>
      </c>
      <c r="B2669" s="523" t="s">
        <v>5859</v>
      </c>
      <c r="C2669" s="523" t="s">
        <v>5860</v>
      </c>
      <c r="D2669" s="523" t="s">
        <v>5861</v>
      </c>
      <c r="E2669" s="523" t="s">
        <v>5862</v>
      </c>
      <c r="F2669" s="523" t="s">
        <v>66</v>
      </c>
    </row>
    <row r="2670">
      <c r="A2670" s="523">
        <v>2669</v>
      </c>
      <c r="B2670" s="523" t="s">
        <v>5863</v>
      </c>
      <c r="C2670" s="523" t="s">
        <v>1843</v>
      </c>
      <c r="D2670" s="523" t="s">
        <v>5861</v>
      </c>
      <c r="E2670" s="523" t="s">
        <v>5862</v>
      </c>
      <c r="F2670" s="523" t="s">
        <v>66</v>
      </c>
    </row>
    <row r="2671">
      <c r="A2671" s="523">
        <v>2670</v>
      </c>
      <c r="B2671" s="523" t="s">
        <v>5864</v>
      </c>
      <c r="C2671" s="523" t="s">
        <v>5865</v>
      </c>
      <c r="D2671" s="523" t="s">
        <v>5861</v>
      </c>
      <c r="E2671" s="523" t="s">
        <v>5862</v>
      </c>
      <c r="F2671" s="523" t="s">
        <v>66</v>
      </c>
    </row>
    <row r="2672">
      <c r="A2672" s="523">
        <v>2671</v>
      </c>
      <c r="B2672" s="523" t="s">
        <v>5866</v>
      </c>
      <c r="C2672" s="523" t="s">
        <v>5867</v>
      </c>
      <c r="D2672" s="523" t="s">
        <v>5861</v>
      </c>
      <c r="E2672" s="523" t="s">
        <v>5862</v>
      </c>
      <c r="F2672" s="523" t="s">
        <v>66</v>
      </c>
    </row>
    <row r="2673">
      <c r="A2673" s="523">
        <v>2672</v>
      </c>
      <c r="B2673" s="523" t="s">
        <v>5868</v>
      </c>
      <c r="C2673" s="523" t="s">
        <v>5869</v>
      </c>
      <c r="D2673" s="523" t="s">
        <v>5861</v>
      </c>
      <c r="E2673" s="523" t="s">
        <v>5862</v>
      </c>
      <c r="F2673" s="523" t="s">
        <v>66</v>
      </c>
    </row>
    <row r="2674">
      <c r="A2674" s="523">
        <v>2673</v>
      </c>
      <c r="B2674" s="523" t="s">
        <v>5870</v>
      </c>
      <c r="C2674" s="523" t="s">
        <v>5301</v>
      </c>
      <c r="D2674" s="523" t="s">
        <v>5861</v>
      </c>
      <c r="E2674" s="523" t="s">
        <v>5862</v>
      </c>
      <c r="F2674" s="523" t="s">
        <v>66</v>
      </c>
    </row>
    <row r="2675">
      <c r="A2675" s="523">
        <v>2674</v>
      </c>
      <c r="B2675" s="523" t="s">
        <v>5871</v>
      </c>
      <c r="C2675" s="523" t="s">
        <v>1914</v>
      </c>
      <c r="D2675" s="523" t="s">
        <v>5861</v>
      </c>
      <c r="E2675" s="523" t="s">
        <v>5862</v>
      </c>
      <c r="F2675" s="523" t="s">
        <v>66</v>
      </c>
    </row>
    <row r="2676">
      <c r="A2676" s="523">
        <v>2675</v>
      </c>
      <c r="B2676" s="523" t="s">
        <v>5872</v>
      </c>
      <c r="C2676" s="523" t="s">
        <v>982</v>
      </c>
      <c r="D2676" s="523" t="s">
        <v>5861</v>
      </c>
      <c r="E2676" s="523" t="s">
        <v>5862</v>
      </c>
      <c r="F2676" s="523" t="s">
        <v>66</v>
      </c>
    </row>
    <row r="2677">
      <c r="A2677" s="523">
        <v>2676</v>
      </c>
      <c r="B2677" s="523" t="s">
        <v>5873</v>
      </c>
      <c r="C2677" s="523" t="s">
        <v>4065</v>
      </c>
      <c r="D2677" s="523" t="s">
        <v>5861</v>
      </c>
      <c r="E2677" s="523" t="s">
        <v>5862</v>
      </c>
      <c r="F2677" s="523" t="s">
        <v>66</v>
      </c>
    </row>
    <row r="2678">
      <c r="A2678" s="523">
        <v>2677</v>
      </c>
      <c r="B2678" s="523" t="s">
        <v>5874</v>
      </c>
      <c r="C2678" s="523" t="s">
        <v>5875</v>
      </c>
      <c r="D2678" s="523" t="s">
        <v>5861</v>
      </c>
      <c r="E2678" s="523" t="s">
        <v>5862</v>
      </c>
      <c r="F2678" s="523" t="s">
        <v>66</v>
      </c>
    </row>
    <row r="2679">
      <c r="A2679" s="523">
        <v>2678</v>
      </c>
      <c r="B2679" s="523" t="s">
        <v>5876</v>
      </c>
      <c r="C2679" s="523" t="s">
        <v>3336</v>
      </c>
      <c r="D2679" s="523" t="s">
        <v>5861</v>
      </c>
      <c r="E2679" s="523" t="s">
        <v>5862</v>
      </c>
      <c r="F2679" s="523" t="s">
        <v>66</v>
      </c>
    </row>
    <row r="2680">
      <c r="A2680" s="523">
        <v>2679</v>
      </c>
      <c r="B2680" s="523" t="s">
        <v>5877</v>
      </c>
      <c r="C2680" s="523" t="s">
        <v>1279</v>
      </c>
      <c r="D2680" s="523" t="s">
        <v>5861</v>
      </c>
      <c r="E2680" s="523" t="s">
        <v>5862</v>
      </c>
      <c r="F2680" s="523" t="s">
        <v>66</v>
      </c>
    </row>
    <row r="2681">
      <c r="A2681" s="523">
        <v>2680</v>
      </c>
      <c r="B2681" s="523" t="s">
        <v>5878</v>
      </c>
      <c r="C2681" s="523" t="s">
        <v>5879</v>
      </c>
      <c r="D2681" s="523" t="s">
        <v>5861</v>
      </c>
      <c r="E2681" s="523" t="s">
        <v>5862</v>
      </c>
      <c r="F2681" s="523" t="s">
        <v>66</v>
      </c>
    </row>
    <row r="2682">
      <c r="A2682" s="523">
        <v>2681</v>
      </c>
      <c r="B2682" s="523" t="s">
        <v>5880</v>
      </c>
      <c r="C2682" s="523" t="s">
        <v>5881</v>
      </c>
      <c r="D2682" s="523" t="s">
        <v>5882</v>
      </c>
      <c r="E2682" s="523" t="s">
        <v>5883</v>
      </c>
      <c r="F2682" s="523" t="s">
        <v>66</v>
      </c>
    </row>
    <row r="2683">
      <c r="A2683" s="523">
        <v>2682</v>
      </c>
      <c r="B2683" s="523" t="s">
        <v>5884</v>
      </c>
      <c r="C2683" s="523" t="s">
        <v>5295</v>
      </c>
      <c r="D2683" s="523" t="s">
        <v>5882</v>
      </c>
      <c r="E2683" s="523" t="s">
        <v>5883</v>
      </c>
      <c r="F2683" s="523" t="s">
        <v>66</v>
      </c>
    </row>
    <row r="2684">
      <c r="A2684" s="523">
        <v>2683</v>
      </c>
      <c r="B2684" s="523" t="s">
        <v>5885</v>
      </c>
      <c r="C2684" s="523" t="s">
        <v>5886</v>
      </c>
      <c r="D2684" s="523" t="s">
        <v>5882</v>
      </c>
      <c r="E2684" s="523" t="s">
        <v>5883</v>
      </c>
      <c r="F2684" s="523" t="s">
        <v>66</v>
      </c>
    </row>
    <row r="2685">
      <c r="A2685" s="523">
        <v>2684</v>
      </c>
      <c r="B2685" s="523" t="s">
        <v>5887</v>
      </c>
      <c r="C2685" s="523" t="s">
        <v>5569</v>
      </c>
      <c r="D2685" s="523" t="s">
        <v>5882</v>
      </c>
      <c r="E2685" s="523" t="s">
        <v>5883</v>
      </c>
      <c r="F2685" s="523" t="s">
        <v>66</v>
      </c>
    </row>
    <row r="2686">
      <c r="A2686" s="523">
        <v>2685</v>
      </c>
      <c r="B2686" s="523" t="s">
        <v>5888</v>
      </c>
      <c r="C2686" s="523" t="s">
        <v>1940</v>
      </c>
      <c r="D2686" s="523" t="s">
        <v>5882</v>
      </c>
      <c r="E2686" s="523" t="s">
        <v>5883</v>
      </c>
      <c r="F2686" s="523" t="s">
        <v>66</v>
      </c>
    </row>
    <row r="2687">
      <c r="A2687" s="523">
        <v>2686</v>
      </c>
      <c r="B2687" s="523" t="s">
        <v>5889</v>
      </c>
      <c r="C2687" s="523" t="s">
        <v>5494</v>
      </c>
      <c r="D2687" s="523" t="s">
        <v>5882</v>
      </c>
      <c r="E2687" s="523" t="s">
        <v>5883</v>
      </c>
      <c r="F2687" s="523" t="s">
        <v>66</v>
      </c>
    </row>
    <row r="2688">
      <c r="A2688" s="523">
        <v>2687</v>
      </c>
      <c r="B2688" s="523" t="s">
        <v>5890</v>
      </c>
      <c r="C2688" s="523" t="s">
        <v>5891</v>
      </c>
      <c r="D2688" s="523" t="s">
        <v>5882</v>
      </c>
      <c r="E2688" s="523" t="s">
        <v>5883</v>
      </c>
      <c r="F2688" s="523" t="s">
        <v>66</v>
      </c>
    </row>
    <row r="2689">
      <c r="A2689" s="523">
        <v>2688</v>
      </c>
      <c r="B2689" s="523" t="s">
        <v>5892</v>
      </c>
      <c r="C2689" s="523" t="s">
        <v>3911</v>
      </c>
      <c r="D2689" s="523" t="s">
        <v>5882</v>
      </c>
      <c r="E2689" s="523" t="s">
        <v>5883</v>
      </c>
      <c r="F2689" s="523" t="s">
        <v>66</v>
      </c>
    </row>
    <row r="2690">
      <c r="A2690" s="523">
        <v>2689</v>
      </c>
      <c r="B2690" s="523" t="s">
        <v>5893</v>
      </c>
      <c r="C2690" s="523" t="s">
        <v>4250</v>
      </c>
      <c r="D2690" s="523" t="s">
        <v>5882</v>
      </c>
      <c r="E2690" s="523" t="s">
        <v>5883</v>
      </c>
      <c r="F2690" s="523" t="s">
        <v>66</v>
      </c>
    </row>
    <row r="2691">
      <c r="A2691" s="523">
        <v>2690</v>
      </c>
      <c r="B2691" s="523" t="s">
        <v>5894</v>
      </c>
      <c r="C2691" s="523" t="s">
        <v>5895</v>
      </c>
      <c r="D2691" s="523" t="s">
        <v>5882</v>
      </c>
      <c r="E2691" s="523" t="s">
        <v>5883</v>
      </c>
      <c r="F2691" s="523" t="s">
        <v>66</v>
      </c>
    </row>
    <row r="2692">
      <c r="A2692" s="523">
        <v>2691</v>
      </c>
      <c r="B2692" s="523" t="s">
        <v>5896</v>
      </c>
      <c r="C2692" s="523" t="s">
        <v>5897</v>
      </c>
      <c r="D2692" s="523" t="s">
        <v>5882</v>
      </c>
      <c r="E2692" s="523" t="s">
        <v>5883</v>
      </c>
      <c r="F2692" s="523" t="s">
        <v>66</v>
      </c>
    </row>
    <row r="2693">
      <c r="A2693" s="523">
        <v>2692</v>
      </c>
      <c r="B2693" s="523" t="s">
        <v>5898</v>
      </c>
      <c r="C2693" s="523" t="s">
        <v>1188</v>
      </c>
      <c r="D2693" s="523" t="s">
        <v>5882</v>
      </c>
      <c r="E2693" s="523" t="s">
        <v>5883</v>
      </c>
      <c r="F2693" s="523" t="s">
        <v>66</v>
      </c>
    </row>
    <row r="2694">
      <c r="A2694" s="523">
        <v>2693</v>
      </c>
      <c r="B2694" s="523" t="s">
        <v>5899</v>
      </c>
      <c r="C2694" s="523" t="s">
        <v>2783</v>
      </c>
      <c r="D2694" s="523" t="s">
        <v>5882</v>
      </c>
      <c r="E2694" s="523" t="s">
        <v>5883</v>
      </c>
      <c r="F2694" s="523" t="s">
        <v>66</v>
      </c>
    </row>
    <row r="2695">
      <c r="A2695" s="523">
        <v>2694</v>
      </c>
      <c r="B2695" s="523" t="s">
        <v>5900</v>
      </c>
      <c r="C2695" s="523" t="s">
        <v>5901</v>
      </c>
      <c r="D2695" s="523" t="s">
        <v>5882</v>
      </c>
      <c r="E2695" s="523" t="s">
        <v>5883</v>
      </c>
      <c r="F2695" s="523" t="s">
        <v>66</v>
      </c>
    </row>
    <row r="2696">
      <c r="A2696" s="523">
        <v>2695</v>
      </c>
      <c r="B2696" s="523" t="s">
        <v>5902</v>
      </c>
      <c r="C2696" s="523" t="s">
        <v>2403</v>
      </c>
      <c r="D2696" s="523" t="s">
        <v>5882</v>
      </c>
      <c r="E2696" s="523" t="s">
        <v>5883</v>
      </c>
      <c r="F2696" s="523" t="s">
        <v>66</v>
      </c>
    </row>
    <row r="2697">
      <c r="A2697" s="523">
        <v>2696</v>
      </c>
      <c r="B2697" s="523" t="s">
        <v>5903</v>
      </c>
      <c r="C2697" s="523" t="s">
        <v>940</v>
      </c>
      <c r="D2697" s="523" t="s">
        <v>5882</v>
      </c>
      <c r="E2697" s="523" t="s">
        <v>5883</v>
      </c>
      <c r="F2697" s="523" t="s">
        <v>66</v>
      </c>
    </row>
    <row r="2698">
      <c r="A2698" s="523">
        <v>2697</v>
      </c>
      <c r="B2698" s="523" t="s">
        <v>5904</v>
      </c>
      <c r="C2698" s="523" t="s">
        <v>5905</v>
      </c>
      <c r="D2698" s="523" t="s">
        <v>5882</v>
      </c>
      <c r="E2698" s="523" t="s">
        <v>5883</v>
      </c>
      <c r="F2698" s="523" t="s">
        <v>66</v>
      </c>
    </row>
    <row r="2699">
      <c r="A2699" s="523">
        <v>2698</v>
      </c>
      <c r="B2699" s="523" t="s">
        <v>5906</v>
      </c>
      <c r="C2699" s="523" t="s">
        <v>5907</v>
      </c>
      <c r="D2699" s="523" t="s">
        <v>5908</v>
      </c>
      <c r="E2699" s="523" t="s">
        <v>5909</v>
      </c>
      <c r="F2699" s="523" t="s">
        <v>66</v>
      </c>
    </row>
    <row r="2700">
      <c r="A2700" s="523">
        <v>2699</v>
      </c>
      <c r="B2700" s="523" t="s">
        <v>5910</v>
      </c>
      <c r="C2700" s="523" t="s">
        <v>966</v>
      </c>
      <c r="D2700" s="523" t="s">
        <v>5908</v>
      </c>
      <c r="E2700" s="523" t="s">
        <v>5909</v>
      </c>
      <c r="F2700" s="523" t="s">
        <v>66</v>
      </c>
    </row>
    <row r="2701">
      <c r="A2701" s="523">
        <v>2700</v>
      </c>
      <c r="B2701" s="523" t="s">
        <v>5911</v>
      </c>
      <c r="C2701" s="523" t="s">
        <v>5912</v>
      </c>
      <c r="D2701" s="523" t="s">
        <v>5908</v>
      </c>
      <c r="E2701" s="523" t="s">
        <v>5909</v>
      </c>
      <c r="F2701" s="523" t="s">
        <v>66</v>
      </c>
    </row>
    <row r="2702">
      <c r="A2702" s="523">
        <v>2701</v>
      </c>
      <c r="B2702" s="523" t="s">
        <v>5913</v>
      </c>
      <c r="C2702" s="523" t="s">
        <v>5914</v>
      </c>
      <c r="D2702" s="523" t="s">
        <v>5908</v>
      </c>
      <c r="E2702" s="523" t="s">
        <v>5909</v>
      </c>
      <c r="F2702" s="523" t="s">
        <v>66</v>
      </c>
    </row>
    <row r="2703">
      <c r="A2703" s="523">
        <v>2702</v>
      </c>
      <c r="B2703" s="523" t="s">
        <v>5915</v>
      </c>
      <c r="C2703" s="523" t="s">
        <v>5916</v>
      </c>
      <c r="D2703" s="523" t="s">
        <v>5908</v>
      </c>
      <c r="E2703" s="523" t="s">
        <v>5909</v>
      </c>
      <c r="F2703" s="523" t="s">
        <v>66</v>
      </c>
    </row>
    <row r="2704">
      <c r="A2704" s="523">
        <v>2703</v>
      </c>
      <c r="B2704" s="523" t="s">
        <v>5917</v>
      </c>
      <c r="C2704" s="523" t="s">
        <v>5918</v>
      </c>
      <c r="D2704" s="523" t="s">
        <v>5908</v>
      </c>
      <c r="E2704" s="523" t="s">
        <v>5909</v>
      </c>
      <c r="F2704" s="523" t="s">
        <v>66</v>
      </c>
    </row>
    <row r="2705">
      <c r="A2705" s="523">
        <v>2704</v>
      </c>
      <c r="B2705" s="523" t="s">
        <v>5919</v>
      </c>
      <c r="C2705" s="523" t="s">
        <v>1210</v>
      </c>
      <c r="D2705" s="523" t="s">
        <v>5908</v>
      </c>
      <c r="E2705" s="523" t="s">
        <v>5909</v>
      </c>
      <c r="F2705" s="523" t="s">
        <v>66</v>
      </c>
    </row>
    <row r="2706">
      <c r="A2706" s="523">
        <v>2705</v>
      </c>
      <c r="B2706" s="523" t="s">
        <v>5920</v>
      </c>
      <c r="C2706" s="523" t="s">
        <v>4994</v>
      </c>
      <c r="D2706" s="523" t="s">
        <v>5908</v>
      </c>
      <c r="E2706" s="523" t="s">
        <v>5909</v>
      </c>
      <c r="F2706" s="523" t="s">
        <v>66</v>
      </c>
    </row>
    <row r="2707">
      <c r="A2707" s="523">
        <v>2706</v>
      </c>
      <c r="B2707" s="523" t="s">
        <v>5921</v>
      </c>
      <c r="C2707" s="523" t="s">
        <v>5922</v>
      </c>
      <c r="D2707" s="523" t="s">
        <v>5908</v>
      </c>
      <c r="E2707" s="523" t="s">
        <v>5909</v>
      </c>
      <c r="F2707" s="523" t="s">
        <v>66</v>
      </c>
    </row>
    <row r="2708">
      <c r="A2708" s="523">
        <v>2707</v>
      </c>
      <c r="B2708" s="523" t="s">
        <v>5923</v>
      </c>
      <c r="C2708" s="523" t="s">
        <v>5924</v>
      </c>
      <c r="D2708" s="523" t="s">
        <v>5908</v>
      </c>
      <c r="E2708" s="523" t="s">
        <v>5909</v>
      </c>
      <c r="F2708" s="523" t="s">
        <v>66</v>
      </c>
    </row>
    <row r="2709">
      <c r="A2709" s="523">
        <v>2708</v>
      </c>
      <c r="B2709" s="523" t="s">
        <v>5925</v>
      </c>
      <c r="C2709" s="523" t="s">
        <v>5926</v>
      </c>
      <c r="D2709" s="523" t="s">
        <v>5908</v>
      </c>
      <c r="E2709" s="523" t="s">
        <v>5909</v>
      </c>
      <c r="F2709" s="523" t="s">
        <v>66</v>
      </c>
    </row>
    <row r="2710">
      <c r="A2710" s="523">
        <v>2709</v>
      </c>
      <c r="B2710" s="523" t="s">
        <v>5927</v>
      </c>
      <c r="C2710" s="523" t="s">
        <v>5928</v>
      </c>
      <c r="D2710" s="523" t="s">
        <v>5908</v>
      </c>
      <c r="E2710" s="523" t="s">
        <v>5909</v>
      </c>
      <c r="F2710" s="523" t="s">
        <v>66</v>
      </c>
    </row>
    <row r="2711">
      <c r="A2711" s="523">
        <v>2710</v>
      </c>
      <c r="B2711" s="523" t="s">
        <v>5929</v>
      </c>
      <c r="C2711" s="523" t="s">
        <v>5930</v>
      </c>
      <c r="D2711" s="523" t="s">
        <v>5908</v>
      </c>
      <c r="E2711" s="523" t="s">
        <v>5909</v>
      </c>
      <c r="F2711" s="523" t="s">
        <v>66</v>
      </c>
    </row>
    <row r="2712">
      <c r="A2712" s="523">
        <v>2711</v>
      </c>
      <c r="B2712" s="523" t="s">
        <v>5931</v>
      </c>
      <c r="C2712" s="523" t="s">
        <v>2887</v>
      </c>
      <c r="D2712" s="523" t="s">
        <v>5908</v>
      </c>
      <c r="E2712" s="523" t="s">
        <v>5909</v>
      </c>
      <c r="F2712" s="523" t="s">
        <v>66</v>
      </c>
    </row>
    <row r="2713">
      <c r="A2713" s="523">
        <v>2712</v>
      </c>
      <c r="B2713" s="523" t="s">
        <v>5932</v>
      </c>
      <c r="C2713" s="523" t="s">
        <v>5933</v>
      </c>
      <c r="D2713" s="523" t="s">
        <v>5934</v>
      </c>
      <c r="E2713" s="523" t="s">
        <v>5935</v>
      </c>
      <c r="F2713" s="523" t="s">
        <v>66</v>
      </c>
    </row>
    <row r="2714">
      <c r="A2714" s="523">
        <v>2713</v>
      </c>
      <c r="B2714" s="523" t="s">
        <v>5936</v>
      </c>
      <c r="C2714" s="523" t="s">
        <v>5937</v>
      </c>
      <c r="D2714" s="523" t="s">
        <v>5934</v>
      </c>
      <c r="E2714" s="523" t="s">
        <v>5935</v>
      </c>
      <c r="F2714" s="523" t="s">
        <v>66</v>
      </c>
    </row>
    <row r="2715">
      <c r="A2715" s="523">
        <v>2714</v>
      </c>
      <c r="B2715" s="523" t="s">
        <v>5938</v>
      </c>
      <c r="C2715" s="523" t="s">
        <v>5939</v>
      </c>
      <c r="D2715" s="523" t="s">
        <v>5934</v>
      </c>
      <c r="E2715" s="523" t="s">
        <v>5935</v>
      </c>
      <c r="F2715" s="523" t="s">
        <v>66</v>
      </c>
    </row>
    <row r="2716">
      <c r="A2716" s="523">
        <v>2715</v>
      </c>
      <c r="B2716" s="523" t="s">
        <v>5940</v>
      </c>
      <c r="C2716" s="523" t="s">
        <v>5941</v>
      </c>
      <c r="D2716" s="523" t="s">
        <v>5934</v>
      </c>
      <c r="E2716" s="523" t="s">
        <v>5935</v>
      </c>
      <c r="F2716" s="523" t="s">
        <v>66</v>
      </c>
    </row>
    <row r="2717">
      <c r="A2717" s="523">
        <v>2716</v>
      </c>
      <c r="B2717" s="523" t="s">
        <v>5942</v>
      </c>
      <c r="C2717" s="523" t="s">
        <v>5943</v>
      </c>
      <c r="D2717" s="523" t="s">
        <v>5934</v>
      </c>
      <c r="E2717" s="523" t="s">
        <v>5935</v>
      </c>
      <c r="F2717" s="523" t="s">
        <v>66</v>
      </c>
    </row>
    <row r="2718">
      <c r="A2718" s="523">
        <v>2717</v>
      </c>
      <c r="B2718" s="523" t="s">
        <v>5944</v>
      </c>
      <c r="C2718" s="523" t="s">
        <v>5945</v>
      </c>
      <c r="D2718" s="523" t="s">
        <v>5934</v>
      </c>
      <c r="E2718" s="523" t="s">
        <v>5935</v>
      </c>
      <c r="F2718" s="523" t="s">
        <v>66</v>
      </c>
    </row>
    <row r="2719">
      <c r="A2719" s="523">
        <v>2718</v>
      </c>
      <c r="B2719" s="523" t="s">
        <v>5946</v>
      </c>
      <c r="C2719" s="523" t="s">
        <v>5947</v>
      </c>
      <c r="D2719" s="523" t="s">
        <v>5934</v>
      </c>
      <c r="E2719" s="523" t="s">
        <v>5935</v>
      </c>
      <c r="F2719" s="523" t="s">
        <v>66</v>
      </c>
    </row>
    <row r="2720">
      <c r="A2720" s="523">
        <v>2719</v>
      </c>
      <c r="B2720" s="523" t="s">
        <v>5948</v>
      </c>
      <c r="C2720" s="523" t="s">
        <v>5949</v>
      </c>
      <c r="D2720" s="523" t="s">
        <v>5934</v>
      </c>
      <c r="E2720" s="523" t="s">
        <v>5935</v>
      </c>
      <c r="F2720" s="523" t="s">
        <v>66</v>
      </c>
    </row>
    <row r="2721">
      <c r="A2721" s="523">
        <v>2720</v>
      </c>
      <c r="B2721" s="523" t="s">
        <v>5950</v>
      </c>
      <c r="C2721" s="523" t="s">
        <v>5951</v>
      </c>
      <c r="D2721" s="523" t="s">
        <v>5934</v>
      </c>
      <c r="E2721" s="523" t="s">
        <v>5935</v>
      </c>
      <c r="F2721" s="523" t="s">
        <v>66</v>
      </c>
    </row>
    <row r="2722">
      <c r="A2722" s="523">
        <v>2721</v>
      </c>
      <c r="B2722" s="523" t="s">
        <v>5952</v>
      </c>
      <c r="C2722" s="523" t="s">
        <v>5953</v>
      </c>
      <c r="D2722" s="523" t="s">
        <v>5934</v>
      </c>
      <c r="E2722" s="523" t="s">
        <v>5935</v>
      </c>
      <c r="F2722" s="523" t="s">
        <v>66</v>
      </c>
    </row>
    <row r="2723">
      <c r="A2723" s="523">
        <v>2722</v>
      </c>
      <c r="B2723" s="523" t="s">
        <v>5954</v>
      </c>
      <c r="C2723" s="523" t="s">
        <v>1631</v>
      </c>
      <c r="D2723" s="523" t="s">
        <v>5934</v>
      </c>
      <c r="E2723" s="523" t="s">
        <v>5935</v>
      </c>
      <c r="F2723" s="523" t="s">
        <v>66</v>
      </c>
    </row>
    <row r="2724">
      <c r="A2724" s="523">
        <v>2723</v>
      </c>
      <c r="B2724" s="523" t="s">
        <v>5955</v>
      </c>
      <c r="C2724" s="523" t="s">
        <v>2528</v>
      </c>
      <c r="D2724" s="523" t="s">
        <v>5934</v>
      </c>
      <c r="E2724" s="523" t="s">
        <v>5935</v>
      </c>
      <c r="F2724" s="523" t="s">
        <v>66</v>
      </c>
    </row>
    <row r="2725">
      <c r="A2725" s="523">
        <v>2724</v>
      </c>
      <c r="B2725" s="523" t="s">
        <v>5956</v>
      </c>
      <c r="C2725" s="523" t="s">
        <v>3366</v>
      </c>
      <c r="D2725" s="523" t="s">
        <v>5934</v>
      </c>
      <c r="E2725" s="523" t="s">
        <v>5935</v>
      </c>
      <c r="F2725" s="523" t="s">
        <v>66</v>
      </c>
    </row>
    <row r="2726">
      <c r="A2726" s="523">
        <v>2725</v>
      </c>
      <c r="B2726" s="523" t="s">
        <v>5957</v>
      </c>
      <c r="C2726" s="523" t="s">
        <v>5958</v>
      </c>
      <c r="D2726" s="523" t="s">
        <v>5934</v>
      </c>
      <c r="E2726" s="523" t="s">
        <v>5935</v>
      </c>
      <c r="F2726" s="523" t="s">
        <v>66</v>
      </c>
    </row>
    <row r="2727">
      <c r="A2727" s="523">
        <v>2726</v>
      </c>
      <c r="B2727" s="523" t="s">
        <v>5959</v>
      </c>
      <c r="C2727" s="523" t="s">
        <v>5960</v>
      </c>
      <c r="D2727" s="523" t="s">
        <v>5934</v>
      </c>
      <c r="E2727" s="523" t="s">
        <v>5935</v>
      </c>
      <c r="F2727" s="523" t="s">
        <v>66</v>
      </c>
    </row>
    <row r="2728">
      <c r="A2728" s="523">
        <v>2727</v>
      </c>
      <c r="B2728" s="523" t="s">
        <v>5961</v>
      </c>
      <c r="C2728" s="523" t="s">
        <v>5962</v>
      </c>
      <c r="D2728" s="523" t="s">
        <v>5934</v>
      </c>
      <c r="E2728" s="523" t="s">
        <v>5935</v>
      </c>
      <c r="F2728" s="523" t="s">
        <v>66</v>
      </c>
    </row>
    <row r="2729">
      <c r="A2729" s="523">
        <v>2728</v>
      </c>
      <c r="B2729" s="523" t="s">
        <v>5963</v>
      </c>
      <c r="C2729" s="523" t="s">
        <v>5964</v>
      </c>
      <c r="D2729" s="523" t="s">
        <v>5934</v>
      </c>
      <c r="E2729" s="523" t="s">
        <v>5935</v>
      </c>
      <c r="F2729" s="523" t="s">
        <v>66</v>
      </c>
    </row>
    <row r="2730">
      <c r="A2730" s="523">
        <v>2729</v>
      </c>
      <c r="B2730" s="523" t="s">
        <v>5965</v>
      </c>
      <c r="C2730" s="523" t="s">
        <v>5966</v>
      </c>
      <c r="D2730" s="523" t="s">
        <v>5934</v>
      </c>
      <c r="E2730" s="523" t="s">
        <v>5935</v>
      </c>
      <c r="F2730" s="523" t="s">
        <v>66</v>
      </c>
    </row>
    <row r="2731">
      <c r="A2731" s="523">
        <v>2730</v>
      </c>
      <c r="B2731" s="523" t="s">
        <v>5967</v>
      </c>
      <c r="C2731" s="523" t="s">
        <v>5968</v>
      </c>
      <c r="D2731" s="523" t="s">
        <v>5934</v>
      </c>
      <c r="E2731" s="523" t="s">
        <v>5935</v>
      </c>
      <c r="F2731" s="523" t="s">
        <v>66</v>
      </c>
    </row>
    <row r="2732">
      <c r="A2732" s="523">
        <v>2731</v>
      </c>
      <c r="B2732" s="523" t="s">
        <v>5969</v>
      </c>
      <c r="C2732" s="523" t="s">
        <v>5970</v>
      </c>
      <c r="D2732" s="523" t="s">
        <v>5934</v>
      </c>
      <c r="E2732" s="523" t="s">
        <v>5935</v>
      </c>
      <c r="F2732" s="523" t="s">
        <v>66</v>
      </c>
    </row>
    <row r="2733">
      <c r="A2733" s="523">
        <v>2732</v>
      </c>
      <c r="B2733" s="523" t="s">
        <v>5971</v>
      </c>
      <c r="C2733" s="523" t="s">
        <v>1486</v>
      </c>
      <c r="D2733" s="523" t="s">
        <v>5972</v>
      </c>
      <c r="E2733" s="523" t="s">
        <v>5973</v>
      </c>
      <c r="F2733" s="523" t="s">
        <v>66</v>
      </c>
    </row>
    <row r="2734">
      <c r="A2734" s="523">
        <v>2733</v>
      </c>
      <c r="B2734" s="523" t="s">
        <v>5974</v>
      </c>
      <c r="C2734" s="523" t="s">
        <v>1490</v>
      </c>
      <c r="D2734" s="523" t="s">
        <v>5972</v>
      </c>
      <c r="E2734" s="523" t="s">
        <v>5973</v>
      </c>
      <c r="F2734" s="523" t="s">
        <v>66</v>
      </c>
    </row>
    <row r="2735">
      <c r="A2735" s="523">
        <v>2734</v>
      </c>
      <c r="B2735" s="523" t="s">
        <v>5975</v>
      </c>
      <c r="C2735" s="523" t="s">
        <v>1492</v>
      </c>
      <c r="D2735" s="523" t="s">
        <v>5972</v>
      </c>
      <c r="E2735" s="523" t="s">
        <v>5973</v>
      </c>
      <c r="F2735" s="523" t="s">
        <v>66</v>
      </c>
    </row>
    <row r="2736">
      <c r="A2736" s="523">
        <v>2735</v>
      </c>
      <c r="B2736" s="523" t="s">
        <v>5976</v>
      </c>
      <c r="C2736" s="523" t="s">
        <v>2039</v>
      </c>
      <c r="D2736" s="523" t="s">
        <v>5972</v>
      </c>
      <c r="E2736" s="523" t="s">
        <v>5973</v>
      </c>
      <c r="F2736" s="523" t="s">
        <v>66</v>
      </c>
    </row>
    <row r="2737">
      <c r="A2737" s="523">
        <v>2736</v>
      </c>
      <c r="B2737" s="523" t="s">
        <v>5977</v>
      </c>
      <c r="C2737" s="523" t="s">
        <v>1494</v>
      </c>
      <c r="D2737" s="523" t="s">
        <v>5972</v>
      </c>
      <c r="E2737" s="523" t="s">
        <v>5973</v>
      </c>
      <c r="F2737" s="523" t="s">
        <v>66</v>
      </c>
    </row>
    <row r="2738">
      <c r="A2738" s="523">
        <v>2737</v>
      </c>
      <c r="B2738" s="523" t="s">
        <v>5978</v>
      </c>
      <c r="C2738" s="523" t="s">
        <v>654</v>
      </c>
      <c r="D2738" s="523" t="s">
        <v>5972</v>
      </c>
      <c r="E2738" s="523" t="s">
        <v>5973</v>
      </c>
      <c r="F2738" s="523" t="s">
        <v>66</v>
      </c>
    </row>
    <row r="2739">
      <c r="A2739" s="523">
        <v>2738</v>
      </c>
      <c r="B2739" s="523" t="s">
        <v>5979</v>
      </c>
      <c r="C2739" s="523" t="s">
        <v>2498</v>
      </c>
      <c r="D2739" s="523" t="s">
        <v>5972</v>
      </c>
      <c r="E2739" s="523" t="s">
        <v>5973</v>
      </c>
      <c r="F2739" s="523" t="s">
        <v>66</v>
      </c>
    </row>
    <row r="2740">
      <c r="A2740" s="523">
        <v>2739</v>
      </c>
      <c r="B2740" s="523" t="s">
        <v>5980</v>
      </c>
      <c r="C2740" s="523" t="s">
        <v>1024</v>
      </c>
      <c r="D2740" s="523" t="s">
        <v>5972</v>
      </c>
      <c r="E2740" s="523" t="s">
        <v>5973</v>
      </c>
      <c r="F2740" s="523" t="s">
        <v>66</v>
      </c>
    </row>
    <row r="2741">
      <c r="A2741" s="523">
        <v>2740</v>
      </c>
      <c r="B2741" s="523" t="s">
        <v>5981</v>
      </c>
      <c r="C2741" s="523" t="s">
        <v>1990</v>
      </c>
      <c r="D2741" s="523" t="s">
        <v>5972</v>
      </c>
      <c r="E2741" s="523" t="s">
        <v>5973</v>
      </c>
      <c r="F2741" s="523" t="s">
        <v>66</v>
      </c>
    </row>
    <row r="2742">
      <c r="A2742" s="523">
        <v>2741</v>
      </c>
      <c r="B2742" s="523" t="s">
        <v>5982</v>
      </c>
      <c r="C2742" s="523" t="s">
        <v>5983</v>
      </c>
      <c r="D2742" s="523" t="s">
        <v>5972</v>
      </c>
      <c r="E2742" s="523" t="s">
        <v>5973</v>
      </c>
      <c r="F2742" s="523" t="s">
        <v>66</v>
      </c>
    </row>
    <row r="2743">
      <c r="A2743" s="523">
        <v>2742</v>
      </c>
      <c r="B2743" s="523" t="s">
        <v>5984</v>
      </c>
      <c r="C2743" s="523" t="s">
        <v>5985</v>
      </c>
      <c r="D2743" s="523" t="s">
        <v>5972</v>
      </c>
      <c r="E2743" s="523" t="s">
        <v>5973</v>
      </c>
      <c r="F2743" s="523" t="s">
        <v>66</v>
      </c>
    </row>
    <row r="2744">
      <c r="A2744" s="523">
        <v>2743</v>
      </c>
      <c r="B2744" s="523" t="s">
        <v>5986</v>
      </c>
      <c r="C2744" s="523" t="s">
        <v>5987</v>
      </c>
      <c r="D2744" s="523" t="s">
        <v>5988</v>
      </c>
      <c r="E2744" s="523" t="s">
        <v>5989</v>
      </c>
      <c r="F2744" s="523" t="s">
        <v>66</v>
      </c>
    </row>
    <row r="2745">
      <c r="A2745" s="523">
        <v>2744</v>
      </c>
      <c r="B2745" s="523" t="s">
        <v>5990</v>
      </c>
      <c r="C2745" s="523" t="s">
        <v>5991</v>
      </c>
      <c r="D2745" s="523" t="s">
        <v>5988</v>
      </c>
      <c r="E2745" s="523" t="s">
        <v>5989</v>
      </c>
      <c r="F2745" s="523" t="s">
        <v>66</v>
      </c>
    </row>
    <row r="2746">
      <c r="A2746" s="523">
        <v>2745</v>
      </c>
      <c r="B2746" s="523" t="s">
        <v>5992</v>
      </c>
      <c r="C2746" s="523" t="s">
        <v>5993</v>
      </c>
      <c r="D2746" s="523" t="s">
        <v>5988</v>
      </c>
      <c r="E2746" s="523" t="s">
        <v>5989</v>
      </c>
      <c r="F2746" s="523" t="s">
        <v>66</v>
      </c>
    </row>
    <row r="2747">
      <c r="A2747" s="523">
        <v>2746</v>
      </c>
      <c r="B2747" s="523" t="s">
        <v>5994</v>
      </c>
      <c r="C2747" s="523" t="s">
        <v>1778</v>
      </c>
      <c r="D2747" s="523" t="s">
        <v>5988</v>
      </c>
      <c r="E2747" s="523" t="s">
        <v>5989</v>
      </c>
      <c r="F2747" s="523" t="s">
        <v>66</v>
      </c>
    </row>
    <row r="2748">
      <c r="A2748" s="523">
        <v>2747</v>
      </c>
      <c r="B2748" s="523" t="s">
        <v>5995</v>
      </c>
      <c r="C2748" s="523" t="s">
        <v>5996</v>
      </c>
      <c r="D2748" s="523" t="s">
        <v>5988</v>
      </c>
      <c r="E2748" s="523" t="s">
        <v>5989</v>
      </c>
      <c r="F2748" s="523" t="s">
        <v>66</v>
      </c>
    </row>
    <row r="2749">
      <c r="A2749" s="523">
        <v>2748</v>
      </c>
      <c r="B2749" s="523" t="s">
        <v>5997</v>
      </c>
      <c r="C2749" s="523" t="s">
        <v>2575</v>
      </c>
      <c r="D2749" s="523" t="s">
        <v>5988</v>
      </c>
      <c r="E2749" s="523" t="s">
        <v>5989</v>
      </c>
      <c r="F2749" s="523" t="s">
        <v>66</v>
      </c>
    </row>
    <row r="2750">
      <c r="A2750" s="523">
        <v>2749</v>
      </c>
      <c r="B2750" s="523" t="s">
        <v>5998</v>
      </c>
      <c r="C2750" s="523" t="s">
        <v>3374</v>
      </c>
      <c r="D2750" s="523" t="s">
        <v>5988</v>
      </c>
      <c r="E2750" s="523" t="s">
        <v>5989</v>
      </c>
      <c r="F2750" s="523" t="s">
        <v>66</v>
      </c>
    </row>
    <row r="2751">
      <c r="A2751" s="523">
        <v>2750</v>
      </c>
      <c r="B2751" s="523" t="s">
        <v>5999</v>
      </c>
      <c r="C2751" s="523" t="s">
        <v>6000</v>
      </c>
      <c r="D2751" s="523" t="s">
        <v>6001</v>
      </c>
      <c r="E2751" s="523" t="s">
        <v>6002</v>
      </c>
      <c r="F2751" s="523" t="s">
        <v>69</v>
      </c>
    </row>
    <row r="2752">
      <c r="A2752" s="523">
        <v>2751</v>
      </c>
      <c r="B2752" s="523" t="s">
        <v>6003</v>
      </c>
      <c r="C2752" s="523" t="s">
        <v>6004</v>
      </c>
      <c r="D2752" s="523" t="s">
        <v>6001</v>
      </c>
      <c r="E2752" s="523" t="s">
        <v>6002</v>
      </c>
      <c r="F2752" s="523" t="s">
        <v>69</v>
      </c>
    </row>
    <row r="2753">
      <c r="A2753" s="523">
        <v>2752</v>
      </c>
      <c r="B2753" s="523" t="s">
        <v>6005</v>
      </c>
      <c r="C2753" s="523" t="s">
        <v>6006</v>
      </c>
      <c r="D2753" s="523" t="s">
        <v>6001</v>
      </c>
      <c r="E2753" s="523" t="s">
        <v>6002</v>
      </c>
      <c r="F2753" s="523" t="s">
        <v>69</v>
      </c>
    </row>
    <row r="2754">
      <c r="A2754" s="523">
        <v>2753</v>
      </c>
      <c r="B2754" s="523" t="s">
        <v>6007</v>
      </c>
      <c r="C2754" s="523" t="s">
        <v>6008</v>
      </c>
      <c r="D2754" s="523" t="s">
        <v>6001</v>
      </c>
      <c r="E2754" s="523" t="s">
        <v>6002</v>
      </c>
      <c r="F2754" s="523" t="s">
        <v>69</v>
      </c>
    </row>
    <row r="2755">
      <c r="A2755" s="523">
        <v>2754</v>
      </c>
      <c r="B2755" s="523" t="s">
        <v>6009</v>
      </c>
      <c r="C2755" s="523" t="s">
        <v>6010</v>
      </c>
      <c r="D2755" s="523" t="s">
        <v>6001</v>
      </c>
      <c r="E2755" s="523" t="s">
        <v>6002</v>
      </c>
      <c r="F2755" s="523" t="s">
        <v>69</v>
      </c>
    </row>
    <row r="2756">
      <c r="A2756" s="523">
        <v>2755</v>
      </c>
      <c r="B2756" s="523" t="s">
        <v>6011</v>
      </c>
      <c r="C2756" s="523" t="s">
        <v>6012</v>
      </c>
      <c r="D2756" s="523" t="s">
        <v>6001</v>
      </c>
      <c r="E2756" s="523" t="s">
        <v>6002</v>
      </c>
      <c r="F2756" s="523" t="s">
        <v>69</v>
      </c>
    </row>
    <row r="2757">
      <c r="A2757" s="523">
        <v>2756</v>
      </c>
      <c r="B2757" s="523" t="s">
        <v>6013</v>
      </c>
      <c r="C2757" s="523" t="s">
        <v>6014</v>
      </c>
      <c r="D2757" s="523" t="s">
        <v>6001</v>
      </c>
      <c r="E2757" s="523" t="s">
        <v>6002</v>
      </c>
      <c r="F2757" s="523" t="s">
        <v>69</v>
      </c>
    </row>
    <row r="2758">
      <c r="A2758" s="523">
        <v>2757</v>
      </c>
      <c r="B2758" s="523" t="s">
        <v>6015</v>
      </c>
      <c r="C2758" s="523" t="s">
        <v>6016</v>
      </c>
      <c r="D2758" s="523" t="s">
        <v>6001</v>
      </c>
      <c r="E2758" s="523" t="s">
        <v>6002</v>
      </c>
      <c r="F2758" s="523" t="s">
        <v>69</v>
      </c>
    </row>
    <row r="2759">
      <c r="A2759" s="523">
        <v>2758</v>
      </c>
      <c r="B2759" s="523" t="s">
        <v>6017</v>
      </c>
      <c r="C2759" s="523" t="s">
        <v>6018</v>
      </c>
      <c r="D2759" s="523" t="s">
        <v>6001</v>
      </c>
      <c r="E2759" s="523" t="s">
        <v>6002</v>
      </c>
      <c r="F2759" s="523" t="s">
        <v>69</v>
      </c>
    </row>
    <row r="2760">
      <c r="A2760" s="523">
        <v>2759</v>
      </c>
      <c r="B2760" s="523" t="s">
        <v>6019</v>
      </c>
      <c r="C2760" s="523" t="s">
        <v>6020</v>
      </c>
      <c r="D2760" s="523" t="s">
        <v>6001</v>
      </c>
      <c r="E2760" s="523" t="s">
        <v>6002</v>
      </c>
      <c r="F2760" s="523" t="s">
        <v>69</v>
      </c>
    </row>
    <row r="2761">
      <c r="A2761" s="523">
        <v>2760</v>
      </c>
      <c r="B2761" s="523" t="s">
        <v>6021</v>
      </c>
      <c r="C2761" s="523" t="s">
        <v>4073</v>
      </c>
      <c r="D2761" s="523" t="s">
        <v>6001</v>
      </c>
      <c r="E2761" s="523" t="s">
        <v>6002</v>
      </c>
      <c r="F2761" s="523" t="s">
        <v>69</v>
      </c>
    </row>
    <row r="2762">
      <c r="A2762" s="523">
        <v>2761</v>
      </c>
      <c r="B2762" s="523" t="s">
        <v>6022</v>
      </c>
      <c r="C2762" s="523" t="s">
        <v>6023</v>
      </c>
      <c r="D2762" s="523" t="s">
        <v>6001</v>
      </c>
      <c r="E2762" s="523" t="s">
        <v>6002</v>
      </c>
      <c r="F2762" s="523" t="s">
        <v>69</v>
      </c>
    </row>
    <row r="2763">
      <c r="A2763" s="523">
        <v>2762</v>
      </c>
      <c r="B2763" s="523" t="s">
        <v>6024</v>
      </c>
      <c r="C2763" s="523" t="s">
        <v>6025</v>
      </c>
      <c r="D2763" s="523" t="s">
        <v>6001</v>
      </c>
      <c r="E2763" s="523" t="s">
        <v>6002</v>
      </c>
      <c r="F2763" s="523" t="s">
        <v>69</v>
      </c>
    </row>
    <row r="2764">
      <c r="A2764" s="523">
        <v>2763</v>
      </c>
      <c r="B2764" s="523" t="s">
        <v>6026</v>
      </c>
      <c r="C2764" s="523" t="s">
        <v>6027</v>
      </c>
      <c r="D2764" s="523" t="s">
        <v>6001</v>
      </c>
      <c r="E2764" s="523" t="s">
        <v>6002</v>
      </c>
      <c r="F2764" s="523" t="s">
        <v>69</v>
      </c>
    </row>
    <row r="2765">
      <c r="A2765" s="523">
        <v>2764</v>
      </c>
      <c r="B2765" s="523" t="s">
        <v>6028</v>
      </c>
      <c r="C2765" s="523" t="s">
        <v>6029</v>
      </c>
      <c r="D2765" s="523" t="s">
        <v>6001</v>
      </c>
      <c r="E2765" s="523" t="s">
        <v>6002</v>
      </c>
      <c r="F2765" s="523" t="s">
        <v>69</v>
      </c>
    </row>
    <row r="2766">
      <c r="A2766" s="523">
        <v>2765</v>
      </c>
      <c r="B2766" s="523" t="s">
        <v>6030</v>
      </c>
      <c r="C2766" s="523" t="s">
        <v>6031</v>
      </c>
      <c r="D2766" s="523" t="s">
        <v>6001</v>
      </c>
      <c r="E2766" s="523" t="s">
        <v>6002</v>
      </c>
      <c r="F2766" s="523" t="s">
        <v>69</v>
      </c>
    </row>
    <row r="2767">
      <c r="A2767" s="523">
        <v>2766</v>
      </c>
      <c r="B2767" s="523" t="s">
        <v>6032</v>
      </c>
      <c r="C2767" s="523" t="s">
        <v>6033</v>
      </c>
      <c r="D2767" s="523" t="s">
        <v>6034</v>
      </c>
      <c r="E2767" s="523" t="s">
        <v>6035</v>
      </c>
      <c r="F2767" s="523" t="s">
        <v>69</v>
      </c>
    </row>
    <row r="2768">
      <c r="A2768" s="523">
        <v>2767</v>
      </c>
      <c r="B2768" s="523" t="s">
        <v>6036</v>
      </c>
      <c r="C2768" s="523" t="s">
        <v>6037</v>
      </c>
      <c r="D2768" s="523" t="s">
        <v>6034</v>
      </c>
      <c r="E2768" s="523" t="s">
        <v>6035</v>
      </c>
      <c r="F2768" s="523" t="s">
        <v>69</v>
      </c>
    </row>
    <row r="2769">
      <c r="A2769" s="523">
        <v>2768</v>
      </c>
      <c r="B2769" s="523" t="s">
        <v>6038</v>
      </c>
      <c r="C2769" s="523" t="s">
        <v>6039</v>
      </c>
      <c r="D2769" s="523" t="s">
        <v>6034</v>
      </c>
      <c r="E2769" s="523" t="s">
        <v>6035</v>
      </c>
      <c r="F2769" s="523" t="s">
        <v>69</v>
      </c>
    </row>
    <row r="2770">
      <c r="A2770" s="523">
        <v>2769</v>
      </c>
      <c r="B2770" s="523" t="s">
        <v>6040</v>
      </c>
      <c r="C2770" s="523" t="s">
        <v>6041</v>
      </c>
      <c r="D2770" s="523" t="s">
        <v>6034</v>
      </c>
      <c r="E2770" s="523" t="s">
        <v>6035</v>
      </c>
      <c r="F2770" s="523" t="s">
        <v>69</v>
      </c>
    </row>
    <row r="2771">
      <c r="A2771" s="523">
        <v>2770</v>
      </c>
      <c r="B2771" s="523" t="s">
        <v>6042</v>
      </c>
      <c r="C2771" s="523" t="s">
        <v>884</v>
      </c>
      <c r="D2771" s="523" t="s">
        <v>6034</v>
      </c>
      <c r="E2771" s="523" t="s">
        <v>6035</v>
      </c>
      <c r="F2771" s="523" t="s">
        <v>69</v>
      </c>
    </row>
    <row r="2772">
      <c r="A2772" s="523">
        <v>2771</v>
      </c>
      <c r="B2772" s="523" t="s">
        <v>6043</v>
      </c>
      <c r="C2772" s="523" t="s">
        <v>6044</v>
      </c>
      <c r="D2772" s="523" t="s">
        <v>6034</v>
      </c>
      <c r="E2772" s="523" t="s">
        <v>6035</v>
      </c>
      <c r="F2772" s="523" t="s">
        <v>69</v>
      </c>
    </row>
    <row r="2773">
      <c r="A2773" s="523">
        <v>2772</v>
      </c>
      <c r="B2773" s="523" t="s">
        <v>6045</v>
      </c>
      <c r="C2773" s="523" t="s">
        <v>1865</v>
      </c>
      <c r="D2773" s="523" t="s">
        <v>6034</v>
      </c>
      <c r="E2773" s="523" t="s">
        <v>6035</v>
      </c>
      <c r="F2773" s="523" t="s">
        <v>69</v>
      </c>
    </row>
    <row r="2774">
      <c r="A2774" s="523">
        <v>2773</v>
      </c>
      <c r="B2774" s="523" t="s">
        <v>6046</v>
      </c>
      <c r="C2774" s="523" t="s">
        <v>996</v>
      </c>
      <c r="D2774" s="523" t="s">
        <v>6047</v>
      </c>
      <c r="E2774" s="523" t="s">
        <v>6048</v>
      </c>
      <c r="F2774" s="523" t="s">
        <v>69</v>
      </c>
    </row>
    <row r="2775">
      <c r="A2775" s="523">
        <v>2774</v>
      </c>
      <c r="B2775" s="523" t="s">
        <v>6049</v>
      </c>
      <c r="C2775" s="523" t="s">
        <v>6050</v>
      </c>
      <c r="D2775" s="523" t="s">
        <v>6047</v>
      </c>
      <c r="E2775" s="523" t="s">
        <v>6048</v>
      </c>
      <c r="F2775" s="523" t="s">
        <v>69</v>
      </c>
    </row>
    <row r="2776">
      <c r="A2776" s="523">
        <v>2775</v>
      </c>
      <c r="B2776" s="523" t="s">
        <v>6051</v>
      </c>
      <c r="C2776" s="523" t="s">
        <v>6052</v>
      </c>
      <c r="D2776" s="523" t="s">
        <v>6047</v>
      </c>
      <c r="E2776" s="523" t="s">
        <v>6048</v>
      </c>
      <c r="F2776" s="523" t="s">
        <v>69</v>
      </c>
    </row>
    <row r="2777">
      <c r="A2777" s="523">
        <v>2776</v>
      </c>
      <c r="B2777" s="523" t="s">
        <v>6053</v>
      </c>
      <c r="C2777" s="523" t="s">
        <v>6054</v>
      </c>
      <c r="D2777" s="523" t="s">
        <v>6047</v>
      </c>
      <c r="E2777" s="523" t="s">
        <v>6048</v>
      </c>
      <c r="F2777" s="523" t="s">
        <v>69</v>
      </c>
    </row>
    <row r="2778">
      <c r="A2778" s="523">
        <v>2777</v>
      </c>
      <c r="B2778" s="523" t="s">
        <v>6055</v>
      </c>
      <c r="C2778" s="523" t="s">
        <v>1271</v>
      </c>
      <c r="D2778" s="523" t="s">
        <v>6047</v>
      </c>
      <c r="E2778" s="523" t="s">
        <v>6048</v>
      </c>
      <c r="F2778" s="523" t="s">
        <v>69</v>
      </c>
    </row>
    <row r="2779">
      <c r="A2779" s="523">
        <v>2778</v>
      </c>
      <c r="B2779" s="523" t="s">
        <v>6056</v>
      </c>
      <c r="C2779" s="523" t="s">
        <v>6057</v>
      </c>
      <c r="D2779" s="523" t="s">
        <v>6047</v>
      </c>
      <c r="E2779" s="523" t="s">
        <v>6048</v>
      </c>
      <c r="F2779" s="523" t="s">
        <v>69</v>
      </c>
    </row>
    <row r="2780">
      <c r="A2780" s="523">
        <v>2779</v>
      </c>
      <c r="B2780" s="523" t="s">
        <v>6058</v>
      </c>
      <c r="C2780" s="523" t="s">
        <v>2315</v>
      </c>
      <c r="D2780" s="523" t="s">
        <v>6047</v>
      </c>
      <c r="E2780" s="523" t="s">
        <v>6048</v>
      </c>
      <c r="F2780" s="523" t="s">
        <v>69</v>
      </c>
    </row>
    <row r="2781">
      <c r="A2781" s="523">
        <v>2780</v>
      </c>
      <c r="B2781" s="523" t="s">
        <v>6059</v>
      </c>
      <c r="C2781" s="523" t="s">
        <v>1024</v>
      </c>
      <c r="D2781" s="523" t="s">
        <v>6047</v>
      </c>
      <c r="E2781" s="523" t="s">
        <v>6048</v>
      </c>
      <c r="F2781" s="523" t="s">
        <v>69</v>
      </c>
    </row>
    <row r="2782">
      <c r="A2782" s="523">
        <v>2781</v>
      </c>
      <c r="B2782" s="523" t="s">
        <v>6060</v>
      </c>
      <c r="C2782" s="523" t="s">
        <v>1696</v>
      </c>
      <c r="D2782" s="523" t="s">
        <v>6047</v>
      </c>
      <c r="E2782" s="523" t="s">
        <v>6048</v>
      </c>
      <c r="F2782" s="523" t="s">
        <v>69</v>
      </c>
    </row>
    <row r="2783">
      <c r="A2783" s="523">
        <v>2782</v>
      </c>
      <c r="B2783" s="523" t="s">
        <v>6061</v>
      </c>
      <c r="C2783" s="523" t="s">
        <v>6062</v>
      </c>
      <c r="D2783" s="523" t="s">
        <v>6047</v>
      </c>
      <c r="E2783" s="523" t="s">
        <v>6048</v>
      </c>
      <c r="F2783" s="523" t="s">
        <v>69</v>
      </c>
    </row>
    <row r="2784">
      <c r="A2784" s="523">
        <v>2783</v>
      </c>
      <c r="B2784" s="523" t="s">
        <v>6063</v>
      </c>
      <c r="C2784" s="523" t="s">
        <v>6064</v>
      </c>
      <c r="D2784" s="523" t="s">
        <v>6065</v>
      </c>
      <c r="E2784" s="523" t="s">
        <v>6066</v>
      </c>
      <c r="F2784" s="523" t="s">
        <v>69</v>
      </c>
    </row>
    <row r="2785">
      <c r="A2785" s="523">
        <v>2784</v>
      </c>
      <c r="B2785" s="523" t="s">
        <v>6067</v>
      </c>
      <c r="C2785" s="523" t="s">
        <v>6068</v>
      </c>
      <c r="D2785" s="523" t="s">
        <v>6065</v>
      </c>
      <c r="E2785" s="523" t="s">
        <v>6066</v>
      </c>
      <c r="F2785" s="523" t="s">
        <v>69</v>
      </c>
    </row>
    <row r="2786">
      <c r="A2786" s="523">
        <v>2785</v>
      </c>
      <c r="B2786" s="523" t="s">
        <v>6069</v>
      </c>
      <c r="C2786" s="523" t="s">
        <v>6070</v>
      </c>
      <c r="D2786" s="523" t="s">
        <v>6065</v>
      </c>
      <c r="E2786" s="523" t="s">
        <v>6066</v>
      </c>
      <c r="F2786" s="523" t="s">
        <v>69</v>
      </c>
    </row>
    <row r="2787">
      <c r="A2787" s="523">
        <v>2786</v>
      </c>
      <c r="B2787" s="523" t="s">
        <v>6071</v>
      </c>
      <c r="C2787" s="523" t="s">
        <v>6072</v>
      </c>
      <c r="D2787" s="523" t="s">
        <v>6065</v>
      </c>
      <c r="E2787" s="523" t="s">
        <v>6066</v>
      </c>
      <c r="F2787" s="523" t="s">
        <v>69</v>
      </c>
    </row>
    <row r="2788">
      <c r="A2788" s="523">
        <v>2787</v>
      </c>
      <c r="B2788" s="523" t="s">
        <v>6073</v>
      </c>
      <c r="C2788" s="523" t="s">
        <v>6074</v>
      </c>
      <c r="D2788" s="523" t="s">
        <v>6065</v>
      </c>
      <c r="E2788" s="523" t="s">
        <v>6066</v>
      </c>
      <c r="F2788" s="523" t="s">
        <v>69</v>
      </c>
    </row>
    <row r="2789">
      <c r="A2789" s="523">
        <v>2788</v>
      </c>
      <c r="B2789" s="523" t="s">
        <v>6075</v>
      </c>
      <c r="C2789" s="523" t="s">
        <v>966</v>
      </c>
      <c r="D2789" s="523" t="s">
        <v>6065</v>
      </c>
      <c r="E2789" s="523" t="s">
        <v>6066</v>
      </c>
      <c r="F2789" s="523" t="s">
        <v>69</v>
      </c>
    </row>
    <row r="2790">
      <c r="A2790" s="523">
        <v>2789</v>
      </c>
      <c r="B2790" s="523" t="s">
        <v>6076</v>
      </c>
      <c r="C2790" s="523" t="s">
        <v>5569</v>
      </c>
      <c r="D2790" s="523" t="s">
        <v>6065</v>
      </c>
      <c r="E2790" s="523" t="s">
        <v>6066</v>
      </c>
      <c r="F2790" s="523" t="s">
        <v>69</v>
      </c>
    </row>
    <row r="2791">
      <c r="A2791" s="523">
        <v>2790</v>
      </c>
      <c r="B2791" s="523" t="s">
        <v>6077</v>
      </c>
      <c r="C2791" s="523" t="s">
        <v>5492</v>
      </c>
      <c r="D2791" s="523" t="s">
        <v>6065</v>
      </c>
      <c r="E2791" s="523" t="s">
        <v>6066</v>
      </c>
      <c r="F2791" s="523" t="s">
        <v>69</v>
      </c>
    </row>
    <row r="2792">
      <c r="A2792" s="523">
        <v>2791</v>
      </c>
      <c r="B2792" s="523" t="s">
        <v>6078</v>
      </c>
      <c r="C2792" s="523" t="s">
        <v>4005</v>
      </c>
      <c r="D2792" s="523" t="s">
        <v>6065</v>
      </c>
      <c r="E2792" s="523" t="s">
        <v>6066</v>
      </c>
      <c r="F2792" s="523" t="s">
        <v>69</v>
      </c>
    </row>
    <row r="2793">
      <c r="A2793" s="523">
        <v>2792</v>
      </c>
      <c r="B2793" s="523" t="s">
        <v>6079</v>
      </c>
      <c r="C2793" s="523" t="s">
        <v>1686</v>
      </c>
      <c r="D2793" s="523" t="s">
        <v>6065</v>
      </c>
      <c r="E2793" s="523" t="s">
        <v>6066</v>
      </c>
      <c r="F2793" s="523" t="s">
        <v>69</v>
      </c>
    </row>
    <row r="2794">
      <c r="A2794" s="523">
        <v>2793</v>
      </c>
      <c r="B2794" s="523" t="s">
        <v>6080</v>
      </c>
      <c r="C2794" s="523" t="s">
        <v>4899</v>
      </c>
      <c r="D2794" s="523" t="s">
        <v>6065</v>
      </c>
      <c r="E2794" s="523" t="s">
        <v>6066</v>
      </c>
      <c r="F2794" s="523" t="s">
        <v>69</v>
      </c>
    </row>
    <row r="2795">
      <c r="A2795" s="523">
        <v>2794</v>
      </c>
      <c r="B2795" s="523" t="s">
        <v>6081</v>
      </c>
      <c r="C2795" s="523" t="s">
        <v>4643</v>
      </c>
      <c r="D2795" s="523" t="s">
        <v>6065</v>
      </c>
      <c r="E2795" s="523" t="s">
        <v>6066</v>
      </c>
      <c r="F2795" s="523" t="s">
        <v>69</v>
      </c>
    </row>
    <row r="2796">
      <c r="A2796" s="523">
        <v>2795</v>
      </c>
      <c r="B2796" s="523" t="s">
        <v>6082</v>
      </c>
      <c r="C2796" s="523" t="s">
        <v>6083</v>
      </c>
      <c r="D2796" s="523" t="s">
        <v>6065</v>
      </c>
      <c r="E2796" s="523" t="s">
        <v>6066</v>
      </c>
      <c r="F2796" s="523" t="s">
        <v>69</v>
      </c>
    </row>
    <row r="2797">
      <c r="A2797" s="523">
        <v>2796</v>
      </c>
      <c r="B2797" s="523" t="s">
        <v>6084</v>
      </c>
      <c r="C2797" s="523" t="s">
        <v>6085</v>
      </c>
      <c r="D2797" s="523" t="s">
        <v>6086</v>
      </c>
      <c r="E2797" s="523" t="s">
        <v>6087</v>
      </c>
      <c r="F2797" s="523" t="s">
        <v>69</v>
      </c>
    </row>
    <row r="2798">
      <c r="A2798" s="523">
        <v>2797</v>
      </c>
      <c r="B2798" s="523" t="s">
        <v>6088</v>
      </c>
      <c r="C2798" s="523" t="s">
        <v>6089</v>
      </c>
      <c r="D2798" s="523" t="s">
        <v>6086</v>
      </c>
      <c r="E2798" s="523" t="s">
        <v>6087</v>
      </c>
      <c r="F2798" s="523" t="s">
        <v>69</v>
      </c>
    </row>
    <row r="2799">
      <c r="A2799" s="523">
        <v>2798</v>
      </c>
      <c r="B2799" s="523" t="s">
        <v>6090</v>
      </c>
      <c r="C2799" s="523" t="s">
        <v>6091</v>
      </c>
      <c r="D2799" s="523" t="s">
        <v>6086</v>
      </c>
      <c r="E2799" s="523" t="s">
        <v>6087</v>
      </c>
      <c r="F2799" s="523" t="s">
        <v>69</v>
      </c>
    </row>
    <row r="2800">
      <c r="A2800" s="523">
        <v>2799</v>
      </c>
      <c r="B2800" s="523" t="s">
        <v>6092</v>
      </c>
      <c r="C2800" s="523" t="s">
        <v>1639</v>
      </c>
      <c r="D2800" s="523" t="s">
        <v>6086</v>
      </c>
      <c r="E2800" s="523" t="s">
        <v>6087</v>
      </c>
      <c r="F2800" s="523" t="s">
        <v>69</v>
      </c>
    </row>
    <row r="2801">
      <c r="A2801" s="523">
        <v>2800</v>
      </c>
      <c r="B2801" s="523" t="s">
        <v>6093</v>
      </c>
      <c r="C2801" s="523" t="s">
        <v>1914</v>
      </c>
      <c r="D2801" s="523" t="s">
        <v>6086</v>
      </c>
      <c r="E2801" s="523" t="s">
        <v>6087</v>
      </c>
      <c r="F2801" s="523" t="s">
        <v>69</v>
      </c>
    </row>
    <row r="2802">
      <c r="A2802" s="523">
        <v>2801</v>
      </c>
      <c r="B2802" s="523" t="s">
        <v>6094</v>
      </c>
      <c r="C2802" s="523" t="s">
        <v>1243</v>
      </c>
      <c r="D2802" s="523" t="s">
        <v>6086</v>
      </c>
      <c r="E2802" s="523" t="s">
        <v>6087</v>
      </c>
      <c r="F2802" s="523" t="s">
        <v>69</v>
      </c>
    </row>
    <row r="2803">
      <c r="A2803" s="523">
        <v>2802</v>
      </c>
      <c r="B2803" s="523" t="s">
        <v>6095</v>
      </c>
      <c r="C2803" s="523" t="s">
        <v>6096</v>
      </c>
      <c r="D2803" s="523" t="s">
        <v>6086</v>
      </c>
      <c r="E2803" s="523" t="s">
        <v>6087</v>
      </c>
      <c r="F2803" s="523" t="s">
        <v>69</v>
      </c>
    </row>
    <row r="2804">
      <c r="A2804" s="523">
        <v>2803</v>
      </c>
      <c r="B2804" s="523" t="s">
        <v>6097</v>
      </c>
      <c r="C2804" s="523" t="s">
        <v>6098</v>
      </c>
      <c r="D2804" s="523" t="s">
        <v>6086</v>
      </c>
      <c r="E2804" s="523" t="s">
        <v>6087</v>
      </c>
      <c r="F2804" s="523" t="s">
        <v>69</v>
      </c>
    </row>
    <row r="2805">
      <c r="A2805" s="523">
        <v>2804</v>
      </c>
      <c r="B2805" s="523" t="s">
        <v>6099</v>
      </c>
      <c r="C2805" s="523" t="s">
        <v>6100</v>
      </c>
      <c r="D2805" s="523" t="s">
        <v>6101</v>
      </c>
      <c r="E2805" s="523" t="s">
        <v>6102</v>
      </c>
      <c r="F2805" s="523" t="s">
        <v>69</v>
      </c>
    </row>
    <row r="2806">
      <c r="A2806" s="523">
        <v>2805</v>
      </c>
      <c r="B2806" s="523" t="s">
        <v>6103</v>
      </c>
      <c r="C2806" s="523" t="s">
        <v>6104</v>
      </c>
      <c r="D2806" s="523" t="s">
        <v>6101</v>
      </c>
      <c r="E2806" s="523" t="s">
        <v>6102</v>
      </c>
      <c r="F2806" s="523" t="s">
        <v>69</v>
      </c>
    </row>
    <row r="2807">
      <c r="A2807" s="523">
        <v>2806</v>
      </c>
      <c r="B2807" s="523" t="s">
        <v>6105</v>
      </c>
      <c r="C2807" s="523" t="s">
        <v>6106</v>
      </c>
      <c r="D2807" s="523" t="s">
        <v>6101</v>
      </c>
      <c r="E2807" s="523" t="s">
        <v>6102</v>
      </c>
      <c r="F2807" s="523" t="s">
        <v>69</v>
      </c>
    </row>
    <row r="2808">
      <c r="A2808" s="523">
        <v>2807</v>
      </c>
      <c r="B2808" s="523" t="s">
        <v>6107</v>
      </c>
      <c r="C2808" s="523" t="s">
        <v>6108</v>
      </c>
      <c r="D2808" s="523" t="s">
        <v>6101</v>
      </c>
      <c r="E2808" s="523" t="s">
        <v>6102</v>
      </c>
      <c r="F2808" s="523" t="s">
        <v>69</v>
      </c>
    </row>
    <row r="2809">
      <c r="A2809" s="523">
        <v>2808</v>
      </c>
      <c r="B2809" s="523" t="s">
        <v>6109</v>
      </c>
      <c r="C2809" s="523" t="s">
        <v>6110</v>
      </c>
      <c r="D2809" s="523" t="s">
        <v>6101</v>
      </c>
      <c r="E2809" s="523" t="s">
        <v>6102</v>
      </c>
      <c r="F2809" s="523" t="s">
        <v>69</v>
      </c>
    </row>
    <row r="2810">
      <c r="A2810" s="523">
        <v>2809</v>
      </c>
      <c r="B2810" s="523" t="s">
        <v>6111</v>
      </c>
      <c r="C2810" s="523" t="s">
        <v>6112</v>
      </c>
      <c r="D2810" s="523" t="s">
        <v>6101</v>
      </c>
      <c r="E2810" s="523" t="s">
        <v>6102</v>
      </c>
      <c r="F2810" s="523" t="s">
        <v>69</v>
      </c>
    </row>
    <row r="2811">
      <c r="A2811" s="523">
        <v>2810</v>
      </c>
      <c r="B2811" s="523" t="s">
        <v>6113</v>
      </c>
      <c r="C2811" s="523" t="s">
        <v>6114</v>
      </c>
      <c r="D2811" s="523" t="s">
        <v>6101</v>
      </c>
      <c r="E2811" s="523" t="s">
        <v>6102</v>
      </c>
      <c r="F2811" s="523" t="s">
        <v>69</v>
      </c>
    </row>
    <row r="2812">
      <c r="A2812" s="523">
        <v>2811</v>
      </c>
      <c r="B2812" s="523" t="s">
        <v>6115</v>
      </c>
      <c r="C2812" s="523" t="s">
        <v>6116</v>
      </c>
      <c r="D2812" s="523" t="s">
        <v>6101</v>
      </c>
      <c r="E2812" s="523" t="s">
        <v>6102</v>
      </c>
      <c r="F2812" s="523" t="s">
        <v>69</v>
      </c>
    </row>
    <row r="2813">
      <c r="A2813" s="523">
        <v>2812</v>
      </c>
      <c r="B2813" s="523" t="s">
        <v>6117</v>
      </c>
      <c r="C2813" s="523" t="s">
        <v>3099</v>
      </c>
      <c r="D2813" s="523" t="s">
        <v>6101</v>
      </c>
      <c r="E2813" s="523" t="s">
        <v>6102</v>
      </c>
      <c r="F2813" s="523" t="s">
        <v>69</v>
      </c>
    </row>
    <row r="2814">
      <c r="A2814" s="523">
        <v>2813</v>
      </c>
      <c r="B2814" s="523" t="s">
        <v>6118</v>
      </c>
      <c r="C2814" s="523" t="s">
        <v>2734</v>
      </c>
      <c r="D2814" s="523" t="s">
        <v>6101</v>
      </c>
      <c r="E2814" s="523" t="s">
        <v>6102</v>
      </c>
      <c r="F2814" s="523" t="s">
        <v>69</v>
      </c>
    </row>
    <row r="2815">
      <c r="A2815" s="523">
        <v>2814</v>
      </c>
      <c r="B2815" s="523" t="s">
        <v>6119</v>
      </c>
      <c r="C2815" s="523" t="s">
        <v>1232</v>
      </c>
      <c r="D2815" s="523" t="s">
        <v>6101</v>
      </c>
      <c r="E2815" s="523" t="s">
        <v>6102</v>
      </c>
      <c r="F2815" s="523" t="s">
        <v>69</v>
      </c>
    </row>
    <row r="2816">
      <c r="A2816" s="523">
        <v>2815</v>
      </c>
      <c r="B2816" s="523" t="s">
        <v>6120</v>
      </c>
      <c r="C2816" s="523" t="s">
        <v>1486</v>
      </c>
      <c r="D2816" s="523" t="s">
        <v>6121</v>
      </c>
      <c r="E2816" s="523" t="s">
        <v>6122</v>
      </c>
      <c r="F2816" s="523" t="s">
        <v>69</v>
      </c>
    </row>
    <row r="2817">
      <c r="A2817" s="523">
        <v>2816</v>
      </c>
      <c r="B2817" s="523" t="s">
        <v>6123</v>
      </c>
      <c r="C2817" s="523" t="s">
        <v>3430</v>
      </c>
      <c r="D2817" s="523" t="s">
        <v>6121</v>
      </c>
      <c r="E2817" s="523" t="s">
        <v>6122</v>
      </c>
      <c r="F2817" s="523" t="s">
        <v>69</v>
      </c>
    </row>
    <row r="2818">
      <c r="A2818" s="523">
        <v>2817</v>
      </c>
      <c r="B2818" s="523" t="s">
        <v>6124</v>
      </c>
      <c r="C2818" s="523" t="s">
        <v>3223</v>
      </c>
      <c r="D2818" s="523" t="s">
        <v>6121</v>
      </c>
      <c r="E2818" s="523" t="s">
        <v>6122</v>
      </c>
      <c r="F2818" s="523" t="s">
        <v>69</v>
      </c>
    </row>
    <row r="2819">
      <c r="A2819" s="523">
        <v>2818</v>
      </c>
      <c r="B2819" s="523" t="s">
        <v>6125</v>
      </c>
      <c r="C2819" s="523" t="s">
        <v>3433</v>
      </c>
      <c r="D2819" s="523" t="s">
        <v>6121</v>
      </c>
      <c r="E2819" s="523" t="s">
        <v>6122</v>
      </c>
      <c r="F2819" s="523" t="s">
        <v>69</v>
      </c>
    </row>
    <row r="2820">
      <c r="A2820" s="523">
        <v>2819</v>
      </c>
      <c r="B2820" s="523" t="s">
        <v>6126</v>
      </c>
      <c r="C2820" s="523" t="s">
        <v>1490</v>
      </c>
      <c r="D2820" s="523" t="s">
        <v>6121</v>
      </c>
      <c r="E2820" s="523" t="s">
        <v>6122</v>
      </c>
      <c r="F2820" s="523" t="s">
        <v>69</v>
      </c>
    </row>
    <row r="2821">
      <c r="A2821" s="523">
        <v>2820</v>
      </c>
      <c r="B2821" s="523" t="s">
        <v>6127</v>
      </c>
      <c r="C2821" s="523" t="s">
        <v>1492</v>
      </c>
      <c r="D2821" s="523" t="s">
        <v>6121</v>
      </c>
      <c r="E2821" s="523" t="s">
        <v>6122</v>
      </c>
      <c r="F2821" s="523" t="s">
        <v>69</v>
      </c>
    </row>
    <row r="2822">
      <c r="A2822" s="523">
        <v>2821</v>
      </c>
      <c r="B2822" s="523" t="s">
        <v>6128</v>
      </c>
      <c r="C2822" s="523" t="s">
        <v>2039</v>
      </c>
      <c r="D2822" s="523" t="s">
        <v>6121</v>
      </c>
      <c r="E2822" s="523" t="s">
        <v>6122</v>
      </c>
      <c r="F2822" s="523" t="s">
        <v>69</v>
      </c>
    </row>
    <row r="2823">
      <c r="A2823" s="523">
        <v>2822</v>
      </c>
      <c r="B2823" s="523" t="s">
        <v>6129</v>
      </c>
      <c r="C2823" s="523" t="s">
        <v>1494</v>
      </c>
      <c r="D2823" s="523" t="s">
        <v>6121</v>
      </c>
      <c r="E2823" s="523" t="s">
        <v>6122</v>
      </c>
      <c r="F2823" s="523" t="s">
        <v>69</v>
      </c>
    </row>
    <row r="2824">
      <c r="A2824" s="523">
        <v>2823</v>
      </c>
      <c r="B2824" s="523" t="s">
        <v>6130</v>
      </c>
      <c r="C2824" s="523" t="s">
        <v>1496</v>
      </c>
      <c r="D2824" s="523" t="s">
        <v>6121</v>
      </c>
      <c r="E2824" s="523" t="s">
        <v>6122</v>
      </c>
      <c r="F2824" s="523" t="s">
        <v>69</v>
      </c>
    </row>
    <row r="2825">
      <c r="A2825" s="523">
        <v>2824</v>
      </c>
      <c r="B2825" s="523" t="s">
        <v>6131</v>
      </c>
      <c r="C2825" s="523" t="s">
        <v>654</v>
      </c>
      <c r="D2825" s="523" t="s">
        <v>6121</v>
      </c>
      <c r="E2825" s="523" t="s">
        <v>6122</v>
      </c>
      <c r="F2825" s="523" t="s">
        <v>69</v>
      </c>
    </row>
    <row r="2826">
      <c r="A2826" s="523">
        <v>2825</v>
      </c>
      <c r="B2826" s="523" t="s">
        <v>6132</v>
      </c>
      <c r="C2826" s="523" t="s">
        <v>2498</v>
      </c>
      <c r="D2826" s="523" t="s">
        <v>6121</v>
      </c>
      <c r="E2826" s="523" t="s">
        <v>6122</v>
      </c>
      <c r="F2826" s="523" t="s">
        <v>69</v>
      </c>
    </row>
    <row r="2827">
      <c r="A2827" s="523">
        <v>2826</v>
      </c>
      <c r="B2827" s="523" t="s">
        <v>6133</v>
      </c>
      <c r="C2827" s="523" t="s">
        <v>6134</v>
      </c>
      <c r="D2827" s="523" t="s">
        <v>6121</v>
      </c>
      <c r="E2827" s="523" t="s">
        <v>6122</v>
      </c>
      <c r="F2827" s="523" t="s">
        <v>69</v>
      </c>
    </row>
    <row r="2828">
      <c r="A2828" s="523">
        <v>2827</v>
      </c>
      <c r="B2828" s="523" t="s">
        <v>6135</v>
      </c>
      <c r="C2828" s="523" t="s">
        <v>6136</v>
      </c>
      <c r="D2828" s="523" t="s">
        <v>6121</v>
      </c>
      <c r="E2828" s="523" t="s">
        <v>6122</v>
      </c>
      <c r="F2828" s="523" t="s">
        <v>69</v>
      </c>
    </row>
    <row r="2829">
      <c r="A2829" s="523">
        <v>2828</v>
      </c>
      <c r="B2829" s="523" t="s">
        <v>6137</v>
      </c>
      <c r="C2829" s="523" t="s">
        <v>6138</v>
      </c>
      <c r="D2829" s="523" t="s">
        <v>6121</v>
      </c>
      <c r="E2829" s="523" t="s">
        <v>6122</v>
      </c>
      <c r="F2829" s="523" t="s">
        <v>69</v>
      </c>
    </row>
    <row r="2830">
      <c r="A2830" s="523">
        <v>2829</v>
      </c>
      <c r="B2830" s="523" t="s">
        <v>6139</v>
      </c>
      <c r="C2830" s="523" t="s">
        <v>6140</v>
      </c>
      <c r="D2830" s="523" t="s">
        <v>6121</v>
      </c>
      <c r="E2830" s="523" t="s">
        <v>6122</v>
      </c>
      <c r="F2830" s="523" t="s">
        <v>69</v>
      </c>
    </row>
    <row r="2831">
      <c r="A2831" s="523">
        <v>2830</v>
      </c>
      <c r="B2831" s="523" t="s">
        <v>6141</v>
      </c>
      <c r="C2831" s="523" t="s">
        <v>6142</v>
      </c>
      <c r="D2831" s="523" t="s">
        <v>6121</v>
      </c>
      <c r="E2831" s="523" t="s">
        <v>6122</v>
      </c>
      <c r="F2831" s="523" t="s">
        <v>69</v>
      </c>
    </row>
    <row r="2832">
      <c r="A2832" s="523">
        <v>2831</v>
      </c>
      <c r="B2832" s="523" t="s">
        <v>6143</v>
      </c>
      <c r="C2832" s="523" t="s">
        <v>4286</v>
      </c>
      <c r="D2832" s="523" t="s">
        <v>6121</v>
      </c>
      <c r="E2832" s="523" t="s">
        <v>6122</v>
      </c>
      <c r="F2832" s="523" t="s">
        <v>69</v>
      </c>
    </row>
  </sheetData>
  <sheetProtection formatCells="0" formatColumns="0" formatRows="0" sort="0" autoFilter="0" pivotTables="0"/>
  <autoFilter ref="A1:F2832"/>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FFC000"/>
  </sheetPr>
  <dimension ref="A1:I236"/>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B3" sqref="B3"/>
    </sheetView>
  </sheetViews>
  <sheetFormatPr defaultColWidth="9.140625" defaultRowHeight="15"/>
  <cols>
    <col min="1" max="1" width="6.19376182556152" customWidth="1"/>
    <col min="2" max="2" width="50" customWidth="1"/>
    <col min="3" max="3" width="5.64949117388044" customWidth="1"/>
    <col min="4" max="4" width="15.3560551234654" customWidth="1"/>
    <col min="5" max="5" width="13.5219781058175" customWidth="1"/>
    <col min="6" max="6" width="10.5489507402693" customWidth="1"/>
    <col min="7" max="7" width="14.4089758736747" customWidth="1"/>
    <col min="8" max="8" width="13.2334736415318" customWidth="1"/>
    <col min="9" max="9" width="8.03732517787388" customWidth="1"/>
  </cols>
  <sheetData>
    <row r="1">
      <c r="A1" s="526" t="s">
        <v>0</v>
      </c>
      <c r="B1" s="526" t="s">
        <v>2</v>
      </c>
      <c r="C1" s="526" t="s">
        <v>6146</v>
      </c>
      <c r="D1" s="526" t="s">
        <v>6147</v>
      </c>
      <c r="E1" s="526" t="s">
        <v>709</v>
      </c>
      <c r="F1" s="526" t="s">
        <v>636</v>
      </c>
      <c r="G1" s="526" t="s">
        <v>711</v>
      </c>
      <c r="H1" s="526" t="s">
        <v>197</v>
      </c>
      <c r="I1" s="526" t="s">
        <v>521</v>
      </c>
    </row>
    <row r="2">
      <c r="A2" s="525">
        <v>1</v>
      </c>
      <c r="B2" s="525" t="s">
        <v>6148</v>
      </c>
      <c r="C2" s="525">
        <v>2</v>
      </c>
      <c r="D2" s="525" t="s">
        <v>6149</v>
      </c>
      <c r="E2" s="525">
        <v>60</v>
      </c>
      <c r="F2" s="525">
        <v>32.43</v>
      </c>
      <c r="G2" s="525">
        <v>0</v>
      </c>
      <c r="H2" s="525">
        <v>0</v>
      </c>
      <c r="I2" s="525">
        <v>0</v>
      </c>
    </row>
    <row r="3">
      <c r="A3" s="525">
        <v>2</v>
      </c>
      <c r="B3" s="525" t="s">
        <v>6148</v>
      </c>
      <c r="C3" s="525">
        <v>3</v>
      </c>
      <c r="D3" s="525" t="s">
        <v>6149</v>
      </c>
      <c r="E3" s="525">
        <v>60</v>
      </c>
      <c r="F3" s="525">
        <v>32.43</v>
      </c>
      <c r="G3" s="525">
        <v>0</v>
      </c>
      <c r="H3" s="525">
        <v>0</v>
      </c>
      <c r="I3" s="525">
        <v>0</v>
      </c>
    </row>
    <row r="4">
      <c r="A4" s="525">
        <v>3</v>
      </c>
      <c r="B4" s="525" t="s">
        <v>6148</v>
      </c>
      <c r="C4" s="525">
        <v>4</v>
      </c>
      <c r="D4" s="525" t="s">
        <v>6149</v>
      </c>
      <c r="E4" s="525">
        <v>60</v>
      </c>
      <c r="F4" s="525">
        <v>14.49</v>
      </c>
      <c r="G4" s="525">
        <v>0</v>
      </c>
      <c r="H4" s="525">
        <v>0</v>
      </c>
      <c r="I4" s="525">
        <v>0</v>
      </c>
    </row>
    <row r="5">
      <c r="A5" s="525">
        <v>4</v>
      </c>
      <c r="B5" s="525" t="s">
        <v>6148</v>
      </c>
      <c r="C5" s="525">
        <v>1</v>
      </c>
      <c r="D5" s="525" t="s">
        <v>6150</v>
      </c>
      <c r="E5" s="525">
        <v>60</v>
      </c>
      <c r="F5" s="525">
        <v>27.54</v>
      </c>
      <c r="G5" s="525">
        <v>0</v>
      </c>
      <c r="H5" s="525">
        <v>0</v>
      </c>
      <c r="I5" s="525">
        <v>0</v>
      </c>
    </row>
    <row r="6">
      <c r="A6" s="525">
        <v>5</v>
      </c>
      <c r="B6" s="525" t="s">
        <v>6148</v>
      </c>
      <c r="C6" s="525">
        <v>2</v>
      </c>
      <c r="D6" s="525" t="s">
        <v>6150</v>
      </c>
      <c r="E6" s="525">
        <v>60</v>
      </c>
      <c r="F6" s="525">
        <v>25.18</v>
      </c>
      <c r="G6" s="525">
        <v>0</v>
      </c>
      <c r="H6" s="525">
        <v>0</v>
      </c>
      <c r="I6" s="525">
        <v>0</v>
      </c>
    </row>
    <row r="7">
      <c r="A7" s="525">
        <v>6</v>
      </c>
      <c r="B7" s="525" t="s">
        <v>6148</v>
      </c>
      <c r="C7" s="525">
        <v>3</v>
      </c>
      <c r="D7" s="525" t="s">
        <v>6150</v>
      </c>
      <c r="E7" s="525">
        <v>60</v>
      </c>
      <c r="F7" s="525">
        <v>25.18</v>
      </c>
      <c r="G7" s="525">
        <v>0</v>
      </c>
      <c r="H7" s="525">
        <v>0</v>
      </c>
      <c r="I7" s="525">
        <v>0</v>
      </c>
    </row>
    <row r="8">
      <c r="A8" s="525">
        <v>7</v>
      </c>
      <c r="B8" s="525" t="s">
        <v>6148</v>
      </c>
      <c r="C8" s="525">
        <v>4</v>
      </c>
      <c r="D8" s="525" t="s">
        <v>6150</v>
      </c>
      <c r="E8" s="525">
        <v>60</v>
      </c>
      <c r="F8" s="525">
        <v>11.25</v>
      </c>
      <c r="G8" s="525">
        <v>0</v>
      </c>
      <c r="H8" s="525">
        <v>0</v>
      </c>
      <c r="I8" s="525">
        <v>0</v>
      </c>
    </row>
    <row r="9">
      <c r="A9" s="525">
        <v>8</v>
      </c>
      <c r="B9" s="525" t="s">
        <v>6148</v>
      </c>
      <c r="C9" s="525">
        <v>4</v>
      </c>
      <c r="D9" s="525" t="s">
        <v>6151</v>
      </c>
      <c r="E9" s="525">
        <v>60</v>
      </c>
      <c r="F9" s="525">
        <v>0</v>
      </c>
      <c r="G9" s="525">
        <v>0</v>
      </c>
      <c r="H9" s="525">
        <v>0</v>
      </c>
      <c r="I9" s="525">
        <v>0</v>
      </c>
    </row>
    <row r="10">
      <c r="A10" s="525">
        <v>9</v>
      </c>
      <c r="B10" s="525" t="s">
        <v>6148</v>
      </c>
      <c r="C10" s="525">
        <v>5</v>
      </c>
      <c r="D10" s="525" t="s">
        <v>6151</v>
      </c>
      <c r="E10" s="525">
        <v>60</v>
      </c>
      <c r="F10" s="525">
        <v>0</v>
      </c>
      <c r="G10" s="525">
        <v>0</v>
      </c>
      <c r="H10" s="525">
        <v>0</v>
      </c>
      <c r="I10" s="525">
        <v>0</v>
      </c>
    </row>
    <row r="11">
      <c r="A11" s="525">
        <v>10</v>
      </c>
      <c r="B11" s="525" t="s">
        <v>6148</v>
      </c>
      <c r="C11" s="525">
        <v>6</v>
      </c>
      <c r="D11" s="525" t="s">
        <v>6151</v>
      </c>
      <c r="E11" s="525">
        <v>60</v>
      </c>
      <c r="F11" s="525">
        <v>0</v>
      </c>
      <c r="G11" s="525">
        <v>0</v>
      </c>
      <c r="H11" s="525">
        <v>0</v>
      </c>
      <c r="I11" s="525">
        <v>0</v>
      </c>
    </row>
    <row r="12">
      <c r="A12" s="525">
        <v>11</v>
      </c>
      <c r="B12" s="525" t="s">
        <v>6148</v>
      </c>
      <c r="C12" s="525">
        <v>7</v>
      </c>
      <c r="D12" s="525" t="s">
        <v>6151</v>
      </c>
      <c r="E12" s="525">
        <v>60</v>
      </c>
      <c r="F12" s="525">
        <v>0</v>
      </c>
      <c r="G12" s="525">
        <v>0</v>
      </c>
      <c r="H12" s="525">
        <v>0</v>
      </c>
      <c r="I12" s="525">
        <v>0</v>
      </c>
    </row>
    <row r="13">
      <c r="A13" s="525">
        <v>12</v>
      </c>
      <c r="B13" s="525" t="s">
        <v>6148</v>
      </c>
      <c r="C13" s="525">
        <v>8</v>
      </c>
      <c r="D13" s="525" t="s">
        <v>6151</v>
      </c>
      <c r="E13" s="525">
        <v>60</v>
      </c>
      <c r="F13" s="525">
        <v>0</v>
      </c>
      <c r="G13" s="525">
        <v>0</v>
      </c>
      <c r="H13" s="525">
        <v>0</v>
      </c>
      <c r="I13" s="525">
        <v>0</v>
      </c>
    </row>
    <row r="14">
      <c r="A14" s="525">
        <v>13</v>
      </c>
      <c r="B14" s="525" t="s">
        <v>6152</v>
      </c>
      <c r="C14" s="525">
        <v>2</v>
      </c>
      <c r="D14" s="525" t="s">
        <v>6149</v>
      </c>
      <c r="E14" s="525">
        <v>60</v>
      </c>
      <c r="F14" s="525">
        <v>0</v>
      </c>
      <c r="G14" s="525">
        <v>0</v>
      </c>
      <c r="H14" s="525">
        <v>40</v>
      </c>
      <c r="I14" s="525">
        <v>0</v>
      </c>
    </row>
    <row r="15">
      <c r="A15" s="525">
        <v>14</v>
      </c>
      <c r="B15" s="525" t="s">
        <v>6152</v>
      </c>
      <c r="C15" s="525">
        <v>4</v>
      </c>
      <c r="D15" s="525" t="s">
        <v>6149</v>
      </c>
      <c r="E15" s="525">
        <v>60</v>
      </c>
      <c r="F15" s="525">
        <v>0</v>
      </c>
      <c r="G15" s="525">
        <v>0</v>
      </c>
      <c r="H15" s="525">
        <v>0</v>
      </c>
      <c r="I15" s="525">
        <v>0</v>
      </c>
    </row>
    <row r="16">
      <c r="A16" s="525">
        <v>15</v>
      </c>
      <c r="B16" s="525" t="s">
        <v>6152</v>
      </c>
      <c r="C16" s="525">
        <v>2</v>
      </c>
      <c r="D16" s="525" t="s">
        <v>6150</v>
      </c>
      <c r="E16" s="525">
        <v>60</v>
      </c>
      <c r="F16" s="525">
        <v>0</v>
      </c>
      <c r="G16" s="525">
        <v>0</v>
      </c>
      <c r="H16" s="525">
        <v>0</v>
      </c>
      <c r="I16" s="525">
        <v>0</v>
      </c>
    </row>
    <row r="17">
      <c r="A17" s="525">
        <v>16</v>
      </c>
      <c r="B17" s="525" t="s">
        <v>6152</v>
      </c>
      <c r="C17" s="525">
        <v>4</v>
      </c>
      <c r="D17" s="525" t="s">
        <v>6150</v>
      </c>
      <c r="E17" s="525">
        <v>60</v>
      </c>
      <c r="F17" s="525">
        <v>0</v>
      </c>
      <c r="G17" s="525">
        <v>0</v>
      </c>
      <c r="H17" s="525">
        <v>0</v>
      </c>
      <c r="I17" s="525">
        <v>0</v>
      </c>
    </row>
    <row r="18">
      <c r="A18" s="525">
        <v>17</v>
      </c>
      <c r="B18" s="525" t="s">
        <v>6153</v>
      </c>
      <c r="C18" s="525">
        <v>6</v>
      </c>
      <c r="D18" s="525" t="s">
        <v>6154</v>
      </c>
      <c r="E18" s="525">
        <v>60</v>
      </c>
      <c r="F18" s="525">
        <v>0</v>
      </c>
      <c r="G18" s="525">
        <v>0</v>
      </c>
      <c r="H18" s="525">
        <v>0</v>
      </c>
      <c r="I18" s="525">
        <v>0</v>
      </c>
    </row>
    <row r="19">
      <c r="A19" s="525">
        <v>18</v>
      </c>
      <c r="B19" s="525" t="s">
        <v>6153</v>
      </c>
      <c r="C19" s="525">
        <v>7</v>
      </c>
      <c r="D19" s="525" t="s">
        <v>6154</v>
      </c>
      <c r="E19" s="525">
        <v>60</v>
      </c>
      <c r="F19" s="525">
        <v>0</v>
      </c>
      <c r="G19" s="525">
        <v>0</v>
      </c>
      <c r="H19" s="525">
        <v>0</v>
      </c>
      <c r="I19" s="525">
        <v>0</v>
      </c>
    </row>
    <row r="20">
      <c r="A20" s="525">
        <v>19</v>
      </c>
      <c r="B20" s="525" t="s">
        <v>6155</v>
      </c>
      <c r="C20" s="525">
        <v>2</v>
      </c>
      <c r="D20" s="525" t="s">
        <v>6149</v>
      </c>
      <c r="E20" s="525">
        <v>60</v>
      </c>
      <c r="F20" s="525">
        <v>0</v>
      </c>
      <c r="G20" s="525">
        <v>0</v>
      </c>
      <c r="H20" s="525">
        <v>0</v>
      </c>
      <c r="I20" s="525">
        <v>0</v>
      </c>
    </row>
    <row r="21">
      <c r="A21" s="525">
        <v>20</v>
      </c>
      <c r="B21" s="525" t="s">
        <v>6155</v>
      </c>
      <c r="C21" s="525">
        <v>4</v>
      </c>
      <c r="D21" s="525" t="s">
        <v>6149</v>
      </c>
      <c r="E21" s="525">
        <v>60</v>
      </c>
      <c r="F21" s="525">
        <v>0</v>
      </c>
      <c r="G21" s="525">
        <v>0</v>
      </c>
      <c r="H21" s="525">
        <v>0</v>
      </c>
      <c r="I21" s="525">
        <v>0</v>
      </c>
    </row>
    <row r="22">
      <c r="A22" s="525">
        <v>21</v>
      </c>
      <c r="B22" s="525" t="s">
        <v>6155</v>
      </c>
      <c r="C22" s="525">
        <v>2</v>
      </c>
      <c r="D22" s="525" t="s">
        <v>6150</v>
      </c>
      <c r="E22" s="525">
        <v>60</v>
      </c>
      <c r="F22" s="525">
        <v>0</v>
      </c>
      <c r="G22" s="525">
        <v>0</v>
      </c>
      <c r="H22" s="525">
        <v>0</v>
      </c>
      <c r="I22" s="525">
        <v>0</v>
      </c>
    </row>
    <row r="23">
      <c r="A23" s="525">
        <v>22</v>
      </c>
      <c r="B23" s="525" t="s">
        <v>6155</v>
      </c>
      <c r="C23" s="525">
        <v>4</v>
      </c>
      <c r="D23" s="525" t="s">
        <v>6150</v>
      </c>
      <c r="E23" s="525">
        <v>60</v>
      </c>
      <c r="F23" s="525">
        <v>0</v>
      </c>
      <c r="G23" s="525">
        <v>0</v>
      </c>
      <c r="H23" s="525">
        <v>0</v>
      </c>
      <c r="I23" s="525">
        <v>0</v>
      </c>
    </row>
    <row r="24">
      <c r="A24" s="525">
        <v>23</v>
      </c>
      <c r="B24" s="525" t="s">
        <v>6156</v>
      </c>
      <c r="C24" s="525">
        <v>6</v>
      </c>
      <c r="D24" s="525" t="s">
        <v>6154</v>
      </c>
      <c r="E24" s="525">
        <v>60</v>
      </c>
      <c r="F24" s="525">
        <v>0</v>
      </c>
      <c r="G24" s="525">
        <v>0</v>
      </c>
      <c r="H24" s="525">
        <v>0</v>
      </c>
      <c r="I24" s="525">
        <v>0</v>
      </c>
    </row>
    <row r="25">
      <c r="A25" s="525">
        <v>24</v>
      </c>
      <c r="B25" s="525" t="s">
        <v>6156</v>
      </c>
      <c r="C25" s="525">
        <v>7</v>
      </c>
      <c r="D25" s="525" t="s">
        <v>6154</v>
      </c>
      <c r="E25" s="525">
        <v>60</v>
      </c>
      <c r="F25" s="525">
        <v>0</v>
      </c>
      <c r="G25" s="525">
        <v>0</v>
      </c>
      <c r="H25" s="525">
        <v>0</v>
      </c>
      <c r="I25" s="525">
        <v>0</v>
      </c>
    </row>
    <row r="26">
      <c r="A26" s="525">
        <v>25</v>
      </c>
      <c r="B26" s="525" t="s">
        <v>6157</v>
      </c>
      <c r="C26" s="525">
        <v>6</v>
      </c>
      <c r="D26" s="525" t="s">
        <v>6154</v>
      </c>
      <c r="E26" s="525">
        <v>60</v>
      </c>
      <c r="F26" s="525">
        <v>0</v>
      </c>
      <c r="G26" s="525">
        <v>0</v>
      </c>
      <c r="H26" s="525">
        <v>0</v>
      </c>
      <c r="I26" s="525">
        <v>0</v>
      </c>
    </row>
    <row r="27">
      <c r="A27" s="525">
        <v>26</v>
      </c>
      <c r="B27" s="525" t="s">
        <v>6157</v>
      </c>
      <c r="C27" s="525">
        <v>7</v>
      </c>
      <c r="D27" s="525" t="s">
        <v>6154</v>
      </c>
      <c r="E27" s="525">
        <v>60</v>
      </c>
      <c r="F27" s="525">
        <v>0</v>
      </c>
      <c r="G27" s="525">
        <v>0</v>
      </c>
      <c r="H27" s="525">
        <v>0</v>
      </c>
      <c r="I27" s="525">
        <v>0</v>
      </c>
    </row>
    <row r="28">
      <c r="A28" s="525">
        <v>27</v>
      </c>
      <c r="B28" s="525" t="s">
        <v>6158</v>
      </c>
      <c r="C28" s="525">
        <v>2</v>
      </c>
      <c r="D28" s="525" t="s">
        <v>6149</v>
      </c>
      <c r="E28" s="525">
        <v>60</v>
      </c>
      <c r="F28" s="525">
        <v>0</v>
      </c>
      <c r="G28" s="525">
        <v>0</v>
      </c>
      <c r="H28" s="525">
        <v>0</v>
      </c>
      <c r="I28" s="525">
        <v>0</v>
      </c>
    </row>
    <row r="29">
      <c r="A29" s="525">
        <v>28</v>
      </c>
      <c r="B29" s="525" t="s">
        <v>6158</v>
      </c>
      <c r="C29" s="525">
        <v>3</v>
      </c>
      <c r="D29" s="525" t="s">
        <v>6149</v>
      </c>
      <c r="E29" s="525">
        <v>60</v>
      </c>
      <c r="F29" s="525">
        <v>0</v>
      </c>
      <c r="G29" s="525">
        <v>0</v>
      </c>
      <c r="H29" s="525">
        <v>0</v>
      </c>
      <c r="I29" s="525">
        <v>0</v>
      </c>
    </row>
    <row r="30">
      <c r="A30" s="525">
        <v>29</v>
      </c>
      <c r="B30" s="525" t="s">
        <v>6158</v>
      </c>
      <c r="C30" s="525">
        <v>4</v>
      </c>
      <c r="D30" s="525" t="s">
        <v>6149</v>
      </c>
      <c r="E30" s="525">
        <v>60</v>
      </c>
      <c r="F30" s="525">
        <v>0</v>
      </c>
      <c r="G30" s="525">
        <v>0</v>
      </c>
      <c r="H30" s="525">
        <v>0</v>
      </c>
      <c r="I30" s="525">
        <v>0</v>
      </c>
    </row>
    <row r="31">
      <c r="A31" s="525">
        <v>30</v>
      </c>
      <c r="B31" s="525" t="s">
        <v>6158</v>
      </c>
      <c r="C31" s="525">
        <v>1</v>
      </c>
      <c r="D31" s="525" t="s">
        <v>6150</v>
      </c>
      <c r="E31" s="525">
        <v>60</v>
      </c>
      <c r="F31" s="525">
        <v>0</v>
      </c>
      <c r="G31" s="525">
        <v>0</v>
      </c>
      <c r="H31" s="525">
        <v>0</v>
      </c>
      <c r="I31" s="525">
        <v>0</v>
      </c>
    </row>
    <row r="32">
      <c r="A32" s="525">
        <v>31</v>
      </c>
      <c r="B32" s="525" t="s">
        <v>6158</v>
      </c>
      <c r="C32" s="525">
        <v>2</v>
      </c>
      <c r="D32" s="525" t="s">
        <v>6150</v>
      </c>
      <c r="E32" s="525">
        <v>60</v>
      </c>
      <c r="F32" s="525">
        <v>0</v>
      </c>
      <c r="G32" s="525">
        <v>0</v>
      </c>
      <c r="H32" s="525">
        <v>0</v>
      </c>
      <c r="I32" s="525">
        <v>0</v>
      </c>
    </row>
    <row r="33">
      <c r="A33" s="525">
        <v>32</v>
      </c>
      <c r="B33" s="525" t="s">
        <v>6158</v>
      </c>
      <c r="C33" s="525">
        <v>4</v>
      </c>
      <c r="D33" s="525" t="s">
        <v>6150</v>
      </c>
      <c r="E33" s="525">
        <v>60</v>
      </c>
      <c r="F33" s="525">
        <v>0</v>
      </c>
      <c r="G33" s="525">
        <v>0</v>
      </c>
      <c r="H33" s="525">
        <v>0</v>
      </c>
      <c r="I33" s="525">
        <v>0</v>
      </c>
    </row>
    <row r="34">
      <c r="A34" s="525">
        <v>33</v>
      </c>
      <c r="B34" s="525" t="s">
        <v>6158</v>
      </c>
      <c r="C34" s="525">
        <v>4</v>
      </c>
      <c r="D34" s="525" t="s">
        <v>6151</v>
      </c>
      <c r="E34" s="525">
        <v>60</v>
      </c>
      <c r="F34" s="525">
        <v>0</v>
      </c>
      <c r="G34" s="525">
        <v>0</v>
      </c>
      <c r="H34" s="525">
        <v>0</v>
      </c>
      <c r="I34" s="525">
        <v>0</v>
      </c>
    </row>
    <row r="35">
      <c r="A35" s="525">
        <v>34</v>
      </c>
      <c r="B35" s="525" t="s">
        <v>6158</v>
      </c>
      <c r="C35" s="525">
        <v>6</v>
      </c>
      <c r="D35" s="525" t="s">
        <v>6151</v>
      </c>
      <c r="E35" s="525">
        <v>60</v>
      </c>
      <c r="F35" s="525">
        <v>0</v>
      </c>
      <c r="G35" s="525">
        <v>0</v>
      </c>
      <c r="H35" s="525">
        <v>0</v>
      </c>
      <c r="I35" s="525">
        <v>0</v>
      </c>
    </row>
    <row r="36">
      <c r="A36" s="525">
        <v>35</v>
      </c>
      <c r="B36" s="525" t="s">
        <v>6158</v>
      </c>
      <c r="C36" s="525">
        <v>8</v>
      </c>
      <c r="D36" s="525" t="s">
        <v>6151</v>
      </c>
      <c r="E36" s="525">
        <v>60</v>
      </c>
      <c r="F36" s="525">
        <v>0</v>
      </c>
      <c r="G36" s="525">
        <v>0</v>
      </c>
      <c r="H36" s="525">
        <v>0</v>
      </c>
      <c r="I36" s="525">
        <v>0</v>
      </c>
    </row>
    <row r="37">
      <c r="A37" s="525">
        <v>36</v>
      </c>
      <c r="B37" s="525" t="s">
        <v>6159</v>
      </c>
      <c r="C37" s="525">
        <v>4</v>
      </c>
      <c r="D37" s="525" t="s">
        <v>6151</v>
      </c>
      <c r="E37" s="525">
        <v>60</v>
      </c>
      <c r="F37" s="525">
        <v>0</v>
      </c>
      <c r="G37" s="525">
        <v>0</v>
      </c>
      <c r="H37" s="525">
        <v>0</v>
      </c>
      <c r="I37" s="525">
        <v>0</v>
      </c>
    </row>
    <row r="38">
      <c r="A38" s="525">
        <v>37</v>
      </c>
      <c r="B38" s="525" t="s">
        <v>6159</v>
      </c>
      <c r="C38" s="525">
        <v>6</v>
      </c>
      <c r="D38" s="525" t="s">
        <v>6151</v>
      </c>
      <c r="E38" s="525">
        <v>60</v>
      </c>
      <c r="F38" s="525">
        <v>0</v>
      </c>
      <c r="G38" s="525">
        <v>0</v>
      </c>
      <c r="H38" s="525">
        <v>0</v>
      </c>
      <c r="I38" s="525">
        <v>0</v>
      </c>
    </row>
    <row r="39">
      <c r="A39" s="525">
        <v>38</v>
      </c>
      <c r="B39" s="525" t="s">
        <v>6159</v>
      </c>
      <c r="C39" s="525">
        <v>8</v>
      </c>
      <c r="D39" s="525" t="s">
        <v>6151</v>
      </c>
      <c r="E39" s="525">
        <v>60</v>
      </c>
      <c r="F39" s="525">
        <v>0</v>
      </c>
      <c r="G39" s="525">
        <v>0</v>
      </c>
      <c r="H39" s="525">
        <v>0</v>
      </c>
      <c r="I39" s="525">
        <v>0</v>
      </c>
    </row>
    <row r="40">
      <c r="A40" s="525">
        <v>39</v>
      </c>
      <c r="B40" s="525" t="s">
        <v>6160</v>
      </c>
      <c r="C40" s="525">
        <v>4</v>
      </c>
      <c r="D40" s="525" t="s">
        <v>6151</v>
      </c>
      <c r="E40" s="525">
        <v>60</v>
      </c>
      <c r="F40" s="525">
        <v>0</v>
      </c>
      <c r="G40" s="525">
        <v>0</v>
      </c>
      <c r="H40" s="525">
        <v>0</v>
      </c>
      <c r="I40" s="525">
        <v>0</v>
      </c>
    </row>
    <row r="41">
      <c r="A41" s="525">
        <v>40</v>
      </c>
      <c r="B41" s="525" t="s">
        <v>6160</v>
      </c>
      <c r="C41" s="525">
        <v>6</v>
      </c>
      <c r="D41" s="525" t="s">
        <v>6151</v>
      </c>
      <c r="E41" s="525">
        <v>60</v>
      </c>
      <c r="F41" s="525">
        <v>0</v>
      </c>
      <c r="G41" s="525">
        <v>0</v>
      </c>
      <c r="H41" s="525">
        <v>0</v>
      </c>
      <c r="I41" s="525">
        <v>0</v>
      </c>
    </row>
    <row r="42">
      <c r="A42" s="525">
        <v>41</v>
      </c>
      <c r="B42" s="525" t="s">
        <v>6160</v>
      </c>
      <c r="C42" s="525">
        <v>8</v>
      </c>
      <c r="D42" s="525" t="s">
        <v>6151</v>
      </c>
      <c r="E42" s="525">
        <v>60</v>
      </c>
      <c r="F42" s="525">
        <v>0</v>
      </c>
      <c r="G42" s="525">
        <v>0</v>
      </c>
      <c r="H42" s="525">
        <v>0</v>
      </c>
      <c r="I42" s="525">
        <v>0</v>
      </c>
    </row>
    <row r="43">
      <c r="A43" s="525">
        <v>42</v>
      </c>
      <c r="B43" s="525" t="s">
        <v>6161</v>
      </c>
      <c r="C43" s="525">
        <v>2</v>
      </c>
      <c r="D43" s="525" t="s">
        <v>6149</v>
      </c>
      <c r="E43" s="525">
        <v>60</v>
      </c>
      <c r="F43" s="525">
        <v>67.6</v>
      </c>
      <c r="G43" s="525">
        <v>0</v>
      </c>
      <c r="H43" s="525">
        <v>0</v>
      </c>
      <c r="I43" s="525">
        <v>0</v>
      </c>
    </row>
    <row r="44">
      <c r="A44" s="525">
        <v>43</v>
      </c>
      <c r="B44" s="525" t="s">
        <v>6161</v>
      </c>
      <c r="C44" s="525">
        <v>4</v>
      </c>
      <c r="D44" s="525" t="s">
        <v>6149</v>
      </c>
      <c r="E44" s="525">
        <v>60</v>
      </c>
      <c r="F44" s="525">
        <v>63.2</v>
      </c>
      <c r="G44" s="525">
        <v>0</v>
      </c>
      <c r="H44" s="525">
        <v>0</v>
      </c>
      <c r="I44" s="525">
        <v>0</v>
      </c>
    </row>
    <row r="45">
      <c r="A45" s="525">
        <v>44</v>
      </c>
      <c r="B45" s="525" t="s">
        <v>6161</v>
      </c>
      <c r="C45" s="525">
        <v>2</v>
      </c>
      <c r="D45" s="525" t="s">
        <v>6150</v>
      </c>
      <c r="E45" s="525">
        <v>60</v>
      </c>
      <c r="F45" s="525">
        <v>47.9</v>
      </c>
      <c r="G45" s="525">
        <v>0</v>
      </c>
      <c r="H45" s="525">
        <v>0</v>
      </c>
      <c r="I45" s="525">
        <v>0</v>
      </c>
    </row>
    <row r="46">
      <c r="A46" s="525">
        <v>45</v>
      </c>
      <c r="B46" s="525" t="s">
        <v>6161</v>
      </c>
      <c r="C46" s="525">
        <v>4</v>
      </c>
      <c r="D46" s="525" t="s">
        <v>6150</v>
      </c>
      <c r="E46" s="525">
        <v>60</v>
      </c>
      <c r="F46" s="525">
        <v>44.8</v>
      </c>
      <c r="G46" s="525">
        <v>0</v>
      </c>
      <c r="H46" s="525">
        <v>0</v>
      </c>
      <c r="I46" s="525">
        <v>0</v>
      </c>
    </row>
    <row r="47">
      <c r="A47" s="525">
        <v>46</v>
      </c>
      <c r="B47" s="525" t="s">
        <v>6161</v>
      </c>
      <c r="C47" s="525">
        <v>4</v>
      </c>
      <c r="D47" s="525" t="s">
        <v>6151</v>
      </c>
      <c r="E47" s="525">
        <v>60</v>
      </c>
      <c r="F47" s="525">
        <v>0</v>
      </c>
      <c r="G47" s="525">
        <v>0</v>
      </c>
      <c r="H47" s="525">
        <v>0</v>
      </c>
      <c r="I47" s="525">
        <v>0</v>
      </c>
    </row>
    <row r="48">
      <c r="A48" s="525">
        <v>47</v>
      </c>
      <c r="B48" s="525" t="s">
        <v>6161</v>
      </c>
      <c r="C48" s="525">
        <v>6</v>
      </c>
      <c r="D48" s="525" t="s">
        <v>6151</v>
      </c>
      <c r="E48" s="525">
        <v>60</v>
      </c>
      <c r="F48" s="525">
        <v>0</v>
      </c>
      <c r="G48" s="525">
        <v>0</v>
      </c>
      <c r="H48" s="525">
        <v>0</v>
      </c>
      <c r="I48" s="525">
        <v>0</v>
      </c>
    </row>
    <row r="49">
      <c r="A49" s="525">
        <v>48</v>
      </c>
      <c r="B49" s="525" t="s">
        <v>6161</v>
      </c>
      <c r="C49" s="525">
        <v>8</v>
      </c>
      <c r="D49" s="525" t="s">
        <v>6151</v>
      </c>
      <c r="E49" s="525">
        <v>60</v>
      </c>
      <c r="F49" s="525">
        <v>0</v>
      </c>
      <c r="G49" s="525">
        <v>0</v>
      </c>
      <c r="H49" s="525">
        <v>0</v>
      </c>
      <c r="I49" s="525">
        <v>0</v>
      </c>
    </row>
    <row r="50">
      <c r="A50" s="525">
        <v>49</v>
      </c>
      <c r="B50" s="525" t="s">
        <v>6162</v>
      </c>
      <c r="C50" s="525">
        <v>4</v>
      </c>
      <c r="D50" s="525" t="s">
        <v>6151</v>
      </c>
      <c r="E50" s="525">
        <v>60</v>
      </c>
      <c r="F50" s="525">
        <v>0</v>
      </c>
      <c r="G50" s="525">
        <v>0</v>
      </c>
      <c r="H50" s="525">
        <v>0</v>
      </c>
      <c r="I50" s="525">
        <v>0</v>
      </c>
    </row>
    <row r="51">
      <c r="A51" s="525">
        <v>50</v>
      </c>
      <c r="B51" s="525" t="s">
        <v>6162</v>
      </c>
      <c r="C51" s="525">
        <v>6</v>
      </c>
      <c r="D51" s="525" t="s">
        <v>6151</v>
      </c>
      <c r="E51" s="525">
        <v>60</v>
      </c>
      <c r="F51" s="525">
        <v>0</v>
      </c>
      <c r="G51" s="525">
        <v>0</v>
      </c>
      <c r="H51" s="525">
        <v>0</v>
      </c>
      <c r="I51" s="525">
        <v>0</v>
      </c>
    </row>
    <row r="52">
      <c r="A52" s="525">
        <v>51</v>
      </c>
      <c r="B52" s="525" t="s">
        <v>6162</v>
      </c>
      <c r="C52" s="525">
        <v>8</v>
      </c>
      <c r="D52" s="525" t="s">
        <v>6151</v>
      </c>
      <c r="E52" s="525">
        <v>60</v>
      </c>
      <c r="F52" s="525">
        <v>0</v>
      </c>
      <c r="G52" s="525">
        <v>0</v>
      </c>
      <c r="H52" s="525">
        <v>0</v>
      </c>
      <c r="I52" s="525">
        <v>0</v>
      </c>
    </row>
    <row r="53">
      <c r="A53" s="525">
        <v>52</v>
      </c>
      <c r="B53" s="525" t="s">
        <v>6163</v>
      </c>
      <c r="C53" s="525">
        <v>2</v>
      </c>
      <c r="D53" s="525" t="s">
        <v>6149</v>
      </c>
      <c r="E53" s="525">
        <v>60</v>
      </c>
      <c r="F53" s="525">
        <v>39.81</v>
      </c>
      <c r="G53" s="525">
        <v>0</v>
      </c>
      <c r="H53" s="525">
        <v>40</v>
      </c>
      <c r="I53" s="525">
        <v>0</v>
      </c>
    </row>
    <row r="54">
      <c r="A54" s="525">
        <v>53</v>
      </c>
      <c r="B54" s="525" t="s">
        <v>6163</v>
      </c>
      <c r="C54" s="525">
        <v>4</v>
      </c>
      <c r="D54" s="525" t="s">
        <v>6149</v>
      </c>
      <c r="E54" s="525">
        <v>60</v>
      </c>
      <c r="F54" s="525">
        <v>35.56</v>
      </c>
      <c r="G54" s="525">
        <v>0</v>
      </c>
      <c r="H54" s="525">
        <v>80</v>
      </c>
      <c r="I54" s="525">
        <v>0</v>
      </c>
    </row>
    <row r="55">
      <c r="A55" s="525">
        <v>54</v>
      </c>
      <c r="B55" s="525" t="s">
        <v>6163</v>
      </c>
      <c r="C55" s="525">
        <v>2</v>
      </c>
      <c r="D55" s="525" t="s">
        <v>6150</v>
      </c>
      <c r="E55" s="525">
        <v>60</v>
      </c>
      <c r="F55" s="525">
        <v>35.48</v>
      </c>
      <c r="G55" s="525">
        <v>0</v>
      </c>
      <c r="H55" s="525">
        <v>0</v>
      </c>
      <c r="I55" s="525">
        <v>0</v>
      </c>
    </row>
    <row r="56">
      <c r="A56" s="525">
        <v>55</v>
      </c>
      <c r="B56" s="525" t="s">
        <v>6163</v>
      </c>
      <c r="C56" s="525">
        <v>4</v>
      </c>
      <c r="D56" s="525" t="s">
        <v>6150</v>
      </c>
      <c r="E56" s="525">
        <v>60</v>
      </c>
      <c r="F56" s="525">
        <v>31.7</v>
      </c>
      <c r="G56" s="525">
        <v>0</v>
      </c>
      <c r="H56" s="525">
        <v>0</v>
      </c>
      <c r="I56" s="525">
        <v>0</v>
      </c>
    </row>
    <row r="57">
      <c r="A57" s="525">
        <v>56</v>
      </c>
      <c r="B57" s="525" t="s">
        <v>6163</v>
      </c>
      <c r="C57" s="525">
        <v>4</v>
      </c>
      <c r="D57" s="525" t="s">
        <v>6151</v>
      </c>
      <c r="E57" s="525">
        <v>60</v>
      </c>
      <c r="F57" s="525">
        <v>0</v>
      </c>
      <c r="G57" s="525">
        <v>0</v>
      </c>
      <c r="H57" s="525">
        <v>0</v>
      </c>
      <c r="I57" s="525">
        <v>0</v>
      </c>
    </row>
    <row r="58">
      <c r="A58" s="525">
        <v>57</v>
      </c>
      <c r="B58" s="525" t="s">
        <v>6163</v>
      </c>
      <c r="C58" s="525">
        <v>6</v>
      </c>
      <c r="D58" s="525" t="s">
        <v>6151</v>
      </c>
      <c r="E58" s="525">
        <v>60</v>
      </c>
      <c r="F58" s="525">
        <v>0</v>
      </c>
      <c r="G58" s="525">
        <v>0</v>
      </c>
      <c r="H58" s="525">
        <v>0</v>
      </c>
      <c r="I58" s="525">
        <v>0</v>
      </c>
    </row>
    <row r="59">
      <c r="A59" s="525">
        <v>58</v>
      </c>
      <c r="B59" s="525" t="s">
        <v>6163</v>
      </c>
      <c r="C59" s="525">
        <v>8</v>
      </c>
      <c r="D59" s="525" t="s">
        <v>6151</v>
      </c>
      <c r="E59" s="525">
        <v>60</v>
      </c>
      <c r="F59" s="525">
        <v>0</v>
      </c>
      <c r="G59" s="525">
        <v>0</v>
      </c>
      <c r="H59" s="525">
        <v>0</v>
      </c>
      <c r="I59" s="525">
        <v>0</v>
      </c>
    </row>
    <row r="60">
      <c r="A60" s="525">
        <v>59</v>
      </c>
      <c r="B60" s="525" t="s">
        <v>6164</v>
      </c>
      <c r="C60" s="525">
        <v>4</v>
      </c>
      <c r="D60" s="525" t="s">
        <v>6151</v>
      </c>
      <c r="E60" s="525">
        <v>60</v>
      </c>
      <c r="F60" s="525">
        <v>0</v>
      </c>
      <c r="G60" s="525">
        <v>0</v>
      </c>
      <c r="H60" s="525">
        <v>0</v>
      </c>
      <c r="I60" s="525">
        <v>0</v>
      </c>
    </row>
    <row r="61">
      <c r="A61" s="525">
        <v>60</v>
      </c>
      <c r="B61" s="525" t="s">
        <v>6164</v>
      </c>
      <c r="C61" s="525">
        <v>6</v>
      </c>
      <c r="D61" s="525" t="s">
        <v>6151</v>
      </c>
      <c r="E61" s="525">
        <v>60</v>
      </c>
      <c r="F61" s="525">
        <v>0</v>
      </c>
      <c r="G61" s="525">
        <v>0</v>
      </c>
      <c r="H61" s="525">
        <v>0</v>
      </c>
      <c r="I61" s="525">
        <v>0</v>
      </c>
    </row>
    <row r="62">
      <c r="A62" s="525">
        <v>61</v>
      </c>
      <c r="B62" s="525" t="s">
        <v>6164</v>
      </c>
      <c r="C62" s="525">
        <v>8</v>
      </c>
      <c r="D62" s="525" t="s">
        <v>6151</v>
      </c>
      <c r="E62" s="525">
        <v>60</v>
      </c>
      <c r="F62" s="525">
        <v>0</v>
      </c>
      <c r="G62" s="525">
        <v>0</v>
      </c>
      <c r="H62" s="525">
        <v>0</v>
      </c>
      <c r="I62" s="525">
        <v>0</v>
      </c>
    </row>
    <row r="63">
      <c r="A63" s="525">
        <v>62</v>
      </c>
      <c r="B63" s="525" t="s">
        <v>6165</v>
      </c>
      <c r="C63" s="525">
        <v>6</v>
      </c>
      <c r="D63" s="525" t="s">
        <v>6154</v>
      </c>
      <c r="E63" s="525">
        <v>60</v>
      </c>
      <c r="F63" s="525">
        <v>0</v>
      </c>
      <c r="G63" s="525">
        <v>0</v>
      </c>
      <c r="H63" s="525">
        <v>0</v>
      </c>
      <c r="I63" s="525">
        <v>0</v>
      </c>
    </row>
    <row r="64">
      <c r="A64" s="525">
        <v>63</v>
      </c>
      <c r="B64" s="525" t="s">
        <v>6165</v>
      </c>
      <c r="C64" s="525">
        <v>7</v>
      </c>
      <c r="D64" s="525" t="s">
        <v>6154</v>
      </c>
      <c r="E64" s="525">
        <v>60</v>
      </c>
      <c r="F64" s="525">
        <v>0</v>
      </c>
      <c r="G64" s="525">
        <v>0</v>
      </c>
      <c r="H64" s="525">
        <v>0</v>
      </c>
      <c r="I64" s="525">
        <v>0</v>
      </c>
    </row>
    <row r="65">
      <c r="A65" s="525">
        <v>64</v>
      </c>
      <c r="B65" s="525" t="s">
        <v>6166</v>
      </c>
      <c r="C65" s="525">
        <v>1</v>
      </c>
      <c r="D65" s="525" t="s">
        <v>530</v>
      </c>
      <c r="E65" s="525">
        <v>20</v>
      </c>
      <c r="F65" s="525">
        <v>0</v>
      </c>
      <c r="G65" s="525">
        <v>0</v>
      </c>
      <c r="H65" s="525">
        <v>0</v>
      </c>
      <c r="I65" s="525">
        <v>0</v>
      </c>
    </row>
    <row r="66">
      <c r="A66" s="525">
        <v>65</v>
      </c>
      <c r="B66" s="525" t="s">
        <v>6166</v>
      </c>
      <c r="C66" s="525">
        <v>2</v>
      </c>
      <c r="D66" s="525" t="s">
        <v>530</v>
      </c>
      <c r="E66" s="525">
        <v>40</v>
      </c>
      <c r="F66" s="525">
        <v>0</v>
      </c>
      <c r="G66" s="525">
        <v>0</v>
      </c>
      <c r="H66" s="525">
        <v>0</v>
      </c>
      <c r="I66" s="525">
        <v>0</v>
      </c>
    </row>
    <row r="67">
      <c r="A67" s="525">
        <v>66</v>
      </c>
      <c r="B67" s="525" t="s">
        <v>6166</v>
      </c>
      <c r="C67" s="525">
        <v>3</v>
      </c>
      <c r="D67" s="525" t="s">
        <v>530</v>
      </c>
      <c r="E67" s="525">
        <v>60</v>
      </c>
      <c r="F67" s="525">
        <v>0</v>
      </c>
      <c r="G67" s="525">
        <v>0</v>
      </c>
      <c r="H67" s="525">
        <v>0</v>
      </c>
      <c r="I67" s="525">
        <v>0</v>
      </c>
    </row>
    <row r="68">
      <c r="A68" s="525">
        <v>67</v>
      </c>
      <c r="B68" s="525" t="s">
        <v>6167</v>
      </c>
      <c r="C68" s="525">
        <v>1</v>
      </c>
      <c r="D68" s="525" t="s">
        <v>530</v>
      </c>
      <c r="E68" s="525">
        <v>20</v>
      </c>
      <c r="F68" s="525">
        <v>0</v>
      </c>
      <c r="G68" s="525">
        <v>0</v>
      </c>
      <c r="H68" s="525">
        <v>0</v>
      </c>
      <c r="I68" s="525">
        <v>0</v>
      </c>
    </row>
    <row r="69">
      <c r="A69" s="525">
        <v>68</v>
      </c>
      <c r="B69" s="525" t="s">
        <v>6167</v>
      </c>
      <c r="C69" s="525">
        <v>2</v>
      </c>
      <c r="D69" s="525" t="s">
        <v>530</v>
      </c>
      <c r="E69" s="525">
        <v>40</v>
      </c>
      <c r="F69" s="525">
        <v>0</v>
      </c>
      <c r="G69" s="525">
        <v>40</v>
      </c>
      <c r="H69" s="525">
        <v>0</v>
      </c>
      <c r="I69" s="525">
        <v>0</v>
      </c>
    </row>
    <row r="70">
      <c r="A70" s="525">
        <v>69</v>
      </c>
      <c r="B70" s="525" t="s">
        <v>6168</v>
      </c>
      <c r="C70" s="525">
        <v>1</v>
      </c>
      <c r="D70" s="525" t="s">
        <v>530</v>
      </c>
      <c r="E70" s="525">
        <v>20</v>
      </c>
      <c r="F70" s="525">
        <v>0</v>
      </c>
      <c r="G70" s="525">
        <v>30</v>
      </c>
      <c r="H70" s="525">
        <v>0</v>
      </c>
      <c r="I70" s="525">
        <v>0</v>
      </c>
    </row>
    <row r="71">
      <c r="A71" s="525">
        <v>70</v>
      </c>
      <c r="B71" s="525" t="s">
        <v>6168</v>
      </c>
      <c r="C71" s="525">
        <v>2</v>
      </c>
      <c r="D71" s="525" t="s">
        <v>530</v>
      </c>
      <c r="E71" s="525">
        <v>40</v>
      </c>
      <c r="F71" s="525">
        <v>0</v>
      </c>
      <c r="G71" s="525">
        <v>60</v>
      </c>
      <c r="H71" s="525">
        <v>0</v>
      </c>
      <c r="I71" s="525">
        <v>0</v>
      </c>
    </row>
    <row r="72">
      <c r="A72" s="525">
        <v>71</v>
      </c>
      <c r="B72" s="525" t="s">
        <v>6168</v>
      </c>
      <c r="C72" s="525">
        <v>3</v>
      </c>
      <c r="D72" s="525" t="s">
        <v>530</v>
      </c>
      <c r="E72" s="525">
        <v>60</v>
      </c>
      <c r="F72" s="525">
        <v>0</v>
      </c>
      <c r="G72" s="525">
        <v>0</v>
      </c>
      <c r="H72" s="525">
        <v>0</v>
      </c>
      <c r="I72" s="525">
        <v>0</v>
      </c>
    </row>
    <row r="73">
      <c r="A73" s="525">
        <v>72</v>
      </c>
      <c r="B73" s="525" t="s">
        <v>6169</v>
      </c>
      <c r="C73" s="525">
        <v>2</v>
      </c>
      <c r="D73" s="525" t="s">
        <v>6149</v>
      </c>
      <c r="E73" s="525">
        <v>60</v>
      </c>
      <c r="F73" s="525">
        <v>0</v>
      </c>
      <c r="G73" s="525">
        <v>40</v>
      </c>
      <c r="H73" s="525">
        <v>0</v>
      </c>
      <c r="I73" s="525">
        <v>0</v>
      </c>
    </row>
    <row r="74">
      <c r="A74" s="525">
        <v>73</v>
      </c>
      <c r="B74" s="525" t="s">
        <v>6169</v>
      </c>
      <c r="C74" s="525">
        <v>4</v>
      </c>
      <c r="D74" s="525" t="s">
        <v>6149</v>
      </c>
      <c r="E74" s="525">
        <v>60</v>
      </c>
      <c r="F74" s="525">
        <v>0</v>
      </c>
      <c r="G74" s="525">
        <v>80</v>
      </c>
      <c r="H74" s="525">
        <v>0</v>
      </c>
      <c r="I74" s="525">
        <v>0</v>
      </c>
    </row>
    <row r="75">
      <c r="A75" s="525">
        <v>74</v>
      </c>
      <c r="B75" s="525" t="s">
        <v>6169</v>
      </c>
      <c r="C75" s="525">
        <v>2</v>
      </c>
      <c r="D75" s="525" t="s">
        <v>6150</v>
      </c>
      <c r="E75" s="525">
        <v>60</v>
      </c>
      <c r="F75" s="525">
        <v>0</v>
      </c>
      <c r="G75" s="525">
        <v>40</v>
      </c>
      <c r="H75" s="525">
        <v>0</v>
      </c>
      <c r="I75" s="525">
        <v>0</v>
      </c>
    </row>
    <row r="76">
      <c r="A76" s="525">
        <v>75</v>
      </c>
      <c r="B76" s="525" t="s">
        <v>6169</v>
      </c>
      <c r="C76" s="525">
        <v>4</v>
      </c>
      <c r="D76" s="525" t="s">
        <v>6150</v>
      </c>
      <c r="E76" s="525">
        <v>60</v>
      </c>
      <c r="F76" s="525">
        <v>25.18</v>
      </c>
      <c r="G76" s="525">
        <v>80</v>
      </c>
      <c r="H76" s="525">
        <v>0</v>
      </c>
      <c r="I76" s="525">
        <v>0</v>
      </c>
    </row>
    <row r="77">
      <c r="A77" s="525">
        <v>76</v>
      </c>
      <c r="B77" s="525" t="s">
        <v>6169</v>
      </c>
      <c r="C77" s="525">
        <v>1</v>
      </c>
      <c r="D77" s="525" t="s">
        <v>530</v>
      </c>
      <c r="E77" s="525">
        <v>20</v>
      </c>
      <c r="F77" s="525">
        <v>20</v>
      </c>
      <c r="G77" s="525">
        <v>30</v>
      </c>
      <c r="H77" s="525">
        <v>0</v>
      </c>
      <c r="I77" s="525">
        <v>0</v>
      </c>
    </row>
    <row r="78">
      <c r="A78" s="525">
        <v>77</v>
      </c>
      <c r="B78" s="525" t="s">
        <v>6169</v>
      </c>
      <c r="C78" s="525">
        <v>2</v>
      </c>
      <c r="D78" s="525" t="s">
        <v>530</v>
      </c>
      <c r="E78" s="525">
        <v>40</v>
      </c>
      <c r="F78" s="525">
        <v>40</v>
      </c>
      <c r="G78" s="525">
        <v>60</v>
      </c>
      <c r="H78" s="525">
        <v>0</v>
      </c>
      <c r="I78" s="525">
        <v>0</v>
      </c>
    </row>
    <row r="79">
      <c r="A79" s="525">
        <v>78</v>
      </c>
      <c r="B79" s="525" t="s">
        <v>6169</v>
      </c>
      <c r="C79" s="525">
        <v>4</v>
      </c>
      <c r="D79" s="525" t="s">
        <v>6151</v>
      </c>
      <c r="E79" s="525">
        <v>60</v>
      </c>
      <c r="F79" s="525">
        <v>0</v>
      </c>
      <c r="G79" s="525">
        <v>40</v>
      </c>
      <c r="H79" s="525">
        <v>0</v>
      </c>
      <c r="I79" s="525">
        <v>0</v>
      </c>
    </row>
    <row r="80">
      <c r="A80" s="525">
        <v>79</v>
      </c>
      <c r="B80" s="525" t="s">
        <v>6169</v>
      </c>
      <c r="C80" s="525">
        <v>6</v>
      </c>
      <c r="D80" s="525" t="s">
        <v>6151</v>
      </c>
      <c r="E80" s="525">
        <v>60</v>
      </c>
      <c r="F80" s="525">
        <v>0</v>
      </c>
      <c r="G80" s="525">
        <v>60</v>
      </c>
      <c r="H80" s="525">
        <v>0</v>
      </c>
      <c r="I80" s="525">
        <v>0</v>
      </c>
    </row>
    <row r="81">
      <c r="A81" s="525">
        <v>80</v>
      </c>
      <c r="B81" s="525" t="s">
        <v>6169</v>
      </c>
      <c r="C81" s="525">
        <v>8</v>
      </c>
      <c r="D81" s="525" t="s">
        <v>6151</v>
      </c>
      <c r="E81" s="525">
        <v>60</v>
      </c>
      <c r="F81" s="525">
        <v>0</v>
      </c>
      <c r="G81" s="525">
        <v>80</v>
      </c>
      <c r="H81" s="525">
        <v>0</v>
      </c>
      <c r="I81" s="525">
        <v>0</v>
      </c>
    </row>
    <row r="82">
      <c r="A82" s="525">
        <v>81</v>
      </c>
      <c r="B82" s="525" t="s">
        <v>6170</v>
      </c>
      <c r="C82" s="525">
        <v>1</v>
      </c>
      <c r="D82" s="525" t="s">
        <v>530</v>
      </c>
      <c r="E82" s="525">
        <v>20</v>
      </c>
      <c r="F82" s="525">
        <v>0</v>
      </c>
      <c r="G82" s="525">
        <v>30</v>
      </c>
      <c r="H82" s="525">
        <v>0</v>
      </c>
      <c r="I82" s="525">
        <v>0</v>
      </c>
    </row>
    <row r="83">
      <c r="A83" s="525">
        <v>82</v>
      </c>
      <c r="B83" s="525" t="s">
        <v>6170</v>
      </c>
      <c r="C83" s="525">
        <v>2</v>
      </c>
      <c r="D83" s="525" t="s">
        <v>530</v>
      </c>
      <c r="E83" s="525">
        <v>40</v>
      </c>
      <c r="F83" s="525">
        <v>0</v>
      </c>
      <c r="G83" s="525">
        <v>60</v>
      </c>
      <c r="H83" s="525">
        <v>0</v>
      </c>
      <c r="I83" s="525">
        <v>0</v>
      </c>
    </row>
    <row r="84">
      <c r="A84" s="525">
        <v>83</v>
      </c>
      <c r="B84" s="525" t="s">
        <v>6170</v>
      </c>
      <c r="C84" s="525">
        <v>3</v>
      </c>
      <c r="D84" s="525" t="s">
        <v>530</v>
      </c>
      <c r="E84" s="525">
        <v>60</v>
      </c>
      <c r="F84" s="525">
        <v>20</v>
      </c>
      <c r="G84" s="525">
        <v>80</v>
      </c>
      <c r="H84" s="525">
        <v>0</v>
      </c>
      <c r="I84" s="525">
        <v>0</v>
      </c>
    </row>
    <row r="85">
      <c r="A85" s="525">
        <v>84</v>
      </c>
      <c r="B85" s="525" t="s">
        <v>6171</v>
      </c>
      <c r="C85" s="525">
        <v>2</v>
      </c>
      <c r="D85" s="525" t="s">
        <v>6149</v>
      </c>
      <c r="E85" s="525">
        <v>60</v>
      </c>
      <c r="F85" s="525">
        <v>0</v>
      </c>
      <c r="G85" s="525">
        <v>60</v>
      </c>
      <c r="H85" s="525">
        <v>0</v>
      </c>
      <c r="I85" s="525">
        <v>0</v>
      </c>
    </row>
    <row r="86">
      <c r="A86" s="525">
        <v>85</v>
      </c>
      <c r="B86" s="525" t="s">
        <v>6171</v>
      </c>
      <c r="C86" s="525">
        <v>4</v>
      </c>
      <c r="D86" s="525" t="s">
        <v>6149</v>
      </c>
      <c r="E86" s="525">
        <v>60</v>
      </c>
      <c r="F86" s="525">
        <v>0</v>
      </c>
      <c r="G86" s="525">
        <v>60</v>
      </c>
      <c r="H86" s="525">
        <v>0</v>
      </c>
      <c r="I86" s="525">
        <v>0</v>
      </c>
    </row>
    <row r="87">
      <c r="A87" s="525">
        <v>86</v>
      </c>
      <c r="B87" s="525" t="s">
        <v>6171</v>
      </c>
      <c r="C87" s="525">
        <v>2</v>
      </c>
      <c r="D87" s="525" t="s">
        <v>6150</v>
      </c>
      <c r="E87" s="525">
        <v>60</v>
      </c>
      <c r="F87" s="525">
        <v>0</v>
      </c>
      <c r="G87" s="525">
        <v>60</v>
      </c>
      <c r="H87" s="525">
        <v>0</v>
      </c>
      <c r="I87" s="525">
        <v>0</v>
      </c>
    </row>
    <row r="88">
      <c r="A88" s="525">
        <v>87</v>
      </c>
      <c r="B88" s="525" t="s">
        <v>6171</v>
      </c>
      <c r="C88" s="525">
        <v>4</v>
      </c>
      <c r="D88" s="525" t="s">
        <v>6150</v>
      </c>
      <c r="E88" s="525">
        <v>60</v>
      </c>
      <c r="F88" s="525">
        <v>0</v>
      </c>
      <c r="G88" s="525">
        <v>60</v>
      </c>
      <c r="H88" s="525">
        <v>0</v>
      </c>
      <c r="I88" s="525">
        <v>0</v>
      </c>
    </row>
    <row r="89">
      <c r="A89" s="525">
        <v>88</v>
      </c>
      <c r="B89" s="525" t="s">
        <v>6171</v>
      </c>
      <c r="C89" s="525">
        <v>4</v>
      </c>
      <c r="D89" s="525" t="s">
        <v>6151</v>
      </c>
      <c r="E89" s="525">
        <v>60</v>
      </c>
      <c r="F89" s="525">
        <v>0</v>
      </c>
      <c r="G89" s="525">
        <v>60</v>
      </c>
      <c r="H89" s="525">
        <v>0</v>
      </c>
      <c r="I89" s="525">
        <v>0</v>
      </c>
    </row>
    <row r="90">
      <c r="A90" s="525">
        <v>89</v>
      </c>
      <c r="B90" s="525" t="s">
        <v>6171</v>
      </c>
      <c r="C90" s="525">
        <v>6</v>
      </c>
      <c r="D90" s="525" t="s">
        <v>6151</v>
      </c>
      <c r="E90" s="525">
        <v>60</v>
      </c>
      <c r="F90" s="525">
        <v>0</v>
      </c>
      <c r="G90" s="525">
        <v>60</v>
      </c>
      <c r="H90" s="525">
        <v>0</v>
      </c>
      <c r="I90" s="525">
        <v>0</v>
      </c>
    </row>
    <row r="91">
      <c r="A91" s="525">
        <v>90</v>
      </c>
      <c r="B91" s="525" t="s">
        <v>6171</v>
      </c>
      <c r="C91" s="525">
        <v>8</v>
      </c>
      <c r="D91" s="525" t="s">
        <v>6151</v>
      </c>
      <c r="E91" s="525">
        <v>60</v>
      </c>
      <c r="F91" s="525">
        <v>0</v>
      </c>
      <c r="G91" s="525">
        <v>60</v>
      </c>
      <c r="H91" s="525">
        <v>0</v>
      </c>
      <c r="I91" s="525">
        <v>0</v>
      </c>
    </row>
    <row r="92">
      <c r="A92" s="525">
        <v>91</v>
      </c>
      <c r="B92" s="525" t="s">
        <v>6172</v>
      </c>
      <c r="C92" s="525">
        <v>2</v>
      </c>
      <c r="D92" s="525" t="s">
        <v>6149</v>
      </c>
      <c r="E92" s="525">
        <v>60</v>
      </c>
      <c r="F92" s="525">
        <v>90</v>
      </c>
      <c r="G92" s="525">
        <v>71</v>
      </c>
      <c r="H92" s="525">
        <v>40</v>
      </c>
      <c r="I92" s="525">
        <v>0</v>
      </c>
    </row>
    <row r="93">
      <c r="A93" s="525">
        <v>92</v>
      </c>
      <c r="B93" s="525" t="s">
        <v>6172</v>
      </c>
      <c r="C93" s="525">
        <v>4</v>
      </c>
      <c r="D93" s="525" t="s">
        <v>6149</v>
      </c>
      <c r="E93" s="525">
        <v>60</v>
      </c>
      <c r="F93" s="525">
        <v>40</v>
      </c>
      <c r="G93" s="525">
        <v>71</v>
      </c>
      <c r="H93" s="525">
        <v>80</v>
      </c>
      <c r="I93" s="525">
        <v>0</v>
      </c>
    </row>
    <row r="94">
      <c r="A94" s="525">
        <v>93</v>
      </c>
      <c r="B94" s="525" t="s">
        <v>6172</v>
      </c>
      <c r="C94" s="525">
        <v>2</v>
      </c>
      <c r="D94" s="525" t="s">
        <v>6150</v>
      </c>
      <c r="E94" s="525">
        <v>60</v>
      </c>
      <c r="F94" s="525">
        <v>80</v>
      </c>
      <c r="G94" s="525">
        <v>63</v>
      </c>
      <c r="H94" s="525">
        <v>0</v>
      </c>
      <c r="I94" s="525">
        <v>40</v>
      </c>
    </row>
    <row r="95">
      <c r="A95" s="525">
        <v>94</v>
      </c>
      <c r="B95" s="525" t="s">
        <v>6172</v>
      </c>
      <c r="C95" s="525">
        <v>4</v>
      </c>
      <c r="D95" s="525" t="s">
        <v>6150</v>
      </c>
      <c r="E95" s="525">
        <v>60</v>
      </c>
      <c r="F95" s="525">
        <v>36</v>
      </c>
      <c r="G95" s="525">
        <v>63</v>
      </c>
      <c r="H95" s="525">
        <v>0</v>
      </c>
      <c r="I95" s="525">
        <v>20</v>
      </c>
    </row>
    <row r="96">
      <c r="A96" s="525">
        <v>95</v>
      </c>
      <c r="B96" s="525" t="s">
        <v>6172</v>
      </c>
      <c r="C96" s="525">
        <v>1</v>
      </c>
      <c r="D96" s="525" t="s">
        <v>530</v>
      </c>
      <c r="E96" s="525">
        <v>20</v>
      </c>
      <c r="F96" s="525">
        <v>20</v>
      </c>
      <c r="G96" s="525">
        <v>0</v>
      </c>
      <c r="H96" s="525">
        <v>0</v>
      </c>
      <c r="I96" s="525">
        <v>0</v>
      </c>
    </row>
    <row r="97">
      <c r="A97" s="525">
        <v>96</v>
      </c>
      <c r="B97" s="525" t="s">
        <v>6172</v>
      </c>
      <c r="C97" s="525">
        <v>2</v>
      </c>
      <c r="D97" s="525" t="s">
        <v>530</v>
      </c>
      <c r="E97" s="525">
        <v>40</v>
      </c>
      <c r="F97" s="525">
        <v>40</v>
      </c>
      <c r="G97" s="525">
        <v>0</v>
      </c>
      <c r="H97" s="525">
        <v>0</v>
      </c>
      <c r="I97" s="525">
        <v>0</v>
      </c>
    </row>
    <row r="98">
      <c r="A98" s="525">
        <v>97</v>
      </c>
      <c r="B98" s="525" t="s">
        <v>6172</v>
      </c>
      <c r="C98" s="525">
        <v>4</v>
      </c>
      <c r="D98" s="525" t="s">
        <v>6151</v>
      </c>
      <c r="E98" s="525">
        <v>60</v>
      </c>
      <c r="F98" s="525">
        <v>0</v>
      </c>
      <c r="G98" s="525">
        <v>71</v>
      </c>
      <c r="H98" s="525">
        <v>0</v>
      </c>
      <c r="I98" s="525">
        <v>0</v>
      </c>
    </row>
    <row r="99">
      <c r="A99" s="525">
        <v>98</v>
      </c>
      <c r="B99" s="525" t="s">
        <v>6172</v>
      </c>
      <c r="C99" s="525">
        <v>6</v>
      </c>
      <c r="D99" s="525" t="s">
        <v>6151</v>
      </c>
      <c r="E99" s="525">
        <v>60</v>
      </c>
      <c r="F99" s="525">
        <v>0</v>
      </c>
      <c r="G99" s="525">
        <v>71</v>
      </c>
      <c r="H99" s="525">
        <v>0</v>
      </c>
      <c r="I99" s="525">
        <v>0</v>
      </c>
    </row>
    <row r="100">
      <c r="A100" s="525">
        <v>99</v>
      </c>
      <c r="B100" s="525" t="s">
        <v>6172</v>
      </c>
      <c r="C100" s="525">
        <v>8</v>
      </c>
      <c r="D100" s="525" t="s">
        <v>6151</v>
      </c>
      <c r="E100" s="525">
        <v>60</v>
      </c>
      <c r="F100" s="525">
        <v>0</v>
      </c>
      <c r="G100" s="525">
        <v>71</v>
      </c>
      <c r="H100" s="525">
        <v>0</v>
      </c>
      <c r="I100" s="525">
        <v>0</v>
      </c>
    </row>
    <row r="101">
      <c r="A101" s="525">
        <v>100</v>
      </c>
      <c r="B101" s="525" t="s">
        <v>6173</v>
      </c>
      <c r="C101" s="525">
        <v>2</v>
      </c>
      <c r="D101" s="525" t="s">
        <v>6149</v>
      </c>
      <c r="E101" s="525">
        <v>60</v>
      </c>
      <c r="F101" s="525">
        <v>90</v>
      </c>
      <c r="G101" s="525">
        <v>0</v>
      </c>
      <c r="H101" s="525">
        <v>40</v>
      </c>
      <c r="I101" s="525">
        <v>0</v>
      </c>
    </row>
    <row r="102">
      <c r="A102" s="525">
        <v>101</v>
      </c>
      <c r="B102" s="525" t="s">
        <v>6173</v>
      </c>
      <c r="C102" s="525">
        <v>4</v>
      </c>
      <c r="D102" s="525" t="s">
        <v>6149</v>
      </c>
      <c r="E102" s="525">
        <v>60</v>
      </c>
      <c r="F102" s="525">
        <v>40</v>
      </c>
      <c r="G102" s="525">
        <v>0</v>
      </c>
      <c r="H102" s="525">
        <v>80</v>
      </c>
      <c r="I102" s="525">
        <v>0</v>
      </c>
    </row>
    <row r="103">
      <c r="A103" s="525">
        <v>102</v>
      </c>
      <c r="B103" s="525" t="s">
        <v>6173</v>
      </c>
      <c r="C103" s="525">
        <v>2</v>
      </c>
      <c r="D103" s="525" t="s">
        <v>6150</v>
      </c>
      <c r="E103" s="525">
        <v>60</v>
      </c>
      <c r="F103" s="525">
        <v>0</v>
      </c>
      <c r="G103" s="525">
        <v>0</v>
      </c>
      <c r="H103" s="525">
        <v>0</v>
      </c>
      <c r="I103" s="525">
        <v>40</v>
      </c>
    </row>
    <row r="104">
      <c r="A104" s="525">
        <v>103</v>
      </c>
      <c r="B104" s="525" t="s">
        <v>6173</v>
      </c>
      <c r="C104" s="525">
        <v>4</v>
      </c>
      <c r="D104" s="525" t="s">
        <v>6150</v>
      </c>
      <c r="E104" s="525">
        <v>60</v>
      </c>
      <c r="F104" s="525">
        <v>0</v>
      </c>
      <c r="G104" s="525">
        <v>0</v>
      </c>
      <c r="H104" s="525">
        <v>0</v>
      </c>
      <c r="I104" s="525">
        <v>20</v>
      </c>
    </row>
    <row r="105">
      <c r="A105" s="525">
        <v>104</v>
      </c>
      <c r="B105" s="525" t="s">
        <v>645</v>
      </c>
      <c r="C105" s="525">
        <v>2</v>
      </c>
      <c r="D105" s="525" t="s">
        <v>6149</v>
      </c>
      <c r="E105" s="525">
        <v>60</v>
      </c>
      <c r="F105" s="525">
        <v>40</v>
      </c>
      <c r="G105" s="525">
        <v>20</v>
      </c>
      <c r="H105" s="525">
        <v>0</v>
      </c>
      <c r="I105" s="525">
        <v>0</v>
      </c>
    </row>
    <row r="106">
      <c r="A106" s="525">
        <v>105</v>
      </c>
      <c r="B106" s="525" t="s">
        <v>645</v>
      </c>
      <c r="C106" s="525">
        <v>4</v>
      </c>
      <c r="D106" s="525" t="s">
        <v>6150</v>
      </c>
      <c r="E106" s="525">
        <v>60</v>
      </c>
      <c r="F106" s="525">
        <v>20</v>
      </c>
      <c r="G106" s="525">
        <v>15</v>
      </c>
      <c r="H106" s="525">
        <v>0</v>
      </c>
      <c r="I106" s="525">
        <v>20</v>
      </c>
    </row>
    <row r="107">
      <c r="A107" s="525">
        <v>106</v>
      </c>
      <c r="B107" s="525" t="s">
        <v>645</v>
      </c>
      <c r="C107" s="525">
        <v>1</v>
      </c>
      <c r="D107" s="525" t="s">
        <v>530</v>
      </c>
      <c r="E107" s="525">
        <v>20</v>
      </c>
      <c r="F107" s="525">
        <v>20</v>
      </c>
      <c r="G107" s="525">
        <v>0</v>
      </c>
      <c r="H107" s="525">
        <v>30</v>
      </c>
      <c r="I107" s="525">
        <v>0</v>
      </c>
    </row>
    <row r="108">
      <c r="A108" s="525">
        <v>107</v>
      </c>
      <c r="B108" s="525" t="s">
        <v>645</v>
      </c>
      <c r="C108" s="525">
        <v>2</v>
      </c>
      <c r="D108" s="525" t="s">
        <v>530</v>
      </c>
      <c r="E108" s="525">
        <v>40</v>
      </c>
      <c r="F108" s="525">
        <v>40</v>
      </c>
      <c r="G108" s="525">
        <v>0</v>
      </c>
      <c r="H108" s="525">
        <v>60</v>
      </c>
      <c r="I108" s="525">
        <v>0</v>
      </c>
    </row>
    <row r="109">
      <c r="A109" s="525">
        <v>108</v>
      </c>
      <c r="B109" s="525" t="s">
        <v>6174</v>
      </c>
      <c r="C109" s="525">
        <v>2</v>
      </c>
      <c r="D109" s="525" t="s">
        <v>6149</v>
      </c>
      <c r="E109" s="525">
        <v>60</v>
      </c>
      <c r="F109" s="525">
        <v>41.7</v>
      </c>
      <c r="G109" s="525">
        <v>0</v>
      </c>
      <c r="H109" s="525">
        <v>0</v>
      </c>
      <c r="I109" s="525">
        <v>0</v>
      </c>
    </row>
    <row r="110">
      <c r="A110" s="525">
        <v>109</v>
      </c>
      <c r="B110" s="525" t="s">
        <v>6175</v>
      </c>
      <c r="C110" s="525">
        <v>1</v>
      </c>
      <c r="D110" s="525" t="s">
        <v>530</v>
      </c>
      <c r="E110" s="525">
        <v>20</v>
      </c>
      <c r="F110" s="525">
        <v>20</v>
      </c>
      <c r="G110" s="525">
        <v>0</v>
      </c>
      <c r="H110" s="525">
        <v>0</v>
      </c>
      <c r="I110" s="525">
        <v>0</v>
      </c>
    </row>
    <row r="111">
      <c r="A111" s="525">
        <v>110</v>
      </c>
      <c r="B111" s="525" t="s">
        <v>6175</v>
      </c>
      <c r="C111" s="525">
        <v>2</v>
      </c>
      <c r="D111" s="525" t="s">
        <v>530</v>
      </c>
      <c r="E111" s="525">
        <v>40</v>
      </c>
      <c r="F111" s="525">
        <v>40</v>
      </c>
      <c r="G111" s="525">
        <v>0</v>
      </c>
      <c r="H111" s="525">
        <v>0</v>
      </c>
      <c r="I111" s="525">
        <v>0</v>
      </c>
    </row>
    <row r="112">
      <c r="A112" s="525">
        <v>111</v>
      </c>
      <c r="B112" s="525" t="s">
        <v>6176</v>
      </c>
      <c r="C112" s="525">
        <v>2</v>
      </c>
      <c r="D112" s="525" t="s">
        <v>6149</v>
      </c>
      <c r="E112" s="525">
        <v>60</v>
      </c>
      <c r="F112" s="525">
        <v>0</v>
      </c>
      <c r="G112" s="525">
        <v>0</v>
      </c>
      <c r="H112" s="525">
        <v>0</v>
      </c>
      <c r="I112" s="525">
        <v>0</v>
      </c>
    </row>
    <row r="113">
      <c r="A113" s="525">
        <v>112</v>
      </c>
      <c r="B113" s="525" t="s">
        <v>6176</v>
      </c>
      <c r="C113" s="525">
        <v>4</v>
      </c>
      <c r="D113" s="525" t="s">
        <v>6149</v>
      </c>
      <c r="E113" s="525">
        <v>60</v>
      </c>
      <c r="F113" s="525">
        <v>0</v>
      </c>
      <c r="G113" s="525">
        <v>0</v>
      </c>
      <c r="H113" s="525">
        <v>0</v>
      </c>
      <c r="I113" s="525">
        <v>0</v>
      </c>
    </row>
    <row r="114">
      <c r="A114" s="525">
        <v>113</v>
      </c>
      <c r="B114" s="525" t="s">
        <v>6176</v>
      </c>
      <c r="C114" s="525">
        <v>2</v>
      </c>
      <c r="D114" s="525" t="s">
        <v>6150</v>
      </c>
      <c r="E114" s="525">
        <v>60</v>
      </c>
      <c r="F114" s="525">
        <v>0</v>
      </c>
      <c r="G114" s="525">
        <v>0</v>
      </c>
      <c r="H114" s="525">
        <v>0</v>
      </c>
      <c r="I114" s="525">
        <v>0</v>
      </c>
    </row>
    <row r="115">
      <c r="A115" s="525">
        <v>114</v>
      </c>
      <c r="B115" s="525" t="s">
        <v>6176</v>
      </c>
      <c r="C115" s="525">
        <v>4</v>
      </c>
      <c r="D115" s="525" t="s">
        <v>6150</v>
      </c>
      <c r="E115" s="525">
        <v>60</v>
      </c>
      <c r="F115" s="525">
        <v>0</v>
      </c>
      <c r="G115" s="525">
        <v>0</v>
      </c>
      <c r="H115" s="525">
        <v>0</v>
      </c>
      <c r="I115" s="525">
        <v>0</v>
      </c>
    </row>
    <row r="116">
      <c r="A116" s="525">
        <v>115</v>
      </c>
      <c r="B116" s="525" t="s">
        <v>6176</v>
      </c>
      <c r="C116" s="525">
        <v>6</v>
      </c>
      <c r="D116" s="525" t="s">
        <v>6150</v>
      </c>
      <c r="E116" s="525">
        <v>60</v>
      </c>
      <c r="F116" s="525">
        <v>0</v>
      </c>
      <c r="G116" s="525">
        <v>0</v>
      </c>
      <c r="H116" s="525">
        <v>0</v>
      </c>
      <c r="I116" s="525">
        <v>0</v>
      </c>
    </row>
    <row r="117">
      <c r="A117" s="525">
        <v>116</v>
      </c>
      <c r="B117" s="525" t="s">
        <v>6176</v>
      </c>
      <c r="C117" s="525">
        <v>6</v>
      </c>
      <c r="D117" s="525" t="s">
        <v>6151</v>
      </c>
      <c r="E117" s="525">
        <v>60</v>
      </c>
      <c r="F117" s="525">
        <v>0</v>
      </c>
      <c r="G117" s="525">
        <v>0</v>
      </c>
      <c r="H117" s="525">
        <v>0</v>
      </c>
      <c r="I117" s="525">
        <v>0</v>
      </c>
    </row>
    <row r="118">
      <c r="A118" s="525">
        <v>117</v>
      </c>
      <c r="B118" s="525" t="s">
        <v>6176</v>
      </c>
      <c r="C118" s="525">
        <v>8</v>
      </c>
      <c r="D118" s="525" t="s">
        <v>6151</v>
      </c>
      <c r="E118" s="525">
        <v>60</v>
      </c>
      <c r="F118" s="525">
        <v>0</v>
      </c>
      <c r="G118" s="525">
        <v>0</v>
      </c>
      <c r="H118" s="525">
        <v>0</v>
      </c>
      <c r="I118" s="525">
        <v>0</v>
      </c>
    </row>
    <row r="119">
      <c r="A119" s="525">
        <v>118</v>
      </c>
      <c r="B119" s="525" t="s">
        <v>6176</v>
      </c>
      <c r="C119" s="525">
        <v>10</v>
      </c>
      <c r="D119" s="525" t="s">
        <v>6151</v>
      </c>
      <c r="E119" s="525">
        <v>60</v>
      </c>
      <c r="F119" s="525">
        <v>0</v>
      </c>
      <c r="G119" s="525">
        <v>0</v>
      </c>
      <c r="H119" s="525">
        <v>0</v>
      </c>
      <c r="I119" s="525">
        <v>0</v>
      </c>
    </row>
    <row r="120">
      <c r="A120" s="525">
        <v>119</v>
      </c>
      <c r="B120" s="525" t="s">
        <v>6176</v>
      </c>
      <c r="C120" s="525">
        <v>12</v>
      </c>
      <c r="D120" s="525" t="s">
        <v>6151</v>
      </c>
      <c r="E120" s="525">
        <v>60</v>
      </c>
      <c r="F120" s="525">
        <v>0</v>
      </c>
      <c r="G120" s="525">
        <v>0</v>
      </c>
      <c r="H120" s="525">
        <v>0</v>
      </c>
      <c r="I120" s="525">
        <v>0</v>
      </c>
    </row>
    <row r="121" ht="30">
      <c r="A121" s="525">
        <v>120</v>
      </c>
      <c r="B121" s="525" t="s">
        <v>6177</v>
      </c>
      <c r="C121" s="525">
        <v>6</v>
      </c>
      <c r="D121" s="525" t="s">
        <v>6178</v>
      </c>
      <c r="E121" s="525">
        <v>60</v>
      </c>
      <c r="F121" s="525">
        <v>0</v>
      </c>
      <c r="G121" s="525">
        <v>0</v>
      </c>
      <c r="H121" s="525">
        <v>0</v>
      </c>
      <c r="I121" s="525">
        <v>0</v>
      </c>
    </row>
    <row r="122" ht="30">
      <c r="A122" s="525">
        <v>121</v>
      </c>
      <c r="B122" s="525" t="s">
        <v>6177</v>
      </c>
      <c r="C122" s="525">
        <v>7</v>
      </c>
      <c r="D122" s="525" t="s">
        <v>6178</v>
      </c>
      <c r="E122" s="525">
        <v>60</v>
      </c>
      <c r="F122" s="525">
        <v>0</v>
      </c>
      <c r="G122" s="525">
        <v>0</v>
      </c>
      <c r="H122" s="525">
        <v>0</v>
      </c>
      <c r="I122" s="525">
        <v>0</v>
      </c>
    </row>
    <row r="123">
      <c r="A123" s="525">
        <v>122</v>
      </c>
      <c r="B123" s="525" t="s">
        <v>6179</v>
      </c>
      <c r="C123" s="525">
        <v>1</v>
      </c>
      <c r="D123" s="525" t="s">
        <v>6180</v>
      </c>
      <c r="E123" s="525">
        <v>40</v>
      </c>
      <c r="F123" s="525">
        <v>0</v>
      </c>
      <c r="G123" s="525">
        <v>0</v>
      </c>
      <c r="H123" s="525">
        <v>0</v>
      </c>
      <c r="I123" s="525">
        <v>0</v>
      </c>
    </row>
    <row r="124">
      <c r="A124" s="525">
        <v>123</v>
      </c>
      <c r="B124" s="525" t="s">
        <v>6181</v>
      </c>
      <c r="C124" s="525">
        <v>1</v>
      </c>
      <c r="D124" s="525" t="s">
        <v>530</v>
      </c>
      <c r="E124" s="525">
        <v>20</v>
      </c>
      <c r="F124" s="525">
        <v>0</v>
      </c>
      <c r="G124" s="525">
        <v>0</v>
      </c>
      <c r="H124" s="525">
        <v>0</v>
      </c>
      <c r="I124" s="525">
        <v>0</v>
      </c>
    </row>
    <row r="125">
      <c r="A125" s="525">
        <v>124</v>
      </c>
      <c r="B125" s="525" t="s">
        <v>6181</v>
      </c>
      <c r="C125" s="525">
        <v>2</v>
      </c>
      <c r="D125" s="525" t="s">
        <v>530</v>
      </c>
      <c r="E125" s="525">
        <v>40</v>
      </c>
      <c r="F125" s="525">
        <v>0</v>
      </c>
      <c r="G125" s="525">
        <v>0</v>
      </c>
      <c r="H125" s="525">
        <v>0</v>
      </c>
      <c r="I125" s="525">
        <v>0</v>
      </c>
    </row>
    <row r="126">
      <c r="A126" s="525">
        <v>125</v>
      </c>
      <c r="B126" s="525" t="s">
        <v>523</v>
      </c>
      <c r="C126" s="525">
        <v>1</v>
      </c>
      <c r="D126" s="525" t="s">
        <v>6149</v>
      </c>
      <c r="E126" s="525">
        <v>40</v>
      </c>
      <c r="F126" s="525">
        <v>0</v>
      </c>
      <c r="G126" s="525">
        <v>0</v>
      </c>
      <c r="H126" s="525">
        <v>40</v>
      </c>
      <c r="I126" s="525">
        <v>0</v>
      </c>
    </row>
    <row r="127">
      <c r="A127" s="525">
        <v>126</v>
      </c>
      <c r="B127" s="525" t="s">
        <v>523</v>
      </c>
      <c r="C127" s="525">
        <v>2</v>
      </c>
      <c r="D127" s="525" t="s">
        <v>6149</v>
      </c>
      <c r="E127" s="525">
        <v>80</v>
      </c>
      <c r="F127" s="525">
        <v>0</v>
      </c>
      <c r="G127" s="525">
        <v>0</v>
      </c>
      <c r="H127" s="525">
        <v>80</v>
      </c>
      <c r="I127" s="525">
        <v>0</v>
      </c>
    </row>
    <row r="128">
      <c r="A128" s="525">
        <v>127</v>
      </c>
      <c r="B128" s="525" t="s">
        <v>523</v>
      </c>
      <c r="C128" s="525">
        <v>4</v>
      </c>
      <c r="D128" s="525" t="s">
        <v>6149</v>
      </c>
      <c r="E128" s="525">
        <v>80</v>
      </c>
      <c r="F128" s="525">
        <v>0</v>
      </c>
      <c r="G128" s="525">
        <v>0</v>
      </c>
      <c r="H128" s="525">
        <v>0</v>
      </c>
      <c r="I128" s="525">
        <v>0</v>
      </c>
    </row>
    <row r="129">
      <c r="A129" s="525">
        <v>128</v>
      </c>
      <c r="B129" s="525" t="s">
        <v>523</v>
      </c>
      <c r="C129" s="525">
        <v>2</v>
      </c>
      <c r="D129" s="525" t="s">
        <v>6150</v>
      </c>
      <c r="E129" s="525">
        <v>40</v>
      </c>
      <c r="F129" s="525">
        <v>0</v>
      </c>
      <c r="G129" s="525">
        <v>0</v>
      </c>
      <c r="H129" s="525">
        <v>0</v>
      </c>
      <c r="I129" s="525">
        <v>0</v>
      </c>
    </row>
    <row r="130">
      <c r="A130" s="525">
        <v>129</v>
      </c>
      <c r="B130" s="525" t="s">
        <v>523</v>
      </c>
      <c r="C130" s="525">
        <v>4</v>
      </c>
      <c r="D130" s="525" t="s">
        <v>6150</v>
      </c>
      <c r="E130" s="525">
        <v>40</v>
      </c>
      <c r="F130" s="525">
        <v>0</v>
      </c>
      <c r="G130" s="525">
        <v>0</v>
      </c>
      <c r="H130" s="525">
        <v>0</v>
      </c>
      <c r="I130" s="525">
        <v>0</v>
      </c>
    </row>
    <row r="131">
      <c r="A131" s="525">
        <v>130</v>
      </c>
      <c r="B131" s="525" t="s">
        <v>523</v>
      </c>
      <c r="C131" s="525">
        <v>1</v>
      </c>
      <c r="D131" s="525" t="s">
        <v>530</v>
      </c>
      <c r="E131" s="525">
        <v>20</v>
      </c>
      <c r="F131" s="525">
        <v>0</v>
      </c>
      <c r="G131" s="525">
        <v>0</v>
      </c>
      <c r="H131" s="525">
        <v>40</v>
      </c>
      <c r="I131" s="525">
        <v>0</v>
      </c>
    </row>
    <row r="132">
      <c r="A132" s="525">
        <v>131</v>
      </c>
      <c r="B132" s="525" t="s">
        <v>523</v>
      </c>
      <c r="C132" s="525">
        <v>2</v>
      </c>
      <c r="D132" s="525" t="s">
        <v>530</v>
      </c>
      <c r="E132" s="525">
        <v>40</v>
      </c>
      <c r="F132" s="525">
        <v>0</v>
      </c>
      <c r="G132" s="525">
        <v>0</v>
      </c>
      <c r="H132" s="525">
        <v>80</v>
      </c>
      <c r="I132" s="525">
        <v>0</v>
      </c>
    </row>
    <row r="133">
      <c r="A133" s="525">
        <v>132</v>
      </c>
      <c r="B133" s="525" t="s">
        <v>6182</v>
      </c>
      <c r="C133" s="525">
        <v>1</v>
      </c>
      <c r="D133" s="525" t="s">
        <v>6149</v>
      </c>
      <c r="E133" s="525">
        <v>40</v>
      </c>
      <c r="F133" s="525">
        <v>0</v>
      </c>
      <c r="G133" s="525">
        <v>0</v>
      </c>
      <c r="H133" s="525">
        <v>0</v>
      </c>
      <c r="I133" s="525">
        <v>0</v>
      </c>
    </row>
    <row r="134">
      <c r="A134" s="525">
        <v>133</v>
      </c>
      <c r="B134" s="525" t="s">
        <v>6182</v>
      </c>
      <c r="C134" s="525">
        <v>2</v>
      </c>
      <c r="D134" s="525" t="s">
        <v>6149</v>
      </c>
      <c r="E134" s="525">
        <v>80</v>
      </c>
      <c r="F134" s="525">
        <v>0</v>
      </c>
      <c r="G134" s="525">
        <v>0</v>
      </c>
      <c r="H134" s="525">
        <v>0</v>
      </c>
      <c r="I134" s="525">
        <v>0</v>
      </c>
    </row>
    <row r="135">
      <c r="A135" s="525">
        <v>134</v>
      </c>
      <c r="B135" s="525" t="s">
        <v>6182</v>
      </c>
      <c r="C135" s="525">
        <v>4</v>
      </c>
      <c r="D135" s="525" t="s">
        <v>6149</v>
      </c>
      <c r="E135" s="525">
        <v>80</v>
      </c>
      <c r="F135" s="525">
        <v>0</v>
      </c>
      <c r="G135" s="525">
        <v>0</v>
      </c>
      <c r="H135" s="525">
        <v>0</v>
      </c>
      <c r="I135" s="525">
        <v>0</v>
      </c>
    </row>
    <row r="136">
      <c r="A136" s="525">
        <v>135</v>
      </c>
      <c r="B136" s="525" t="s">
        <v>6182</v>
      </c>
      <c r="C136" s="525">
        <v>2</v>
      </c>
      <c r="D136" s="525" t="s">
        <v>6150</v>
      </c>
      <c r="E136" s="525">
        <v>40</v>
      </c>
      <c r="F136" s="525">
        <v>0</v>
      </c>
      <c r="G136" s="525">
        <v>0</v>
      </c>
      <c r="H136" s="525">
        <v>0</v>
      </c>
      <c r="I136" s="525">
        <v>0</v>
      </c>
    </row>
    <row r="137">
      <c r="A137" s="525">
        <v>136</v>
      </c>
      <c r="B137" s="525" t="s">
        <v>6182</v>
      </c>
      <c r="C137" s="525">
        <v>4</v>
      </c>
      <c r="D137" s="525" t="s">
        <v>6150</v>
      </c>
      <c r="E137" s="525">
        <v>40</v>
      </c>
      <c r="F137" s="525">
        <v>0</v>
      </c>
      <c r="G137" s="525">
        <v>0</v>
      </c>
      <c r="H137" s="525">
        <v>0</v>
      </c>
      <c r="I137" s="525">
        <v>0</v>
      </c>
    </row>
    <row r="138">
      <c r="A138" s="525">
        <v>137</v>
      </c>
      <c r="B138" s="525" t="s">
        <v>6183</v>
      </c>
      <c r="C138" s="525">
        <v>3</v>
      </c>
      <c r="D138" s="525" t="s">
        <v>530</v>
      </c>
      <c r="E138" s="525">
        <v>60</v>
      </c>
      <c r="F138" s="525">
        <v>0</v>
      </c>
      <c r="G138" s="525">
        <v>0</v>
      </c>
      <c r="H138" s="525">
        <v>0</v>
      </c>
      <c r="I138" s="525">
        <v>0</v>
      </c>
    </row>
    <row r="139">
      <c r="A139" s="525">
        <v>138</v>
      </c>
      <c r="B139" s="525" t="s">
        <v>6184</v>
      </c>
      <c r="C139" s="525">
        <v>1</v>
      </c>
      <c r="D139" s="525" t="s">
        <v>6149</v>
      </c>
      <c r="E139" s="525">
        <v>40</v>
      </c>
      <c r="F139" s="525">
        <v>0</v>
      </c>
      <c r="G139" s="525">
        <v>0</v>
      </c>
      <c r="H139" s="525">
        <v>0</v>
      </c>
      <c r="I139" s="525">
        <v>0</v>
      </c>
    </row>
    <row r="140">
      <c r="A140" s="525">
        <v>139</v>
      </c>
      <c r="B140" s="525" t="s">
        <v>6184</v>
      </c>
      <c r="C140" s="525">
        <v>2</v>
      </c>
      <c r="D140" s="525" t="s">
        <v>6149</v>
      </c>
      <c r="E140" s="525">
        <v>80</v>
      </c>
      <c r="F140" s="525">
        <v>0</v>
      </c>
      <c r="G140" s="525">
        <v>0</v>
      </c>
      <c r="H140" s="525">
        <v>0</v>
      </c>
      <c r="I140" s="525">
        <v>0</v>
      </c>
    </row>
    <row r="141">
      <c r="A141" s="525">
        <v>140</v>
      </c>
      <c r="B141" s="525" t="s">
        <v>6184</v>
      </c>
      <c r="C141" s="525">
        <v>4</v>
      </c>
      <c r="D141" s="525" t="s">
        <v>6149</v>
      </c>
      <c r="E141" s="525">
        <v>80</v>
      </c>
      <c r="F141" s="525">
        <v>0</v>
      </c>
      <c r="G141" s="525">
        <v>0</v>
      </c>
      <c r="H141" s="525">
        <v>0</v>
      </c>
      <c r="I141" s="525">
        <v>0</v>
      </c>
    </row>
    <row r="142">
      <c r="A142" s="525">
        <v>141</v>
      </c>
      <c r="B142" s="525" t="s">
        <v>6184</v>
      </c>
      <c r="C142" s="525">
        <v>2</v>
      </c>
      <c r="D142" s="525" t="s">
        <v>6150</v>
      </c>
      <c r="E142" s="525">
        <v>40</v>
      </c>
      <c r="F142" s="525">
        <v>0</v>
      </c>
      <c r="G142" s="525">
        <v>0</v>
      </c>
      <c r="H142" s="525">
        <v>0</v>
      </c>
      <c r="I142" s="525">
        <v>0</v>
      </c>
    </row>
    <row r="143">
      <c r="A143" s="525">
        <v>142</v>
      </c>
      <c r="B143" s="525" t="s">
        <v>6184</v>
      </c>
      <c r="C143" s="525">
        <v>4</v>
      </c>
      <c r="D143" s="525" t="s">
        <v>6150</v>
      </c>
      <c r="E143" s="525">
        <v>40</v>
      </c>
      <c r="F143" s="525">
        <v>0</v>
      </c>
      <c r="G143" s="525">
        <v>0</v>
      </c>
      <c r="H143" s="525">
        <v>0</v>
      </c>
      <c r="I143" s="525">
        <v>0</v>
      </c>
    </row>
    <row r="144">
      <c r="A144" s="525">
        <v>143</v>
      </c>
      <c r="B144" s="525" t="s">
        <v>6148</v>
      </c>
      <c r="C144" s="525">
        <v>1</v>
      </c>
      <c r="D144" s="525" t="s">
        <v>6149</v>
      </c>
      <c r="E144" s="525">
        <v>0</v>
      </c>
      <c r="F144" s="525">
        <v>35.48</v>
      </c>
      <c r="G144" s="525">
        <v>0</v>
      </c>
      <c r="H144" s="525">
        <v>0</v>
      </c>
      <c r="I144" s="525">
        <v>0</v>
      </c>
    </row>
    <row r="145">
      <c r="A145" s="525">
        <v>144</v>
      </c>
      <c r="B145" s="525" t="s">
        <v>6169</v>
      </c>
      <c r="C145" s="525">
        <v>3</v>
      </c>
      <c r="D145" s="525" t="s">
        <v>6150</v>
      </c>
      <c r="E145" s="525">
        <v>0</v>
      </c>
      <c r="F145" s="525">
        <v>27.54</v>
      </c>
      <c r="G145" s="525">
        <v>60</v>
      </c>
      <c r="H145" s="525">
        <v>0</v>
      </c>
      <c r="I145" s="525">
        <v>0</v>
      </c>
    </row>
    <row r="146">
      <c r="A146" s="525">
        <v>145</v>
      </c>
      <c r="B146" s="525" t="s">
        <v>6169</v>
      </c>
      <c r="C146" s="525">
        <v>3</v>
      </c>
      <c r="D146" s="525" t="s">
        <v>530</v>
      </c>
      <c r="E146" s="525">
        <v>0</v>
      </c>
      <c r="F146" s="525">
        <v>20</v>
      </c>
      <c r="G146" s="525">
        <v>80</v>
      </c>
      <c r="H146" s="525">
        <v>0</v>
      </c>
      <c r="I146" s="525">
        <v>0</v>
      </c>
    </row>
    <row r="147">
      <c r="A147" s="525">
        <v>146</v>
      </c>
      <c r="B147" s="525" t="s">
        <v>6170</v>
      </c>
      <c r="C147" s="525">
        <v>2</v>
      </c>
      <c r="D147" s="525" t="s">
        <v>6149</v>
      </c>
      <c r="E147" s="525">
        <v>0</v>
      </c>
      <c r="F147" s="525">
        <v>40</v>
      </c>
      <c r="G147" s="525">
        <v>0</v>
      </c>
      <c r="H147" s="525">
        <v>40</v>
      </c>
      <c r="I147" s="525">
        <v>0</v>
      </c>
    </row>
    <row r="148">
      <c r="A148" s="525">
        <v>147</v>
      </c>
      <c r="B148" s="525" t="s">
        <v>6170</v>
      </c>
      <c r="C148" s="525">
        <v>4</v>
      </c>
      <c r="D148" s="525" t="s">
        <v>6149</v>
      </c>
      <c r="E148" s="525">
        <v>0</v>
      </c>
      <c r="F148" s="525">
        <v>80</v>
      </c>
      <c r="G148" s="525">
        <v>0</v>
      </c>
      <c r="H148" s="525">
        <v>80</v>
      </c>
      <c r="I148" s="525">
        <v>0</v>
      </c>
    </row>
    <row r="149">
      <c r="A149" s="525">
        <v>148</v>
      </c>
      <c r="B149" s="525" t="s">
        <v>6170</v>
      </c>
      <c r="C149" s="525">
        <v>2</v>
      </c>
      <c r="D149" s="525" t="s">
        <v>6150</v>
      </c>
      <c r="E149" s="525">
        <v>0</v>
      </c>
      <c r="F149" s="525">
        <v>40</v>
      </c>
      <c r="G149" s="525">
        <v>0</v>
      </c>
      <c r="H149" s="525">
        <v>0</v>
      </c>
      <c r="I149" s="525">
        <v>0</v>
      </c>
    </row>
    <row r="150">
      <c r="A150" s="525">
        <v>149</v>
      </c>
      <c r="B150" s="525" t="s">
        <v>6170</v>
      </c>
      <c r="C150" s="525">
        <v>4</v>
      </c>
      <c r="D150" s="525" t="s">
        <v>6150</v>
      </c>
      <c r="E150" s="525">
        <v>0</v>
      </c>
      <c r="F150" s="525">
        <v>80</v>
      </c>
      <c r="G150" s="525">
        <v>0</v>
      </c>
      <c r="H150" s="525">
        <v>0</v>
      </c>
      <c r="I150" s="525">
        <v>0</v>
      </c>
    </row>
    <row r="151">
      <c r="A151" s="525">
        <v>150</v>
      </c>
      <c r="B151" s="525" t="s">
        <v>645</v>
      </c>
      <c r="C151" s="525">
        <v>4</v>
      </c>
      <c r="D151" s="525" t="s">
        <v>6149</v>
      </c>
      <c r="E151" s="525">
        <v>0</v>
      </c>
      <c r="F151" s="525">
        <v>20</v>
      </c>
      <c r="G151" s="525">
        <v>15</v>
      </c>
      <c r="H151" s="525">
        <v>0</v>
      </c>
      <c r="I151" s="525">
        <v>0</v>
      </c>
    </row>
    <row r="152">
      <c r="A152" s="525">
        <v>151</v>
      </c>
      <c r="B152" s="525" t="s">
        <v>645</v>
      </c>
      <c r="C152" s="525">
        <v>2</v>
      </c>
      <c r="D152" s="525" t="s">
        <v>6150</v>
      </c>
      <c r="E152" s="525">
        <v>0</v>
      </c>
      <c r="F152" s="525">
        <v>40</v>
      </c>
      <c r="G152" s="525">
        <v>20</v>
      </c>
      <c r="H152" s="525">
        <v>0</v>
      </c>
      <c r="I152" s="525">
        <v>40</v>
      </c>
    </row>
    <row r="153">
      <c r="A153" s="525">
        <v>152</v>
      </c>
      <c r="B153" s="525" t="s">
        <v>6174</v>
      </c>
      <c r="C153" s="525">
        <v>4</v>
      </c>
      <c r="D153" s="525" t="s">
        <v>6149</v>
      </c>
      <c r="E153" s="525">
        <v>0</v>
      </c>
      <c r="F153" s="525">
        <v>37.24</v>
      </c>
      <c r="G153" s="525">
        <v>0</v>
      </c>
      <c r="H153" s="525">
        <v>0</v>
      </c>
      <c r="I153" s="525">
        <v>0</v>
      </c>
    </row>
    <row r="154">
      <c r="A154" s="525">
        <v>153</v>
      </c>
      <c r="B154" s="525" t="s">
        <v>6174</v>
      </c>
      <c r="C154" s="525">
        <v>2</v>
      </c>
      <c r="D154" s="525" t="s">
        <v>6150</v>
      </c>
      <c r="E154" s="525">
        <v>0</v>
      </c>
      <c r="F154" s="525">
        <v>41.7</v>
      </c>
      <c r="G154" s="525">
        <v>0</v>
      </c>
      <c r="H154" s="525">
        <v>0</v>
      </c>
      <c r="I154" s="525">
        <v>0</v>
      </c>
    </row>
    <row r="155">
      <c r="A155" s="525">
        <v>154</v>
      </c>
      <c r="B155" s="525" t="s">
        <v>6174</v>
      </c>
      <c r="C155" s="525">
        <v>4</v>
      </c>
      <c r="D155" s="525" t="s">
        <v>6150</v>
      </c>
      <c r="E155" s="525">
        <v>0</v>
      </c>
      <c r="F155" s="525">
        <v>37.24</v>
      </c>
      <c r="G155" s="525">
        <v>0</v>
      </c>
      <c r="H155" s="525">
        <v>0</v>
      </c>
      <c r="I155" s="525">
        <v>0</v>
      </c>
    </row>
    <row r="156">
      <c r="A156" s="525">
        <v>155</v>
      </c>
      <c r="B156" s="525" t="s">
        <v>6185</v>
      </c>
      <c r="C156" s="525">
        <v>1</v>
      </c>
      <c r="D156" s="525" t="s">
        <v>6149</v>
      </c>
      <c r="E156" s="525">
        <v>0</v>
      </c>
      <c r="F156" s="525">
        <v>20</v>
      </c>
      <c r="G156" s="525">
        <v>0</v>
      </c>
      <c r="H156" s="525">
        <v>0</v>
      </c>
      <c r="I156" s="525">
        <v>0</v>
      </c>
    </row>
    <row r="157">
      <c r="A157" s="525">
        <v>156</v>
      </c>
      <c r="B157" s="525" t="s">
        <v>6185</v>
      </c>
      <c r="C157" s="525">
        <v>2</v>
      </c>
      <c r="D157" s="525" t="s">
        <v>6149</v>
      </c>
      <c r="E157" s="525">
        <v>0</v>
      </c>
      <c r="F157" s="525">
        <v>40</v>
      </c>
      <c r="G157" s="525">
        <v>0</v>
      </c>
      <c r="H157" s="525">
        <v>0</v>
      </c>
      <c r="I157" s="525">
        <v>0</v>
      </c>
    </row>
    <row r="158">
      <c r="A158" s="525">
        <v>157</v>
      </c>
      <c r="B158" s="525" t="s">
        <v>6185</v>
      </c>
      <c r="C158" s="525">
        <v>3</v>
      </c>
      <c r="D158" s="525" t="s">
        <v>6149</v>
      </c>
      <c r="E158" s="525">
        <v>0</v>
      </c>
      <c r="F158" s="525">
        <v>60</v>
      </c>
      <c r="G158" s="525">
        <v>0</v>
      </c>
      <c r="H158" s="525">
        <v>0</v>
      </c>
      <c r="I158" s="525">
        <v>0</v>
      </c>
    </row>
    <row r="159">
      <c r="A159" s="525">
        <v>158</v>
      </c>
      <c r="B159" s="525" t="s">
        <v>6185</v>
      </c>
      <c r="C159" s="525">
        <v>4</v>
      </c>
      <c r="D159" s="525" t="s">
        <v>6149</v>
      </c>
      <c r="E159" s="525">
        <v>0</v>
      </c>
      <c r="F159" s="525">
        <v>80</v>
      </c>
      <c r="G159" s="525">
        <v>0</v>
      </c>
      <c r="H159" s="525">
        <v>0</v>
      </c>
      <c r="I159" s="525">
        <v>0</v>
      </c>
    </row>
    <row r="160">
      <c r="A160" s="525">
        <v>159</v>
      </c>
      <c r="B160" s="525" t="s">
        <v>6185</v>
      </c>
      <c r="C160" s="525">
        <v>5</v>
      </c>
      <c r="D160" s="525" t="s">
        <v>6149</v>
      </c>
      <c r="E160" s="525">
        <v>0</v>
      </c>
      <c r="F160" s="525">
        <v>100</v>
      </c>
      <c r="G160" s="525">
        <v>0</v>
      </c>
      <c r="H160" s="525">
        <v>0</v>
      </c>
      <c r="I160" s="525">
        <v>0</v>
      </c>
    </row>
    <row r="161">
      <c r="A161" s="525">
        <v>160</v>
      </c>
      <c r="B161" s="525" t="s">
        <v>6185</v>
      </c>
      <c r="C161" s="525">
        <v>6</v>
      </c>
      <c r="D161" s="525" t="s">
        <v>6149</v>
      </c>
      <c r="E161" s="525">
        <v>0</v>
      </c>
      <c r="F161" s="525">
        <v>120</v>
      </c>
      <c r="G161" s="525">
        <v>0</v>
      </c>
      <c r="H161" s="525">
        <v>0</v>
      </c>
      <c r="I161" s="525">
        <v>0</v>
      </c>
    </row>
    <row r="162">
      <c r="A162" s="525">
        <v>161</v>
      </c>
      <c r="B162" s="525" t="s">
        <v>6185</v>
      </c>
      <c r="C162" s="525">
        <v>1</v>
      </c>
      <c r="D162" s="525" t="s">
        <v>6150</v>
      </c>
      <c r="E162" s="525">
        <v>0</v>
      </c>
      <c r="F162" s="525">
        <v>20</v>
      </c>
      <c r="G162" s="525">
        <v>0</v>
      </c>
      <c r="H162" s="525">
        <v>0</v>
      </c>
      <c r="I162" s="525">
        <v>0</v>
      </c>
    </row>
    <row r="163">
      <c r="A163" s="525">
        <v>162</v>
      </c>
      <c r="B163" s="525" t="s">
        <v>6185</v>
      </c>
      <c r="C163" s="525">
        <v>2</v>
      </c>
      <c r="D163" s="525" t="s">
        <v>6150</v>
      </c>
      <c r="E163" s="525">
        <v>0</v>
      </c>
      <c r="F163" s="525">
        <v>40</v>
      </c>
      <c r="G163" s="525">
        <v>0</v>
      </c>
      <c r="H163" s="525">
        <v>0</v>
      </c>
      <c r="I163" s="525">
        <v>0</v>
      </c>
    </row>
    <row r="164">
      <c r="A164" s="525">
        <v>163</v>
      </c>
      <c r="B164" s="525" t="s">
        <v>6185</v>
      </c>
      <c r="C164" s="525">
        <v>3</v>
      </c>
      <c r="D164" s="525" t="s">
        <v>6150</v>
      </c>
      <c r="E164" s="525">
        <v>0</v>
      </c>
      <c r="F164" s="525">
        <v>60</v>
      </c>
      <c r="G164" s="525">
        <v>0</v>
      </c>
      <c r="H164" s="525">
        <v>0</v>
      </c>
      <c r="I164" s="525">
        <v>0</v>
      </c>
    </row>
    <row r="165">
      <c r="A165" s="525">
        <v>164</v>
      </c>
      <c r="B165" s="525" t="s">
        <v>6185</v>
      </c>
      <c r="C165" s="525">
        <v>4</v>
      </c>
      <c r="D165" s="525" t="s">
        <v>6150</v>
      </c>
      <c r="E165" s="525">
        <v>0</v>
      </c>
      <c r="F165" s="525">
        <v>80</v>
      </c>
      <c r="G165" s="525">
        <v>0</v>
      </c>
      <c r="H165" s="525">
        <v>0</v>
      </c>
      <c r="I165" s="525">
        <v>0</v>
      </c>
    </row>
    <row r="166">
      <c r="A166" s="525">
        <v>165</v>
      </c>
      <c r="B166" s="525" t="s">
        <v>6185</v>
      </c>
      <c r="C166" s="525">
        <v>5</v>
      </c>
      <c r="D166" s="525" t="s">
        <v>6150</v>
      </c>
      <c r="E166" s="525">
        <v>0</v>
      </c>
      <c r="F166" s="525">
        <v>100</v>
      </c>
      <c r="G166" s="525">
        <v>0</v>
      </c>
      <c r="H166" s="525">
        <v>0</v>
      </c>
      <c r="I166" s="525">
        <v>0</v>
      </c>
    </row>
    <row r="167">
      <c r="A167" s="525">
        <v>166</v>
      </c>
      <c r="B167" s="525" t="s">
        <v>6185</v>
      </c>
      <c r="C167" s="525">
        <v>6</v>
      </c>
      <c r="D167" s="525" t="s">
        <v>6150</v>
      </c>
      <c r="E167" s="525">
        <v>0</v>
      </c>
      <c r="F167" s="525">
        <v>120</v>
      </c>
      <c r="G167" s="525">
        <v>0</v>
      </c>
      <c r="H167" s="525">
        <v>0</v>
      </c>
      <c r="I167" s="525">
        <v>0</v>
      </c>
    </row>
    <row r="168">
      <c r="A168" s="525">
        <v>167</v>
      </c>
      <c r="B168" s="525" t="s">
        <v>6186</v>
      </c>
      <c r="C168" s="525">
        <v>1</v>
      </c>
      <c r="D168" s="525" t="s">
        <v>6180</v>
      </c>
      <c r="E168" s="525">
        <v>0</v>
      </c>
      <c r="F168" s="525">
        <v>40</v>
      </c>
      <c r="G168" s="525">
        <v>0</v>
      </c>
      <c r="H168" s="525">
        <v>0</v>
      </c>
      <c r="I168" s="525">
        <v>0</v>
      </c>
    </row>
    <row r="169">
      <c r="A169" s="525">
        <v>168</v>
      </c>
      <c r="B169" s="525" t="s">
        <v>6187</v>
      </c>
      <c r="C169" s="525">
        <v>1</v>
      </c>
      <c r="D169" s="525" t="s">
        <v>6149</v>
      </c>
      <c r="E169" s="525">
        <v>0</v>
      </c>
      <c r="F169" s="525">
        <v>20</v>
      </c>
      <c r="G169" s="525">
        <v>0</v>
      </c>
      <c r="H169" s="525">
        <v>0</v>
      </c>
      <c r="I169" s="525">
        <v>0</v>
      </c>
    </row>
    <row r="170">
      <c r="A170" s="525">
        <v>169</v>
      </c>
      <c r="B170" s="525" t="s">
        <v>6187</v>
      </c>
      <c r="C170" s="525">
        <v>2</v>
      </c>
      <c r="D170" s="525" t="s">
        <v>6149</v>
      </c>
      <c r="E170" s="525">
        <v>0</v>
      </c>
      <c r="F170" s="525">
        <v>40</v>
      </c>
      <c r="G170" s="525">
        <v>0</v>
      </c>
      <c r="H170" s="525">
        <v>0</v>
      </c>
      <c r="I170" s="525">
        <v>0</v>
      </c>
    </row>
    <row r="171">
      <c r="A171" s="525">
        <v>170</v>
      </c>
      <c r="B171" s="525" t="s">
        <v>6187</v>
      </c>
      <c r="C171" s="525">
        <v>3</v>
      </c>
      <c r="D171" s="525" t="s">
        <v>6149</v>
      </c>
      <c r="E171" s="525">
        <v>0</v>
      </c>
      <c r="F171" s="525">
        <v>60</v>
      </c>
      <c r="G171" s="525">
        <v>0</v>
      </c>
      <c r="H171" s="525">
        <v>0</v>
      </c>
      <c r="I171" s="525">
        <v>0</v>
      </c>
    </row>
    <row r="172">
      <c r="A172" s="525">
        <v>171</v>
      </c>
      <c r="B172" s="525" t="s">
        <v>6187</v>
      </c>
      <c r="C172" s="525">
        <v>4</v>
      </c>
      <c r="D172" s="525" t="s">
        <v>6149</v>
      </c>
      <c r="E172" s="525">
        <v>0</v>
      </c>
      <c r="F172" s="525">
        <v>80</v>
      </c>
      <c r="G172" s="525">
        <v>0</v>
      </c>
      <c r="H172" s="525">
        <v>0</v>
      </c>
      <c r="I172" s="525">
        <v>0</v>
      </c>
    </row>
    <row r="173">
      <c r="A173" s="525">
        <v>172</v>
      </c>
      <c r="B173" s="525" t="s">
        <v>6187</v>
      </c>
      <c r="C173" s="525">
        <v>5</v>
      </c>
      <c r="D173" s="525" t="s">
        <v>6149</v>
      </c>
      <c r="E173" s="525">
        <v>0</v>
      </c>
      <c r="F173" s="525">
        <v>80</v>
      </c>
      <c r="G173" s="525">
        <v>0</v>
      </c>
      <c r="H173" s="525">
        <v>0</v>
      </c>
      <c r="I173" s="525">
        <v>0</v>
      </c>
    </row>
    <row r="174">
      <c r="A174" s="525">
        <v>173</v>
      </c>
      <c r="B174" s="525" t="s">
        <v>6187</v>
      </c>
      <c r="C174" s="525">
        <v>6</v>
      </c>
      <c r="D174" s="525" t="s">
        <v>6149</v>
      </c>
      <c r="E174" s="525">
        <v>0</v>
      </c>
      <c r="F174" s="525">
        <v>80</v>
      </c>
      <c r="G174" s="525">
        <v>0</v>
      </c>
      <c r="H174" s="525">
        <v>0</v>
      </c>
      <c r="I174" s="525">
        <v>0</v>
      </c>
    </row>
    <row r="175">
      <c r="A175" s="525">
        <v>174</v>
      </c>
      <c r="B175" s="525" t="s">
        <v>6187</v>
      </c>
      <c r="C175" s="525">
        <v>1</v>
      </c>
      <c r="D175" s="525" t="s">
        <v>6150</v>
      </c>
      <c r="E175" s="525">
        <v>0</v>
      </c>
      <c r="F175" s="525">
        <v>20</v>
      </c>
      <c r="G175" s="525">
        <v>0</v>
      </c>
      <c r="H175" s="525">
        <v>0</v>
      </c>
      <c r="I175" s="525">
        <v>0</v>
      </c>
    </row>
    <row r="176">
      <c r="A176" s="525">
        <v>175</v>
      </c>
      <c r="B176" s="525" t="s">
        <v>6187</v>
      </c>
      <c r="C176" s="525">
        <v>2</v>
      </c>
      <c r="D176" s="525" t="s">
        <v>6150</v>
      </c>
      <c r="E176" s="525">
        <v>0</v>
      </c>
      <c r="F176" s="525">
        <v>40</v>
      </c>
      <c r="G176" s="525">
        <v>0</v>
      </c>
      <c r="H176" s="525">
        <v>0</v>
      </c>
      <c r="I176" s="525">
        <v>0</v>
      </c>
    </row>
    <row r="177">
      <c r="A177" s="525">
        <v>176</v>
      </c>
      <c r="B177" s="525" t="s">
        <v>6187</v>
      </c>
      <c r="C177" s="525">
        <v>3</v>
      </c>
      <c r="D177" s="525" t="s">
        <v>6150</v>
      </c>
      <c r="E177" s="525">
        <v>0</v>
      </c>
      <c r="F177" s="525">
        <v>60</v>
      </c>
      <c r="G177" s="525">
        <v>0</v>
      </c>
      <c r="H177" s="525">
        <v>0</v>
      </c>
      <c r="I177" s="525">
        <v>0</v>
      </c>
    </row>
    <row r="178">
      <c r="A178" s="525">
        <v>177</v>
      </c>
      <c r="B178" s="525" t="s">
        <v>6187</v>
      </c>
      <c r="C178" s="525">
        <v>4</v>
      </c>
      <c r="D178" s="525" t="s">
        <v>6150</v>
      </c>
      <c r="E178" s="525">
        <v>0</v>
      </c>
      <c r="F178" s="525">
        <v>80</v>
      </c>
      <c r="G178" s="525">
        <v>0</v>
      </c>
      <c r="H178" s="525">
        <v>0</v>
      </c>
      <c r="I178" s="525">
        <v>0</v>
      </c>
    </row>
    <row r="179">
      <c r="A179" s="525">
        <v>178</v>
      </c>
      <c r="B179" s="525" t="s">
        <v>6187</v>
      </c>
      <c r="C179" s="525">
        <v>5</v>
      </c>
      <c r="D179" s="525" t="s">
        <v>6150</v>
      </c>
      <c r="E179" s="525">
        <v>0</v>
      </c>
      <c r="F179" s="525">
        <v>80</v>
      </c>
      <c r="G179" s="525">
        <v>0</v>
      </c>
      <c r="H179" s="525">
        <v>0</v>
      </c>
      <c r="I179" s="525">
        <v>0</v>
      </c>
    </row>
    <row r="180">
      <c r="A180" s="525">
        <v>179</v>
      </c>
      <c r="B180" s="525" t="s">
        <v>6187</v>
      </c>
      <c r="C180" s="525">
        <v>6</v>
      </c>
      <c r="D180" s="525" t="s">
        <v>6150</v>
      </c>
      <c r="E180" s="525">
        <v>0</v>
      </c>
      <c r="F180" s="525">
        <v>80</v>
      </c>
      <c r="G180" s="525">
        <v>0</v>
      </c>
      <c r="H180" s="525">
        <v>0</v>
      </c>
      <c r="I180" s="525">
        <v>0</v>
      </c>
    </row>
    <row r="181">
      <c r="A181" s="525">
        <v>180</v>
      </c>
      <c r="B181" s="525" t="s">
        <v>6172</v>
      </c>
      <c r="C181" s="525">
        <v>3</v>
      </c>
      <c r="D181" s="525" t="s">
        <v>530</v>
      </c>
      <c r="E181" s="525">
        <v>0</v>
      </c>
      <c r="F181" s="525">
        <v>60</v>
      </c>
      <c r="G181" s="525">
        <v>0</v>
      </c>
      <c r="H181" s="525">
        <v>0</v>
      </c>
      <c r="I181" s="525">
        <v>0</v>
      </c>
    </row>
    <row r="182">
      <c r="A182" s="525">
        <v>181</v>
      </c>
      <c r="B182" s="525" t="s">
        <v>6172</v>
      </c>
      <c r="C182" s="525">
        <v>4</v>
      </c>
      <c r="D182" s="525" t="s">
        <v>530</v>
      </c>
      <c r="E182" s="525">
        <v>0</v>
      </c>
      <c r="F182" s="525">
        <v>80</v>
      </c>
      <c r="G182" s="525">
        <v>0</v>
      </c>
      <c r="H182" s="525">
        <v>0</v>
      </c>
      <c r="I182" s="525">
        <v>0</v>
      </c>
    </row>
    <row r="183">
      <c r="A183" s="525">
        <v>182</v>
      </c>
      <c r="B183" s="525" t="s">
        <v>645</v>
      </c>
      <c r="C183" s="525">
        <v>3</v>
      </c>
      <c r="D183" s="525" t="s">
        <v>530</v>
      </c>
      <c r="E183" s="525">
        <v>0</v>
      </c>
      <c r="F183" s="525">
        <v>60</v>
      </c>
      <c r="G183" s="525">
        <v>0</v>
      </c>
      <c r="H183" s="525">
        <v>0</v>
      </c>
      <c r="I183" s="525">
        <v>0</v>
      </c>
    </row>
    <row r="184">
      <c r="A184" s="525">
        <v>183</v>
      </c>
      <c r="B184" s="525" t="s">
        <v>645</v>
      </c>
      <c r="C184" s="525">
        <v>4</v>
      </c>
      <c r="D184" s="525" t="s">
        <v>530</v>
      </c>
      <c r="E184" s="525">
        <v>0</v>
      </c>
      <c r="F184" s="525">
        <v>80</v>
      </c>
      <c r="G184" s="525">
        <v>0</v>
      </c>
      <c r="H184" s="525">
        <v>0</v>
      </c>
      <c r="I184" s="525">
        <v>0</v>
      </c>
    </row>
    <row r="185">
      <c r="A185" s="525">
        <v>184</v>
      </c>
      <c r="B185" s="525" t="s">
        <v>6188</v>
      </c>
      <c r="C185" s="525">
        <v>1</v>
      </c>
      <c r="D185" s="525" t="s">
        <v>6180</v>
      </c>
      <c r="E185" s="525">
        <v>0</v>
      </c>
      <c r="F185" s="525">
        <v>40</v>
      </c>
      <c r="G185" s="525">
        <v>0</v>
      </c>
      <c r="H185" s="525">
        <v>0</v>
      </c>
      <c r="I185" s="525">
        <v>0</v>
      </c>
    </row>
    <row r="186">
      <c r="A186" s="525">
        <v>185</v>
      </c>
      <c r="B186" s="525" t="s">
        <v>6189</v>
      </c>
      <c r="C186" s="525">
        <v>1</v>
      </c>
      <c r="D186" s="525" t="s">
        <v>530</v>
      </c>
      <c r="E186" s="525">
        <v>0</v>
      </c>
      <c r="F186" s="525">
        <v>20</v>
      </c>
      <c r="G186" s="525">
        <v>0</v>
      </c>
      <c r="H186" s="525">
        <v>0</v>
      </c>
      <c r="I186" s="525">
        <v>0</v>
      </c>
    </row>
    <row r="187">
      <c r="A187" s="525">
        <v>186</v>
      </c>
      <c r="B187" s="525" t="s">
        <v>6189</v>
      </c>
      <c r="C187" s="525">
        <v>2</v>
      </c>
      <c r="D187" s="525" t="s">
        <v>530</v>
      </c>
      <c r="E187" s="525">
        <v>0</v>
      </c>
      <c r="F187" s="525">
        <v>40</v>
      </c>
      <c r="G187" s="525">
        <v>0</v>
      </c>
      <c r="H187" s="525">
        <v>0</v>
      </c>
      <c r="I187" s="525">
        <v>0</v>
      </c>
    </row>
    <row r="188">
      <c r="A188" s="525">
        <v>187</v>
      </c>
      <c r="B188" s="525" t="s">
        <v>6189</v>
      </c>
      <c r="C188" s="525">
        <v>3</v>
      </c>
      <c r="D188" s="525" t="s">
        <v>530</v>
      </c>
      <c r="E188" s="525">
        <v>0</v>
      </c>
      <c r="F188" s="525">
        <v>60</v>
      </c>
      <c r="G188" s="525">
        <v>0</v>
      </c>
      <c r="H188" s="525">
        <v>0</v>
      </c>
      <c r="I188" s="525">
        <v>0</v>
      </c>
    </row>
    <row r="189">
      <c r="A189" s="525">
        <v>188</v>
      </c>
      <c r="B189" s="525" t="s">
        <v>6189</v>
      </c>
      <c r="C189" s="525">
        <v>4</v>
      </c>
      <c r="D189" s="525" t="s">
        <v>530</v>
      </c>
      <c r="E189" s="525">
        <v>0</v>
      </c>
      <c r="F189" s="525">
        <v>80</v>
      </c>
      <c r="G189" s="525">
        <v>0</v>
      </c>
      <c r="H189" s="525">
        <v>0</v>
      </c>
      <c r="I189" s="525">
        <v>0</v>
      </c>
    </row>
    <row r="190">
      <c r="A190" s="525">
        <v>189</v>
      </c>
      <c r="B190" s="525" t="s">
        <v>6190</v>
      </c>
      <c r="C190" s="525">
        <v>1</v>
      </c>
      <c r="D190" s="525" t="s">
        <v>6180</v>
      </c>
      <c r="E190" s="525">
        <v>0</v>
      </c>
      <c r="F190" s="525">
        <v>40</v>
      </c>
      <c r="G190" s="525">
        <v>0</v>
      </c>
      <c r="H190" s="525">
        <v>0</v>
      </c>
      <c r="I190" s="525">
        <v>0</v>
      </c>
    </row>
    <row r="191">
      <c r="A191" s="525">
        <v>190</v>
      </c>
      <c r="B191" s="525" t="s">
        <v>6191</v>
      </c>
      <c r="C191" s="525">
        <v>2</v>
      </c>
      <c r="D191" s="525" t="s">
        <v>530</v>
      </c>
      <c r="E191" s="525">
        <v>0</v>
      </c>
      <c r="F191" s="525">
        <v>0</v>
      </c>
      <c r="G191" s="525">
        <v>80</v>
      </c>
      <c r="H191" s="525">
        <v>0</v>
      </c>
      <c r="I191" s="525">
        <v>0</v>
      </c>
    </row>
    <row r="192">
      <c r="A192" s="525">
        <v>191</v>
      </c>
      <c r="B192" s="525" t="s">
        <v>6191</v>
      </c>
      <c r="C192" s="525">
        <v>1</v>
      </c>
      <c r="D192" s="525" t="s">
        <v>531</v>
      </c>
      <c r="E192" s="525">
        <v>0</v>
      </c>
      <c r="F192" s="525">
        <v>0</v>
      </c>
      <c r="G192" s="525">
        <v>80</v>
      </c>
      <c r="H192" s="525">
        <v>0</v>
      </c>
      <c r="I192" s="525">
        <v>0</v>
      </c>
    </row>
    <row r="193">
      <c r="A193" s="525">
        <v>192</v>
      </c>
      <c r="B193" s="525" t="s">
        <v>6169</v>
      </c>
      <c r="C193" s="525">
        <v>1</v>
      </c>
      <c r="D193" s="525" t="s">
        <v>6149</v>
      </c>
      <c r="E193" s="525">
        <v>0</v>
      </c>
      <c r="F193" s="525">
        <v>0</v>
      </c>
      <c r="G193" s="525">
        <v>20</v>
      </c>
      <c r="H193" s="525">
        <v>0</v>
      </c>
      <c r="I193" s="525">
        <v>0</v>
      </c>
    </row>
    <row r="194">
      <c r="A194" s="525">
        <v>193</v>
      </c>
      <c r="B194" s="525" t="s">
        <v>6169</v>
      </c>
      <c r="C194" s="525">
        <v>3</v>
      </c>
      <c r="D194" s="525" t="s">
        <v>6149</v>
      </c>
      <c r="E194" s="525">
        <v>0</v>
      </c>
      <c r="F194" s="525">
        <v>0</v>
      </c>
      <c r="G194" s="525">
        <v>60</v>
      </c>
      <c r="H194" s="525">
        <v>0</v>
      </c>
      <c r="I194" s="525">
        <v>0</v>
      </c>
    </row>
    <row r="195">
      <c r="A195" s="525">
        <v>194</v>
      </c>
      <c r="B195" s="525" t="s">
        <v>6169</v>
      </c>
      <c r="C195" s="525">
        <v>1</v>
      </c>
      <c r="D195" s="525" t="s">
        <v>6150</v>
      </c>
      <c r="E195" s="525">
        <v>0</v>
      </c>
      <c r="F195" s="525">
        <v>0</v>
      </c>
      <c r="G195" s="525">
        <v>20</v>
      </c>
      <c r="H195" s="525">
        <v>0</v>
      </c>
      <c r="I195" s="525">
        <v>0</v>
      </c>
    </row>
    <row r="196">
      <c r="A196" s="525">
        <v>195</v>
      </c>
      <c r="B196" s="525" t="s">
        <v>6170</v>
      </c>
      <c r="C196" s="525">
        <v>1</v>
      </c>
      <c r="D196" s="525" t="s">
        <v>531</v>
      </c>
      <c r="E196" s="525">
        <v>0</v>
      </c>
      <c r="F196" s="525">
        <v>0</v>
      </c>
      <c r="G196" s="525">
        <v>80</v>
      </c>
      <c r="H196" s="525">
        <v>0</v>
      </c>
      <c r="I196" s="525">
        <v>0</v>
      </c>
    </row>
    <row r="197">
      <c r="A197" s="525">
        <v>196</v>
      </c>
      <c r="B197" s="525" t="s">
        <v>6192</v>
      </c>
      <c r="C197" s="525">
        <v>1</v>
      </c>
      <c r="D197" s="525" t="s">
        <v>6180</v>
      </c>
      <c r="E197" s="525">
        <v>0</v>
      </c>
      <c r="F197" s="525">
        <v>0</v>
      </c>
      <c r="G197" s="525">
        <v>60</v>
      </c>
      <c r="H197" s="525">
        <v>0</v>
      </c>
      <c r="I197" s="525">
        <v>0</v>
      </c>
    </row>
    <row r="198">
      <c r="A198" s="525">
        <v>197</v>
      </c>
      <c r="B198" s="525" t="s">
        <v>6193</v>
      </c>
      <c r="C198" s="525">
        <v>1</v>
      </c>
      <c r="D198" s="525" t="s">
        <v>6180</v>
      </c>
      <c r="E198" s="525">
        <v>0</v>
      </c>
      <c r="F198" s="525">
        <v>0</v>
      </c>
      <c r="G198" s="525">
        <v>120</v>
      </c>
      <c r="H198" s="525">
        <v>0</v>
      </c>
      <c r="I198" s="525">
        <v>0</v>
      </c>
    </row>
    <row r="199">
      <c r="A199" s="525">
        <v>198</v>
      </c>
      <c r="B199" s="525" t="s">
        <v>6172</v>
      </c>
      <c r="C199" s="525">
        <v>3</v>
      </c>
      <c r="D199" s="525" t="s">
        <v>6149</v>
      </c>
      <c r="E199" s="525">
        <v>0</v>
      </c>
      <c r="F199" s="525">
        <v>0</v>
      </c>
      <c r="G199" s="525">
        <v>71</v>
      </c>
      <c r="H199" s="525">
        <v>60</v>
      </c>
      <c r="I199" s="525">
        <v>0</v>
      </c>
    </row>
    <row r="200">
      <c r="A200" s="525">
        <v>199</v>
      </c>
      <c r="B200" s="525" t="s">
        <v>689</v>
      </c>
      <c r="C200" s="525">
        <v>2</v>
      </c>
      <c r="D200" s="525" t="s">
        <v>6149</v>
      </c>
      <c r="E200" s="525">
        <v>0</v>
      </c>
      <c r="F200" s="525">
        <v>0</v>
      </c>
      <c r="G200" s="525">
        <v>20</v>
      </c>
      <c r="H200" s="525">
        <v>0</v>
      </c>
      <c r="I200" s="525">
        <v>0</v>
      </c>
    </row>
    <row r="201">
      <c r="A201" s="525">
        <v>200</v>
      </c>
      <c r="B201" s="525" t="s">
        <v>689</v>
      </c>
      <c r="C201" s="525">
        <v>3</v>
      </c>
      <c r="D201" s="525" t="s">
        <v>6149</v>
      </c>
      <c r="E201" s="525">
        <v>0</v>
      </c>
      <c r="F201" s="525">
        <v>0</v>
      </c>
      <c r="G201" s="525">
        <v>20</v>
      </c>
      <c r="H201" s="525">
        <v>0</v>
      </c>
      <c r="I201" s="525">
        <v>0</v>
      </c>
    </row>
    <row r="202">
      <c r="A202" s="525">
        <v>201</v>
      </c>
      <c r="B202" s="525" t="s">
        <v>689</v>
      </c>
      <c r="C202" s="525">
        <v>4</v>
      </c>
      <c r="D202" s="525" t="s">
        <v>6149</v>
      </c>
      <c r="E202" s="525">
        <v>0</v>
      </c>
      <c r="F202" s="525">
        <v>0</v>
      </c>
      <c r="G202" s="525">
        <v>20</v>
      </c>
      <c r="H202" s="525">
        <v>0</v>
      </c>
      <c r="I202" s="525">
        <v>0</v>
      </c>
    </row>
    <row r="203">
      <c r="A203" s="525">
        <v>202</v>
      </c>
      <c r="B203" s="525" t="s">
        <v>689</v>
      </c>
      <c r="C203" s="525">
        <v>2</v>
      </c>
      <c r="D203" s="525" t="s">
        <v>6150</v>
      </c>
      <c r="E203" s="525">
        <v>0</v>
      </c>
      <c r="F203" s="525">
        <v>0</v>
      </c>
      <c r="G203" s="525">
        <v>16</v>
      </c>
      <c r="H203" s="525">
        <v>0</v>
      </c>
      <c r="I203" s="525">
        <v>0</v>
      </c>
    </row>
    <row r="204">
      <c r="A204" s="525">
        <v>203</v>
      </c>
      <c r="B204" s="525" t="s">
        <v>689</v>
      </c>
      <c r="C204" s="525">
        <v>3</v>
      </c>
      <c r="D204" s="525" t="s">
        <v>6150</v>
      </c>
      <c r="E204" s="525">
        <v>0</v>
      </c>
      <c r="F204" s="525">
        <v>0</v>
      </c>
      <c r="G204" s="525">
        <v>16</v>
      </c>
      <c r="H204" s="525">
        <v>0</v>
      </c>
      <c r="I204" s="525">
        <v>0</v>
      </c>
    </row>
    <row r="205">
      <c r="A205" s="525">
        <v>204</v>
      </c>
      <c r="B205" s="525" t="s">
        <v>689</v>
      </c>
      <c r="C205" s="525">
        <v>4</v>
      </c>
      <c r="D205" s="525" t="s">
        <v>6150</v>
      </c>
      <c r="E205" s="525">
        <v>0</v>
      </c>
      <c r="F205" s="525">
        <v>0</v>
      </c>
      <c r="G205" s="525">
        <v>16</v>
      </c>
      <c r="H205" s="525">
        <v>0</v>
      </c>
      <c r="I205" s="525">
        <v>0</v>
      </c>
    </row>
    <row r="206">
      <c r="A206" s="525">
        <v>205</v>
      </c>
      <c r="B206" s="525" t="s">
        <v>689</v>
      </c>
      <c r="C206" s="525">
        <v>4</v>
      </c>
      <c r="D206" s="525" t="s">
        <v>6151</v>
      </c>
      <c r="E206" s="525">
        <v>0</v>
      </c>
      <c r="F206" s="525">
        <v>0</v>
      </c>
      <c r="G206" s="525">
        <v>20</v>
      </c>
      <c r="H206" s="525">
        <v>0</v>
      </c>
      <c r="I206" s="525">
        <v>0</v>
      </c>
    </row>
    <row r="207">
      <c r="A207" s="525">
        <v>206</v>
      </c>
      <c r="B207" s="525" t="s">
        <v>689</v>
      </c>
      <c r="C207" s="525">
        <v>6</v>
      </c>
      <c r="D207" s="525" t="s">
        <v>6151</v>
      </c>
      <c r="E207" s="525">
        <v>0</v>
      </c>
      <c r="F207" s="525">
        <v>0</v>
      </c>
      <c r="G207" s="525">
        <v>20</v>
      </c>
      <c r="H207" s="525">
        <v>0</v>
      </c>
      <c r="I207" s="525">
        <v>0</v>
      </c>
    </row>
    <row r="208">
      <c r="A208" s="525">
        <v>207</v>
      </c>
      <c r="B208" s="525" t="s">
        <v>689</v>
      </c>
      <c r="C208" s="525">
        <v>8</v>
      </c>
      <c r="D208" s="525" t="s">
        <v>6151</v>
      </c>
      <c r="E208" s="525">
        <v>0</v>
      </c>
      <c r="F208" s="525">
        <v>0</v>
      </c>
      <c r="G208" s="525">
        <v>20</v>
      </c>
      <c r="H208" s="525">
        <v>0</v>
      </c>
      <c r="I208" s="525">
        <v>0</v>
      </c>
    </row>
    <row r="209">
      <c r="A209" s="525">
        <v>208</v>
      </c>
      <c r="B209" s="525" t="s">
        <v>6194</v>
      </c>
      <c r="C209" s="525">
        <v>1</v>
      </c>
      <c r="D209" s="525" t="s">
        <v>6149</v>
      </c>
      <c r="E209" s="525">
        <v>0</v>
      </c>
      <c r="F209" s="525">
        <v>0</v>
      </c>
      <c r="G209" s="525">
        <v>63</v>
      </c>
      <c r="H209" s="525">
        <v>0</v>
      </c>
      <c r="I209" s="525">
        <v>0</v>
      </c>
    </row>
    <row r="210">
      <c r="A210" s="525">
        <v>209</v>
      </c>
      <c r="B210" s="525" t="s">
        <v>6194</v>
      </c>
      <c r="C210" s="525">
        <v>2</v>
      </c>
      <c r="D210" s="525" t="s">
        <v>6149</v>
      </c>
      <c r="E210" s="525">
        <v>0</v>
      </c>
      <c r="F210" s="525">
        <v>0</v>
      </c>
      <c r="G210" s="525">
        <v>63</v>
      </c>
      <c r="H210" s="525">
        <v>0</v>
      </c>
      <c r="I210" s="525">
        <v>0</v>
      </c>
    </row>
    <row r="211">
      <c r="A211" s="525">
        <v>210</v>
      </c>
      <c r="B211" s="525" t="s">
        <v>6194</v>
      </c>
      <c r="C211" s="525">
        <v>1</v>
      </c>
      <c r="D211" s="525" t="s">
        <v>6150</v>
      </c>
      <c r="E211" s="525">
        <v>0</v>
      </c>
      <c r="F211" s="525">
        <v>0</v>
      </c>
      <c r="G211" s="525">
        <v>50</v>
      </c>
      <c r="H211" s="525">
        <v>0</v>
      </c>
      <c r="I211" s="525">
        <v>0</v>
      </c>
    </row>
    <row r="212">
      <c r="A212" s="525">
        <v>211</v>
      </c>
      <c r="B212" s="525" t="s">
        <v>6194</v>
      </c>
      <c r="C212" s="525">
        <v>2</v>
      </c>
      <c r="D212" s="525" t="s">
        <v>6150</v>
      </c>
      <c r="E212" s="525">
        <v>0</v>
      </c>
      <c r="F212" s="525">
        <v>0</v>
      </c>
      <c r="G212" s="525">
        <v>50</v>
      </c>
      <c r="H212" s="525">
        <v>0</v>
      </c>
      <c r="I212" s="525">
        <v>0</v>
      </c>
    </row>
    <row r="213">
      <c r="A213" s="525">
        <v>212</v>
      </c>
      <c r="B213" s="525" t="s">
        <v>6195</v>
      </c>
      <c r="C213" s="525">
        <v>2</v>
      </c>
      <c r="D213" s="525" t="s">
        <v>6149</v>
      </c>
      <c r="E213" s="525">
        <v>0</v>
      </c>
      <c r="F213" s="525">
        <v>0</v>
      </c>
      <c r="G213" s="525">
        <v>60</v>
      </c>
      <c r="H213" s="525">
        <v>0</v>
      </c>
      <c r="I213" s="525">
        <v>0</v>
      </c>
    </row>
    <row r="214">
      <c r="A214" s="525">
        <v>213</v>
      </c>
      <c r="B214" s="525" t="s">
        <v>6196</v>
      </c>
      <c r="C214" s="525">
        <v>1</v>
      </c>
      <c r="D214" s="525" t="s">
        <v>531</v>
      </c>
      <c r="E214" s="525">
        <v>0</v>
      </c>
      <c r="F214" s="525">
        <v>0</v>
      </c>
      <c r="G214" s="525">
        <v>60</v>
      </c>
      <c r="H214" s="525">
        <v>0</v>
      </c>
      <c r="I214" s="525">
        <v>0</v>
      </c>
    </row>
    <row r="215">
      <c r="A215" s="525">
        <v>214</v>
      </c>
      <c r="B215" s="525" t="s">
        <v>6197</v>
      </c>
      <c r="C215" s="525">
        <v>1</v>
      </c>
      <c r="D215" s="525" t="s">
        <v>6180</v>
      </c>
      <c r="E215" s="525">
        <v>0</v>
      </c>
      <c r="F215" s="525">
        <v>0</v>
      </c>
      <c r="G215" s="525">
        <v>160</v>
      </c>
      <c r="H215" s="525">
        <v>0</v>
      </c>
      <c r="I215" s="525">
        <v>0</v>
      </c>
    </row>
    <row r="216">
      <c r="A216" s="525">
        <v>215</v>
      </c>
      <c r="B216" s="525" t="s">
        <v>6198</v>
      </c>
      <c r="C216" s="525">
        <v>1</v>
      </c>
      <c r="D216" s="525" t="s">
        <v>6180</v>
      </c>
      <c r="E216" s="525">
        <v>0</v>
      </c>
      <c r="F216" s="525">
        <v>0</v>
      </c>
      <c r="G216" s="525">
        <v>120</v>
      </c>
      <c r="H216" s="525">
        <v>0</v>
      </c>
      <c r="I216" s="525">
        <v>0</v>
      </c>
    </row>
    <row r="217">
      <c r="A217" s="525">
        <v>216</v>
      </c>
      <c r="B217" s="525" t="s">
        <v>6199</v>
      </c>
      <c r="C217" s="525">
        <v>1</v>
      </c>
      <c r="D217" s="525" t="s">
        <v>530</v>
      </c>
      <c r="E217" s="525">
        <v>0</v>
      </c>
      <c r="F217" s="525">
        <v>0</v>
      </c>
      <c r="G217" s="525">
        <v>80</v>
      </c>
      <c r="H217" s="525">
        <v>0</v>
      </c>
      <c r="I217" s="525">
        <v>0</v>
      </c>
    </row>
    <row r="218">
      <c r="A218" s="525">
        <v>217</v>
      </c>
      <c r="B218" s="525" t="s">
        <v>6199</v>
      </c>
      <c r="C218" s="525">
        <v>2</v>
      </c>
      <c r="D218" s="525" t="s">
        <v>530</v>
      </c>
      <c r="E218" s="525">
        <v>0</v>
      </c>
      <c r="F218" s="525">
        <v>0</v>
      </c>
      <c r="G218" s="525">
        <v>80</v>
      </c>
      <c r="H218" s="525">
        <v>0</v>
      </c>
      <c r="I218" s="525">
        <v>0</v>
      </c>
    </row>
    <row r="219">
      <c r="A219" s="525">
        <v>218</v>
      </c>
      <c r="B219" s="525" t="s">
        <v>6199</v>
      </c>
      <c r="C219" s="525">
        <v>3</v>
      </c>
      <c r="D219" s="525" t="s">
        <v>530</v>
      </c>
      <c r="E219" s="525">
        <v>0</v>
      </c>
      <c r="F219" s="525">
        <v>0</v>
      </c>
      <c r="G219" s="525">
        <v>80</v>
      </c>
      <c r="H219" s="525">
        <v>0</v>
      </c>
      <c r="I219" s="525">
        <v>0</v>
      </c>
    </row>
    <row r="220">
      <c r="A220" s="525">
        <v>219</v>
      </c>
      <c r="B220" s="525" t="s">
        <v>6200</v>
      </c>
      <c r="C220" s="525">
        <v>1</v>
      </c>
      <c r="D220" s="525" t="s">
        <v>530</v>
      </c>
      <c r="E220" s="525">
        <v>0</v>
      </c>
      <c r="F220" s="525">
        <v>0</v>
      </c>
      <c r="G220" s="525">
        <v>120</v>
      </c>
      <c r="H220" s="525">
        <v>0</v>
      </c>
      <c r="I220" s="525">
        <v>0</v>
      </c>
    </row>
    <row r="221">
      <c r="A221" s="525">
        <v>220</v>
      </c>
      <c r="B221" s="525" t="s">
        <v>6200</v>
      </c>
      <c r="C221" s="525">
        <v>2</v>
      </c>
      <c r="D221" s="525" t="s">
        <v>530</v>
      </c>
      <c r="E221" s="525">
        <v>0</v>
      </c>
      <c r="F221" s="525">
        <v>0</v>
      </c>
      <c r="G221" s="525">
        <v>120</v>
      </c>
      <c r="H221" s="525">
        <v>0</v>
      </c>
      <c r="I221" s="525">
        <v>0</v>
      </c>
    </row>
    <row r="222">
      <c r="A222" s="525">
        <v>221</v>
      </c>
      <c r="B222" s="525" t="s">
        <v>6200</v>
      </c>
      <c r="C222" s="525">
        <v>3</v>
      </c>
      <c r="D222" s="525" t="s">
        <v>530</v>
      </c>
      <c r="E222" s="525">
        <v>0</v>
      </c>
      <c r="F222" s="525">
        <v>0</v>
      </c>
      <c r="G222" s="525">
        <v>120</v>
      </c>
      <c r="H222" s="525">
        <v>0</v>
      </c>
      <c r="I222" s="525">
        <v>0</v>
      </c>
    </row>
    <row r="223">
      <c r="A223" s="525">
        <v>222</v>
      </c>
      <c r="B223" s="525" t="s">
        <v>6201</v>
      </c>
      <c r="C223" s="525">
        <v>1</v>
      </c>
      <c r="D223" s="525" t="s">
        <v>531</v>
      </c>
      <c r="E223" s="525">
        <v>0</v>
      </c>
      <c r="F223" s="525">
        <v>0</v>
      </c>
      <c r="G223" s="525">
        <v>80</v>
      </c>
      <c r="H223" s="525">
        <v>0</v>
      </c>
      <c r="I223" s="525">
        <v>0</v>
      </c>
    </row>
    <row r="224">
      <c r="A224" s="525">
        <v>223</v>
      </c>
      <c r="B224" s="525" t="s">
        <v>6202</v>
      </c>
      <c r="C224" s="525">
        <v>2</v>
      </c>
      <c r="D224" s="525" t="s">
        <v>530</v>
      </c>
      <c r="E224" s="525">
        <v>0</v>
      </c>
      <c r="F224" s="525">
        <v>0</v>
      </c>
      <c r="G224" s="525">
        <v>20</v>
      </c>
      <c r="H224" s="525">
        <v>0</v>
      </c>
      <c r="I224" s="525">
        <v>0</v>
      </c>
    </row>
    <row r="225">
      <c r="A225" s="525">
        <v>224</v>
      </c>
      <c r="B225" s="525" t="s">
        <v>6203</v>
      </c>
      <c r="C225" s="525">
        <v>2</v>
      </c>
      <c r="D225" s="525" t="s">
        <v>530</v>
      </c>
      <c r="E225" s="525">
        <v>0</v>
      </c>
      <c r="F225" s="525">
        <v>0</v>
      </c>
      <c r="G225" s="525">
        <v>40</v>
      </c>
      <c r="H225" s="525">
        <v>0</v>
      </c>
      <c r="I225" s="525">
        <v>0</v>
      </c>
    </row>
    <row r="226">
      <c r="A226" s="525">
        <v>225</v>
      </c>
      <c r="B226" s="525" t="s">
        <v>6195</v>
      </c>
      <c r="C226" s="525">
        <v>1</v>
      </c>
      <c r="D226" s="525" t="s">
        <v>6180</v>
      </c>
      <c r="E226" s="525">
        <v>0</v>
      </c>
      <c r="F226" s="525">
        <v>0</v>
      </c>
      <c r="G226" s="525">
        <v>120</v>
      </c>
      <c r="H226" s="525">
        <v>0</v>
      </c>
      <c r="I226" s="525">
        <v>0</v>
      </c>
    </row>
    <row r="227">
      <c r="A227" s="525">
        <v>226</v>
      </c>
      <c r="B227" s="525" t="s">
        <v>6170</v>
      </c>
      <c r="C227" s="525">
        <v>1</v>
      </c>
      <c r="D227" s="525" t="s">
        <v>6180</v>
      </c>
      <c r="E227" s="525">
        <v>0</v>
      </c>
      <c r="F227" s="525">
        <v>0</v>
      </c>
      <c r="G227" s="525">
        <v>60</v>
      </c>
      <c r="H227" s="525">
        <v>0</v>
      </c>
      <c r="I227" s="525">
        <v>0</v>
      </c>
    </row>
    <row r="228">
      <c r="A228" s="525">
        <v>227</v>
      </c>
      <c r="B228" s="525" t="s">
        <v>6163</v>
      </c>
      <c r="C228" s="525">
        <v>3</v>
      </c>
      <c r="D228" s="525" t="s">
        <v>6149</v>
      </c>
      <c r="E228" s="525">
        <v>0</v>
      </c>
      <c r="F228" s="525">
        <v>0</v>
      </c>
      <c r="G228" s="525">
        <v>0</v>
      </c>
      <c r="H228" s="525">
        <v>76</v>
      </c>
      <c r="I228" s="525">
        <v>0</v>
      </c>
    </row>
    <row r="229">
      <c r="A229" s="525">
        <v>228</v>
      </c>
      <c r="B229" s="525" t="s">
        <v>6170</v>
      </c>
      <c r="C229" s="525">
        <v>6</v>
      </c>
      <c r="D229" s="525" t="s">
        <v>6149</v>
      </c>
      <c r="E229" s="525">
        <v>0</v>
      </c>
      <c r="F229" s="525">
        <v>0</v>
      </c>
      <c r="G229" s="525">
        <v>0</v>
      </c>
      <c r="H229" s="525">
        <v>120</v>
      </c>
      <c r="I229" s="525">
        <v>0</v>
      </c>
    </row>
    <row r="230">
      <c r="A230" s="525">
        <v>229</v>
      </c>
      <c r="B230" s="525" t="s">
        <v>6172</v>
      </c>
      <c r="C230" s="525">
        <v>6</v>
      </c>
      <c r="D230" s="525" t="s">
        <v>6149</v>
      </c>
      <c r="E230" s="525">
        <v>0</v>
      </c>
      <c r="F230" s="525">
        <v>0</v>
      </c>
      <c r="G230" s="525">
        <v>0</v>
      </c>
      <c r="H230" s="525">
        <v>120</v>
      </c>
      <c r="I230" s="525">
        <v>0</v>
      </c>
    </row>
    <row r="231">
      <c r="A231" s="525">
        <v>230</v>
      </c>
      <c r="B231" s="525" t="s">
        <v>6173</v>
      </c>
      <c r="C231" s="525">
        <v>3</v>
      </c>
      <c r="D231" s="525" t="s">
        <v>6149</v>
      </c>
      <c r="E231" s="525">
        <v>0</v>
      </c>
      <c r="F231" s="525">
        <v>0</v>
      </c>
      <c r="G231" s="525">
        <v>0</v>
      </c>
      <c r="H231" s="525">
        <v>60</v>
      </c>
      <c r="I231" s="525">
        <v>0</v>
      </c>
    </row>
    <row r="232">
      <c r="A232" s="525">
        <v>231</v>
      </c>
      <c r="B232" s="525" t="s">
        <v>6173</v>
      </c>
      <c r="C232" s="525">
        <v>6</v>
      </c>
      <c r="D232" s="525" t="s">
        <v>6149</v>
      </c>
      <c r="E232" s="525">
        <v>0</v>
      </c>
      <c r="F232" s="525">
        <v>0</v>
      </c>
      <c r="G232" s="525">
        <v>0</v>
      </c>
      <c r="H232" s="525">
        <v>120</v>
      </c>
      <c r="I232" s="525">
        <v>0</v>
      </c>
    </row>
    <row r="233">
      <c r="A233" s="525">
        <v>232</v>
      </c>
      <c r="B233" s="525" t="s">
        <v>523</v>
      </c>
      <c r="C233" s="525">
        <v>1</v>
      </c>
      <c r="D233" s="525" t="s">
        <v>531</v>
      </c>
      <c r="E233" s="525">
        <v>0</v>
      </c>
      <c r="F233" s="525">
        <v>0</v>
      </c>
      <c r="G233" s="525">
        <v>0</v>
      </c>
      <c r="H233" s="525">
        <v>40</v>
      </c>
      <c r="I233" s="525">
        <v>0</v>
      </c>
    </row>
    <row r="234">
      <c r="A234" s="525">
        <v>233</v>
      </c>
      <c r="B234" s="525" t="s">
        <v>6172</v>
      </c>
      <c r="C234" s="525">
        <v>1</v>
      </c>
      <c r="D234" s="525" t="s">
        <v>6150</v>
      </c>
      <c r="E234" s="525">
        <v>0</v>
      </c>
      <c r="F234" s="525">
        <v>0</v>
      </c>
      <c r="G234" s="525">
        <v>0</v>
      </c>
      <c r="H234" s="525">
        <v>0</v>
      </c>
      <c r="I234" s="525">
        <v>60</v>
      </c>
    </row>
    <row r="235">
      <c r="A235" s="525">
        <v>234</v>
      </c>
      <c r="B235" s="525" t="s">
        <v>6173</v>
      </c>
      <c r="C235" s="525">
        <v>1</v>
      </c>
      <c r="D235" s="525" t="s">
        <v>6150</v>
      </c>
      <c r="E235" s="525">
        <v>0</v>
      </c>
      <c r="F235" s="525">
        <v>0</v>
      </c>
      <c r="G235" s="525">
        <v>0</v>
      </c>
      <c r="H235" s="525">
        <v>0</v>
      </c>
      <c r="I235" s="525">
        <v>60</v>
      </c>
    </row>
    <row r="236">
      <c r="A236" s="525">
        <v>235</v>
      </c>
      <c r="B236" s="525" t="s">
        <v>645</v>
      </c>
      <c r="C236" s="525">
        <v>1</v>
      </c>
      <c r="D236" s="525" t="s">
        <v>6150</v>
      </c>
      <c r="E236" s="525">
        <v>0</v>
      </c>
      <c r="F236" s="525">
        <v>0</v>
      </c>
      <c r="G236" s="525">
        <v>0</v>
      </c>
      <c r="H236" s="525">
        <v>0</v>
      </c>
      <c r="I236" s="525">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activeCell="D9" sqref="D9"/>
    </sheetView>
  </sheetViews>
  <sheetFormatPr defaultRowHeight="16.5"/>
  <cols>
    <col min="1" max="1" width="18" customWidth="1" style="211"/>
    <col min="2" max="2" width="34.28515625" customWidth="1" style="211"/>
    <col min="3" max="3" bestFit="1" width="23.140625" customWidth="1" style="211"/>
    <col min="4" max="5" width="14.42578125" customWidth="1" style="211"/>
    <col min="6" max="6" width="19.5703125" customWidth="1" style="211"/>
    <col min="7" max="7" width="15" customWidth="1" style="211"/>
    <col min="8" max="8" width="12.42578125" customWidth="1" style="211"/>
    <col min="9" max="9" width="20.28515625" customWidth="1" style="211"/>
    <col min="10" max="10" width="19.7109375" customWidth="1" style="211"/>
    <col min="11" max="11" bestFit="1" width="17.7109375" customWidth="1" style="211"/>
    <col min="12" max="12" width="19.85546875" customWidth="1" style="214"/>
    <col min="13" max="13" bestFit="1" width="42.140625" customWidth="1" style="214"/>
    <col min="14" max="22" width="9.140625" customWidth="1" style="211"/>
    <col min="23" max="16384" width="9.140625" customWidth="1" style="211"/>
  </cols>
  <sheetData>
    <row r="1" s="313" customFormat="1">
      <c r="A1" s="354" t="s">
        <v>163</v>
      </c>
      <c r="B1" s="355" t="s">
        <v>294</v>
      </c>
      <c r="C1" s="354" t="s">
        <v>697</v>
      </c>
      <c r="D1" s="354" t="s">
        <v>698</v>
      </c>
      <c r="E1" s="354" t="s">
        <v>699</v>
      </c>
      <c r="F1" s="354" t="s">
        <v>700</v>
      </c>
      <c r="G1" s="354" t="s">
        <v>701</v>
      </c>
      <c r="H1" s="355" t="s">
        <v>702</v>
      </c>
      <c r="I1" s="354" t="s">
        <v>703</v>
      </c>
      <c r="J1" s="354" t="s">
        <v>704</v>
      </c>
      <c r="K1" s="354" t="s">
        <v>705</v>
      </c>
      <c r="L1" s="355" t="s">
        <v>164</v>
      </c>
      <c r="M1" s="355" t="s">
        <v>295</v>
      </c>
    </row>
    <row r="2" ht="49.5">
      <c r="A2" s="210" t="s">
        <v>196</v>
      </c>
      <c r="B2" s="210" t="str">
        <f>INDEX(ApplicantNameList,MATCH(A2,ApplicantIDList,0))</f>
        <v>Chi nhánh Công ty Cổ phần Viễn thông Di động Vietnamobile tại Thành Phố Hồ Chí Minh</v>
      </c>
      <c r="C2" s="211" t="s">
        <v>706</v>
      </c>
      <c r="D2" s="212">
        <v>43178</v>
      </c>
      <c r="E2" s="211">
        <v>300</v>
      </c>
      <c r="F2" s="211">
        <v>300</v>
      </c>
      <c r="G2" s="212">
        <v>43201</v>
      </c>
      <c r="H2" s="356">
        <f>F2*2500000</f>
        <v>750000000</v>
      </c>
      <c r="I2" s="213" t="s">
        <v>707</v>
      </c>
      <c r="J2" s="212">
        <v>43245</v>
      </c>
      <c r="K2" s="212">
        <v>43445</v>
      </c>
      <c r="L2" s="209" t="e">
        <f>INDEX(Applicant!#REF!,MATCH(A2,ApplicantIDList,0))</f>
        <v>#REF!</v>
      </c>
      <c r="M2" s="214" t="e">
        <f>INDEX(OperatorNameList,MATCH(L2,OperatorIDList,0))</f>
        <v>#REF!</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E6E7E2C1-D2F6-445F-BD76-26FDB9AA0017}">
      <formula1>ApplicantIDList</formula1>
    </dataValidation>
  </dataValidations>
  <pageMargins left="0.7" right="0.7" top="0.75" bottom="0.75" header="0.3" footer="0.3"/>
  <pageSetup paperSize="9" orientation="portrait"/>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tabSelected="1" workbookViewId="0">
      <selection activeCell="D2" sqref="D2"/>
    </sheetView>
  </sheetViews>
  <sheetFormatPr defaultColWidth="9" defaultRowHeight="12.75"/>
  <cols>
    <col min="1" max="1" width="6.140625" customWidth="1" style="219"/>
    <col min="2" max="2" width="11.140625" customWidth="1" style="218"/>
    <col min="3" max="3" bestFit="1" width="81.5703125" customWidth="1" style="218"/>
    <col min="4" max="8" width="14" customWidth="1" style="218"/>
    <col min="9" max="10" width="12.140625" customWidth="1" style="218"/>
    <col min="11" max="11" width="12.42578125" customWidth="1" style="218"/>
    <col min="12" max="12" width="14.5703125" customWidth="1" style="218"/>
    <col min="13" max="13" width="12" customWidth="1" style="218"/>
    <col min="14" max="22" width="9" customWidth="1" style="218"/>
    <col min="23" max="16384" width="9" customWidth="1" style="218"/>
  </cols>
  <sheetData>
    <row r="1" s="314" customFormat="1">
      <c r="A1" s="357" t="s">
        <v>0</v>
      </c>
      <c r="B1" s="358" t="s">
        <v>165</v>
      </c>
      <c r="C1" s="358" t="s">
        <v>72</v>
      </c>
      <c r="D1" s="358" t="s">
        <v>166</v>
      </c>
      <c r="E1" s="358" t="s">
        <v>167</v>
      </c>
      <c r="F1" s="358" t="s">
        <v>168</v>
      </c>
      <c r="G1" s="358" t="s">
        <v>181</v>
      </c>
      <c r="H1" s="359" t="s">
        <v>300</v>
      </c>
      <c r="I1" s="215"/>
      <c r="J1" s="215"/>
    </row>
    <row r="2" ht="16.5">
      <c r="A2" s="216">
        <v>1</v>
      </c>
      <c r="B2" s="216">
        <v>359018</v>
      </c>
      <c r="C2" s="216" t="s">
        <v>693</v>
      </c>
      <c r="D2" s="210" t="s">
        <v>37</v>
      </c>
      <c r="E2" s="217">
        <v>106.698889</v>
      </c>
      <c r="F2" s="216">
        <v>10.759444</v>
      </c>
      <c r="G2" s="216">
        <v>1</v>
      </c>
      <c r="H2" s="208" t="str">
        <f>INDEX(CityIDList,MATCH(D2,CityNameList,0))</f>
        <v>HCM</v>
      </c>
    </row>
    <row r="3" ht="16.5">
      <c r="A3" s="216">
        <v>2</v>
      </c>
      <c r="B3" s="216">
        <v>359184</v>
      </c>
      <c r="C3" s="216" t="s">
        <v>694</v>
      </c>
      <c r="D3" s="210" t="s">
        <v>37</v>
      </c>
      <c r="E3" s="217">
        <v>106.6932</v>
      </c>
      <c r="F3" s="216">
        <v>10.77212</v>
      </c>
      <c r="G3" s="216">
        <v>1</v>
      </c>
      <c r="H3" s="208" t="str">
        <f>INDEX(CityIDList,MATCH(D3,CityNameList,0))</f>
        <v>HCM</v>
      </c>
    </row>
    <row r="4" ht="16.5">
      <c r="A4" s="216">
        <v>3</v>
      </c>
      <c r="B4" s="216">
        <v>359356</v>
      </c>
      <c r="C4" s="216" t="s">
        <v>695</v>
      </c>
      <c r="D4" s="210" t="s">
        <v>37</v>
      </c>
      <c r="E4" s="217">
        <v>106.68681</v>
      </c>
      <c r="F4" s="216">
        <v>10.76398</v>
      </c>
      <c r="G4" s="216">
        <v>1</v>
      </c>
      <c r="H4" s="208" t="str">
        <f>INDEX(CityIDList,MATCH(D4,CityNameList,0))</f>
        <v>HCM</v>
      </c>
    </row>
    <row r="5" ht="16.5">
      <c r="A5" s="216">
        <v>4</v>
      </c>
      <c r="B5" s="216">
        <v>359389</v>
      </c>
      <c r="C5" s="216" t="s">
        <v>696</v>
      </c>
      <c r="D5" s="210" t="s">
        <v>37</v>
      </c>
      <c r="E5" s="217">
        <v>106.702</v>
      </c>
      <c r="F5" s="216">
        <v>10.7772</v>
      </c>
      <c r="G5" s="216">
        <v>1</v>
      </c>
      <c r="H5" s="208" t="str">
        <f>INDEX(CityIDList,MATCH(D5,CityNameList,0))</f>
        <v>HCM</v>
      </c>
    </row>
    <row r="6" ht="16.5">
      <c r="B6" s="216"/>
      <c r="C6" s="216"/>
      <c r="D6" s="210"/>
      <c r="E6" s="217"/>
      <c r="F6" s="216"/>
      <c r="G6" s="216"/>
      <c r="H6" s="208"/>
    </row>
    <row r="7">
      <c r="D7" s="220"/>
      <c r="G7" s="219"/>
      <c r="H7" s="220"/>
    </row>
    <row r="8">
      <c r="D8" s="220"/>
      <c r="G8" s="219"/>
      <c r="H8" s="220"/>
    </row>
    <row r="9">
      <c r="D9" s="220"/>
      <c r="G9" s="219"/>
      <c r="H9" s="220"/>
    </row>
    <row r="10">
      <c r="D10" s="220"/>
      <c r="G10" s="219"/>
      <c r="H10" s="220"/>
    </row>
    <row r="11" ht="16.5">
      <c r="C11" s="216"/>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5"/>
    <col min="2" max="2" width="19" customWidth="1" style="318"/>
    <col min="3" max="4" width="16.5703125" customWidth="1" style="315"/>
    <col min="5" max="5" width="54.140625" customWidth="1" style="315"/>
    <col min="6" max="6" width="16.5703125" customWidth="1" style="315"/>
    <col min="7" max="7" bestFit="1" width="13.5703125" customWidth="1" style="315"/>
    <col min="8" max="8" bestFit="1" width="12.28515625" customWidth="1" style="317"/>
    <col min="9" max="9" width="10.5703125" customWidth="1" style="319"/>
    <col min="10" max="10" width="23.140625" customWidth="1" style="317"/>
    <col min="11" max="12" bestFit="1" width="11.28515625" customWidth="1" style="317"/>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9.85546875" customWidth="1" style="317"/>
    <col min="22" max="22" width="20.42578125" customWidth="1" style="317"/>
    <col min="23" max="29" width="13" customWidth="1" style="317"/>
    <col min="30" max="30" width="32.28515625" customWidth="1" style="317"/>
    <col min="31" max="31" width="11.7109375" customWidth="1" style="317"/>
    <col min="32" max="32" width="10.7109375" customWidth="1" style="317"/>
    <col min="33" max="33" width="24.7109375" customWidth="1" style="317"/>
    <col min="34" max="35" width="13" customWidth="1" style="317"/>
    <col min="36" max="44" width="9.140625" customWidth="1" style="317"/>
    <col min="45" max="16384" width="9.140625" customWidth="1" style="317"/>
  </cols>
  <sheetData>
    <row r="1" ht="42.75" s="315" customFormat="1">
      <c r="A1" s="360" t="s">
        <v>0</v>
      </c>
      <c r="B1" s="360" t="s">
        <v>163</v>
      </c>
      <c r="C1" s="360" t="s">
        <v>164</v>
      </c>
      <c r="D1" s="361" t="s">
        <v>165</v>
      </c>
      <c r="E1" s="362" t="s">
        <v>72</v>
      </c>
      <c r="F1" s="362" t="s">
        <v>166</v>
      </c>
      <c r="G1" s="362" t="s">
        <v>167</v>
      </c>
      <c r="H1" s="363" t="s">
        <v>168</v>
      </c>
      <c r="I1" s="363" t="s">
        <v>169</v>
      </c>
      <c r="J1" s="363" t="s">
        <v>170</v>
      </c>
      <c r="K1" s="363" t="s">
        <v>171</v>
      </c>
      <c r="L1" s="363" t="s">
        <v>172</v>
      </c>
      <c r="M1" s="363" t="s">
        <v>173</v>
      </c>
      <c r="N1" s="363" t="s">
        <v>174</v>
      </c>
      <c r="O1" s="363" t="s">
        <v>175</v>
      </c>
      <c r="P1" s="363" t="s">
        <v>176</v>
      </c>
      <c r="Q1" s="363" t="s">
        <v>177</v>
      </c>
      <c r="R1" s="363" t="s">
        <v>178</v>
      </c>
      <c r="S1" s="363" t="s">
        <v>179</v>
      </c>
      <c r="T1" s="363" t="s">
        <v>180</v>
      </c>
      <c r="U1" s="363" t="s">
        <v>181</v>
      </c>
      <c r="V1" s="363" t="s">
        <v>182</v>
      </c>
      <c r="W1" s="364" t="s">
        <v>183</v>
      </c>
      <c r="X1" s="364" t="s">
        <v>184</v>
      </c>
      <c r="Y1" s="364" t="s">
        <v>185</v>
      </c>
      <c r="Z1" s="364" t="s">
        <v>186</v>
      </c>
      <c r="AA1" s="365" t="s">
        <v>187</v>
      </c>
      <c r="AB1" s="364" t="s">
        <v>188</v>
      </c>
      <c r="AC1" s="364" t="s">
        <v>189</v>
      </c>
      <c r="AD1" s="366" t="s">
        <v>190</v>
      </c>
      <c r="AE1" s="362" t="s">
        <v>191</v>
      </c>
      <c r="AF1" s="362" t="s">
        <v>192</v>
      </c>
      <c r="AG1" s="367" t="s">
        <v>193</v>
      </c>
      <c r="AH1" s="361" t="s">
        <v>194</v>
      </c>
      <c r="AI1" s="368" t="s">
        <v>195</v>
      </c>
    </row>
    <row r="2" ht="75" s="316" customFormat="1">
      <c r="A2" s="310">
        <v>1</v>
      </c>
      <c r="B2" s="330" t="s">
        <v>196</v>
      </c>
      <c r="C2" s="310" t="s">
        <v>197</v>
      </c>
      <c r="D2" s="310" t="str">
        <f>Check!D2</f>
        <v>339084</v>
      </c>
      <c r="E2" s="338" t="s">
        <v>198</v>
      </c>
      <c r="F2" s="339" t="s">
        <v>46</v>
      </c>
      <c r="G2" s="339" t="s">
        <v>199</v>
      </c>
      <c r="H2" s="339" t="s">
        <v>200</v>
      </c>
      <c r="I2" s="345">
        <v>2</v>
      </c>
      <c r="J2" s="339" t="s">
        <v>201</v>
      </c>
      <c r="K2" s="340">
        <v>43668</v>
      </c>
      <c r="L2" s="340">
        <v>43642</v>
      </c>
      <c r="M2" s="336" t="s">
        <v>202</v>
      </c>
      <c r="N2" s="341" t="s">
        <v>203</v>
      </c>
      <c r="O2" s="341" t="s">
        <v>204</v>
      </c>
      <c r="P2" s="342" t="s">
        <v>205</v>
      </c>
      <c r="Q2" s="341" t="s">
        <v>206</v>
      </c>
      <c r="R2" s="341" t="s">
        <v>207</v>
      </c>
      <c r="S2" s="341" t="s">
        <v>208</v>
      </c>
      <c r="T2" s="341" t="s">
        <v>209</v>
      </c>
      <c r="U2" s="336">
        <v>1</v>
      </c>
      <c r="V2" s="336" t="s">
        <v>210</v>
      </c>
      <c r="W2" s="343" t="s">
        <v>211</v>
      </c>
      <c r="X2" s="338" t="s">
        <v>211</v>
      </c>
      <c r="Y2" s="338">
        <v>39</v>
      </c>
      <c r="Z2" s="338" t="s">
        <v>211</v>
      </c>
      <c r="AA2" s="343" t="s">
        <v>212</v>
      </c>
      <c r="AB2" s="343" t="s">
        <v>213</v>
      </c>
      <c r="AC2" s="338" t="s">
        <v>211</v>
      </c>
      <c r="AD2" s="344"/>
      <c r="AE2" s="311"/>
      <c r="AF2" s="311" t="s">
        <v>83</v>
      </c>
      <c r="AG2" s="311">
        <f>AD2</f>
        <v>0</v>
      </c>
      <c r="AH2" s="311">
        <f>Input!HW2</f>
        <v>0</v>
      </c>
      <c r="AI2" s="311">
        <f>Input!HX2</f>
        <v>0</v>
      </c>
    </row>
    <row r="3" ht="75">
      <c r="A3" s="310">
        <v>2</v>
      </c>
      <c r="B3" s="330" t="s">
        <v>196</v>
      </c>
      <c r="C3" s="310" t="s">
        <v>197</v>
      </c>
      <c r="D3" s="310" t="str">
        <f>Check!D3</f>
        <v>339118</v>
      </c>
      <c r="E3" s="338" t="s">
        <v>214</v>
      </c>
      <c r="F3" s="339" t="s">
        <v>46</v>
      </c>
      <c r="G3" s="339" t="s">
        <v>215</v>
      </c>
      <c r="H3" s="339" t="s">
        <v>216</v>
      </c>
      <c r="I3" s="345">
        <v>2</v>
      </c>
      <c r="J3" s="339" t="s">
        <v>217</v>
      </c>
      <c r="K3" s="340">
        <v>43668</v>
      </c>
      <c r="L3" s="340">
        <v>43644</v>
      </c>
      <c r="M3" s="336" t="s">
        <v>202</v>
      </c>
      <c r="N3" s="341" t="s">
        <v>218</v>
      </c>
      <c r="O3" s="341" t="s">
        <v>204</v>
      </c>
      <c r="P3" s="342" t="s">
        <v>205</v>
      </c>
      <c r="Q3" s="341" t="s">
        <v>206</v>
      </c>
      <c r="R3" s="341" t="s">
        <v>207</v>
      </c>
      <c r="S3" s="341" t="s">
        <v>208</v>
      </c>
      <c r="T3" s="341" t="s">
        <v>219</v>
      </c>
      <c r="U3" s="336">
        <v>1</v>
      </c>
      <c r="V3" s="336" t="s">
        <v>210</v>
      </c>
      <c r="W3" s="343" t="s">
        <v>211</v>
      </c>
      <c r="X3" s="338" t="s">
        <v>213</v>
      </c>
      <c r="Y3" s="338">
        <v>0</v>
      </c>
      <c r="Z3" s="338" t="s">
        <v>211</v>
      </c>
      <c r="AA3" s="343" t="s">
        <v>220</v>
      </c>
      <c r="AB3" s="343" t="s">
        <v>213</v>
      </c>
      <c r="AC3" s="338" t="s">
        <v>211</v>
      </c>
      <c r="AD3" s="344"/>
      <c r="AE3" s="311"/>
      <c r="AF3" s="311" t="s">
        <v>83</v>
      </c>
      <c r="AG3" s="311"/>
      <c r="AH3" s="311">
        <f>Input!HW3</f>
        <v>0</v>
      </c>
      <c r="AI3" s="311">
        <f>Input!HX3</f>
        <v>0</v>
      </c>
    </row>
    <row r="4" ht="75">
      <c r="A4" s="310">
        <v>3</v>
      </c>
      <c r="B4" s="330" t="s">
        <v>196</v>
      </c>
      <c r="C4" s="310" t="s">
        <v>197</v>
      </c>
      <c r="D4" s="310" t="str">
        <f>Check!D4</f>
        <v>339082</v>
      </c>
      <c r="E4" s="338" t="s">
        <v>221</v>
      </c>
      <c r="F4" s="339" t="s">
        <v>46</v>
      </c>
      <c r="G4" s="339" t="s">
        <v>222</v>
      </c>
      <c r="H4" s="339" t="s">
        <v>223</v>
      </c>
      <c r="I4" s="345">
        <v>2</v>
      </c>
      <c r="J4" s="339" t="s">
        <v>224</v>
      </c>
      <c r="K4" s="340">
        <v>43668</v>
      </c>
      <c r="L4" s="340">
        <v>43645</v>
      </c>
      <c r="M4" s="336" t="s">
        <v>202</v>
      </c>
      <c r="N4" s="341" t="s">
        <v>225</v>
      </c>
      <c r="O4" s="341" t="s">
        <v>204</v>
      </c>
      <c r="P4" s="342" t="s">
        <v>205</v>
      </c>
      <c r="Q4" s="341" t="s">
        <v>206</v>
      </c>
      <c r="R4" s="341" t="s">
        <v>207</v>
      </c>
      <c r="S4" s="341" t="s">
        <v>208</v>
      </c>
      <c r="T4" s="341" t="s">
        <v>219</v>
      </c>
      <c r="U4" s="336">
        <v>1</v>
      </c>
      <c r="V4" s="336" t="s">
        <v>210</v>
      </c>
      <c r="W4" s="343" t="s">
        <v>211</v>
      </c>
      <c r="X4" s="338" t="s">
        <v>213</v>
      </c>
      <c r="Y4" s="338">
        <v>0</v>
      </c>
      <c r="Z4" s="338" t="s">
        <v>211</v>
      </c>
      <c r="AA4" s="343" t="s">
        <v>212</v>
      </c>
      <c r="AB4" s="343" t="s">
        <v>213</v>
      </c>
      <c r="AC4" s="338" t="s">
        <v>211</v>
      </c>
      <c r="AD4" s="344"/>
      <c r="AE4" s="311"/>
      <c r="AF4" s="311" t="s">
        <v>83</v>
      </c>
      <c r="AG4" s="311"/>
      <c r="AH4" s="311">
        <f>Input!HW4</f>
        <v>0</v>
      </c>
      <c r="AI4" s="311">
        <f>Input!HX4</f>
        <v>0</v>
      </c>
    </row>
    <row r="5" ht="75">
      <c r="A5" s="310">
        <v>4</v>
      </c>
      <c r="B5" s="330" t="s">
        <v>196</v>
      </c>
      <c r="C5" s="310" t="s">
        <v>197</v>
      </c>
      <c r="D5" s="310" t="str">
        <f>Check!D5</f>
        <v>339115</v>
      </c>
      <c r="E5" s="338" t="s">
        <v>226</v>
      </c>
      <c r="F5" s="339" t="s">
        <v>46</v>
      </c>
      <c r="G5" s="339" t="s">
        <v>227</v>
      </c>
      <c r="H5" s="339" t="s">
        <v>228</v>
      </c>
      <c r="I5" s="345">
        <v>2</v>
      </c>
      <c r="J5" s="339" t="s">
        <v>229</v>
      </c>
      <c r="K5" s="340">
        <v>43668</v>
      </c>
      <c r="L5" s="340">
        <v>43645</v>
      </c>
      <c r="M5" s="336" t="s">
        <v>202</v>
      </c>
      <c r="N5" s="341" t="s">
        <v>230</v>
      </c>
      <c r="O5" s="341" t="s">
        <v>204</v>
      </c>
      <c r="P5" s="342" t="s">
        <v>205</v>
      </c>
      <c r="Q5" s="341" t="s">
        <v>206</v>
      </c>
      <c r="R5" s="341" t="s">
        <v>207</v>
      </c>
      <c r="S5" s="341" t="s">
        <v>208</v>
      </c>
      <c r="T5" s="341" t="s">
        <v>219</v>
      </c>
      <c r="U5" s="336">
        <v>1</v>
      </c>
      <c r="V5" s="336" t="s">
        <v>210</v>
      </c>
      <c r="W5" s="343" t="s">
        <v>211</v>
      </c>
      <c r="X5" s="338" t="s">
        <v>213</v>
      </c>
      <c r="Y5" s="338">
        <v>0</v>
      </c>
      <c r="Z5" s="338" t="s">
        <v>211</v>
      </c>
      <c r="AA5" s="343" t="s">
        <v>212</v>
      </c>
      <c r="AB5" s="343" t="s">
        <v>213</v>
      </c>
      <c r="AC5" s="338" t="s">
        <v>211</v>
      </c>
      <c r="AD5" s="344"/>
      <c r="AE5" s="311"/>
      <c r="AF5" s="311" t="s">
        <v>83</v>
      </c>
      <c r="AG5" s="311"/>
      <c r="AH5" s="311">
        <f>Input!HW5</f>
        <v>0</v>
      </c>
      <c r="AI5" s="311">
        <f>Input!HX5</f>
        <v>0</v>
      </c>
    </row>
    <row r="6" ht="75">
      <c r="A6" s="310">
        <v>5</v>
      </c>
      <c r="B6" s="330" t="s">
        <v>196</v>
      </c>
      <c r="C6" s="310" t="s">
        <v>197</v>
      </c>
      <c r="D6" s="310" t="str">
        <f>Check!D6</f>
        <v>339198</v>
      </c>
      <c r="E6" s="338" t="s">
        <v>231</v>
      </c>
      <c r="F6" s="339" t="s">
        <v>46</v>
      </c>
      <c r="G6" s="339" t="s">
        <v>232</v>
      </c>
      <c r="H6" s="339" t="s">
        <v>233</v>
      </c>
      <c r="I6" s="345">
        <v>2</v>
      </c>
      <c r="J6" s="339" t="s">
        <v>234</v>
      </c>
      <c r="K6" s="340">
        <v>43668</v>
      </c>
      <c r="L6" s="340">
        <v>43646</v>
      </c>
      <c r="M6" s="336" t="s">
        <v>202</v>
      </c>
      <c r="N6" s="341" t="s">
        <v>235</v>
      </c>
      <c r="O6" s="341" t="s">
        <v>204</v>
      </c>
      <c r="P6" s="342" t="s">
        <v>205</v>
      </c>
      <c r="Q6" s="341" t="s">
        <v>206</v>
      </c>
      <c r="R6" s="341" t="s">
        <v>207</v>
      </c>
      <c r="S6" s="341" t="s">
        <v>208</v>
      </c>
      <c r="T6" s="341" t="s">
        <v>219</v>
      </c>
      <c r="U6" s="336">
        <v>1</v>
      </c>
      <c r="V6" s="336" t="s">
        <v>210</v>
      </c>
      <c r="W6" s="343" t="s">
        <v>211</v>
      </c>
      <c r="X6" s="338" t="s">
        <v>213</v>
      </c>
      <c r="Y6" s="338">
        <v>0</v>
      </c>
      <c r="Z6" s="338" t="s">
        <v>211</v>
      </c>
      <c r="AA6" s="343" t="s">
        <v>212</v>
      </c>
      <c r="AB6" s="343" t="s">
        <v>213</v>
      </c>
      <c r="AC6" s="338" t="s">
        <v>211</v>
      </c>
      <c r="AD6" s="344"/>
      <c r="AE6" s="311"/>
      <c r="AF6" s="311" t="s">
        <v>83</v>
      </c>
      <c r="AG6" s="311"/>
      <c r="AH6" s="311">
        <f>Input!HW6</f>
        <v>0</v>
      </c>
      <c r="AI6" s="311">
        <f>Input!HX6</f>
        <v>0</v>
      </c>
    </row>
    <row r="7" ht="75">
      <c r="A7" s="310">
        <v>6</v>
      </c>
      <c r="B7" s="330" t="s">
        <v>196</v>
      </c>
      <c r="C7" s="310" t="s">
        <v>197</v>
      </c>
      <c r="D7" s="310" t="str">
        <f>Check!D7</f>
        <v>339113</v>
      </c>
      <c r="E7" s="338" t="s">
        <v>236</v>
      </c>
      <c r="F7" s="339" t="s">
        <v>46</v>
      </c>
      <c r="G7" s="339" t="s">
        <v>237</v>
      </c>
      <c r="H7" s="339" t="s">
        <v>238</v>
      </c>
      <c r="I7" s="345">
        <v>2</v>
      </c>
      <c r="J7" s="339" t="s">
        <v>239</v>
      </c>
      <c r="K7" s="340">
        <v>43668</v>
      </c>
      <c r="L7" s="340">
        <v>43647</v>
      </c>
      <c r="M7" s="336" t="s">
        <v>202</v>
      </c>
      <c r="N7" s="341" t="s">
        <v>240</v>
      </c>
      <c r="O7" s="341" t="s">
        <v>204</v>
      </c>
      <c r="P7" s="342" t="s">
        <v>205</v>
      </c>
      <c r="Q7" s="341" t="s">
        <v>206</v>
      </c>
      <c r="R7" s="341" t="s">
        <v>207</v>
      </c>
      <c r="S7" s="341" t="s">
        <v>208</v>
      </c>
      <c r="T7" s="341" t="s">
        <v>241</v>
      </c>
      <c r="U7" s="336">
        <v>1</v>
      </c>
      <c r="V7" s="336" t="s">
        <v>210</v>
      </c>
      <c r="W7" s="343" t="s">
        <v>211</v>
      </c>
      <c r="X7" s="338" t="s">
        <v>213</v>
      </c>
      <c r="Y7" s="338">
        <v>0</v>
      </c>
      <c r="Z7" s="338" t="s">
        <v>211</v>
      </c>
      <c r="AA7" s="343" t="s">
        <v>212</v>
      </c>
      <c r="AB7" s="343" t="s">
        <v>213</v>
      </c>
      <c r="AC7" s="338" t="s">
        <v>211</v>
      </c>
      <c r="AD7" s="344"/>
      <c r="AE7" s="311"/>
      <c r="AF7" s="311" t="s">
        <v>83</v>
      </c>
      <c r="AG7" s="311"/>
      <c r="AH7" s="311">
        <f>Input!HW7</f>
        <v>0</v>
      </c>
      <c r="AI7" s="311">
        <f>Input!HX7</f>
        <v>0</v>
      </c>
    </row>
    <row r="8" ht="75">
      <c r="A8" s="310">
        <v>7</v>
      </c>
      <c r="B8" s="330" t="s">
        <v>196</v>
      </c>
      <c r="C8" s="310" t="s">
        <v>197</v>
      </c>
      <c r="D8" s="310" t="str">
        <f>Check!D8</f>
        <v>339193</v>
      </c>
      <c r="E8" s="338" t="s">
        <v>242</v>
      </c>
      <c r="F8" s="339" t="s">
        <v>46</v>
      </c>
      <c r="G8" s="339" t="s">
        <v>243</v>
      </c>
      <c r="H8" s="339" t="s">
        <v>244</v>
      </c>
      <c r="I8" s="345">
        <v>2</v>
      </c>
      <c r="J8" s="339" t="s">
        <v>245</v>
      </c>
      <c r="K8" s="340">
        <v>43668</v>
      </c>
      <c r="L8" s="340">
        <v>43647</v>
      </c>
      <c r="M8" s="336" t="s">
        <v>202</v>
      </c>
      <c r="N8" s="341" t="s">
        <v>246</v>
      </c>
      <c r="O8" s="341" t="s">
        <v>204</v>
      </c>
      <c r="P8" s="342" t="s">
        <v>205</v>
      </c>
      <c r="Q8" s="341" t="s">
        <v>206</v>
      </c>
      <c r="R8" s="341" t="s">
        <v>207</v>
      </c>
      <c r="S8" s="341" t="s">
        <v>208</v>
      </c>
      <c r="T8" s="341" t="s">
        <v>247</v>
      </c>
      <c r="U8" s="336">
        <v>1</v>
      </c>
      <c r="V8" s="336" t="s">
        <v>248</v>
      </c>
      <c r="W8" s="343" t="s">
        <v>211</v>
      </c>
      <c r="X8" s="338" t="s">
        <v>213</v>
      </c>
      <c r="Y8" s="338">
        <v>0</v>
      </c>
      <c r="Z8" s="338" t="s">
        <v>211</v>
      </c>
      <c r="AA8" s="343" t="s">
        <v>220</v>
      </c>
      <c r="AB8" s="343" t="s">
        <v>213</v>
      </c>
      <c r="AC8" s="338" t="s">
        <v>211</v>
      </c>
      <c r="AD8" s="344"/>
      <c r="AE8" s="311"/>
      <c r="AF8" s="311" t="s">
        <v>83</v>
      </c>
      <c r="AG8" s="311"/>
      <c r="AH8" s="311">
        <f>Input!HW8</f>
        <v>0</v>
      </c>
      <c r="AI8" s="311">
        <f>Input!HX8</f>
        <v>0</v>
      </c>
    </row>
    <row r="9" ht="75">
      <c r="A9" s="310">
        <v>8</v>
      </c>
      <c r="B9" s="330" t="s">
        <v>196</v>
      </c>
      <c r="C9" s="310" t="s">
        <v>197</v>
      </c>
      <c r="D9" s="310" t="str">
        <f>Check!D9</f>
        <v>339092</v>
      </c>
      <c r="E9" s="338" t="s">
        <v>249</v>
      </c>
      <c r="F9" s="339" t="s">
        <v>46</v>
      </c>
      <c r="G9" s="339" t="s">
        <v>250</v>
      </c>
      <c r="H9" s="339" t="s">
        <v>251</v>
      </c>
      <c r="I9" s="345">
        <v>2</v>
      </c>
      <c r="J9" s="339" t="s">
        <v>252</v>
      </c>
      <c r="K9" s="340">
        <v>43668</v>
      </c>
      <c r="L9" s="340">
        <v>43649</v>
      </c>
      <c r="M9" s="336" t="s">
        <v>202</v>
      </c>
      <c r="N9" s="341" t="s">
        <v>253</v>
      </c>
      <c r="O9" s="341" t="s">
        <v>204</v>
      </c>
      <c r="P9" s="342" t="s">
        <v>205</v>
      </c>
      <c r="Q9" s="341" t="s">
        <v>206</v>
      </c>
      <c r="R9" s="341" t="s">
        <v>207</v>
      </c>
      <c r="S9" s="341" t="s">
        <v>208</v>
      </c>
      <c r="T9" s="341" t="s">
        <v>219</v>
      </c>
      <c r="U9" s="336">
        <v>1</v>
      </c>
      <c r="V9" s="336" t="s">
        <v>210</v>
      </c>
      <c r="W9" s="343" t="s">
        <v>211</v>
      </c>
      <c r="X9" s="338" t="s">
        <v>213</v>
      </c>
      <c r="Y9" s="338">
        <v>0</v>
      </c>
      <c r="Z9" s="338" t="s">
        <v>211</v>
      </c>
      <c r="AA9" s="343" t="s">
        <v>212</v>
      </c>
      <c r="AB9" s="343" t="s">
        <v>213</v>
      </c>
      <c r="AC9" s="338" t="s">
        <v>211</v>
      </c>
      <c r="AD9" s="344"/>
      <c r="AE9" s="311"/>
      <c r="AF9" s="311" t="s">
        <v>83</v>
      </c>
      <c r="AG9" s="311"/>
      <c r="AH9" s="311">
        <f>Input!HW9</f>
        <v>0</v>
      </c>
      <c r="AI9" s="311">
        <f>Input!HX9</f>
        <v>0</v>
      </c>
    </row>
    <row r="10" ht="75">
      <c r="A10" s="310">
        <v>9</v>
      </c>
      <c r="B10" s="330" t="s">
        <v>196</v>
      </c>
      <c r="C10" s="310" t="s">
        <v>197</v>
      </c>
      <c r="D10" s="310" t="str">
        <f>Check!D10</f>
        <v>339211</v>
      </c>
      <c r="E10" s="338" t="s">
        <v>254</v>
      </c>
      <c r="F10" s="339" t="s">
        <v>46</v>
      </c>
      <c r="G10" s="339" t="s">
        <v>255</v>
      </c>
      <c r="H10" s="339" t="s">
        <v>256</v>
      </c>
      <c r="I10" s="345">
        <v>2</v>
      </c>
      <c r="J10" s="339" t="s">
        <v>257</v>
      </c>
      <c r="K10" s="340">
        <v>43668</v>
      </c>
      <c r="L10" s="340">
        <v>43650</v>
      </c>
      <c r="M10" s="336" t="s">
        <v>202</v>
      </c>
      <c r="N10" s="341" t="s">
        <v>258</v>
      </c>
      <c r="O10" s="341" t="s">
        <v>204</v>
      </c>
      <c r="P10" s="342" t="s">
        <v>205</v>
      </c>
      <c r="Q10" s="341" t="s">
        <v>206</v>
      </c>
      <c r="R10" s="341" t="s">
        <v>207</v>
      </c>
      <c r="S10" s="341" t="s">
        <v>208</v>
      </c>
      <c r="T10" s="341" t="s">
        <v>259</v>
      </c>
      <c r="U10" s="336">
        <v>1</v>
      </c>
      <c r="V10" s="336" t="s">
        <v>210</v>
      </c>
      <c r="W10" s="343" t="s">
        <v>213</v>
      </c>
      <c r="X10" s="338" t="s">
        <v>213</v>
      </c>
      <c r="Y10" s="338">
        <v>0</v>
      </c>
      <c r="Z10" s="338" t="s">
        <v>211</v>
      </c>
      <c r="AA10" s="343" t="s">
        <v>260</v>
      </c>
      <c r="AB10" s="343" t="s">
        <v>213</v>
      </c>
      <c r="AC10" s="338" t="s">
        <v>211</v>
      </c>
      <c r="AD10" s="344"/>
      <c r="AE10" s="311"/>
      <c r="AF10" s="311" t="s">
        <v>83</v>
      </c>
      <c r="AG10" s="311"/>
      <c r="AH10" s="311">
        <f>Input!HW10</f>
        <v>0</v>
      </c>
      <c r="AI10" s="311">
        <f>Input!HX10</f>
        <v>0</v>
      </c>
    </row>
    <row r="11" ht="75">
      <c r="A11" s="310">
        <v>10</v>
      </c>
      <c r="B11" s="330" t="s">
        <v>196</v>
      </c>
      <c r="C11" s="310" t="s">
        <v>197</v>
      </c>
      <c r="D11" s="310" t="str">
        <f>Check!D11</f>
        <v>339120</v>
      </c>
      <c r="E11" s="338" t="s">
        <v>261</v>
      </c>
      <c r="F11" s="339" t="s">
        <v>46</v>
      </c>
      <c r="G11" s="339" t="s">
        <v>262</v>
      </c>
      <c r="H11" s="339" t="s">
        <v>263</v>
      </c>
      <c r="I11" s="345">
        <v>2</v>
      </c>
      <c r="J11" s="339" t="s">
        <v>264</v>
      </c>
      <c r="K11" s="340">
        <v>43668</v>
      </c>
      <c r="L11" s="340">
        <v>43651</v>
      </c>
      <c r="M11" s="336" t="s">
        <v>202</v>
      </c>
      <c r="N11" s="341" t="s">
        <v>265</v>
      </c>
      <c r="O11" s="341" t="s">
        <v>204</v>
      </c>
      <c r="P11" s="342" t="s">
        <v>205</v>
      </c>
      <c r="Q11" s="341" t="s">
        <v>206</v>
      </c>
      <c r="R11" s="341" t="s">
        <v>207</v>
      </c>
      <c r="S11" s="341" t="s">
        <v>208</v>
      </c>
      <c r="T11" s="341" t="s">
        <v>219</v>
      </c>
      <c r="U11" s="336">
        <v>1</v>
      </c>
      <c r="V11" s="336" t="s">
        <v>210</v>
      </c>
      <c r="W11" s="343" t="s">
        <v>211</v>
      </c>
      <c r="X11" s="338" t="s">
        <v>213</v>
      </c>
      <c r="Y11" s="338">
        <v>0</v>
      </c>
      <c r="Z11" s="338" t="s">
        <v>211</v>
      </c>
      <c r="AA11" s="343" t="s">
        <v>212</v>
      </c>
      <c r="AB11" s="343" t="s">
        <v>213</v>
      </c>
      <c r="AC11" s="338" t="s">
        <v>211</v>
      </c>
      <c r="AD11" s="344"/>
      <c r="AE11" s="311"/>
      <c r="AF11" s="311" t="s">
        <v>83</v>
      </c>
      <c r="AG11" s="311"/>
      <c r="AH11" s="311">
        <f>Input!HW11</f>
        <v>0</v>
      </c>
      <c r="AI11" s="311">
        <f>Input!HX11</f>
        <v>0</v>
      </c>
    </row>
    <row r="12" ht="75">
      <c r="A12" s="310">
        <v>11</v>
      </c>
      <c r="B12" s="330" t="s">
        <v>196</v>
      </c>
      <c r="C12" s="310" t="s">
        <v>197</v>
      </c>
      <c r="D12" s="310" t="str">
        <f>Check!D12</f>
        <v>339124</v>
      </c>
      <c r="E12" s="338" t="s">
        <v>266</v>
      </c>
      <c r="F12" s="339" t="s">
        <v>46</v>
      </c>
      <c r="G12" s="339" t="s">
        <v>267</v>
      </c>
      <c r="H12" s="339" t="s">
        <v>268</v>
      </c>
      <c r="I12" s="345">
        <v>2</v>
      </c>
      <c r="J12" s="339" t="s">
        <v>269</v>
      </c>
      <c r="K12" s="340">
        <v>43668</v>
      </c>
      <c r="L12" s="340">
        <v>43651</v>
      </c>
      <c r="M12" s="336" t="s">
        <v>202</v>
      </c>
      <c r="N12" s="341" t="s">
        <v>270</v>
      </c>
      <c r="O12" s="341" t="s">
        <v>204</v>
      </c>
      <c r="P12" s="342" t="s">
        <v>205</v>
      </c>
      <c r="Q12" s="341" t="s">
        <v>206</v>
      </c>
      <c r="R12" s="341" t="s">
        <v>207</v>
      </c>
      <c r="S12" s="341" t="s">
        <v>208</v>
      </c>
      <c r="T12" s="341" t="s">
        <v>271</v>
      </c>
      <c r="U12" s="336">
        <v>1</v>
      </c>
      <c r="V12" s="336" t="s">
        <v>248</v>
      </c>
      <c r="W12" s="343" t="s">
        <v>211</v>
      </c>
      <c r="X12" s="338" t="s">
        <v>213</v>
      </c>
      <c r="Y12" s="338">
        <v>0</v>
      </c>
      <c r="Z12" s="338" t="s">
        <v>211</v>
      </c>
      <c r="AA12" s="343" t="s">
        <v>220</v>
      </c>
      <c r="AB12" s="343" t="s">
        <v>213</v>
      </c>
      <c r="AC12" s="338" t="s">
        <v>211</v>
      </c>
      <c r="AD12" s="344"/>
      <c r="AE12" s="311"/>
      <c r="AF12" s="311" t="s">
        <v>83</v>
      </c>
      <c r="AG12" s="311"/>
      <c r="AH12" s="311">
        <f>Input!HW12</f>
        <v>0</v>
      </c>
      <c r="AI12" s="311">
        <f>Input!HX12</f>
        <v>0</v>
      </c>
    </row>
    <row r="13" ht="75">
      <c r="A13" s="310">
        <v>12</v>
      </c>
      <c r="B13" s="330" t="s">
        <v>196</v>
      </c>
      <c r="C13" s="310" t="s">
        <v>197</v>
      </c>
      <c r="D13" s="310" t="str">
        <f>Check!D13</f>
        <v>339101</v>
      </c>
      <c r="E13" s="338" t="s">
        <v>272</v>
      </c>
      <c r="F13" s="339" t="s">
        <v>46</v>
      </c>
      <c r="G13" s="339" t="s">
        <v>273</v>
      </c>
      <c r="H13" s="339" t="s">
        <v>274</v>
      </c>
      <c r="I13" s="345">
        <v>2</v>
      </c>
      <c r="J13" s="339" t="s">
        <v>275</v>
      </c>
      <c r="K13" s="340">
        <v>43668</v>
      </c>
      <c r="L13" s="340">
        <v>43656</v>
      </c>
      <c r="M13" s="336" t="s">
        <v>202</v>
      </c>
      <c r="N13" s="341" t="s">
        <v>276</v>
      </c>
      <c r="O13" s="341" t="s">
        <v>204</v>
      </c>
      <c r="P13" s="342" t="s">
        <v>205</v>
      </c>
      <c r="Q13" s="341" t="s">
        <v>206</v>
      </c>
      <c r="R13" s="341" t="s">
        <v>207</v>
      </c>
      <c r="S13" s="341" t="s">
        <v>208</v>
      </c>
      <c r="T13" s="341" t="s">
        <v>277</v>
      </c>
      <c r="U13" s="336">
        <v>1</v>
      </c>
      <c r="V13" s="336" t="s">
        <v>210</v>
      </c>
      <c r="W13" s="343" t="s">
        <v>211</v>
      </c>
      <c r="X13" s="338" t="s">
        <v>213</v>
      </c>
      <c r="Y13" s="338">
        <v>0</v>
      </c>
      <c r="Z13" s="338" t="s">
        <v>211</v>
      </c>
      <c r="AA13" s="343" t="s">
        <v>220</v>
      </c>
      <c r="AB13" s="343" t="s">
        <v>213</v>
      </c>
      <c r="AC13" s="338" t="s">
        <v>211</v>
      </c>
      <c r="AD13" s="344"/>
      <c r="AE13" s="311"/>
      <c r="AF13" s="311" t="s">
        <v>83</v>
      </c>
      <c r="AG13" s="311"/>
      <c r="AH13" s="311">
        <f>Input!HW13</f>
        <v>0</v>
      </c>
      <c r="AI13" s="311">
        <f>Input!HX13</f>
        <v>0</v>
      </c>
    </row>
    <row r="14" ht="75">
      <c r="A14" s="310">
        <v>13</v>
      </c>
      <c r="B14" s="330" t="s">
        <v>196</v>
      </c>
      <c r="C14" s="310" t="s">
        <v>197</v>
      </c>
      <c r="D14" s="310" t="str">
        <f>Check!D14</f>
        <v>339027</v>
      </c>
      <c r="E14" s="338" t="s">
        <v>278</v>
      </c>
      <c r="F14" s="339" t="s">
        <v>46</v>
      </c>
      <c r="G14" s="339" t="s">
        <v>279</v>
      </c>
      <c r="H14" s="339" t="s">
        <v>280</v>
      </c>
      <c r="I14" s="345">
        <v>2</v>
      </c>
      <c r="J14" s="339" t="s">
        <v>281</v>
      </c>
      <c r="K14" s="340">
        <v>43668</v>
      </c>
      <c r="L14" s="340">
        <v>43661</v>
      </c>
      <c r="M14" s="336" t="s">
        <v>202</v>
      </c>
      <c r="N14" s="341" t="s">
        <v>282</v>
      </c>
      <c r="O14" s="341" t="s">
        <v>204</v>
      </c>
      <c r="P14" s="342" t="s">
        <v>205</v>
      </c>
      <c r="Q14" s="341" t="s">
        <v>206</v>
      </c>
      <c r="R14" s="341" t="s">
        <v>207</v>
      </c>
      <c r="S14" s="341" t="s">
        <v>208</v>
      </c>
      <c r="T14" s="341" t="s">
        <v>283</v>
      </c>
      <c r="U14" s="336">
        <v>1</v>
      </c>
      <c r="V14" s="336" t="s">
        <v>210</v>
      </c>
      <c r="W14" s="343" t="s">
        <v>213</v>
      </c>
      <c r="X14" s="338" t="s">
        <v>213</v>
      </c>
      <c r="Y14" s="338">
        <v>0</v>
      </c>
      <c r="Z14" s="338" t="s">
        <v>211</v>
      </c>
      <c r="AA14" s="343" t="s">
        <v>260</v>
      </c>
      <c r="AB14" s="343" t="s">
        <v>213</v>
      </c>
      <c r="AC14" s="338" t="s">
        <v>211</v>
      </c>
      <c r="AD14" s="344"/>
      <c r="AE14" s="311"/>
      <c r="AF14" s="311" t="s">
        <v>83</v>
      </c>
      <c r="AG14" s="311"/>
      <c r="AH14" s="311">
        <f>Input!HW14</f>
        <v>0</v>
      </c>
      <c r="AI14" s="311">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7B2564A2-4EE2-4956-9604-FF46457F89D7}">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27"/>
    <col min="2" max="3" width="13.5703125" customWidth="1" style="327"/>
    <col min="4" max="4" width="13.7109375" customWidth="1" style="327"/>
    <col min="5" max="5" bestFit="1" width="35" customWidth="1" style="207"/>
    <col min="6" max="6" width="9.140625" customWidth="1" style="207"/>
    <col min="7" max="7" width="13.28515625" customWidth="1" style="207"/>
    <col min="8" max="8" width="39.7109375" customWidth="1" style="207"/>
    <col min="9" max="17" width="9.140625" customWidth="1" style="207"/>
    <col min="18" max="16384" width="9.140625" customWidth="1" style="207"/>
  </cols>
  <sheetData>
    <row r="1">
      <c r="A1" s="352" t="s">
        <v>284</v>
      </c>
      <c r="B1" s="352" t="s">
        <v>285</v>
      </c>
      <c r="C1" s="352" t="s">
        <v>286</v>
      </c>
      <c r="D1" s="352" t="s">
        <v>287</v>
      </c>
    </row>
    <row r="2">
      <c r="A2" s="228">
        <v>1</v>
      </c>
      <c r="B2" s="228" t="b">
        <v>1</v>
      </c>
      <c r="C2" s="228" t="s">
        <v>288</v>
      </c>
      <c r="D2" s="228" t="s">
        <v>289</v>
      </c>
    </row>
    <row r="3">
      <c r="A3" s="228">
        <v>2</v>
      </c>
      <c r="B3" s="228" t="b">
        <v>0</v>
      </c>
      <c r="C3" s="228" t="s">
        <v>290</v>
      </c>
      <c r="D3" s="228" t="s">
        <v>0</v>
      </c>
    </row>
    <row r="5">
      <c r="C5" s="351"/>
      <c r="D5" s="352" t="s">
        <v>192</v>
      </c>
      <c r="E5" s="352" t="s">
        <v>291</v>
      </c>
    </row>
    <row r="6">
      <c r="C6" s="353" t="s">
        <v>292</v>
      </c>
      <c r="D6" s="228" t="s">
        <v>83</v>
      </c>
      <c r="E6" s="2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261641C7-D59E-4E62-9B68-8ACA7C729BC5}">
      <formula1>LabIDList</formula1>
    </dataValidation>
  </dataValidations>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16.140625" customWidth="1" style="312"/>
    <col min="26"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0"/>
    <col min="38" max="40" width="15.85546875" customWidth="1" style="312"/>
    <col min="41" max="41" width="9.140625" customWidth="1" style="320"/>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2" width="13" customWidth="1" style="312"/>
    <col min="233" max="241" width="9.140625" customWidth="1" style="312"/>
    <col min="242" max="16384" width="9.140625" customWidth="1" style="312"/>
  </cols>
  <sheetData>
    <row r="1" ht="57" s="320" customFormat="1">
      <c r="A1" s="369" t="s">
        <v>0</v>
      </c>
      <c r="B1" s="369" t="s">
        <v>163</v>
      </c>
      <c r="C1" s="369" t="s">
        <v>164</v>
      </c>
      <c r="D1" s="369" t="s">
        <v>165</v>
      </c>
      <c r="E1" s="369" t="s">
        <v>72</v>
      </c>
      <c r="F1" s="369" t="s">
        <v>166</v>
      </c>
      <c r="G1" s="369" t="s">
        <v>167</v>
      </c>
      <c r="H1" s="370" t="s">
        <v>168</v>
      </c>
      <c r="I1" s="370" t="s">
        <v>169</v>
      </c>
      <c r="J1" s="370" t="s">
        <v>170</v>
      </c>
      <c r="K1" s="371" t="s">
        <v>171</v>
      </c>
      <c r="L1" s="371" t="s">
        <v>172</v>
      </c>
      <c r="M1" s="370" t="s">
        <v>173</v>
      </c>
      <c r="N1" s="370" t="s">
        <v>174</v>
      </c>
      <c r="O1" s="370" t="s">
        <v>175</v>
      </c>
      <c r="P1" s="370" t="s">
        <v>176</v>
      </c>
      <c r="Q1" s="370" t="s">
        <v>177</v>
      </c>
      <c r="R1" s="370" t="s">
        <v>178</v>
      </c>
      <c r="S1" s="370" t="s">
        <v>179</v>
      </c>
      <c r="T1" s="370" t="s">
        <v>180</v>
      </c>
      <c r="U1" s="370" t="s">
        <v>181</v>
      </c>
      <c r="V1" s="370" t="s">
        <v>182</v>
      </c>
      <c r="W1" s="364" t="s">
        <v>183</v>
      </c>
      <c r="X1" s="364" t="s">
        <v>184</v>
      </c>
      <c r="Y1" s="364" t="s">
        <v>185</v>
      </c>
      <c r="Z1" s="364" t="s">
        <v>186</v>
      </c>
      <c r="AA1" s="365" t="s">
        <v>187</v>
      </c>
      <c r="AB1" s="364" t="s">
        <v>188</v>
      </c>
      <c r="AC1" s="364" t="s">
        <v>189</v>
      </c>
      <c r="AD1" s="372" t="s">
        <v>190</v>
      </c>
      <c r="AE1" s="369" t="s">
        <v>191</v>
      </c>
      <c r="AF1" s="369" t="s">
        <v>192</v>
      </c>
      <c r="AG1" s="369" t="s">
        <v>193</v>
      </c>
      <c r="AH1" s="373" t="s">
        <v>293</v>
      </c>
      <c r="AI1" s="374" t="s">
        <v>294</v>
      </c>
      <c r="AJ1" s="374" t="s">
        <v>295</v>
      </c>
      <c r="AK1" s="374" t="s">
        <v>296</v>
      </c>
      <c r="AL1" s="375" t="s">
        <v>297</v>
      </c>
      <c r="AM1" s="375" t="s">
        <v>298</v>
      </c>
      <c r="AN1" s="375" t="s">
        <v>299</v>
      </c>
      <c r="AO1" s="376" t="s">
        <v>300</v>
      </c>
      <c r="AP1" s="377" t="s">
        <v>301</v>
      </c>
      <c r="AQ1" s="377" t="s">
        <v>302</v>
      </c>
      <c r="AR1" s="377" t="s">
        <v>303</v>
      </c>
      <c r="AS1" s="377" t="s">
        <v>304</v>
      </c>
      <c r="AT1" s="377" t="s">
        <v>305</v>
      </c>
      <c r="AU1" s="377" t="s">
        <v>306</v>
      </c>
      <c r="AV1" s="376" t="s">
        <v>307</v>
      </c>
      <c r="AW1" s="376" t="s">
        <v>308</v>
      </c>
      <c r="AX1" s="376" t="s">
        <v>309</v>
      </c>
      <c r="AY1" s="376" t="s">
        <v>310</v>
      </c>
      <c r="AZ1" s="376" t="s">
        <v>311</v>
      </c>
      <c r="BA1" s="376" t="s">
        <v>312</v>
      </c>
      <c r="BB1" s="377" t="s">
        <v>313</v>
      </c>
      <c r="BC1" s="376" t="s">
        <v>314</v>
      </c>
      <c r="BD1" s="376" t="s">
        <v>315</v>
      </c>
      <c r="BE1" s="376" t="s">
        <v>316</v>
      </c>
      <c r="BF1" s="376" t="s">
        <v>317</v>
      </c>
      <c r="BG1" s="376" t="s">
        <v>318</v>
      </c>
      <c r="BH1" s="376" t="s">
        <v>319</v>
      </c>
      <c r="BI1" s="377" t="s">
        <v>320</v>
      </c>
      <c r="BJ1" s="377" t="s">
        <v>321</v>
      </c>
      <c r="BK1" s="377" t="s">
        <v>322</v>
      </c>
      <c r="BL1" s="377" t="s">
        <v>323</v>
      </c>
      <c r="BM1" s="377" t="s">
        <v>324</v>
      </c>
      <c r="BN1" s="377" t="s">
        <v>325</v>
      </c>
      <c r="BO1" s="376" t="s">
        <v>326</v>
      </c>
      <c r="BP1" s="376" t="s">
        <v>327</v>
      </c>
      <c r="BQ1" s="376" t="s">
        <v>328</v>
      </c>
      <c r="BR1" s="376" t="s">
        <v>329</v>
      </c>
      <c r="BS1" s="376" t="s">
        <v>330</v>
      </c>
      <c r="BT1" s="376" t="s">
        <v>331</v>
      </c>
      <c r="BU1" s="377" t="s">
        <v>332</v>
      </c>
      <c r="BV1" s="376" t="s">
        <v>333</v>
      </c>
      <c r="BW1" s="376" t="s">
        <v>334</v>
      </c>
      <c r="BX1" s="376" t="s">
        <v>335</v>
      </c>
      <c r="BY1" s="376" t="s">
        <v>336</v>
      </c>
      <c r="BZ1" s="376" t="s">
        <v>337</v>
      </c>
      <c r="CA1" s="376" t="s">
        <v>338</v>
      </c>
      <c r="CB1" s="377" t="s">
        <v>339</v>
      </c>
      <c r="CC1" s="376" t="s">
        <v>340</v>
      </c>
      <c r="CD1" s="376" t="s">
        <v>341</v>
      </c>
      <c r="CE1" s="376" t="s">
        <v>342</v>
      </c>
      <c r="CF1" s="376" t="s">
        <v>343</v>
      </c>
      <c r="CG1" s="376" t="s">
        <v>344</v>
      </c>
      <c r="CH1" s="376" t="s">
        <v>345</v>
      </c>
      <c r="CI1" s="377" t="s">
        <v>346</v>
      </c>
      <c r="CJ1" s="376" t="s">
        <v>347</v>
      </c>
      <c r="CK1" s="376" t="s">
        <v>348</v>
      </c>
      <c r="CL1" s="376" t="s">
        <v>349</v>
      </c>
      <c r="CM1" s="376" t="s">
        <v>350</v>
      </c>
      <c r="CN1" s="376" t="s">
        <v>351</v>
      </c>
      <c r="CO1" s="376" t="s">
        <v>352</v>
      </c>
      <c r="CP1" s="377" t="s">
        <v>353</v>
      </c>
      <c r="CQ1" s="376" t="s">
        <v>354</v>
      </c>
      <c r="CR1" s="376" t="s">
        <v>355</v>
      </c>
      <c r="CS1" s="376" t="s">
        <v>356</v>
      </c>
      <c r="CT1" s="376" t="s">
        <v>357</v>
      </c>
      <c r="CU1" s="376" t="s">
        <v>358</v>
      </c>
      <c r="CV1" s="376" t="s">
        <v>359</v>
      </c>
      <c r="CW1" s="377" t="s">
        <v>360</v>
      </c>
      <c r="CX1" s="376" t="s">
        <v>361</v>
      </c>
      <c r="CY1" s="376" t="s">
        <v>362</v>
      </c>
      <c r="CZ1" s="376" t="s">
        <v>363</v>
      </c>
      <c r="DA1" s="376" t="s">
        <v>364</v>
      </c>
      <c r="DB1" s="376" t="s">
        <v>365</v>
      </c>
      <c r="DC1" s="376" t="s">
        <v>366</v>
      </c>
      <c r="DD1" s="377" t="s">
        <v>367</v>
      </c>
      <c r="DE1" s="376" t="s">
        <v>368</v>
      </c>
      <c r="DF1" s="376" t="s">
        <v>369</v>
      </c>
      <c r="DG1" s="376" t="s">
        <v>370</v>
      </c>
      <c r="DH1" s="376" t="s">
        <v>371</v>
      </c>
      <c r="DI1" s="376" t="s">
        <v>372</v>
      </c>
      <c r="DJ1" s="376" t="s">
        <v>373</v>
      </c>
      <c r="DK1" s="377" t="s">
        <v>374</v>
      </c>
      <c r="DL1" s="376" t="s">
        <v>375</v>
      </c>
      <c r="DM1" s="376" t="s">
        <v>376</v>
      </c>
      <c r="DN1" s="376" t="s">
        <v>377</v>
      </c>
      <c r="DO1" s="376" t="s">
        <v>378</v>
      </c>
      <c r="DP1" s="376" t="s">
        <v>379</v>
      </c>
      <c r="DQ1" s="376" t="s">
        <v>380</v>
      </c>
      <c r="DR1" s="378" t="s">
        <v>381</v>
      </c>
      <c r="DS1" s="378" t="s">
        <v>382</v>
      </c>
      <c r="DT1" s="377" t="s">
        <v>383</v>
      </c>
      <c r="DU1" s="376" t="s">
        <v>384</v>
      </c>
      <c r="DV1" s="376" t="s">
        <v>385</v>
      </c>
      <c r="DW1" s="376" t="s">
        <v>386</v>
      </c>
      <c r="DX1" s="376" t="s">
        <v>387</v>
      </c>
      <c r="DY1" s="376" t="s">
        <v>388</v>
      </c>
      <c r="DZ1" s="376" t="s">
        <v>389</v>
      </c>
      <c r="EA1" s="378" t="s">
        <v>390</v>
      </c>
      <c r="EB1" s="378" t="s">
        <v>391</v>
      </c>
      <c r="EC1" s="377" t="s">
        <v>392</v>
      </c>
      <c r="ED1" s="376" t="s">
        <v>393</v>
      </c>
      <c r="EE1" s="376" t="s">
        <v>394</v>
      </c>
      <c r="EF1" s="376" t="s">
        <v>395</v>
      </c>
      <c r="EG1" s="376" t="s">
        <v>396</v>
      </c>
      <c r="EH1" s="376" t="s">
        <v>397</v>
      </c>
      <c r="EI1" s="376" t="s">
        <v>398</v>
      </c>
      <c r="EJ1" s="378" t="s">
        <v>399</v>
      </c>
      <c r="EK1" s="378" t="s">
        <v>400</v>
      </c>
      <c r="EL1" s="377" t="s">
        <v>401</v>
      </c>
      <c r="EM1" s="376" t="s">
        <v>402</v>
      </c>
      <c r="EN1" s="376" t="s">
        <v>403</v>
      </c>
      <c r="EO1" s="376" t="s">
        <v>404</v>
      </c>
      <c r="EP1" s="376" t="s">
        <v>405</v>
      </c>
      <c r="EQ1" s="376" t="s">
        <v>406</v>
      </c>
      <c r="ER1" s="376" t="s">
        <v>407</v>
      </c>
      <c r="ES1" s="378" t="s">
        <v>408</v>
      </c>
      <c r="ET1" s="378" t="s">
        <v>409</v>
      </c>
      <c r="EU1" s="377" t="s">
        <v>410</v>
      </c>
      <c r="EV1" s="376" t="s">
        <v>411</v>
      </c>
      <c r="EW1" s="376" t="s">
        <v>412</v>
      </c>
      <c r="EX1" s="376" t="s">
        <v>413</v>
      </c>
      <c r="EY1" s="376" t="s">
        <v>414</v>
      </c>
      <c r="EZ1" s="376" t="s">
        <v>415</v>
      </c>
      <c r="FA1" s="376" t="s">
        <v>416</v>
      </c>
      <c r="FB1" s="378" t="s">
        <v>417</v>
      </c>
      <c r="FC1" s="378" t="s">
        <v>418</v>
      </c>
      <c r="FD1" s="377" t="s">
        <v>419</v>
      </c>
      <c r="FE1" s="376" t="s">
        <v>420</v>
      </c>
      <c r="FF1" s="376" t="s">
        <v>421</v>
      </c>
      <c r="FG1" s="376" t="s">
        <v>422</v>
      </c>
      <c r="FH1" s="376" t="s">
        <v>423</v>
      </c>
      <c r="FI1" s="376" t="s">
        <v>424</v>
      </c>
      <c r="FJ1" s="376" t="s">
        <v>425</v>
      </c>
      <c r="FK1" s="378" t="s">
        <v>426</v>
      </c>
      <c r="FL1" s="378" t="s">
        <v>427</v>
      </c>
      <c r="FM1" s="378" t="s">
        <v>428</v>
      </c>
      <c r="FN1" s="379" t="s">
        <v>429</v>
      </c>
      <c r="FO1" s="379" t="s">
        <v>430</v>
      </c>
      <c r="FP1" s="379" t="s">
        <v>431</v>
      </c>
      <c r="FQ1" s="379" t="s">
        <v>432</v>
      </c>
      <c r="FR1" s="379" t="s">
        <v>433</v>
      </c>
      <c r="FS1" s="379" t="s">
        <v>434</v>
      </c>
      <c r="FT1" s="377" t="s">
        <v>435</v>
      </c>
      <c r="FU1" s="376" t="s">
        <v>436</v>
      </c>
      <c r="FV1" s="376" t="s">
        <v>437</v>
      </c>
      <c r="FW1" s="376" t="s">
        <v>438</v>
      </c>
      <c r="FX1" s="376" t="s">
        <v>439</v>
      </c>
      <c r="FY1" s="376" t="s">
        <v>440</v>
      </c>
      <c r="FZ1" s="376" t="s">
        <v>441</v>
      </c>
      <c r="GA1" s="378" t="s">
        <v>442</v>
      </c>
      <c r="GB1" s="377" t="s">
        <v>443</v>
      </c>
      <c r="GC1" s="376" t="s">
        <v>444</v>
      </c>
      <c r="GD1" s="376" t="s">
        <v>445</v>
      </c>
      <c r="GE1" s="376" t="s">
        <v>446</v>
      </c>
      <c r="GF1" s="376" t="s">
        <v>447</v>
      </c>
      <c r="GG1" s="376" t="s">
        <v>448</v>
      </c>
      <c r="GH1" s="376" t="s">
        <v>449</v>
      </c>
      <c r="GI1" s="378" t="s">
        <v>450</v>
      </c>
      <c r="GJ1" s="377" t="s">
        <v>451</v>
      </c>
      <c r="GK1" s="376" t="s">
        <v>452</v>
      </c>
      <c r="GL1" s="376" t="s">
        <v>453</v>
      </c>
      <c r="GM1" s="376" t="s">
        <v>454</v>
      </c>
      <c r="GN1" s="376" t="s">
        <v>455</v>
      </c>
      <c r="GO1" s="376" t="s">
        <v>456</v>
      </c>
      <c r="GP1" s="376" t="s">
        <v>457</v>
      </c>
      <c r="GQ1" s="378" t="s">
        <v>458</v>
      </c>
      <c r="GR1" s="377" t="s">
        <v>459</v>
      </c>
      <c r="GS1" s="376" t="s">
        <v>460</v>
      </c>
      <c r="GT1" s="376" t="s">
        <v>461</v>
      </c>
      <c r="GU1" s="376" t="s">
        <v>462</v>
      </c>
      <c r="GV1" s="376" t="s">
        <v>463</v>
      </c>
      <c r="GW1" s="376" t="s">
        <v>464</v>
      </c>
      <c r="GX1" s="376" t="s">
        <v>465</v>
      </c>
      <c r="GY1" s="378" t="s">
        <v>466</v>
      </c>
      <c r="GZ1" s="377" t="s">
        <v>467</v>
      </c>
      <c r="HA1" s="376" t="s">
        <v>468</v>
      </c>
      <c r="HB1" s="376" t="s">
        <v>469</v>
      </c>
      <c r="HC1" s="376" t="s">
        <v>470</v>
      </c>
      <c r="HD1" s="376" t="s">
        <v>471</v>
      </c>
      <c r="HE1" s="376" t="s">
        <v>472</v>
      </c>
      <c r="HF1" s="376" t="s">
        <v>473</v>
      </c>
      <c r="HG1" s="378" t="s">
        <v>474</v>
      </c>
      <c r="HH1" s="377" t="s">
        <v>475</v>
      </c>
      <c r="HI1" s="376" t="s">
        <v>476</v>
      </c>
      <c r="HJ1" s="376" t="s">
        <v>477</v>
      </c>
      <c r="HK1" s="376" t="s">
        <v>478</v>
      </c>
      <c r="HL1" s="376" t="s">
        <v>479</v>
      </c>
      <c r="HM1" s="376" t="s">
        <v>480</v>
      </c>
      <c r="HN1" s="376" t="s">
        <v>481</v>
      </c>
      <c r="HO1" s="378" t="s">
        <v>482</v>
      </c>
      <c r="HP1" s="377" t="s">
        <v>291</v>
      </c>
      <c r="HQ1" s="380" t="s">
        <v>483</v>
      </c>
      <c r="HR1" s="380" t="s">
        <v>484</v>
      </c>
      <c r="HS1" s="380" t="s">
        <v>485</v>
      </c>
      <c r="HT1" s="380" t="s">
        <v>486</v>
      </c>
      <c r="HU1" s="380" t="s">
        <v>487</v>
      </c>
      <c r="HV1" s="380" t="s">
        <v>488</v>
      </c>
      <c r="HW1" s="381" t="s">
        <v>194</v>
      </c>
      <c r="HX1" s="382" t="s">
        <v>195</v>
      </c>
      <c r="HY1" s="383" t="s">
        <v>489</v>
      </c>
    </row>
    <row r="2" ht="102" s="321" customFormat="1">
      <c r="A2" s="222">
        <f>Input!A2</f>
        <v>1</v>
      </c>
      <c r="B2" s="222" t="str">
        <f>Input!B2</f>
        <v>VNM-HCM</v>
      </c>
      <c r="C2" s="222" t="str">
        <f>Input!C2</f>
        <v>VNMOBILE</v>
      </c>
      <c r="D2" s="222" t="str">
        <f>BC2</f>
        <v>339084</v>
      </c>
      <c r="E2" s="222" t="str">
        <f>Input!E2</f>
        <v>Ấp 4, xã An Nhựt Tân, huyện Tân Trụ, tỉnh Long An.</v>
      </c>
      <c r="F2" s="222" t="str">
        <f>Input!F2</f>
        <v>Long An</v>
      </c>
      <c r="G2" s="222" t="str">
        <f>Input!G2</f>
        <v>106,48085</v>
      </c>
      <c r="H2" s="222" t="str">
        <f>Input!H2</f>
        <v>10,57899</v>
      </c>
      <c r="I2" s="222">
        <f>Input!I2</f>
        <v>2</v>
      </c>
      <c r="J2" s="222" t="str">
        <f>Input!J2</f>
        <v>1801181/19/TG/TT2</v>
      </c>
      <c r="K2" s="224" t="str">
        <f>TEXT(Input!K2,"dd/mm/yyyy")</f>
        <v>22/07/2019</v>
      </c>
      <c r="L2" s="224" t="str">
        <f>TEXT(Input!L2,"dd/mm/yyyy")</f>
        <v>26/06/2019</v>
      </c>
      <c r="M2" s="222" t="str">
        <f>Input!M2</f>
        <v>CÔNG TY CỔ PHẦN VIỄN THÔNG DI ĐỘNG VIETNAMOBILE;CÔNG TY CỔ PHẦN VIỄN THÔNG DI ĐỘNG VIETNAMOBILE</v>
      </c>
      <c r="N2" s="222" t="str">
        <f>Input!N2</f>
        <v>339084;339084</v>
      </c>
      <c r="O2" s="222" t="str">
        <f>Input!O2</f>
        <v>ZTE ZXSDR BS8700;ZTE ZXSDR BS8700</v>
      </c>
      <c r="P2" s="222" t="str">
        <f>Input!P2</f>
        <v>3;3</v>
      </c>
      <c r="Q2" s="222" t="str">
        <f>Input!Q2</f>
        <v>2/2/2;1/1/1</v>
      </c>
      <c r="R2" s="222" t="str">
        <f>Input!R2</f>
        <v>80W/80W/80W;40W/40W/40W</v>
      </c>
      <c r="S2" s="222" t="str">
        <f>Input!S2</f>
        <v>U2100;U900</v>
      </c>
      <c r="T2" s="222" t="str">
        <f>Input!T2</f>
        <v>43m/ 43m/ 43m;39m/ 39m/ 39m</v>
      </c>
      <c r="U2" s="222">
        <f>Input!U2</f>
        <v>1</v>
      </c>
      <c r="V2" s="222" t="str">
        <f>Input!V2</f>
        <v>Agisson DX-1710-2170-65-18i-0F;MB800/900-65-18DE14</v>
      </c>
      <c r="W2" s="222" t="b">
        <f>IF(OR(Input!W2,Input!W2="TRUE"),TRUE,IF(OR(Input!W2 = 0,Input!W2="FALSE"),FALSE,Input!W2))</f>
        <v>1</v>
      </c>
      <c r="X2" s="222" t="b">
        <f>IF(OR(Input!X2,Input!X2="TRUE"),TRUE,IF(OR(Input!X2 = 0,Input!X2="FALSE"),FALSE,Input!X2))</f>
        <v>1</v>
      </c>
      <c r="Y2" s="222">
        <f>VALUE(Input!Y2)</f>
        <v>39</v>
      </c>
      <c r="Z2" s="222" t="b">
        <f>IF(OR(Input!Z2,Input!Z2="TRUE"),TRUE,IF(OR(Input!Z2 = 0,Input!Z2="FALSE"),FALSE,Input!Z2))</f>
        <v>1</v>
      </c>
      <c r="AA2" s="222">
        <f>VALUE(Input!AA2)</f>
        <v>4</v>
      </c>
      <c r="AB2" s="222" t="b">
        <f>IF(OR(Input!AB2,Input!AB2="TRUE"),TRUE,IF(OR(Input!AB2 = 0,Input!AB2="FALSE"),FALSE,Input!AB2))</f>
        <v>0</v>
      </c>
      <c r="AC2" s="222" t="b">
        <f>IF(OR(Input!AC2,Input!AC2="TRUE"),TRUE,IF(OR(Input!AC2 = 0,Input!AC2="FALSE"),FALSE,Input!AC2))</f>
        <v>1</v>
      </c>
      <c r="AD2" s="222">
        <f>Input!AD2</f>
        <v>0</v>
      </c>
      <c r="AE2" s="222">
        <f>Input!AE2</f>
        <v>0</v>
      </c>
      <c r="AF2" s="222" t="str">
        <f>Input!AF2</f>
        <v>VCC2</v>
      </c>
      <c r="AG2" s="222">
        <f>Input!AD2</f>
        <v>0</v>
      </c>
      <c r="AH2" s="223"/>
      <c r="AI2" s="223" t="str">
        <f>INDEX(ApplicantNameList,MATCH(B2,ApplicantIDList,0))</f>
        <v>Chi nhánh Công ty Cổ phần Viễn thông Di động Vietnamobile tại Thành Phố Hồ Chí Minh</v>
      </c>
      <c r="AJ2" s="223" t="str">
        <f>INDEX(OperatorNameList,MATCH(C2,OperatorIDList,0))</f>
        <v>VNMOBILE</v>
      </c>
      <c r="AK2" s="222">
        <f>LEN(E2)-LEN(SUBSTITUTE(E2,",",""))</f>
        <v>3</v>
      </c>
      <c r="AL2" s="331" t="str">
        <f>TRIM(IF(AK2&gt;=2,MID(E2,FIND("~",SUBSTITUTE(E2,",","~", AK2))+1,IFERROR(FIND("~",SUBSTITUTE(E2,",","~", AK2+1))-1,LEN(E2))- FIND("~",SUBSTITUTE(E2,",","~", AK2))),""))</f>
        <v>tỉnh Long An.</v>
      </c>
      <c r="AM2" s="331" t="str">
        <f>TRIM(IF(AK2&gt;=2,MID(E2,FIND("~",SUBSTITUTE(E2,",","~", AK2-1))+1,IFERROR(FIND("~",SUBSTITUTE(E2,",","~", AK2-0))-1,LEN(E2))- FIND("~",SUBSTITUTE(E2,",","~", AK2-1))),""))</f>
        <v>huyện Tân Trụ</v>
      </c>
      <c r="AN2" s="331" t="str">
        <f>TRIM(IF(AK2&gt;=3,MID(E2,FIND("~",SUBSTITUTE(E2,",","~", AK2-2))+1,IFERROR(FIND("~",SUBSTITUTE(E2,",","~", AK2-1))-1,LEN(E2))- FIND("~",SUBSTITUTE(E2,",","~", AK2-2))),""))</f>
        <v>xã An Nhựt Tân</v>
      </c>
      <c r="AO2" s="222" t="str">
        <f>INDEX(CityIDList,MATCH(F2,CityNameList,0))</f>
        <v>LAN</v>
      </c>
      <c r="AP2" s="223" t="str">
        <f>TRIM(IF(I2&gt;=1,MID(M2,1,IFERROR(FIND("~",SUBSTITUTE(M2,";","~",1))-1,LEN(M2))),""))</f>
        <v>CÔNG TY CỔ PHẦN VIỄN THÔNG DI ĐỘNG VIETNAMOBILE</v>
      </c>
      <c r="AQ2" s="223" t="str">
        <f>TRIM(IF(I2&gt;=2,MID(M2,FIND("~",SUBSTITUTE(M2,";","~",1))+1,IFERROR(FIND("~",SUBSTITUTE(M2,";","~",2))-1,LEN(M2))- FIND("~",SUBSTITUTE(M2,";","~",1))),""))</f>
        <v>CÔNG TY CỔ PHẦN VIỄN THÔNG DI ĐỘNG VIETNAMOBILE</v>
      </c>
      <c r="AR2" s="223">
        <f>TRIM(IF(I2&gt;=3,MID(M2,FIND("~",SUBSTITUTE(M2,";","~",2))+1,IFERROR(FIND("~",SUBSTITUTE(M2,";","~",3))-1,LEN(M2))- FIND("~",SUBSTITUTE(M2,";","~",2))),""))</f>
      </c>
      <c r="AS2" s="223">
        <f>TRIM(IF(I2&gt;=4,MID(M2,FIND("~",SUBSTITUTE(M2,";","~",3))+1,IFERROR(FIND("~",SUBSTITUTE(M2,";","~",4))-1,LEN(M2))- FIND("~",SUBSTITUTE(M2,";","~",3))),""))</f>
      </c>
      <c r="AT2" s="223">
        <f>TRIM(IF(I2&gt;=5,MID(M2,FIND("~",SUBSTITUTE(M2,";","~",4))+1,IFERROR(FIND("~",SUBSTITUTE(M2,";","~",5))-1,LEN(M2))- FIND("~",SUBSTITUTE(M2,";","~",4))),""))</f>
      </c>
      <c r="AU2" s="223">
        <f>TRIM(IF(I2&gt;=6,MID(M2,FIND("~",SUBSTITUTE(M2,";","~",5))+1,IFERROR(FIND("~",SUBSTITUTE(M2,";","~",6))-1,LEN(M2))- FIND("~",SUBSTITUTE(M2,";","~",5))),""))</f>
      </c>
      <c r="AV2" s="223" t="e">
        <f>IF(I2&gt;=1,INDEX(OperatorIDList,MATCH(AP2,OperatorNameList,0)),"")</f>
        <v>#N/A</v>
      </c>
      <c r="AW2" s="223" t="e">
        <f>IF(I2&gt;=2,INDEX(OperatorIDList,MATCH(AQ2,OperatorNameList,0)),"")</f>
        <v>#N/A</v>
      </c>
      <c r="AX2" s="223">
        <f>IF(I2&gt;=3,INDEX(OperatorIDList,MATCH(AR2,OperatorNameList,0)),"")</f>
      </c>
      <c r="AY2" s="223">
        <f>IF(I2&gt;=4,INDEX(OperatorIDList,MATCH(AS2,OperatorNameList,0)),"")</f>
      </c>
      <c r="AZ2" s="223">
        <f>IF(I2&gt;=5,INDEX(OperatorIDList,MATCH(AT2,OperatorNameList,0)),"")</f>
      </c>
      <c r="BA2" s="223">
        <f>IF(I2&gt;=6,INDEX(OperatorIDList,MATCH(AU2,OperatorNameList,0)),"")</f>
      </c>
      <c r="BB2" s="223" t="e">
        <f>ConcateMultiple(AV2:BA2,";",I2)</f>
        <v>#VALUE!</v>
      </c>
      <c r="BC2" s="223" t="str">
        <f>IF(I2&gt;=1,MID(N2,1,IFERROR(FIND("~",SUBSTITUTE(N2,";","~",1))-1,LEN(N2))),"")</f>
        <v>339084</v>
      </c>
      <c r="BD2" s="223" t="str">
        <f>IF(I2&gt;=2,MID(N2,FIND("~",SUBSTITUTE(N2,";","~",1))+1,IFERROR(FIND("~",SUBSTITUTE(N2,";","~",2))-1,LEN(N2))- FIND("~",SUBSTITUTE(N2,";","~",1))),"")</f>
        <v>339084</v>
      </c>
      <c r="BE2" s="223">
        <f>IF(I2&gt;=3,MID(N2,FIND("~",SUBSTITUTE(N2,";","~",2))+1,IFERROR(FIND("~",SUBSTITUTE(N2,";","~",3))-1,LEN(N2))- FIND("~",SUBSTITUTE(N2,";","~",2))),"")</f>
      </c>
      <c r="BF2" s="223">
        <f>IF(I2&gt;=4,MID(N2,FIND("~",SUBSTITUTE(N2,";","~",3))+1,IFERROR(FIND("~",SUBSTITUTE(N2,";","~",4))-1,LEN(N2))- FIND("~",SUBSTITUTE(N2,";","~",3))),"")</f>
      </c>
      <c r="BG2" s="223">
        <f>IF(I2&gt;=5,MID(N2,FIND("~",SUBSTITUTE(N2,";","~",4))+1,IFERROR(FIND("~",SUBSTITUTE(N2,";","~",5))-1,LEN(N2))- FIND("~",SUBSTITUTE(N2,";","~",4))),"")</f>
      </c>
      <c r="BH2" s="223">
        <f>IF(I2&gt;=6,MID(N2,FIND("~",SUBSTITUTE(N2,";","~",5))+1,IFERROR(FIND("~",SUBSTITUTE(N2,";","~",6))-1,LEN(N2))- FIND("~",SUBSTITUTE(N2,";","~",5))),"")</f>
      </c>
      <c r="BI2" s="223" t="str">
        <f>IF(I2&gt;=1,MID(O2,1,IFERROR(FIND("~",SUBSTITUTE(O2,";","~",1))-1,LEN(O2))),"")</f>
        <v>ZTE ZXSDR BS8700</v>
      </c>
      <c r="BJ2" s="223" t="str">
        <f>IF(I2&gt;=2,MID(O2,FIND("~",SUBSTITUTE(O2,";","~",1))+1,IFERROR(FIND("~",SUBSTITUTE(O2,";","~",2))-1,LEN(O2))- FIND("~",SUBSTITUTE(O2,";","~",1))),"")</f>
        <v>ZTE ZXSDR BS8700</v>
      </c>
      <c r="BK2" s="223">
        <f>IF(I2&gt;=3,MID(O2,FIND("~",SUBSTITUTE(O2,";","~",2))+1,IFERROR(FIND("~",SUBSTITUTE(O2,";","~",3))-1,LEN(O2))- FIND("~",SUBSTITUTE(O2,";","~",2))),"")</f>
      </c>
      <c r="BL2" s="223">
        <f>IF(I2&gt;=4,MID(O2,FIND("~",SUBSTITUTE(O2,";","~",3))+1,IFERROR(FIND("~",SUBSTITUTE(O2,";","~",4))-1,LEN(O2))- FIND("~",SUBSTITUTE(O2,";","~",3))),"")</f>
      </c>
      <c r="BM2" s="223">
        <f>IF(I2&gt;=5,MID(O2,FIND("~",SUBSTITUTE(O2,";","~",4))+1,IFERROR(FIND("~",SUBSTITUTE(O2,";","~",5))-1,LEN(O2))- FIND("~",SUBSTITUTE(O2,";","~",4))),"")</f>
      </c>
      <c r="BN2" s="223">
        <f>IF(I2&gt;=6,MID(O2,FIND("~",SUBSTITUTE(O2,";","~",5))+1,IFERROR(FIND("~",SUBSTITUTE(O2,";","~",6))-1,LEN(O2))- FIND("~",SUBSTITUTE(O2,";","~",5))),"")</f>
      </c>
      <c r="BO2" s="223">
        <f>IF(I2&gt;=1,MID(P2,1,IFERROR(FIND("~",SUBSTITUTE(P2,";","~",1))-1,LEN(P2))),"0")*1</f>
        <v>3</v>
      </c>
      <c r="BP2" s="223">
        <f>IF(I2&gt;=2,MID(P2,FIND("~",SUBSTITUTE(P2,";","~",1))+1,IFERROR(FIND("~",SUBSTITUTE(P2,";","~",2))-1,LEN(P2))- FIND("~",SUBSTITUTE(P2,";","~",1))),"0")*1</f>
        <v>3</v>
      </c>
      <c r="BQ2" s="223">
        <f>IF(I2&gt;=3,MID(P2,FIND("~",SUBSTITUTE(P2,";","~",2))+1,IFERROR(FIND("~",SUBSTITUTE(P2,";","~",3))-1,LEN(P2))- FIND("~",SUBSTITUTE(P2,";","~",2))),"0")*1</f>
        <v>0</v>
      </c>
      <c r="BR2" s="223">
        <f>IF(I2&gt;=4,MID(P2,FIND("~",SUBSTITUTE(P2,";","~",3))+1,IFERROR(FIND("~",SUBSTITUTE(P2,";","~",4))-1,LEN(P2))- FIND("~",SUBSTITUTE(P2,";","~",3))),"0")*1</f>
        <v>0</v>
      </c>
      <c r="BS2" s="223">
        <f>IF(I2&gt;=5,MID(P2,FIND("~",SUBSTITUTE(P2,";","~",4))+1,IFERROR(FIND("~",SUBSTITUTE(P2,";","~",5))-1,LEN(P2))- FIND("~",SUBSTITUTE(P2,";","~",4))),"0")*1</f>
        <v>0</v>
      </c>
      <c r="BT2" s="223">
        <f>IF(I2&gt;=6,MID(P2,FIND("~",SUBSTITUTE(P2,";","~",5))+1,IFERROR(FIND("~",SUBSTITUTE(P2,";","~",6))-1,LEN(P2))- FIND("~",SUBSTITUTE(P2,";","~",5))),"0")*1</f>
        <v>0</v>
      </c>
      <c r="BU2" s="223" t="str">
        <f>IF(I2&gt;=1,MID(Q2,1,IFERROR(FIND("~",SUBSTITUTE(Q2,";","~",1))-1,LEN(Q2))),"")</f>
        <v>2/2/2</v>
      </c>
      <c r="BV2" s="223">
        <f>IF(BO2&gt;=1,MID(BU2,1,IFERROR(FIND("~",SUBSTITUTE(BU2,"/","~",1))-1,LEN(BU2))),"0")*1</f>
        <v>2</v>
      </c>
      <c r="BW2" s="223">
        <f>IF(BO2&gt;=2,MID(BU2,FIND("~",SUBSTITUTE(BU2,"/","~",1))+1,IFERROR(FIND("~",SUBSTITUTE(BU2,"/","~",2))-1,LEN(BU2))- FIND("~",SUBSTITUTE(BU2,"/","~",1))),"0")*1</f>
        <v>2</v>
      </c>
      <c r="BX2" s="223">
        <f>IF(BO2&gt;=3,MID(BU2,FIND("~",SUBSTITUTE(BU2,"/","~",2))+1,IFERROR(FIND("~",SUBSTITUTE(BU2,"/","~",3))-1,LEN(BU2))- FIND("~",SUBSTITUTE(BU2,"/","~",2))),"0")*1</f>
        <v>2</v>
      </c>
      <c r="BY2" s="223">
        <f>IF(BO2&gt;=4,MID(BU2,FIND("~",SUBSTITUTE(BU2,"/","~",3))+1,IFERROR(FIND("~",SUBSTITUTE(BU2,"/","~",4))-1,LEN(BU2))- FIND("~",SUBSTITUTE(BU2,"/","~",3))),"0")*1</f>
        <v>0</v>
      </c>
      <c r="BZ2" s="223">
        <f>IF(BO2&gt;=5,MID(BU2,FIND("~",SUBSTITUTE(BU2,"/","~",4))+1,IFERROR(FIND("~",SUBSTITUTE(BU2,"/","~",5))-1,LEN(BU2))- FIND("~",SUBSTITUTE(BU2,"/","~",4))),"0")*1</f>
        <v>0</v>
      </c>
      <c r="CA2" s="223">
        <f>IF(BO2&gt;=6,MID(BU2,FIND("~",SUBSTITUTE(BU2,"/","~",5))+1,IFERROR(FIND("~",SUBSTITUTE(BU2,"/","~",6))-1,LEN(BU2))- FIND("~",SUBSTITUTE(BU2,"/","~",5))),"0")*1</f>
        <v>0</v>
      </c>
      <c r="CB2" s="223" t="str">
        <f>IF(I2&gt;=2,MID(Q2,FIND("~",SUBSTITUTE(Q2,";","~",1))+1,IFERROR(FIND("~",SUBSTITUTE(Q2,";","~",2))-1,LEN(Q2))- FIND("~",SUBSTITUTE(Q2,";","~",1))),"")</f>
        <v>1/1/1</v>
      </c>
      <c r="CC2" s="223">
        <f>IF(BP2&gt;=1,MID(CB2,1,IFERROR(FIND("~",SUBSTITUTE(CB2,"/","~",1))-1,LEN(CB2))),"0")*1</f>
        <v>1</v>
      </c>
      <c r="CD2" s="223">
        <f>IF(BP2&gt;=2,MID(CB2,FIND("~",SUBSTITUTE(CB2,"/","~",1))+1,IFERROR(FIND("~",SUBSTITUTE(CB2,"/","~",2))-1,LEN(CB2))- FIND("~",SUBSTITUTE(CB2,"/","~",1))),"0")*1</f>
        <v>1</v>
      </c>
      <c r="CE2" s="223">
        <f>IF(BP2&gt;=3,MID(CB2,FIND("~",SUBSTITUTE(CB2,"/","~",2))+1,IFERROR(FIND("~",SUBSTITUTE(CB2,"/","~",3))-1,LEN(CB2))- FIND("~",SUBSTITUTE(CB2,"/","~",2))),"0")*1</f>
        <v>1</v>
      </c>
      <c r="CF2" s="223">
        <f>IF(BP2&gt;=4,MID(CB2,FIND("~",SUBSTITUTE(CB2,"/","~",3))+1,IFERROR(FIND("~",SUBSTITUTE(CB2,"/","~",4))-1,LEN(CB2))- FIND("~",SUBSTITUTE(CB2,"/","~",3))),"0")*1</f>
        <v>0</v>
      </c>
      <c r="CG2" s="223">
        <f>IF(BP2&gt;=5,MID(CB2,FIND("~",SUBSTITUTE(CB2,"/","~",4))+1,IFERROR(FIND("~",SUBSTITUTE(CB2,"/","~",5))-1,LEN(CB2))- FIND("~",SUBSTITUTE(CB2,"/","~",4))),"0")*1</f>
        <v>0</v>
      </c>
      <c r="CH2" s="223">
        <f>IF(BP2&gt;=6,MID(CB2,FIND("~",SUBSTITUTE(CB2,"/","~",5))+1,IFERROR(FIND("~",SUBSTITUTE(CB2,"/","~",6))-1,LEN(CB2))- FIND("~",SUBSTITUTE(CB2,"/","~",5))),"0")*1</f>
        <v>0</v>
      </c>
      <c r="CI2" s="223">
        <f>IF(I2&gt;=3,MID(Q2,FIND("~",SUBSTITUTE(Q2,";","~",2))+1,IFERROR(FIND("~",SUBSTITUTE(Q2,";","~",3))-1,LEN(Q2))- FIND("~",SUBSTITUTE(Q2,";","~",2))),"")</f>
      </c>
      <c r="CJ2" s="223">
        <f>IF(BQ2&gt;=1,MID(CI2,1,IFERROR(FIND("~",SUBSTITUTE(CI2,"/","~",1))-1,LEN(CI2))),"0")*1</f>
        <v>0</v>
      </c>
      <c r="CK2" s="223">
        <f>IF(BQ2&gt;=2,MID(CI2,FIND("~",SUBSTITUTE(CI2,"/","~",1))+1,IFERROR(FIND("~",SUBSTITUTE(CI2,"/","~",2))-1,LEN(CI2))- FIND("~",SUBSTITUTE(CI2,"/","~",1))),"0")*1</f>
        <v>0</v>
      </c>
      <c r="CL2" s="223">
        <f>IF(BQ2&gt;=3,MID(CI2,FIND("~",SUBSTITUTE(CI2,"/","~",2))+1,IFERROR(FIND("~",SUBSTITUTE(CI2,"/","~",3))-1,LEN(CI2))- FIND("~",SUBSTITUTE(CI2,"/","~",2))),"0")*1</f>
        <v>0</v>
      </c>
      <c r="CM2" s="223">
        <f>IF(BQ2&gt;=4,MID(CI2,FIND("~",SUBSTITUTE(CI2,"/","~",3))+1,IFERROR(FIND("~",SUBSTITUTE(CI2,"/","~",4))-1,LEN(CI2))- FIND("~",SUBSTITUTE(CI2,"/","~",3))),"0")*1</f>
        <v>0</v>
      </c>
      <c r="CN2" s="223">
        <f>IF(BQ2&gt;=5,MID(CI2,FIND("~",SUBSTITUTE(CI2,"/","~",4))+1,IFERROR(FIND("~",SUBSTITUTE(CI2,"/","~",5))-1,LEN(CI2))- FIND("~",SUBSTITUTE(CI2,"/","~",4))),"0")*1</f>
        <v>0</v>
      </c>
      <c r="CO2" s="223">
        <f>IF(BQ2&gt;=6,MID(CI2,FIND("~",SUBSTITUTE(CI2,"/","~",5))+1,IFERROR(FIND("~",SUBSTITUTE(CI2,"/","~",6))-1,LEN(CI2))- FIND("~",SUBSTITUTE(CI2,"/","~",5))),"0")*1</f>
        <v>0</v>
      </c>
      <c r="CP2" s="223">
        <f>IF(I2&gt;=4,MID(Q2,FIND("~",SUBSTITUTE(Q2,";","~",3))+1,IFERROR(FIND("~",SUBSTITUTE(Q2,";","~",4))-1,LEN(Q2))- FIND("~",SUBSTITUTE(Q2,";","~",3))),"")</f>
      </c>
      <c r="CQ2" s="223">
        <f>IF(BR2&gt;=1,MID(CP2,1,IFERROR(FIND("~",SUBSTITUTE(CP2,"/","~",1))-1,LEN(CP2))),"0")*1</f>
        <v>0</v>
      </c>
      <c r="CR2" s="223">
        <f>IF(BR2&gt;=2,MID(CP2,FIND("~",SUBSTITUTE(CP2,"/","~",1))+1,IFERROR(FIND("~",SUBSTITUTE(CP2,"/","~",2))-1,LEN(CP2))- FIND("~",SUBSTITUTE(CP2,"/","~",1))),"0")*1</f>
        <v>0</v>
      </c>
      <c r="CS2" s="223">
        <f>IF(BR2&gt;=3,MID(CP2,FIND("~",SUBSTITUTE(CP2,"/","~",2))+1,IFERROR(FIND("~",SUBSTITUTE(CP2,"/","~",3))-1,LEN(CP2))- FIND("~",SUBSTITUTE(CP2,"/","~",2))),"0")*1</f>
        <v>0</v>
      </c>
      <c r="CT2" s="223">
        <f>IF(BR2&gt;=4,MID(CP2,FIND("~",SUBSTITUTE(CP2,"/","~",3))+1,IFERROR(FIND("~",SUBSTITUTE(CP2,"/","~",4))-1,LEN(CP2))- FIND("~",SUBSTITUTE(CP2,"/","~",3))),"0")*1</f>
        <v>0</v>
      </c>
      <c r="CU2" s="223">
        <f>IF(BR2&gt;=5,MID(CP2,FIND("~",SUBSTITUTE(CP2,"/","~",4))+1,IFERROR(FIND("~",SUBSTITUTE(CP2,"/","~",5))-1,LEN(CP2))- FIND("~",SUBSTITUTE(CP2,"/","~",4))),"0")*1</f>
        <v>0</v>
      </c>
      <c r="CV2" s="223">
        <f>IF(BR2&gt;=6,MID(CP2,FIND("~",SUBSTITUTE(CP2,"/","~",5))+1,IFERROR(FIND("~",SUBSTITUTE(CP2,"/","~",6))-1,LEN(CP2))- FIND("~",SUBSTITUTE(CP2,"/","~",5))),"0")*1</f>
        <v>0</v>
      </c>
      <c r="CW2" s="223">
        <f>IF(I2&gt;=5,MID(Q2,FIND("~",SUBSTITUTE(Q2,";","~",4))+1,IFERROR(FIND("~",SUBSTITUTE(Q2,";","~",5))-1,LEN(Q2))- FIND("~",SUBSTITUTE(Q2,";","~",4))),"")</f>
      </c>
      <c r="CX2" s="223">
        <f>IF(BS2&gt;=1,MID(CW2,1,IFERROR(FIND("~",SUBSTITUTE(CW2,"/","~",1))-1,LEN(CW2))),"0")*1</f>
        <v>0</v>
      </c>
      <c r="CY2" s="223">
        <f>IF(BS2&gt;=2,MID(CW2,FIND("~",SUBSTITUTE(CW2,"/","~",1))+1,IFERROR(FIND("~",SUBSTITUTE(CW2,"/","~",2))-1,LEN(CW2))- FIND("~",SUBSTITUTE(CW2,"/","~",1))),"0")*1</f>
        <v>0</v>
      </c>
      <c r="CZ2" s="223">
        <f>IF(BS2&gt;=3,MID(CW2,FIND("~",SUBSTITUTE(CW2,"/","~",2))+1,IFERROR(FIND("~",SUBSTITUTE(CW2,"/","~",3))-1,LEN(CW2))- FIND("~",SUBSTITUTE(CW2,"/","~",2))),"0")*1</f>
        <v>0</v>
      </c>
      <c r="DA2" s="223">
        <f>IF(BS2&gt;=4,MID(CW2,FIND("~",SUBSTITUTE(CW2,"/","~",3))+1,IFERROR(FIND("~",SUBSTITUTE(CW2,"/","~",4))-1,LEN(CW2))- FIND("~",SUBSTITUTE(CW2,"/","~",3))),"0")*1</f>
        <v>0</v>
      </c>
      <c r="DB2" s="223">
        <f>IF(BS2&gt;=5,MID(CW2,FIND("~",SUBSTITUTE(CW2,"/","~",4))+1,IFERROR(FIND("~",SUBSTITUTE(CW2,"/","~",5))-1,LEN(CW2))- FIND("~",SUBSTITUTE(CW2,"/","~",4))),"0")*1</f>
        <v>0</v>
      </c>
      <c r="DC2" s="223">
        <f>IF(BS2&gt;=6,MID(CW2,FIND("~",SUBSTITUTE(CW2,"/","~",5))+1,IFERROR(FIND("~",SUBSTITUTE(CW2,"/","~",6))-1,LEN(CW2))- FIND("~",SUBSTITUTE(CW2,"/","~",5))),"0")*1</f>
        <v>0</v>
      </c>
      <c r="DD2" s="223">
        <f>IF(I2&gt;=6,MID(Q2,FIND("~",SUBSTITUTE(Q2,";","~",5))+1,IFERROR(FIND("~",SUBSTITUTE(Q2,";","~",6))-1,LEN(Q2))- FIND("~",SUBSTITUTE(Q2,";","~",5))),"")</f>
      </c>
      <c r="DE2" s="223">
        <f>IF(BT2&gt;=1,MID(DD2,1,IFERROR(FIND("~",SUBSTITUTE(DD2,"/","~",1))-1,LEN(DD2))),"0")*1</f>
        <v>0</v>
      </c>
      <c r="DF2" s="223">
        <f>IF(BT2&gt;=2,MID(DD2,FIND("~",SUBSTITUTE(DD2,"/","~",1))+1,IFERROR(FIND("~",SUBSTITUTE(DD2,"/","~",2))-1,LEN(DD2))- FIND("~",SUBSTITUTE(DD2,"/","~",1))),"0")*1</f>
        <v>0</v>
      </c>
      <c r="DG2" s="223">
        <f>IF(BT2&gt;=3,MID(DD2,FIND("~",SUBSTITUTE(DD2,"/","~",2))+1,IFERROR(FIND("~",SUBSTITUTE(DD2,"/","~",3))-1,LEN(DD2))- FIND("~",SUBSTITUTE(DD2,"/","~",2))),"0")*1</f>
        <v>0</v>
      </c>
      <c r="DH2" s="223">
        <f>IF(BT2&gt;=4,MID(DD2,FIND("~",SUBSTITUTE(DD2,"/","~",3))+1,IFERROR(FIND("~",SUBSTITUTE(DD2,"/","~",4))-1,LEN(DD2))- FIND("~",SUBSTITUTE(DD2,"/","~",3))),"0")*1</f>
        <v>0</v>
      </c>
      <c r="DI2" s="223">
        <f>IF(BT2&gt;=5,MID(DD2,FIND("~",SUBSTITUTE(DD2,"/","~",4))+1,IFERROR(FIND("~",SUBSTITUTE(DD2,"/","~",5))-1,LEN(DD2))- FIND("~",SUBSTITUTE(DD2,"/","~",4))),"0")*1</f>
        <v>0</v>
      </c>
      <c r="DJ2" s="223">
        <f>IF(BT2&gt;=6,MID(DD2,FIND("~",SUBSTITUTE(DD2,"/","~",5))+1,IFERROR(FIND("~",SUBSTITUTE(DD2,"/","~",6))-1,LEN(DD2))- FIND("~",SUBSTITUTE(DD2,"/","~",5))),"0")*1</f>
        <v>0</v>
      </c>
      <c r="DK2" s="223" t="str">
        <f>IF(I2&gt;=1,MID(R2,1,IFERROR(FIND("~",SUBSTITUTE(R2,";","~",1))-1,LEN(R2))),"")</f>
        <v>80W/80W/80W</v>
      </c>
      <c r="DL2" s="223">
        <f>SUBSTITUTE(IF(BO2&gt;=1,MID(DK2,1,IFERROR(FIND("~",SUBSTITUTE(DK2,"/","~",1))-1,LEN(DK2))),"0"),"W","")*1</f>
        <v>80</v>
      </c>
      <c r="DM2" s="223">
        <f>SUBSTITUTE(IF(BO2&gt;=2,MID(DK2,FIND("~",SUBSTITUTE(DK2,"/","~",1))+1,IFERROR(FIND("~",SUBSTITUTE(DK2,"/","~",2))-1,LEN(DK2))- FIND("~",SUBSTITUTE(DK2,"/","~",1))),"0"),"W","")*1</f>
        <v>80</v>
      </c>
      <c r="DN2" s="223">
        <f>SUBSTITUTE(IF(BO2&gt;=3,MID(DK2,FIND("~",SUBSTITUTE(DK2,"/","~",2))+1,IFERROR(FIND("~",SUBSTITUTE(DK2,"/","~",3))-1,LEN(DK2))- FIND("~",SUBSTITUTE(DK2,"/","~",2))),"0"),"W","")*1</f>
        <v>80</v>
      </c>
      <c r="DO2" s="223">
        <f>SUBSTITUTE(IF(BO2&gt;=4,MID(DK2,FIND("~",SUBSTITUTE(DK2,"/","~",3))+1,IFERROR(FIND("~",SUBSTITUTE(DK2,"/","~",4))-1,LEN(DK2))- FIND("~",SUBSTITUTE(DK2,"/","~",3))),"0"),"W","")*1</f>
        <v>0</v>
      </c>
      <c r="DP2" s="223">
        <f>SUBSTITUTE(IF(BO2&gt;=5,MID(DK2,FIND("~",SUBSTITUTE(DK2,"/","~",4))+1,IFERROR(FIND("~",SUBSTITUTE(DK2,"/","~",5))-1,LEN(DK2))- FIND("~",SUBSTITUTE(DK2,"/","~",4))),"0"),"W","")*1</f>
        <v>0</v>
      </c>
      <c r="DQ2" s="223">
        <f>SUBSTITUTE(IF(BO2&gt;=6,MID(DK2,FIND("~",SUBSTITUTE(DK2,"/","~",5))+1,IFERROR(FIND("~",SUBSTITUTE(DK2,"/","~",6))-1,LEN(DK2))- FIND("~",SUBSTITUTE(DK2,"/","~",5))),"0"),"W","")*1</f>
        <v>0</v>
      </c>
      <c r="DR2" s="223" t="str">
        <f>ConcateMultiple(DL2:DQ2,"W/ ",BO2)</f>
        <v>80W/ 80W/ 80W</v>
      </c>
      <c r="DS2" s="223">
        <f>MAX(DL2:DO2)</f>
        <v>80</v>
      </c>
      <c r="DT2" s="223" t="str">
        <f>IF(I2&gt;=2,MID(R2,FIND("~",SUBSTITUTE(R2,";","~",1))+1,IFERROR(FIND("~",SUBSTITUTE(R2,";","~",2))-1,LEN(R2))- FIND("~",SUBSTITUTE(R2,";","~",1))),"")</f>
        <v>40W/40W/40W</v>
      </c>
      <c r="DU2" s="223">
        <f>SUBSTITUTE(IF(BP2&gt;=1,MID(DT2,1,IFERROR(FIND("~",SUBSTITUTE(DT2,"/","~",1))-1,LEN(DT2))),"0"),"W","")*1</f>
        <v>40</v>
      </c>
      <c r="DV2" s="223">
        <f>SUBSTITUTE(IF(BP2&gt;=2,MID(DT2,FIND("~",SUBSTITUTE(DT2,"/","~",1))+1,IFERROR(FIND("~",SUBSTITUTE(DT2,"/","~",2))-1,LEN(DT2))- FIND("~",SUBSTITUTE(DT2,"/","~",1))),"0"),"W","")*1</f>
        <v>40</v>
      </c>
      <c r="DW2" s="223">
        <f>SUBSTITUTE(IF(BP2&gt;=3,MID(DT2,FIND("~",SUBSTITUTE(DT2,"/","~",2))+1,IFERROR(FIND("~",SUBSTITUTE(DT2,"/","~",3))-1,LEN(DT2))- FIND("~",SUBSTITUTE(DT2,"/","~",2))),"0"),"W","")*1</f>
        <v>40</v>
      </c>
      <c r="DX2" s="223">
        <f>SUBSTITUTE(IF(BP2&gt;=4,MID(DT2,FIND("~",SUBSTITUTE(DT2,"/","~",3))+1,IFERROR(FIND("~",SUBSTITUTE(DT2,"/","~",4))-1,LEN(DT2))- FIND("~",SUBSTITUTE(DT2,"/","~",3))),"0"),"W","")*1</f>
        <v>0</v>
      </c>
      <c r="DY2" s="223">
        <f>SUBSTITUTE(IF(BP2&gt;=5,MID(DT2,FIND("~",SUBSTITUTE(DT2,"/","~",4))+1,IFERROR(FIND("~",SUBSTITUTE(DT2,"/","~",5))-1,LEN(DT2))- FIND("~",SUBSTITUTE(DT2,"/","~",4))),"0"),"W","")*1</f>
        <v>0</v>
      </c>
      <c r="DZ2" s="223">
        <f>SUBSTITUTE(IF(BP2&gt;=6,MID(DT2,FIND("~",SUBSTITUTE(DT2,"/","~",5))+1,IFERROR(FIND("~",SUBSTITUTE(DT2,"/","~",6))-1,LEN(DT2))- FIND("~",SUBSTITUTE(DT2,"/","~",5))),"0"),"W","")*1</f>
        <v>0</v>
      </c>
      <c r="EA2" s="223" t="str">
        <f>ConcateMultiple(DU2:DZ2,"W/ ",BP2)</f>
        <v>40W/ 40W/ 40W</v>
      </c>
      <c r="EB2" s="223">
        <f>MAX(DU2:DX2)</f>
        <v>40</v>
      </c>
      <c r="EC2" s="223">
        <f>IF(I2&gt;=3,MID(R2,FIND("~",SUBSTITUTE(R2,";","~",2))+1,IFERROR(FIND("~",SUBSTITUTE(R2,";","~",3))-1,LEN(R2))- FIND("~",SUBSTITUTE(R2,";","~",2))),"")</f>
      </c>
      <c r="ED2" s="223">
        <f>SUBSTITUTE(IF(BQ2&gt;=1,MID(EC2,1,IFERROR(FIND("~",SUBSTITUTE(EC2,"/","~",1))-1,LEN(EC2))),"0"),"W","")*1</f>
        <v>0</v>
      </c>
      <c r="EE2" s="223">
        <f>SUBSTITUTE(IF(BQ2&gt;=2,MID(EC2,FIND("~",SUBSTITUTE(EC2,"/","~",1))+1,IFERROR(FIND("~",SUBSTITUTE(EC2,"/","~",2))-1,LEN(EC2))- FIND("~",SUBSTITUTE(EC2,"/","~",1))),"0"),"W","")*1</f>
        <v>0</v>
      </c>
      <c r="EF2" s="223">
        <f>SUBSTITUTE(IF(BQ2&gt;=3,MID(EC2,FIND("~",SUBSTITUTE(EC2,"/","~",2))+1,IFERROR(FIND("~",SUBSTITUTE(EC2,"/","~",3))-1,LEN(EC2))- FIND("~",SUBSTITUTE(EC2,"/","~",2))),"0"),"W","")*1</f>
        <v>0</v>
      </c>
      <c r="EG2" s="223">
        <f>SUBSTITUTE(IF(BQ2&gt;=4,MID(EC2,FIND("~",SUBSTITUTE(EC2,"/","~",3))+1,IFERROR(FIND("~",SUBSTITUTE(EC2,"/","~",4))-1,LEN(EC2))- FIND("~",SUBSTITUTE(EC2,"/","~",3))),"0"),"W","")*1</f>
        <v>0</v>
      </c>
      <c r="EH2" s="223">
        <f>SUBSTITUTE(IF(BQ2&gt;=5,MID(EC2,FIND("~",SUBSTITUTE(EC2,"/","~",4))+1,IFERROR(FIND("~",SUBSTITUTE(EC2,"/","~",5))-1,LEN(EC2))- FIND("~",SUBSTITUTE(EC2,"/","~",4))),"0"),"W","")*1</f>
        <v>0</v>
      </c>
      <c r="EI2" s="223">
        <f>SUBSTITUTE(IF(BQ2&gt;=6,MID(EC2,FIND("~",SUBSTITUTE(EC2,"/","~",5))+1,IFERROR(FIND("~",SUBSTITUTE(EC2,"/","~",6))-1,LEN(EC2))- FIND("~",SUBSTITUTE(EC2,"/","~",5))),"0"),"W","")*1</f>
        <v>0</v>
      </c>
      <c r="EJ2" s="223">
        <f>ConcateMultiple(ED2:EI2,"W/ ",BQ2)</f>
      </c>
      <c r="EK2" s="223">
        <f>MAX(ED2:EG2)</f>
        <v>0</v>
      </c>
      <c r="EL2" s="223">
        <f>IF(I2&gt;=4,MID(R2,FIND("~",SUBSTITUTE(R2,";","~",3))+1,IFERROR(FIND("~",SUBSTITUTE(R2,";","~",4))-1,LEN(R2))- FIND("~",SUBSTITUTE(R2,";","~",3))),"")</f>
      </c>
      <c r="EM2" s="223">
        <f>SUBSTITUTE(IF(BR2&gt;=1,MID(EL2,1,IFERROR(FIND("~",SUBSTITUTE(EL2,"/","~",1))-1,LEN(EL2))),"0"),"W","")*1</f>
        <v>0</v>
      </c>
      <c r="EN2" s="223">
        <f>SUBSTITUTE(IF(BR2&gt;=2,MID(EL2,FIND("~",SUBSTITUTE(EL2,"/","~",1))+1,IFERROR(FIND("~",SUBSTITUTE(EL2,"/","~",2))-1,LEN(EL2))- FIND("~",SUBSTITUTE(EL2,"/","~",1))),"0"),"W","")*1</f>
        <v>0</v>
      </c>
      <c r="EO2" s="223">
        <f>SUBSTITUTE(IF(BR2&gt;=3,MID(EL2,FIND("~",SUBSTITUTE(EL2,"/","~",2))+1,IFERROR(FIND("~",SUBSTITUTE(EL2,"/","~",3))-1,LEN(EL2))- FIND("~",SUBSTITUTE(EL2,"/","~",2))),"0"),"W","")*1</f>
        <v>0</v>
      </c>
      <c r="EP2" s="223">
        <f>SUBSTITUTE(IF(BR2&gt;=4,MID(EL2,FIND("~",SUBSTITUTE(EL2,"/","~",3))+1,IFERROR(FIND("~",SUBSTITUTE(EL2,"/","~",4))-1,LEN(EL2))- FIND("~",SUBSTITUTE(EL2,"/","~",3))),"0"),"W","")*1</f>
        <v>0</v>
      </c>
      <c r="EQ2" s="223">
        <f>SUBSTITUTE(IF(BR2&gt;=5,MID(EL2,FIND("~",SUBSTITUTE(EL2,"/","~",4))+1,IFERROR(FIND("~",SUBSTITUTE(EL2,"/","~",5))-1,LEN(EL2))- FIND("~",SUBSTITUTE(EL2,"/","~",4))),"0"),"W","")*1</f>
        <v>0</v>
      </c>
      <c r="ER2" s="223">
        <f>SUBSTITUTE(IF(BR2&gt;=6,MID(EL2,FIND("~",SUBSTITUTE(EL2,"/","~",5))+1,IFERROR(FIND("~",SUBSTITUTE(EL2,"/","~",6))-1,LEN(EL2))- FIND("~",SUBSTITUTE(EL2,"/","~",5))),"0"),"W","")*1</f>
        <v>0</v>
      </c>
      <c r="ES2" s="223">
        <f>ConcateMultiple(EM2:ER2,"W/ ",BR2)</f>
      </c>
      <c r="ET2" s="223">
        <f>MAX(EM2:EP2)</f>
        <v>0</v>
      </c>
      <c r="EU2" s="223">
        <f>IF(I2&gt;=5,MID(R2,FIND("~",SUBSTITUTE(R2,";","~",4))+1,IFERROR(FIND("~",SUBSTITUTE(R2,";","~",5))-1,LEN(R2))- FIND("~",SUBSTITUTE(R2,";","~",4))),"")</f>
      </c>
      <c r="EV2" s="223">
        <f>SUBSTITUTE(IF(BS2&gt;=1,MID(EU2,1,IFERROR(FIND("~",SUBSTITUTE(EU2,"/","~",1))-1,LEN(EU2))),"0"),"W","")*1</f>
        <v>0</v>
      </c>
      <c r="EW2" s="223">
        <f>SUBSTITUTE(IF(BS2&gt;=2,MID(EU2,FIND("~",SUBSTITUTE(EU2,"/","~",1))+1,IFERROR(FIND("~",SUBSTITUTE(EU2,"/","~",2))-1,LEN(EU2))- FIND("~",SUBSTITUTE(EU2,"/","~",1))),"0"),"W","")*1</f>
        <v>0</v>
      </c>
      <c r="EX2" s="223">
        <f>SUBSTITUTE(IF(BS2&gt;=3,MID(EU2,FIND("~",SUBSTITUTE(EU2,"/","~",2))+1,IFERROR(FIND("~",SUBSTITUTE(EU2,"/","~",3))-1,LEN(EU2))- FIND("~",SUBSTITUTE(EU2,"/","~",2))),"0"),"W","")*1</f>
        <v>0</v>
      </c>
      <c r="EY2" s="223">
        <f>SUBSTITUTE(IF(BS2&gt;=4,MID(EU2,FIND("~",SUBSTITUTE(EU2,"/","~",3))+1,IFERROR(FIND("~",SUBSTITUTE(EU2,"/","~",4))-1,LEN(EU2))- FIND("~",SUBSTITUTE(EU2,"/","~",3))),"0"),"W","")*1</f>
        <v>0</v>
      </c>
      <c r="EZ2" s="223">
        <f>SUBSTITUTE(IF(BS2&gt;=5,MID(EU2,FIND("~",SUBSTITUTE(EU2,"/","~",4))+1,IFERROR(FIND("~",SUBSTITUTE(EU2,"/","~",5))-1,LEN(EU2))- FIND("~",SUBSTITUTE(EU2,"/","~",4))),"0"),"W","")*1</f>
        <v>0</v>
      </c>
      <c r="FA2" s="223">
        <f>SUBSTITUTE(IF(BS2&gt;=6,MID(EU2,FIND("~",SUBSTITUTE(EU2,"/","~",5))+1,IFERROR(FIND("~",SUBSTITUTE(EU2,"/","~",6))-1,LEN(EU2))- FIND("~",SUBSTITUTE(EU2,"/","~",5))),"0"),"W","")*1</f>
        <v>0</v>
      </c>
      <c r="FB2" s="223">
        <f>ConcateMultiple(EV2:FA2,"W/ ",BS2)</f>
      </c>
      <c r="FC2" s="223">
        <f>MAX(EV2:EY2)</f>
        <v>0</v>
      </c>
      <c r="FD2" s="223">
        <f>IF(I2&gt;=6,MID(R2,FIND("~",SUBSTITUTE(R2,";","~",5))+1,IFERROR(FIND("~",SUBSTITUTE(R2,";","~",6))-1,LEN(R2))- FIND("~",SUBSTITUTE(R2,";","~",5))),"")</f>
      </c>
      <c r="FE2" s="223">
        <f>SUBSTITUTE(IF(BT2&gt;=1,MID(FD2,1,IFERROR(FIND("~",SUBSTITUTE(FD2,"/","~",1))-1,LEN(FD2))),"0"),"W","")*1</f>
        <v>0</v>
      </c>
      <c r="FF2" s="223">
        <f>SUBSTITUTE(IF(BT2&gt;=2,MID(FD2,FIND("~",SUBSTITUTE(FD2,"/","~",1))+1,IFERROR(FIND("~",SUBSTITUTE(FD2,"/","~",2))-1,LEN(FD2))- FIND("~",SUBSTITUTE(FD2,"/","~",1))),"0"),"W","")*1</f>
        <v>0</v>
      </c>
      <c r="FG2" s="223">
        <f>SUBSTITUTE(IF(BT2&gt;=3,MID(FD2,FIND("~",SUBSTITUTE(FD2,"/","~",2))+1,IFERROR(FIND("~",SUBSTITUTE(FD2,"/","~",3))-1,LEN(FD2))- FIND("~",SUBSTITUTE(FD2,"/","~",2))),"0"),"W","")*1</f>
        <v>0</v>
      </c>
      <c r="FH2" s="223">
        <f>SUBSTITUTE(IF(BT2&gt;=4,MID(FD2,FIND("~",SUBSTITUTE(FD2,"/","~",3))+1,IFERROR(FIND("~",SUBSTITUTE(FD2,"/","~",4))-1,LEN(FD2))- FIND("~",SUBSTITUTE(FD2,"/","~",3))),"0"),"W","")*1</f>
        <v>0</v>
      </c>
      <c r="FI2" s="223">
        <f>SUBSTITUTE(IF(BT2&gt;=5,MID(FD2,FIND("~",SUBSTITUTE(FD2,"/","~",4))+1,IFERROR(FIND("~",SUBSTITUTE(FD2,"/","~",5))-1,LEN(FD2))- FIND("~",SUBSTITUTE(FD2,"/","~",4))),"0"),"W","")*1</f>
        <v>0</v>
      </c>
      <c r="FJ2" s="223">
        <f>SUBSTITUTE(IF(BT2&gt;=6,MID(FD2,FIND("~",SUBSTITUTE(FD2,"/","~",5))+1,IFERROR(FIND("~",SUBSTITUTE(FD2,"/","~",6))-1,LEN(FD2))- FIND("~",SUBSTITUTE(FD2,"/","~",5))),"0"),"W","")*1</f>
        <v>0</v>
      </c>
      <c r="FK2" s="223">
        <f>ConcateMultiple(FE2:FJ2,"W/ ",BT2)</f>
      </c>
      <c r="FL2" s="223">
        <f>MAX(FE2:FH2)</f>
        <v>0</v>
      </c>
      <c r="FM2" s="223">
        <f>MAX(DS2,EB2,EK2,ET2,FC2,FL2)</f>
        <v>80</v>
      </c>
      <c r="FN2" s="223" t="str">
        <f>TRIM(IF(I2&gt;=1,MID(S2,1,IFERROR(FIND("~",SUBSTITUTE(S2,";","~",1))-1,LEN(S2))),""))</f>
        <v>U2100</v>
      </c>
      <c r="FO2" s="223" t="str">
        <f>TRIM(IF(I2&gt;=2,MID(S2,FIND("~",SUBSTITUTE(S2,";","~",1))+1,IFERROR(FIND("~",SUBSTITUTE(S2,";","~",2))-1,LEN(S2))- FIND("~",SUBSTITUTE(S2,";","~",1))),""))</f>
        <v>U900</v>
      </c>
      <c r="FP2" s="223">
        <f>TRIM(IF(I2&gt;=3,MID(S2,FIND("~",SUBSTITUTE(S2,";","~",2))+1,IFERROR(FIND("~",SUBSTITUTE(S2,";","~",3))-1,LEN(S2))- FIND("~",SUBSTITUTE(S2,";","~",2))),""))</f>
      </c>
      <c r="FQ2" s="223">
        <f>TRIM(IF(I2&gt;=4,MID(S2,FIND("~",SUBSTITUTE(S2,";","~",3))+1,IFERROR(FIND("~",SUBSTITUTE(S2,";","~",4))-1,LEN(S2))- FIND("~",SUBSTITUTE(S2,";","~",3))),""))</f>
      </c>
      <c r="FR2" s="223">
        <f>TRIM(IF(I2&gt;=5,MID(S2,FIND("~",SUBSTITUTE(S2,";","~",4))+1,IFERROR(FIND("~",SUBSTITUTE(S2,";","~",5))-1,LEN(S2))- FIND("~",SUBSTITUTE(S2,";","~",4))),""))</f>
      </c>
      <c r="FS2" s="223">
        <f>TRIM(IF(I2&gt;=6,MID(S2,FIND("~",SUBSTITUTE(S2,";","~",5))+1,IFERROR(FIND("~",SUBSTITUTE(S2,";","~",6))-1,LEN(S2))- FIND("~",SUBSTITUTE(S2,";","~",5))),""))</f>
      </c>
      <c r="FT2" s="223" t="str">
        <f>TRIM(IF(I2&gt;=1,MID(T2,1,IFERROR(FIND("~",SUBSTITUTE(T2,";","~",1))-1,LEN(T2))),""))</f>
        <v>43m/ 43m/ 43m</v>
      </c>
      <c r="FU2" s="223">
        <f>SUBSTITUTE(IF(BO2&gt;=1,MID(FT2,1,IFERROR(FIND("~",SUBSTITUTE(FT2,"/","~",1))-1,LEN(FT2))),"0"),"m","")*1</f>
        <v>43</v>
      </c>
      <c r="FV2" s="223">
        <f>SUBSTITUTE(TRIM(IF(BO2&gt;=2,MID(FT2,FIND("~",SUBSTITUTE(FT2,"/","~",1))+1,IFERROR(FIND("~",SUBSTITUTE(FT2,"/","~",2))-1,LEN(FT2))- FIND("~",SUBSTITUTE(FT2,"/","~",1))),"0")),"m","")*1</f>
        <v>43</v>
      </c>
      <c r="FW2" s="223">
        <f>SUBSTITUTE(TRIM(IF(BO2&gt;=3,MID(FT2,FIND("~",SUBSTITUTE(FT2,"/","~",2))+1,IFERROR(FIND("~",SUBSTITUTE(FT2,"/","~",3))-1,LEN(FT2))- FIND("~",SUBSTITUTE(FT2,"/","~",2))),"0")),"m","")*1</f>
        <v>43</v>
      </c>
      <c r="FX2" s="223">
        <f>SUBSTITUTE(TRIM(IF(BO2&gt;=4,MID(FT2,FIND("~",SUBSTITUTE(FT2,"/","~",3))+1,IFERROR(FIND("~",SUBSTITUTE(FT2,"/","~",4))-1,LEN(FT2))- FIND("~",SUBSTITUTE(FT2,"/","~",3))),"0")),"m","")*1</f>
        <v>0</v>
      </c>
      <c r="FY2" s="223">
        <f>SUBSTITUTE(TRIM(IF(BO2&gt;=5,MID(FT2,FIND("~",SUBSTITUTE(FT2,"/","~",4))+1,IFERROR(FIND("~",SUBSTITUTE(FT2,"/","~",5))-1,LEN(FT2))- FIND("~",SUBSTITUTE(FT2,"/","~",4))),"0")),"m","")*1</f>
        <v>0</v>
      </c>
      <c r="FZ2" s="223">
        <f>SUBSTITUTE(TRIM(IF(BO2&gt;=6,MID(FT2,FIND("~",SUBSTITUTE(FT2,"/","~",5))+1,IFERROR(FIND("~",SUBSTITUTE(FT2,"/","~",6))-1,LEN(FT2))- FIND("~",SUBSTITUTE(FT2,"/","~",5))),"0")),"m","")*1</f>
        <v>0</v>
      </c>
      <c r="GA2" s="223" t="str">
        <f>ConcateMultiple(FU2:FZ2,"m/ ",BO2)</f>
        <v>43m/ 43m/ 43m</v>
      </c>
      <c r="GB2" s="223" t="str">
        <f>TRIM(IF(I2&gt;=2,MID(T2,FIND("~",SUBSTITUTE(T2,";","~",1))+1,IFERROR(FIND("~",SUBSTITUTE(T2,";","~",2))-1,LEN(T2))- FIND("~",SUBSTITUTE(T2,";","~",1))),""))</f>
        <v>39m/ 39m/ 39m</v>
      </c>
      <c r="GC2" s="223">
        <f>SUBSTITUTE(IF(BP2&gt;=1,MID(GB2,1,IFERROR(FIND("~",SUBSTITUTE(GB2,"/","~",1))-1,LEN(GB2))),"0"),"m","")*1</f>
        <v>39</v>
      </c>
      <c r="GD2" s="223">
        <f>SUBSTITUTE(TRIM(IF(BP2&gt;=2,MID(GB2,FIND("~",SUBSTITUTE(GB2,"/","~",1))+1,IFERROR(FIND("~",SUBSTITUTE(GB2,"/","~",2))-1,LEN(GB2))- FIND("~",SUBSTITUTE(GB2,"/","~",1))),"0")),"m","")*1</f>
        <v>39</v>
      </c>
      <c r="GE2" s="223">
        <f>SUBSTITUTE(TRIM(IF(BP2&gt;=3,MID(GB2,FIND("~",SUBSTITUTE(GB2,"/","~",2))+1,IFERROR(FIND("~",SUBSTITUTE(GB2,"/","~",3))-1,LEN(GB2))- FIND("~",SUBSTITUTE(GB2,"/","~",2))),"0")),"m","")*1</f>
        <v>39</v>
      </c>
      <c r="GF2" s="223">
        <f>SUBSTITUTE(TRIM(IF(BP2&gt;=4,MID(GB2,FIND("~",SUBSTITUTE(GB2,"/","~",3))+1,IFERROR(FIND("~",SUBSTITUTE(GB2,"/","~",4))-1,LEN(GB2))- FIND("~",SUBSTITUTE(GB2,"/","~",3))),"0")),"m","")*1</f>
        <v>0</v>
      </c>
      <c r="GG2" s="223">
        <f>SUBSTITUTE(TRIM(IF(BP2&gt;=5,MID(GB2,FIND("~",SUBSTITUTE(GB2,"/","~",4))+1,IFERROR(FIND("~",SUBSTITUTE(GB2,"/","~",5))-1,LEN(GB2))- FIND("~",SUBSTITUTE(GB2,"/","~",4))),"0")),"m","")*1</f>
        <v>0</v>
      </c>
      <c r="GH2" s="223">
        <f>SUBSTITUTE(TRIM(IF(BP2&gt;=6,MID(GB2,FIND("~",SUBSTITUTE(GB2,"/","~",5))+1,IFERROR(FIND("~",SUBSTITUTE(GB2,"/","~",6))-1,LEN(GB2))- FIND("~",SUBSTITUTE(GB2,"/","~",5))),"0")),"m","")*1</f>
        <v>0</v>
      </c>
      <c r="GI2" s="223" t="str">
        <f>ConcateMultiple(GC2:GH2,"m/ ",BP2)</f>
        <v>39m/ 39m/ 39m</v>
      </c>
      <c r="GJ2" s="223">
        <f>TRIM(IF(I2&gt;=3,MID(T2,FIND("~",SUBSTITUTE(T2,";","~",2))+1,IFERROR(FIND("~",SUBSTITUTE(T2,";","~",3))-1,LEN(T2))- FIND("~",SUBSTITUTE(T2,";","~",2))),""))</f>
      </c>
      <c r="GK2" s="223">
        <f>SUBSTITUTE(IF(BQ2&gt;=1,MID(GJ2,1,IFERROR(FIND("~",SUBSTITUTE(GJ2,"/","~",1))-1,LEN(GJ2))),"0"),"m","")*1</f>
        <v>0</v>
      </c>
      <c r="GL2" s="223">
        <f>SUBSTITUTE(TRIM(IF(BQ2&gt;=2,MID(GJ2,FIND("~",SUBSTITUTE(GJ2,"/","~",1))+1,IFERROR(FIND("~",SUBSTITUTE(GJ2,"/","~",2))-1,LEN(GJ2))- FIND("~",SUBSTITUTE(GJ2,"/","~",1))),"0")),"m","")*1</f>
        <v>0</v>
      </c>
      <c r="GM2" s="223">
        <f>SUBSTITUTE(TRIM(IF(BQ2&gt;=3,MID(GJ2,FIND("~",SUBSTITUTE(GJ2,"/","~",2))+1,IFERROR(FIND("~",SUBSTITUTE(GJ2,"/","~",3))-1,LEN(GJ2))- FIND("~",SUBSTITUTE(GJ2,"/","~",2))),"0")),"m","")*1</f>
        <v>0</v>
      </c>
      <c r="GN2" s="223">
        <f>SUBSTITUTE(TRIM(IF(BQ2&gt;=4,MID(GJ2,FIND("~",SUBSTITUTE(GJ2,"/","~",3))+1,IFERROR(FIND("~",SUBSTITUTE(GJ2,"/","~",4))-1,LEN(GJ2))- FIND("~",SUBSTITUTE(GJ2,"/","~",3))),"0")),"m","")*1</f>
        <v>0</v>
      </c>
      <c r="GO2" s="223">
        <f>SUBSTITUTE(TRIM(IF(BQ2&gt;=5,MID(GJ2,FIND("~",SUBSTITUTE(GJ2,"/","~",4))+1,IFERROR(FIND("~",SUBSTITUTE(GJ2,"/","~",5))-1,LEN(GJ2))- FIND("~",SUBSTITUTE(GJ2,"/","~",4))),"0")),"m","")*1</f>
        <v>0</v>
      </c>
      <c r="GP2" s="223">
        <f>SUBSTITUTE(TRIM(IF(BQ2&gt;=6,MID(GJ2,FIND("~",SUBSTITUTE(GJ2,"/","~",5))+1,IFERROR(FIND("~",SUBSTITUTE(GJ2,"/","~",6))-1,LEN(GJ2))- FIND("~",SUBSTITUTE(GJ2,"/","~",5))),"0")),"m","")*1</f>
        <v>0</v>
      </c>
      <c r="GQ2" s="223">
        <f>ConcateMultiple(GK2:GP2,"m/ ",BQ2)</f>
      </c>
      <c r="GR2" s="223">
        <f>TRIM(IF(I2&gt;=4,MID(T2,FIND("~",SUBSTITUTE(T2,";","~",3))+1,IFERROR(FIND("~",SUBSTITUTE(T2,";","~",4))-1,LEN(T2))- FIND("~",SUBSTITUTE(T2,";","~",3))),""))</f>
      </c>
      <c r="GS2" s="223">
        <f>SUBSTITUTE(IF(BR2&gt;=1,MID(GR2,1,IFERROR(FIND("~",SUBSTITUTE(GR2,"/","~",1))-1,LEN(GR2))),"0"),"m","")*1</f>
        <v>0</v>
      </c>
      <c r="GT2" s="223">
        <f>SUBSTITUTE(TRIM(IF(BR2&gt;=2,MID(GR2,FIND("~",SUBSTITUTE(GR2,"/","~",1))+1,IFERROR(FIND("~",SUBSTITUTE(GR2,"/","~",2))-1,LEN(GR2))- FIND("~",SUBSTITUTE(GR2,"/","~",1))),"0")),"m","")*1</f>
        <v>0</v>
      </c>
      <c r="GU2" s="223">
        <f>SUBSTITUTE(TRIM(IF(BR2&gt;=3,MID(GR2,FIND("~",SUBSTITUTE(GR2,"/","~",2))+1,IFERROR(FIND("~",SUBSTITUTE(GR2,"/","~",3))-1,LEN(GR2))- FIND("~",SUBSTITUTE(GR2,"/","~",2))),"0")),"m","")*1</f>
        <v>0</v>
      </c>
      <c r="GV2" s="223">
        <f>SUBSTITUTE(TRIM(IF(BR2&gt;=4,MID(GR2,FIND("~",SUBSTITUTE(GR2,"/","~",3))+1,IFERROR(FIND("~",SUBSTITUTE(GR2,"/","~",4))-1,LEN(GR2))- FIND("~",SUBSTITUTE(GR2,"/","~",3))),"0")),"m","")*1</f>
        <v>0</v>
      </c>
      <c r="GW2" s="223">
        <f>SUBSTITUTE(TRIM(IF(BR2&gt;=5,MID(GR2,FIND("~",SUBSTITUTE(GR2,"/","~",4))+1,IFERROR(FIND("~",SUBSTITUTE(GR2,"/","~",5))-1,LEN(GR2))- FIND("~",SUBSTITUTE(GR2,"/","~",4))),"0")),"m","")*1</f>
        <v>0</v>
      </c>
      <c r="GX2" s="223">
        <f>SUBSTITUTE(TRIM(IF(BR2&gt;=6,MID(GR2,FIND("~",SUBSTITUTE(GR2,"/","~",5))+1,IFERROR(FIND("~",SUBSTITUTE(GR2,"/","~",6))-1,LEN(GR2))- FIND("~",SUBSTITUTE(GR2,"/","~",5))),"0")),"m","")*1</f>
        <v>0</v>
      </c>
      <c r="GY2" s="223">
        <f>ConcateMultiple(GS2:GX2,"m/ ",BR2)</f>
      </c>
      <c r="GZ2" s="223">
        <f>TRIM(IF(I2&gt;=5,MID(T2,FIND("~",SUBSTITUTE(T2,";","~",4))+1,IFERROR(FIND("~",SUBSTITUTE(T2,";","~",5))-1,LEN(T2))- FIND("~",SUBSTITUTE(T2,";","~",4))),""))</f>
      </c>
      <c r="HA2" s="223">
        <f>SUBSTITUTE(IF(BS2&gt;=1,MID(GZ2,1,IFERROR(FIND("~",SUBSTITUTE(GZ2,"/","~",1))-1,LEN(GZ2))),"0"),"m","")*1</f>
        <v>0</v>
      </c>
      <c r="HB2" s="223">
        <f>SUBSTITUTE(TRIM(IF(BS2&gt;=2,MID(GZ2,FIND("~",SUBSTITUTE(GZ2,"/","~",1))+1,IFERROR(FIND("~",SUBSTITUTE(GZ2,"/","~",2))-1,LEN(GZ2))- FIND("~",SUBSTITUTE(GZ2,"/","~",1))),"0")),"m","")*1</f>
        <v>0</v>
      </c>
      <c r="HC2" s="223">
        <f>SUBSTITUTE(TRIM(IF(BS2&gt;=3,MID(GZ2,FIND("~",SUBSTITUTE(GZ2,"/","~",2))+1,IFERROR(FIND("~",SUBSTITUTE(GZ2,"/","~",3))-1,LEN(GZ2))- FIND("~",SUBSTITUTE(GZ2,"/","~",2))),"0")),"m","")*1</f>
        <v>0</v>
      </c>
      <c r="HD2" s="223">
        <f>SUBSTITUTE(TRIM(IF(BS2&gt;=4,MID(GZ2,FIND("~",SUBSTITUTE(GZ2,"/","~",3))+1,IFERROR(FIND("~",SUBSTITUTE(GZ2,"/","~",4))-1,LEN(GZ2))- FIND("~",SUBSTITUTE(GZ2,"/","~",3))),"0")),"m","")*1</f>
        <v>0</v>
      </c>
      <c r="HE2" s="223">
        <f>SUBSTITUTE(TRIM(IF(BS2&gt;=5,MID(GZ2,FIND("~",SUBSTITUTE(GZ2,"/","~",4))+1,IFERROR(FIND("~",SUBSTITUTE(GZ2,"/","~",5))-1,LEN(GZ2))- FIND("~",SUBSTITUTE(GZ2,"/","~",4))),"0")),"m","")*1</f>
        <v>0</v>
      </c>
      <c r="HF2" s="223">
        <f>SUBSTITUTE(TRIM(IF(BS2&gt;=6,MID(GZ2,FIND("~",SUBSTITUTE(GZ2,"/","~",5))+1,IFERROR(FIND("~",SUBSTITUTE(GZ2,"/","~",6))-1,LEN(GZ2))- FIND("~",SUBSTITUTE(GZ2,"/","~",5))),"0")),"m","")*1</f>
        <v>0</v>
      </c>
      <c r="HG2" s="223">
        <f>ConcateMultiple(HA2:HF2,"m/ ",BS2)</f>
      </c>
      <c r="HH2" s="223">
        <f>TRIM(IF(I2&gt;=6,MID(T2,FIND("~",SUBSTITUTE(T2,";","~",5))+1,IFERROR(FIND("~",SUBSTITUTE(T2,";","~",6))-1,LEN(T2))- FIND("~",SUBSTITUTE(T2,";","~",5))),""))</f>
      </c>
      <c r="HI2" s="223">
        <f>SUBSTITUTE(IF(BT2&gt;=1,MID(HH2,1,IFERROR(FIND("~",SUBSTITUTE(HH2,"/","~",1))-1,LEN(HH2))),"0"),"m","")*1</f>
        <v>0</v>
      </c>
      <c r="HJ2" s="223">
        <f>SUBSTITUTE(TRIM(IF(BT2&gt;=2,MID(HH2,FIND("~",SUBSTITUTE(HH2,"/","~",1))+1,IFERROR(FIND("~",SUBSTITUTE(HH2,"/","~",2))-1,LEN(HH2))- FIND("~",SUBSTITUTE(HH2,"/","~",1))),"0")),"m","")*1</f>
        <v>0</v>
      </c>
      <c r="HK2" s="223">
        <f>SUBSTITUTE(TRIM(IF(BT2&gt;=3,MID(HH2,FIND("~",SUBSTITUTE(HH2,"/","~",2))+1,IFERROR(FIND("~",SUBSTITUTE(HH2,"/","~",3))-1,LEN(HH2))- FIND("~",SUBSTITUTE(HH2,"/","~",2))),"0")),"m","")*1</f>
        <v>0</v>
      </c>
      <c r="HL2" s="223">
        <f>SUBSTITUTE(TRIM(IF(BT2&gt;=4,MID(HH2,FIND("~",SUBSTITUTE(HH2,"/","~",3))+1,IFERROR(FIND("~",SUBSTITUTE(HH2,"/","~",4))-1,LEN(HH2))- FIND("~",SUBSTITUTE(HH2,"/","~",3))),"0")),"m","")*1</f>
        <v>0</v>
      </c>
      <c r="HM2" s="223">
        <f>SUBSTITUTE(TRIM(IF(BT2&gt;=5,MID(HH2,FIND("~",SUBSTITUTE(HH2,"/","~",4))+1,IFERROR(FIND("~",SUBSTITUTE(HH2,"/","~",5))-1,LEN(HH2))- FIND("~",SUBSTITUTE(HH2,"/","~",4))),"0")),"m","")*1</f>
        <v>0</v>
      </c>
      <c r="HN2" s="223">
        <f>SUBSTITUTE(TRIM(IF(BT2&gt;=6,MID(HH2,FIND("~",SUBSTITUTE(HH2,"/","~",5))+1,IFERROR(FIND("~",SUBSTITUTE(HH2,"/","~",6))-1,LEN(HH2))- FIND("~",SUBSTITUTE(HH2,"/","~",5))),"0")),"m","")*1</f>
        <v>0</v>
      </c>
      <c r="HO2" s="223">
        <f>ConcateMultiple(HI2:HN2,"m/ ",BT2)</f>
      </c>
      <c r="HP2" s="223" t="str">
        <f>INDEX(LabNameList,MATCH(AF2,LabIDList,0))</f>
        <v>Trung tâm Kiểm định và Chứng nhận 2</v>
      </c>
      <c r="HQ2" s="223">
        <f>MinMultiple(FU2:FX2,BO2)</f>
        <v>43</v>
      </c>
      <c r="HR2" s="223">
        <f>MinMultiple(GC2:GF2,BP2)</f>
        <v>39</v>
      </c>
      <c r="HS2" s="223">
        <f>MinMultiple(GK2:GN2,BQ2)</f>
        <v>0</v>
      </c>
      <c r="HT2" s="223">
        <f>MinMultiple(GS2:GV2,BR2)</f>
        <v>0</v>
      </c>
      <c r="HU2" s="223">
        <f>MinMultiple(HA2:HD2,BS2)</f>
        <v>0</v>
      </c>
      <c r="HV2" s="223">
        <f>MinMultiple(HI2:HL2,BT2)</f>
        <v>0</v>
      </c>
      <c r="HW2" s="222">
        <f>MinMultiple(HQ2:HV2,I2)</f>
        <v>39</v>
      </c>
      <c r="HX2" s="222">
        <f>HW2-AA2</f>
        <v>35</v>
      </c>
      <c r="HY2" s="223">
        <v>13</v>
      </c>
    </row>
    <row r="3" ht="102">
      <c r="A3" s="222">
        <f>Input!A3</f>
        <v>2</v>
      </c>
      <c r="B3" s="222" t="str">
        <f>Input!B3</f>
        <v>VNM-HCM</v>
      </c>
      <c r="C3" s="222" t="str">
        <f>Input!C3</f>
        <v>VNMOBILE</v>
      </c>
      <c r="D3" s="222" t="str">
        <f ref="D3:D14" t="shared" si="0">BC3</f>
        <v>339118</v>
      </c>
      <c r="E3" s="222" t="str">
        <f>Input!E3</f>
        <v>Số 476, tổ 8, thôn Cho, xã Long Hựu Đông, huyện Cần Đước, tỉnh Long An.</v>
      </c>
      <c r="F3" s="222" t="str">
        <f>Input!F3</f>
        <v>Long An</v>
      </c>
      <c r="G3" s="222" t="str">
        <f>Input!G3</f>
        <v>106,66496</v>
      </c>
      <c r="H3" s="222" t="str">
        <f>Input!H3</f>
        <v>10,49004</v>
      </c>
      <c r="I3" s="222">
        <f>Input!I3</f>
        <v>2</v>
      </c>
      <c r="J3" s="222" t="str">
        <f>Input!J3</f>
        <v>1801182/19/TG/TT2</v>
      </c>
      <c r="K3" s="224" t="str">
        <f>TEXT(Input!K3,"dd/mm/yyyy")</f>
        <v>22/07/2019</v>
      </c>
      <c r="L3" s="224" t="str">
        <f>TEXT(Input!L3,"dd/mm/yyyy")</f>
        <v>28/06/2019</v>
      </c>
      <c r="M3" s="222" t="str">
        <f>Input!M3</f>
        <v>CÔNG TY CỔ PHẦN VIỄN THÔNG DI ĐỘNG VIETNAMOBILE;CÔNG TY CỔ PHẦN VIỄN THÔNG DI ĐỘNG VIETNAMOBILE</v>
      </c>
      <c r="N3" s="222" t="str">
        <f>Input!N3</f>
        <v>339118;339118</v>
      </c>
      <c r="O3" s="222" t="str">
        <f>Input!O3</f>
        <v>ZTE ZXSDR BS8700;ZTE ZXSDR BS8700</v>
      </c>
      <c r="P3" s="222" t="str">
        <f>Input!P3</f>
        <v>3;3</v>
      </c>
      <c r="Q3" s="222" t="str">
        <f>Input!Q3</f>
        <v>2/2/2;1/1/1</v>
      </c>
      <c r="R3" s="222" t="str">
        <f>Input!R3</f>
        <v>80W/80W/80W;40W/40W/40W</v>
      </c>
      <c r="S3" s="222" t="str">
        <f>Input!S3</f>
        <v>U2100;U900</v>
      </c>
      <c r="T3" s="222" t="str">
        <f>Input!T3</f>
        <v>34m/ 34m/ 34m;30m/ 30m/ 30m</v>
      </c>
      <c r="U3" s="222">
        <f>Input!U3</f>
        <v>1</v>
      </c>
      <c r="V3" s="222" t="str">
        <f>Input!V3</f>
        <v>Agisson DX-1710-2170-65-18i-0F;MB800/900-65-18DE14</v>
      </c>
      <c r="W3" s="222" t="b">
        <f>IF(OR(Input!W3,Input!W3="TRUE"),TRUE,IF(OR(Input!W3 = 0,Input!W3="FALSE"),FALSE,Input!W3))</f>
        <v>1</v>
      </c>
      <c r="X3" s="222" t="b">
        <f>IF(OR(Input!X3,Input!X3="TRUE"),TRUE,IF(OR(Input!X3 = 0,Input!X3="FALSE"),FALSE,Input!X3))</f>
        <v>0</v>
      </c>
      <c r="Y3" s="222">
        <f>VALUE(Input!Y3)</f>
        <v>0</v>
      </c>
      <c r="Z3" s="222" t="b">
        <f>IF(OR(Input!Z3,Input!Z3="TRUE"),TRUE,IF(OR(Input!Z3 = 0,Input!Z3="FALSE"),FALSE,Input!Z3))</f>
        <v>1</v>
      </c>
      <c r="AA3" s="222">
        <f>VALUE(Input!AA3)</f>
        <v>7</v>
      </c>
      <c r="AB3" s="222" t="b">
        <f>IF(OR(Input!AB3,Input!AB3="TRUE"),TRUE,IF(OR(Input!AB3 = 0,Input!AB3="FALSE"),FALSE,Input!AB3))</f>
        <v>0</v>
      </c>
      <c r="AC3" s="222" t="b">
        <f>IF(OR(Input!AC3,Input!AC3="TRUE"),TRUE,IF(OR(Input!AC3 = 0,Input!AC3="FALSE"),FALSE,Input!AC3))</f>
        <v>1</v>
      </c>
      <c r="AD3" s="222">
        <f>Input!AD3</f>
        <v>0</v>
      </c>
      <c r="AE3" s="222">
        <f>Input!AE3</f>
        <v>0</v>
      </c>
      <c r="AF3" s="222" t="str">
        <f>Input!AF3</f>
        <v>VCC2</v>
      </c>
      <c r="AG3" s="222">
        <f>Input!AG3</f>
        <v>0</v>
      </c>
      <c r="AH3" s="223"/>
      <c r="AI3" s="223" t="str">
        <f>INDEX(ApplicantNameList,MATCH(B3,ApplicantIDList,0))</f>
        <v>Chi nhánh Công ty Cổ phần Viễn thông Di động Vietnamobile tại Thành Phố Hồ Chí Minh</v>
      </c>
      <c r="AJ3" s="223" t="str">
        <f>INDEX(OperatorNameList,MATCH(C3,OperatorIDList,0))</f>
        <v>VNMOBILE</v>
      </c>
      <c r="AK3" s="222">
        <f ref="AK3:AK14" t="shared" si="1">LEN(E3)-LEN(SUBSTITUTE(E3,",",""))</f>
        <v>5</v>
      </c>
      <c r="AL3" s="331" t="str">
        <f ref="AL3:AL14" t="shared" si="2">TRIM(IF(AK3&gt;=2,MID(E3,FIND("~",SUBSTITUTE(E3,",","~", AK3))+1,IFERROR(FIND("~",SUBSTITUTE(E3,",","~", AK3+1))-1,LEN(E3))- FIND("~",SUBSTITUTE(E3,",","~", AK3))),""))</f>
        <v>tỉnh Long An.</v>
      </c>
      <c r="AM3" s="331" t="str">
        <f ref="AM3:AM14" t="shared" si="3">TRIM(IF(AK3&gt;=2,MID(E3,FIND("~",SUBSTITUTE(E3,",","~", AK3-1))+1,IFERROR(FIND("~",SUBSTITUTE(E3,",","~", AK3-0))-1,LEN(E3))- FIND("~",SUBSTITUTE(E3,",","~", AK3-1))),""))</f>
        <v>huyện Cần Đước</v>
      </c>
      <c r="AN3" s="331" t="str">
        <f ref="AN3:AN14" t="shared" si="4">TRIM(IF(AK3&gt;=3,MID(E3,FIND("~",SUBSTITUTE(E3,",","~", AK3-2))+1,IFERROR(FIND("~",SUBSTITUTE(E3,",","~", AK3-1))-1,LEN(E3))- FIND("~",SUBSTITUTE(E3,",","~", AK3-2))),""))</f>
        <v>xã Long Hựu Đông</v>
      </c>
      <c r="AO3" s="222" t="str">
        <f>INDEX(CityIDList,MATCH(F3,CityNameList,0))</f>
        <v>LAN</v>
      </c>
      <c r="AP3" s="223" t="str">
        <f ref="AP3:AP14" t="shared" si="5">TRIM(IF(I3&gt;=1,MID(M3,1,IFERROR(FIND("~",SUBSTITUTE(M3,";","~",1))-1,LEN(M3))),""))</f>
        <v>CÔNG TY CỔ PHẦN VIỄN THÔNG DI ĐỘNG VIETNAMOBILE</v>
      </c>
      <c r="AQ3" s="223" t="str">
        <f ref="AQ3:AQ14" t="shared" si="6">TRIM(IF(I3&gt;=2,MID(M3,FIND("~",SUBSTITUTE(M3,";","~",1))+1,IFERROR(FIND("~",SUBSTITUTE(M3,";","~",2))-1,LEN(M3))- FIND("~",SUBSTITUTE(M3,";","~",1))),""))</f>
        <v>CÔNG TY CỔ PHẦN VIỄN THÔNG DI ĐỘNG VIETNAMOBILE</v>
      </c>
      <c r="AR3" s="223">
        <f ref="AR3:AR14" t="shared" si="7">TRIM(IF(I3&gt;=3,MID(M3,FIND("~",SUBSTITUTE(M3,";","~",2))+1,IFERROR(FIND("~",SUBSTITUTE(M3,";","~",3))-1,LEN(M3))- FIND("~",SUBSTITUTE(M3,";","~",2))),""))</f>
      </c>
      <c r="AS3" s="223">
        <f ref="AS3:AS14" t="shared" si="8">TRIM(IF(I3&gt;=4,MID(M3,FIND("~",SUBSTITUTE(M3,";","~",3))+1,IFERROR(FIND("~",SUBSTITUTE(M3,";","~",4))-1,LEN(M3))- FIND("~",SUBSTITUTE(M3,";","~",3))),""))</f>
      </c>
      <c r="AT3" s="223">
        <f ref="AT3:AT14" t="shared" si="9">TRIM(IF(I3&gt;=5,MID(M3,FIND("~",SUBSTITUTE(M3,";","~",4))+1,IFERROR(FIND("~",SUBSTITUTE(M3,";","~",5))-1,LEN(M3))- FIND("~",SUBSTITUTE(M3,";","~",4))),""))</f>
      </c>
      <c r="AU3" s="223">
        <f ref="AU3:AU14" t="shared" si="10">TRIM(IF(I3&gt;=6,MID(M3,FIND("~",SUBSTITUTE(M3,";","~",5))+1,IFERROR(FIND("~",SUBSTITUTE(M3,";","~",6))-1,LEN(M3))- FIND("~",SUBSTITUTE(M3,";","~",5))),""))</f>
      </c>
      <c r="AV3" s="223" t="e">
        <f>IF(I3&gt;=1,INDEX(OperatorIDList,MATCH(AP3,OperatorNameList,0)),"")</f>
        <v>#N/A</v>
      </c>
      <c r="AW3" s="223" t="e">
        <f>IF(I3&gt;=2,INDEX(OperatorIDList,MATCH(AQ3,OperatorNameList,0)),"")</f>
        <v>#N/A</v>
      </c>
      <c r="AX3" s="223">
        <f>IF(I3&gt;=3,INDEX(OperatorIDList,MATCH(AR3,OperatorNameList,0)),"")</f>
      </c>
      <c r="AY3" s="223">
        <f>IF(I3&gt;=4,INDEX(OperatorIDList,MATCH(AS3,OperatorNameList,0)),"")</f>
      </c>
      <c r="AZ3" s="223">
        <f>IF(I3&gt;=5,INDEX(OperatorIDList,MATCH(AT3,OperatorNameList,0)),"")</f>
      </c>
      <c r="BA3" s="223">
        <f>IF(I3&gt;=6,INDEX(OperatorIDList,MATCH(AU3,OperatorNameList,0)),"")</f>
      </c>
      <c r="BB3" s="223" t="e">
        <f ref="BB3:BB14" t="shared" si="11">ConcateMultiple(AV3:BA3,";",I3)</f>
        <v>#VALUE!</v>
      </c>
      <c r="BC3" s="223" t="str">
        <f ref="BC3:BC14" t="shared" si="12">IF(I3&gt;=1,MID(N3,1,IFERROR(FIND("~",SUBSTITUTE(N3,";","~",1))-1,LEN(N3))),"")</f>
        <v>339118</v>
      </c>
      <c r="BD3" s="223" t="str">
        <f ref="BD3:BD14" t="shared" si="13">IF(I3&gt;=2,MID(N3,FIND("~",SUBSTITUTE(N3,";","~",1))+1,IFERROR(FIND("~",SUBSTITUTE(N3,";","~",2))-1,LEN(N3))- FIND("~",SUBSTITUTE(N3,";","~",1))),"")</f>
        <v>339118</v>
      </c>
      <c r="BE3" s="223">
        <f ref="BE3:BE14" t="shared" si="14">IF(I3&gt;=3,MID(N3,FIND("~",SUBSTITUTE(N3,";","~",2))+1,IFERROR(FIND("~",SUBSTITUTE(N3,";","~",3))-1,LEN(N3))- FIND("~",SUBSTITUTE(N3,";","~",2))),"")</f>
      </c>
      <c r="BF3" s="223">
        <f ref="BF3:BF14" t="shared" si="15">IF(I3&gt;=4,MID(N3,FIND("~",SUBSTITUTE(N3,";","~",3))+1,IFERROR(FIND("~",SUBSTITUTE(N3,";","~",4))-1,LEN(N3))- FIND("~",SUBSTITUTE(N3,";","~",3))),"")</f>
      </c>
      <c r="BG3" s="223">
        <f ref="BG3:BG14" t="shared" si="16">IF(I3&gt;=5,MID(N3,FIND("~",SUBSTITUTE(N3,";","~",4))+1,IFERROR(FIND("~",SUBSTITUTE(N3,";","~",5))-1,LEN(N3))- FIND("~",SUBSTITUTE(N3,";","~",4))),"")</f>
      </c>
      <c r="BH3" s="223">
        <f ref="BH3:BH14" t="shared" si="17">IF(I3&gt;=6,MID(N3,FIND("~",SUBSTITUTE(N3,";","~",5))+1,IFERROR(FIND("~",SUBSTITUTE(N3,";","~",6))-1,LEN(N3))- FIND("~",SUBSTITUTE(N3,";","~",5))),"")</f>
      </c>
      <c r="BI3" s="223" t="str">
        <f ref="BI3:BI14" t="shared" si="18">IF(I3&gt;=1,MID(O3,1,IFERROR(FIND("~",SUBSTITUTE(O3,";","~",1))-1,LEN(O3))),"")</f>
        <v>ZTE ZXSDR BS8700</v>
      </c>
      <c r="BJ3" s="223" t="str">
        <f ref="BJ3:BJ14" t="shared" si="19">IF(I3&gt;=2,MID(O3,FIND("~",SUBSTITUTE(O3,";","~",1))+1,IFERROR(FIND("~",SUBSTITUTE(O3,";","~",2))-1,LEN(O3))- FIND("~",SUBSTITUTE(O3,";","~",1))),"")</f>
        <v>ZTE ZXSDR BS8700</v>
      </c>
      <c r="BK3" s="223">
        <f ref="BK3:BK14" t="shared" si="20">IF(I3&gt;=3,MID(O3,FIND("~",SUBSTITUTE(O3,";","~",2))+1,IFERROR(FIND("~",SUBSTITUTE(O3,";","~",3))-1,LEN(O3))- FIND("~",SUBSTITUTE(O3,";","~",2))),"")</f>
      </c>
      <c r="BL3" s="223">
        <f ref="BL3:BL14" t="shared" si="21">IF(I3&gt;=4,MID(O3,FIND("~",SUBSTITUTE(O3,";","~",3))+1,IFERROR(FIND("~",SUBSTITUTE(O3,";","~",4))-1,LEN(O3))- FIND("~",SUBSTITUTE(O3,";","~",3))),"")</f>
      </c>
      <c r="BM3" s="223">
        <f ref="BM3:BM14" t="shared" si="22">IF(I3&gt;=5,MID(O3,FIND("~",SUBSTITUTE(O3,";","~",4))+1,IFERROR(FIND("~",SUBSTITUTE(O3,";","~",5))-1,LEN(O3))- FIND("~",SUBSTITUTE(O3,";","~",4))),"")</f>
      </c>
      <c r="BN3" s="223">
        <f ref="BN3:BN14" t="shared" si="23">IF(I3&gt;=6,MID(O3,FIND("~",SUBSTITUTE(O3,";","~",5))+1,IFERROR(FIND("~",SUBSTITUTE(O3,";","~",6))-1,LEN(O3))- FIND("~",SUBSTITUTE(O3,";","~",5))),"")</f>
      </c>
      <c r="BO3" s="223">
        <f ref="BO3:BO14" t="shared" si="24">IF(I3&gt;=1,MID(P3,1,IFERROR(FIND("~",SUBSTITUTE(P3,";","~",1))-1,LEN(P3))),"0")*1</f>
        <v>3</v>
      </c>
      <c r="BP3" s="223">
        <f ref="BP3:BP14" t="shared" si="25">IF(I3&gt;=2,MID(P3,FIND("~",SUBSTITUTE(P3,";","~",1))+1,IFERROR(FIND("~",SUBSTITUTE(P3,";","~",2))-1,LEN(P3))- FIND("~",SUBSTITUTE(P3,";","~",1))),"0")*1</f>
        <v>3</v>
      </c>
      <c r="BQ3" s="223">
        <f ref="BQ3:BQ14" t="shared" si="26">IF(I3&gt;=3,MID(P3,FIND("~",SUBSTITUTE(P3,";","~",2))+1,IFERROR(FIND("~",SUBSTITUTE(P3,";","~",3))-1,LEN(P3))- FIND("~",SUBSTITUTE(P3,";","~",2))),"0")*1</f>
        <v>0</v>
      </c>
      <c r="BR3" s="223">
        <f ref="BR3:BR14" t="shared" si="27">IF(I3&gt;=4,MID(P3,FIND("~",SUBSTITUTE(P3,";","~",3))+1,IFERROR(FIND("~",SUBSTITUTE(P3,";","~",4))-1,LEN(P3))- FIND("~",SUBSTITUTE(P3,";","~",3))),"0")*1</f>
        <v>0</v>
      </c>
      <c r="BS3" s="223">
        <f ref="BS3:BS14" t="shared" si="28">IF(I3&gt;=5,MID(P3,FIND("~",SUBSTITUTE(P3,";","~",4))+1,IFERROR(FIND("~",SUBSTITUTE(P3,";","~",5))-1,LEN(P3))- FIND("~",SUBSTITUTE(P3,";","~",4))),"0")*1</f>
        <v>0</v>
      </c>
      <c r="BT3" s="223">
        <f ref="BT3:BT14" t="shared" si="29">IF(I3&gt;=6,MID(P3,FIND("~",SUBSTITUTE(P3,";","~",5))+1,IFERROR(FIND("~",SUBSTITUTE(P3,";","~",6))-1,LEN(P3))- FIND("~",SUBSTITUTE(P3,";","~",5))),"0")*1</f>
        <v>0</v>
      </c>
      <c r="BU3" s="223" t="str">
        <f ref="BU3:BU14" t="shared" si="30">IF(I3&gt;=1,MID(Q3,1,IFERROR(FIND("~",SUBSTITUTE(Q3,";","~",1))-1,LEN(Q3))),"")</f>
        <v>2/2/2</v>
      </c>
      <c r="BV3" s="223">
        <f ref="BV3:BV14" t="shared" si="31">IF(BO3&gt;=1,MID(BU3,1,IFERROR(FIND("~",SUBSTITUTE(BU3,"/","~",1))-1,LEN(BU3))),"0")*1</f>
        <v>2</v>
      </c>
      <c r="BW3" s="223">
        <f ref="BW3:BW14" t="shared" si="32">IF(BO3&gt;=2,MID(BU3,FIND("~",SUBSTITUTE(BU3,"/","~",1))+1,IFERROR(FIND("~",SUBSTITUTE(BU3,"/","~",2))-1,LEN(BU3))- FIND("~",SUBSTITUTE(BU3,"/","~",1))),"0")*1</f>
        <v>2</v>
      </c>
      <c r="BX3" s="223">
        <f ref="BX3:BX14" t="shared" si="33">IF(BO3&gt;=3,MID(BU3,FIND("~",SUBSTITUTE(BU3,"/","~",2))+1,IFERROR(FIND("~",SUBSTITUTE(BU3,"/","~",3))-1,LEN(BU3))- FIND("~",SUBSTITUTE(BU3,"/","~",2))),"0")*1</f>
        <v>2</v>
      </c>
      <c r="BY3" s="223">
        <f ref="BY3:BY14" t="shared" si="34">IF(BO3&gt;=4,MID(BU3,FIND("~",SUBSTITUTE(BU3,"/","~",3))+1,IFERROR(FIND("~",SUBSTITUTE(BU3,"/","~",4))-1,LEN(BU3))- FIND("~",SUBSTITUTE(BU3,"/","~",3))),"0")*1</f>
        <v>0</v>
      </c>
      <c r="BZ3" s="223">
        <f ref="BZ3:BZ14" t="shared" si="35">IF(BO3&gt;=5,MID(BU3,FIND("~",SUBSTITUTE(BU3,"/","~",4))+1,IFERROR(FIND("~",SUBSTITUTE(BU3,"/","~",5))-1,LEN(BU3))- FIND("~",SUBSTITUTE(BU3,"/","~",4))),"0")*1</f>
        <v>0</v>
      </c>
      <c r="CA3" s="223">
        <f ref="CA3:CA14" t="shared" si="36">IF(BO3&gt;=6,MID(BU3,FIND("~",SUBSTITUTE(BU3,"/","~",5))+1,IFERROR(FIND("~",SUBSTITUTE(BU3,"/","~",6))-1,LEN(BU3))- FIND("~",SUBSTITUTE(BU3,"/","~",5))),"0")*1</f>
        <v>0</v>
      </c>
      <c r="CB3" s="223" t="str">
        <f ref="CB3:CB14" t="shared" si="37">IF(I3&gt;=2,MID(Q3,FIND("~",SUBSTITUTE(Q3,";","~",1))+1,IFERROR(FIND("~",SUBSTITUTE(Q3,";","~",2))-1,LEN(Q3))- FIND("~",SUBSTITUTE(Q3,";","~",1))),"")</f>
        <v>1/1/1</v>
      </c>
      <c r="CC3" s="223">
        <f ref="CC3:CC14" t="shared" si="38">IF(BP3&gt;=1,MID(CB3,1,IFERROR(FIND("~",SUBSTITUTE(CB3,"/","~",1))-1,LEN(CB3))),"0")*1</f>
        <v>1</v>
      </c>
      <c r="CD3" s="223">
        <f ref="CD3:CD14" t="shared" si="39">IF(BP3&gt;=2,MID(CB3,FIND("~",SUBSTITUTE(CB3,"/","~",1))+1,IFERROR(FIND("~",SUBSTITUTE(CB3,"/","~",2))-1,LEN(CB3))- FIND("~",SUBSTITUTE(CB3,"/","~",1))),"0")*1</f>
        <v>1</v>
      </c>
      <c r="CE3" s="223">
        <f ref="CE3:CE14" t="shared" si="40">IF(BP3&gt;=3,MID(CB3,FIND("~",SUBSTITUTE(CB3,"/","~",2))+1,IFERROR(FIND("~",SUBSTITUTE(CB3,"/","~",3))-1,LEN(CB3))- FIND("~",SUBSTITUTE(CB3,"/","~",2))),"0")*1</f>
        <v>1</v>
      </c>
      <c r="CF3" s="223">
        <f ref="CF3:CF14" t="shared" si="41">IF(BP3&gt;=4,MID(CB3,FIND("~",SUBSTITUTE(CB3,"/","~",3))+1,IFERROR(FIND("~",SUBSTITUTE(CB3,"/","~",4))-1,LEN(CB3))- FIND("~",SUBSTITUTE(CB3,"/","~",3))),"0")*1</f>
        <v>0</v>
      </c>
      <c r="CG3" s="223">
        <f ref="CG3:CG14" t="shared" si="42">IF(BP3&gt;=5,MID(CB3,FIND("~",SUBSTITUTE(CB3,"/","~",4))+1,IFERROR(FIND("~",SUBSTITUTE(CB3,"/","~",5))-1,LEN(CB3))- FIND("~",SUBSTITUTE(CB3,"/","~",4))),"0")*1</f>
        <v>0</v>
      </c>
      <c r="CH3" s="223">
        <f ref="CH3:CH14" t="shared" si="43">IF(BP3&gt;=6,MID(CB3,FIND("~",SUBSTITUTE(CB3,"/","~",5))+1,IFERROR(FIND("~",SUBSTITUTE(CB3,"/","~",6))-1,LEN(CB3))- FIND("~",SUBSTITUTE(CB3,"/","~",5))),"0")*1</f>
        <v>0</v>
      </c>
      <c r="CI3" s="223">
        <f ref="CI3:CI14" t="shared" si="44">IF(I3&gt;=3,MID(Q3,FIND("~",SUBSTITUTE(Q3,";","~",2))+1,IFERROR(FIND("~",SUBSTITUTE(Q3,";","~",3))-1,LEN(Q3))- FIND("~",SUBSTITUTE(Q3,";","~",2))),"")</f>
      </c>
      <c r="CJ3" s="223">
        <f ref="CJ3:CJ14" t="shared" si="45">IF(BQ3&gt;=1,MID(CI3,1,IFERROR(FIND("~",SUBSTITUTE(CI3,"/","~",1))-1,LEN(CI3))),"0")*1</f>
        <v>0</v>
      </c>
      <c r="CK3" s="223">
        <f ref="CK3:CK14" t="shared" si="46">IF(BQ3&gt;=2,MID(CI3,FIND("~",SUBSTITUTE(CI3,"/","~",1))+1,IFERROR(FIND("~",SUBSTITUTE(CI3,"/","~",2))-1,LEN(CI3))- FIND("~",SUBSTITUTE(CI3,"/","~",1))),"0")*1</f>
        <v>0</v>
      </c>
      <c r="CL3" s="223">
        <f ref="CL3:CL14" t="shared" si="47">IF(BQ3&gt;=3,MID(CI3,FIND("~",SUBSTITUTE(CI3,"/","~",2))+1,IFERROR(FIND("~",SUBSTITUTE(CI3,"/","~",3))-1,LEN(CI3))- FIND("~",SUBSTITUTE(CI3,"/","~",2))),"0")*1</f>
        <v>0</v>
      </c>
      <c r="CM3" s="223">
        <f ref="CM3:CM14" t="shared" si="48">IF(BQ3&gt;=4,MID(CI3,FIND("~",SUBSTITUTE(CI3,"/","~",3))+1,IFERROR(FIND("~",SUBSTITUTE(CI3,"/","~",4))-1,LEN(CI3))- FIND("~",SUBSTITUTE(CI3,"/","~",3))),"0")*1</f>
        <v>0</v>
      </c>
      <c r="CN3" s="223">
        <f ref="CN3:CN14" t="shared" si="49">IF(BQ3&gt;=5,MID(CI3,FIND("~",SUBSTITUTE(CI3,"/","~",4))+1,IFERROR(FIND("~",SUBSTITUTE(CI3,"/","~",5))-1,LEN(CI3))- FIND("~",SUBSTITUTE(CI3,"/","~",4))),"0")*1</f>
        <v>0</v>
      </c>
      <c r="CO3" s="223">
        <f ref="CO3:CO14" t="shared" si="50">IF(BQ3&gt;=6,MID(CI3,FIND("~",SUBSTITUTE(CI3,"/","~",5))+1,IFERROR(FIND("~",SUBSTITUTE(CI3,"/","~",6))-1,LEN(CI3))- FIND("~",SUBSTITUTE(CI3,"/","~",5))),"0")*1</f>
        <v>0</v>
      </c>
      <c r="CP3" s="223">
        <f ref="CP3:CP14" t="shared" si="51">IF(I3&gt;=4,MID(Q3,FIND("~",SUBSTITUTE(Q3,";","~",3))+1,IFERROR(FIND("~",SUBSTITUTE(Q3,";","~",4))-1,LEN(Q3))- FIND("~",SUBSTITUTE(Q3,";","~",3))),"")</f>
      </c>
      <c r="CQ3" s="223">
        <f ref="CQ3:CQ14" t="shared" si="52">IF(BR3&gt;=1,MID(CP3,1,IFERROR(FIND("~",SUBSTITUTE(CP3,"/","~",1))-1,LEN(CP3))),"0")*1</f>
        <v>0</v>
      </c>
      <c r="CR3" s="223">
        <f ref="CR3:CR14" t="shared" si="53">IF(BR3&gt;=2,MID(CP3,FIND("~",SUBSTITUTE(CP3,"/","~",1))+1,IFERROR(FIND("~",SUBSTITUTE(CP3,"/","~",2))-1,LEN(CP3))- FIND("~",SUBSTITUTE(CP3,"/","~",1))),"0")*1</f>
        <v>0</v>
      </c>
      <c r="CS3" s="223">
        <f ref="CS3:CS14" t="shared" si="54">IF(BR3&gt;=3,MID(CP3,FIND("~",SUBSTITUTE(CP3,"/","~",2))+1,IFERROR(FIND("~",SUBSTITUTE(CP3,"/","~",3))-1,LEN(CP3))- FIND("~",SUBSTITUTE(CP3,"/","~",2))),"0")*1</f>
        <v>0</v>
      </c>
      <c r="CT3" s="223">
        <f ref="CT3:CT14" t="shared" si="55">IF(BR3&gt;=4,MID(CP3,FIND("~",SUBSTITUTE(CP3,"/","~",3))+1,IFERROR(FIND("~",SUBSTITUTE(CP3,"/","~",4))-1,LEN(CP3))- FIND("~",SUBSTITUTE(CP3,"/","~",3))),"0")*1</f>
        <v>0</v>
      </c>
      <c r="CU3" s="223">
        <f ref="CU3:CU14" t="shared" si="56">IF(BR3&gt;=5,MID(CP3,FIND("~",SUBSTITUTE(CP3,"/","~",4))+1,IFERROR(FIND("~",SUBSTITUTE(CP3,"/","~",5))-1,LEN(CP3))- FIND("~",SUBSTITUTE(CP3,"/","~",4))),"0")*1</f>
        <v>0</v>
      </c>
      <c r="CV3" s="223">
        <f ref="CV3:CV14" t="shared" si="57">IF(BR3&gt;=6,MID(CP3,FIND("~",SUBSTITUTE(CP3,"/","~",5))+1,IFERROR(FIND("~",SUBSTITUTE(CP3,"/","~",6))-1,LEN(CP3))- FIND("~",SUBSTITUTE(CP3,"/","~",5))),"0")*1</f>
        <v>0</v>
      </c>
      <c r="CW3" s="223">
        <f ref="CW3:CW14" t="shared" si="58">IF(I3&gt;=5,MID(Q3,FIND("~",SUBSTITUTE(Q3,";","~",4))+1,IFERROR(FIND("~",SUBSTITUTE(Q3,";","~",5))-1,LEN(Q3))- FIND("~",SUBSTITUTE(Q3,";","~",4))),"")</f>
      </c>
      <c r="CX3" s="223">
        <f ref="CX3:CX14" t="shared" si="59">IF(BS3&gt;=1,MID(CW3,1,IFERROR(FIND("~",SUBSTITUTE(CW3,"/","~",1))-1,LEN(CW3))),"0")*1</f>
        <v>0</v>
      </c>
      <c r="CY3" s="223">
        <f ref="CY3:CY14" t="shared" si="60">IF(BS3&gt;=2,MID(CW3,FIND("~",SUBSTITUTE(CW3,"/","~",1))+1,IFERROR(FIND("~",SUBSTITUTE(CW3,"/","~",2))-1,LEN(CW3))- FIND("~",SUBSTITUTE(CW3,"/","~",1))),"0")*1</f>
        <v>0</v>
      </c>
      <c r="CZ3" s="223">
        <f ref="CZ3:CZ14" t="shared" si="61">IF(BS3&gt;=3,MID(CW3,FIND("~",SUBSTITUTE(CW3,"/","~",2))+1,IFERROR(FIND("~",SUBSTITUTE(CW3,"/","~",3))-1,LEN(CW3))- FIND("~",SUBSTITUTE(CW3,"/","~",2))),"0")*1</f>
        <v>0</v>
      </c>
      <c r="DA3" s="223">
        <f ref="DA3:DA14" t="shared" si="62">IF(BS3&gt;=4,MID(CW3,FIND("~",SUBSTITUTE(CW3,"/","~",3))+1,IFERROR(FIND("~",SUBSTITUTE(CW3,"/","~",4))-1,LEN(CW3))- FIND("~",SUBSTITUTE(CW3,"/","~",3))),"0")*1</f>
        <v>0</v>
      </c>
      <c r="DB3" s="223">
        <f ref="DB3:DB14" t="shared" si="63">IF(BS3&gt;=5,MID(CW3,FIND("~",SUBSTITUTE(CW3,"/","~",4))+1,IFERROR(FIND("~",SUBSTITUTE(CW3,"/","~",5))-1,LEN(CW3))- FIND("~",SUBSTITUTE(CW3,"/","~",4))),"0")*1</f>
        <v>0</v>
      </c>
      <c r="DC3" s="223">
        <f ref="DC3:DC14" t="shared" si="64">IF(BS3&gt;=6,MID(CW3,FIND("~",SUBSTITUTE(CW3,"/","~",5))+1,IFERROR(FIND("~",SUBSTITUTE(CW3,"/","~",6))-1,LEN(CW3))- FIND("~",SUBSTITUTE(CW3,"/","~",5))),"0")*1</f>
        <v>0</v>
      </c>
      <c r="DD3" s="223">
        <f ref="DD3:DD14" t="shared" si="65">IF(I3&gt;=6,MID(Q3,FIND("~",SUBSTITUTE(Q3,";","~",5))+1,IFERROR(FIND("~",SUBSTITUTE(Q3,";","~",6))-1,LEN(Q3))- FIND("~",SUBSTITUTE(Q3,";","~",5))),"")</f>
      </c>
      <c r="DE3" s="223">
        <f ref="DE3:DE14" t="shared" si="66">IF(BT3&gt;=1,MID(DD3,1,IFERROR(FIND("~",SUBSTITUTE(DD3,"/","~",1))-1,LEN(DD3))),"0")*1</f>
        <v>0</v>
      </c>
      <c r="DF3" s="223">
        <f ref="DF3:DF14" t="shared" si="67">IF(BT3&gt;=2,MID(DD3,FIND("~",SUBSTITUTE(DD3,"/","~",1))+1,IFERROR(FIND("~",SUBSTITUTE(DD3,"/","~",2))-1,LEN(DD3))- FIND("~",SUBSTITUTE(DD3,"/","~",1))),"0")*1</f>
        <v>0</v>
      </c>
      <c r="DG3" s="223">
        <f ref="DG3:DG14" t="shared" si="68">IF(BT3&gt;=3,MID(DD3,FIND("~",SUBSTITUTE(DD3,"/","~",2))+1,IFERROR(FIND("~",SUBSTITUTE(DD3,"/","~",3))-1,LEN(DD3))- FIND("~",SUBSTITUTE(DD3,"/","~",2))),"0")*1</f>
        <v>0</v>
      </c>
      <c r="DH3" s="223">
        <f ref="DH3:DH14" t="shared" si="69">IF(BT3&gt;=4,MID(DD3,FIND("~",SUBSTITUTE(DD3,"/","~",3))+1,IFERROR(FIND("~",SUBSTITUTE(DD3,"/","~",4))-1,LEN(DD3))- FIND("~",SUBSTITUTE(DD3,"/","~",3))),"0")*1</f>
        <v>0</v>
      </c>
      <c r="DI3" s="223">
        <f ref="DI3:DI14" t="shared" si="70">IF(BT3&gt;=5,MID(DD3,FIND("~",SUBSTITUTE(DD3,"/","~",4))+1,IFERROR(FIND("~",SUBSTITUTE(DD3,"/","~",5))-1,LEN(DD3))- FIND("~",SUBSTITUTE(DD3,"/","~",4))),"0")*1</f>
        <v>0</v>
      </c>
      <c r="DJ3" s="223">
        <f ref="DJ3:DJ14" t="shared" si="71">IF(BT3&gt;=6,MID(DD3,FIND("~",SUBSTITUTE(DD3,"/","~",5))+1,IFERROR(FIND("~",SUBSTITUTE(DD3,"/","~",6))-1,LEN(DD3))- FIND("~",SUBSTITUTE(DD3,"/","~",5))),"0")*1</f>
        <v>0</v>
      </c>
      <c r="DK3" s="223" t="str">
        <f ref="DK3:DK14" t="shared" si="72">IF(I3&gt;=1,MID(R3,1,IFERROR(FIND("~",SUBSTITUTE(R3,";","~",1))-1,LEN(R3))),"")</f>
        <v>80W/80W/80W</v>
      </c>
      <c r="DL3" s="223">
        <f ref="DL3:DL14" t="shared" si="73">SUBSTITUTE(IF(BO3&gt;=1,MID(DK3,1,IFERROR(FIND("~",SUBSTITUTE(DK3,"/","~",1))-1,LEN(DK3))),"0"),"W","")*1</f>
        <v>80</v>
      </c>
      <c r="DM3" s="223">
        <f ref="DM3:DM14" t="shared" si="74">SUBSTITUTE(IF(BO3&gt;=2,MID(DK3,FIND("~",SUBSTITUTE(DK3,"/","~",1))+1,IFERROR(FIND("~",SUBSTITUTE(DK3,"/","~",2))-1,LEN(DK3))- FIND("~",SUBSTITUTE(DK3,"/","~",1))),"0"),"W","")*1</f>
        <v>80</v>
      </c>
      <c r="DN3" s="223">
        <f ref="DN3:DN14" t="shared" si="75">SUBSTITUTE(IF(BO3&gt;=3,MID(DK3,FIND("~",SUBSTITUTE(DK3,"/","~",2))+1,IFERROR(FIND("~",SUBSTITUTE(DK3,"/","~",3))-1,LEN(DK3))- FIND("~",SUBSTITUTE(DK3,"/","~",2))),"0"),"W","")*1</f>
        <v>80</v>
      </c>
      <c r="DO3" s="223">
        <f ref="DO3:DO14" t="shared" si="76">SUBSTITUTE(IF(BO3&gt;=4,MID(DK3,FIND("~",SUBSTITUTE(DK3,"/","~",3))+1,IFERROR(FIND("~",SUBSTITUTE(DK3,"/","~",4))-1,LEN(DK3))- FIND("~",SUBSTITUTE(DK3,"/","~",3))),"0"),"W","")*1</f>
        <v>0</v>
      </c>
      <c r="DP3" s="223">
        <f ref="DP3:DP14" t="shared" si="77">SUBSTITUTE(IF(BO3&gt;=5,MID(DK3,FIND("~",SUBSTITUTE(DK3,"/","~",4))+1,IFERROR(FIND("~",SUBSTITUTE(DK3,"/","~",5))-1,LEN(DK3))- FIND("~",SUBSTITUTE(DK3,"/","~",4))),"0"),"W","")*1</f>
        <v>0</v>
      </c>
      <c r="DQ3" s="223">
        <f ref="DQ3:DQ14" t="shared" si="78">SUBSTITUTE(IF(BO3&gt;=6,MID(DK3,FIND("~",SUBSTITUTE(DK3,"/","~",5))+1,IFERROR(FIND("~",SUBSTITUTE(DK3,"/","~",6))-1,LEN(DK3))- FIND("~",SUBSTITUTE(DK3,"/","~",5))),"0"),"W","")*1</f>
        <v>0</v>
      </c>
      <c r="DR3" s="223" t="str">
        <f ref="DR3:DR14" t="shared" si="79">ConcateMultiple(DL3:DQ3,"W/ ",BO3)</f>
        <v>80W/ 80W/ 80W</v>
      </c>
      <c r="DS3" s="223">
        <f ref="DS3:DS14" t="shared" si="80">MAX(DL3:DO3)</f>
        <v>80</v>
      </c>
      <c r="DT3" s="223" t="str">
        <f ref="DT3:DT14" t="shared" si="81">IF(I3&gt;=2,MID(R3,FIND("~",SUBSTITUTE(R3,";","~",1))+1,IFERROR(FIND("~",SUBSTITUTE(R3,";","~",2))-1,LEN(R3))- FIND("~",SUBSTITUTE(R3,";","~",1))),"")</f>
        <v>40W/40W/40W</v>
      </c>
      <c r="DU3" s="223">
        <f ref="DU3:DU14" t="shared" si="82">SUBSTITUTE(IF(BP3&gt;=1,MID(DT3,1,IFERROR(FIND("~",SUBSTITUTE(DT3,"/","~",1))-1,LEN(DT3))),"0"),"W","")*1</f>
        <v>40</v>
      </c>
      <c r="DV3" s="223">
        <f ref="DV3:DV14" t="shared" si="83">SUBSTITUTE(IF(BP3&gt;=2,MID(DT3,FIND("~",SUBSTITUTE(DT3,"/","~",1))+1,IFERROR(FIND("~",SUBSTITUTE(DT3,"/","~",2))-1,LEN(DT3))- FIND("~",SUBSTITUTE(DT3,"/","~",1))),"0"),"W","")*1</f>
        <v>40</v>
      </c>
      <c r="DW3" s="223">
        <f ref="DW3:DW14" t="shared" si="84">SUBSTITUTE(IF(BP3&gt;=3,MID(DT3,FIND("~",SUBSTITUTE(DT3,"/","~",2))+1,IFERROR(FIND("~",SUBSTITUTE(DT3,"/","~",3))-1,LEN(DT3))- FIND("~",SUBSTITUTE(DT3,"/","~",2))),"0"),"W","")*1</f>
        <v>40</v>
      </c>
      <c r="DX3" s="223">
        <f ref="DX3:DX14" t="shared" si="85">SUBSTITUTE(IF(BP3&gt;=4,MID(DT3,FIND("~",SUBSTITUTE(DT3,"/","~",3))+1,IFERROR(FIND("~",SUBSTITUTE(DT3,"/","~",4))-1,LEN(DT3))- FIND("~",SUBSTITUTE(DT3,"/","~",3))),"0"),"W","")*1</f>
        <v>0</v>
      </c>
      <c r="DY3" s="223">
        <f ref="DY3:DY14" t="shared" si="86">SUBSTITUTE(IF(BP3&gt;=5,MID(DT3,FIND("~",SUBSTITUTE(DT3,"/","~",4))+1,IFERROR(FIND("~",SUBSTITUTE(DT3,"/","~",5))-1,LEN(DT3))- FIND("~",SUBSTITUTE(DT3,"/","~",4))),"0"),"W","")*1</f>
        <v>0</v>
      </c>
      <c r="DZ3" s="223">
        <f ref="DZ3:DZ14" t="shared" si="87">SUBSTITUTE(IF(BP3&gt;=6,MID(DT3,FIND("~",SUBSTITUTE(DT3,"/","~",5))+1,IFERROR(FIND("~",SUBSTITUTE(DT3,"/","~",6))-1,LEN(DT3))- FIND("~",SUBSTITUTE(DT3,"/","~",5))),"0"),"W","")*1</f>
        <v>0</v>
      </c>
      <c r="EA3" s="223" t="str">
        <f ref="EA3:EA14" t="shared" si="88">ConcateMultiple(DU3:DZ3,"W/ ",BP3)</f>
        <v>40W/ 40W/ 40W</v>
      </c>
      <c r="EB3" s="223">
        <f ref="EB3:EB14" t="shared" si="89">MAX(DU3:DX3)</f>
        <v>40</v>
      </c>
      <c r="EC3" s="223">
        <f ref="EC3:EC14" t="shared" si="90">IF(I3&gt;=3,MID(R3,FIND("~",SUBSTITUTE(R3,";","~",2))+1,IFERROR(FIND("~",SUBSTITUTE(R3,";","~",3))-1,LEN(R3))- FIND("~",SUBSTITUTE(R3,";","~",2))),"")</f>
      </c>
      <c r="ED3" s="223">
        <f ref="ED3:ED14" t="shared" si="91">SUBSTITUTE(IF(BQ3&gt;=1,MID(EC3,1,IFERROR(FIND("~",SUBSTITUTE(EC3,"/","~",1))-1,LEN(EC3))),"0"),"W","")*1</f>
        <v>0</v>
      </c>
      <c r="EE3" s="223">
        <f ref="EE3:EE14" t="shared" si="92">SUBSTITUTE(IF(BQ3&gt;=2,MID(EC3,FIND("~",SUBSTITUTE(EC3,"/","~",1))+1,IFERROR(FIND("~",SUBSTITUTE(EC3,"/","~",2))-1,LEN(EC3))- FIND("~",SUBSTITUTE(EC3,"/","~",1))),"0"),"W","")*1</f>
        <v>0</v>
      </c>
      <c r="EF3" s="223">
        <f ref="EF3:EF14" t="shared" si="93">SUBSTITUTE(IF(BQ3&gt;=3,MID(EC3,FIND("~",SUBSTITUTE(EC3,"/","~",2))+1,IFERROR(FIND("~",SUBSTITUTE(EC3,"/","~",3))-1,LEN(EC3))- FIND("~",SUBSTITUTE(EC3,"/","~",2))),"0"),"W","")*1</f>
        <v>0</v>
      </c>
      <c r="EG3" s="223">
        <f ref="EG3:EG14" t="shared" si="94">SUBSTITUTE(IF(BQ3&gt;=4,MID(EC3,FIND("~",SUBSTITUTE(EC3,"/","~",3))+1,IFERROR(FIND("~",SUBSTITUTE(EC3,"/","~",4))-1,LEN(EC3))- FIND("~",SUBSTITUTE(EC3,"/","~",3))),"0"),"W","")*1</f>
        <v>0</v>
      </c>
      <c r="EH3" s="223">
        <f ref="EH3:EH14" t="shared" si="95">SUBSTITUTE(IF(BQ3&gt;=5,MID(EC3,FIND("~",SUBSTITUTE(EC3,"/","~",4))+1,IFERROR(FIND("~",SUBSTITUTE(EC3,"/","~",5))-1,LEN(EC3))- FIND("~",SUBSTITUTE(EC3,"/","~",4))),"0"),"W","")*1</f>
        <v>0</v>
      </c>
      <c r="EI3" s="223">
        <f ref="EI3:EI14" t="shared" si="96">SUBSTITUTE(IF(BQ3&gt;=6,MID(EC3,FIND("~",SUBSTITUTE(EC3,"/","~",5))+1,IFERROR(FIND("~",SUBSTITUTE(EC3,"/","~",6))-1,LEN(EC3))- FIND("~",SUBSTITUTE(EC3,"/","~",5))),"0"),"W","")*1</f>
        <v>0</v>
      </c>
      <c r="EJ3" s="223">
        <f ref="EJ3:EJ14" t="shared" si="97">ConcateMultiple(ED3:EI3,"W/ ",BQ3)</f>
      </c>
      <c r="EK3" s="223">
        <f ref="EK3:EK14" t="shared" si="98">MAX(ED3:EG3)</f>
        <v>0</v>
      </c>
      <c r="EL3" s="223">
        <f ref="EL3:EL14" t="shared" si="99">IF(I3&gt;=4,MID(R3,FIND("~",SUBSTITUTE(R3,";","~",3))+1,IFERROR(FIND("~",SUBSTITUTE(R3,";","~",4))-1,LEN(R3))- FIND("~",SUBSTITUTE(R3,";","~",3))),"")</f>
      </c>
      <c r="EM3" s="223">
        <f ref="EM3:EM14" t="shared" si="100">SUBSTITUTE(IF(BR3&gt;=1,MID(EL3,1,IFERROR(FIND("~",SUBSTITUTE(EL3,"/","~",1))-1,LEN(EL3))),"0"),"W","")*1</f>
        <v>0</v>
      </c>
      <c r="EN3" s="223">
        <f ref="EN3:EN14" t="shared" si="101">SUBSTITUTE(IF(BR3&gt;=2,MID(EL3,FIND("~",SUBSTITUTE(EL3,"/","~",1))+1,IFERROR(FIND("~",SUBSTITUTE(EL3,"/","~",2))-1,LEN(EL3))- FIND("~",SUBSTITUTE(EL3,"/","~",1))),"0"),"W","")*1</f>
        <v>0</v>
      </c>
      <c r="EO3" s="223">
        <f ref="EO3:EO14" t="shared" si="102">SUBSTITUTE(IF(BR3&gt;=3,MID(EL3,FIND("~",SUBSTITUTE(EL3,"/","~",2))+1,IFERROR(FIND("~",SUBSTITUTE(EL3,"/","~",3))-1,LEN(EL3))- FIND("~",SUBSTITUTE(EL3,"/","~",2))),"0"),"W","")*1</f>
        <v>0</v>
      </c>
      <c r="EP3" s="223">
        <f ref="EP3:EP14" t="shared" si="103">SUBSTITUTE(IF(BR3&gt;=4,MID(EL3,FIND("~",SUBSTITUTE(EL3,"/","~",3))+1,IFERROR(FIND("~",SUBSTITUTE(EL3,"/","~",4))-1,LEN(EL3))- FIND("~",SUBSTITUTE(EL3,"/","~",3))),"0"),"W","")*1</f>
        <v>0</v>
      </c>
      <c r="EQ3" s="223">
        <f ref="EQ3:EQ14" t="shared" si="104">SUBSTITUTE(IF(BR3&gt;=5,MID(EL3,FIND("~",SUBSTITUTE(EL3,"/","~",4))+1,IFERROR(FIND("~",SUBSTITUTE(EL3,"/","~",5))-1,LEN(EL3))- FIND("~",SUBSTITUTE(EL3,"/","~",4))),"0"),"W","")*1</f>
        <v>0</v>
      </c>
      <c r="ER3" s="223">
        <f ref="ER3:ER14" t="shared" si="105">SUBSTITUTE(IF(BR3&gt;=6,MID(EL3,FIND("~",SUBSTITUTE(EL3,"/","~",5))+1,IFERROR(FIND("~",SUBSTITUTE(EL3,"/","~",6))-1,LEN(EL3))- FIND("~",SUBSTITUTE(EL3,"/","~",5))),"0"),"W","")*1</f>
        <v>0</v>
      </c>
      <c r="ES3" s="223">
        <f ref="ES3:ES14" t="shared" si="106">ConcateMultiple(EM3:ER3,"W/ ",BR3)</f>
      </c>
      <c r="ET3" s="223">
        <f ref="ET3:ET14" t="shared" si="107">MAX(EM3:EP3)</f>
        <v>0</v>
      </c>
      <c r="EU3" s="223">
        <f ref="EU3:EU14" t="shared" si="108">IF(I3&gt;=5,MID(R3,FIND("~",SUBSTITUTE(R3,";","~",4))+1,IFERROR(FIND("~",SUBSTITUTE(R3,";","~",5))-1,LEN(R3))- FIND("~",SUBSTITUTE(R3,";","~",4))),"")</f>
      </c>
      <c r="EV3" s="223">
        <f ref="EV3:EV14" t="shared" si="109">SUBSTITUTE(IF(BS3&gt;=1,MID(EU3,1,IFERROR(FIND("~",SUBSTITUTE(EU3,"/","~",1))-1,LEN(EU3))),"0"),"W","")*1</f>
        <v>0</v>
      </c>
      <c r="EW3" s="223">
        <f ref="EW3:EW14" t="shared" si="110">SUBSTITUTE(IF(BS3&gt;=2,MID(EU3,FIND("~",SUBSTITUTE(EU3,"/","~",1))+1,IFERROR(FIND("~",SUBSTITUTE(EU3,"/","~",2))-1,LEN(EU3))- FIND("~",SUBSTITUTE(EU3,"/","~",1))),"0"),"W","")*1</f>
        <v>0</v>
      </c>
      <c r="EX3" s="223">
        <f ref="EX3:EX14" t="shared" si="111">SUBSTITUTE(IF(BS3&gt;=3,MID(EU3,FIND("~",SUBSTITUTE(EU3,"/","~",2))+1,IFERROR(FIND("~",SUBSTITUTE(EU3,"/","~",3))-1,LEN(EU3))- FIND("~",SUBSTITUTE(EU3,"/","~",2))),"0"),"W","")*1</f>
        <v>0</v>
      </c>
      <c r="EY3" s="223">
        <f ref="EY3:EY14" t="shared" si="112">SUBSTITUTE(IF(BS3&gt;=4,MID(EU3,FIND("~",SUBSTITUTE(EU3,"/","~",3))+1,IFERROR(FIND("~",SUBSTITUTE(EU3,"/","~",4))-1,LEN(EU3))- FIND("~",SUBSTITUTE(EU3,"/","~",3))),"0"),"W","")*1</f>
        <v>0</v>
      </c>
      <c r="EZ3" s="223">
        <f ref="EZ3:EZ14" t="shared" si="113">SUBSTITUTE(IF(BS3&gt;=5,MID(EU3,FIND("~",SUBSTITUTE(EU3,"/","~",4))+1,IFERROR(FIND("~",SUBSTITUTE(EU3,"/","~",5))-1,LEN(EU3))- FIND("~",SUBSTITUTE(EU3,"/","~",4))),"0"),"W","")*1</f>
        <v>0</v>
      </c>
      <c r="FA3" s="223">
        <f ref="FA3:FA14" t="shared" si="114">SUBSTITUTE(IF(BS3&gt;=6,MID(EU3,FIND("~",SUBSTITUTE(EU3,"/","~",5))+1,IFERROR(FIND("~",SUBSTITUTE(EU3,"/","~",6))-1,LEN(EU3))- FIND("~",SUBSTITUTE(EU3,"/","~",5))),"0"),"W","")*1</f>
        <v>0</v>
      </c>
      <c r="FB3" s="223">
        <f ref="FB3:FB14" t="shared" si="115">ConcateMultiple(EV3:FA3,"W/ ",BS3)</f>
      </c>
      <c r="FC3" s="223">
        <f ref="FC3:FC14" t="shared" si="116">MAX(EV3:EY3)</f>
        <v>0</v>
      </c>
      <c r="FD3" s="223">
        <f ref="FD3:FD14" t="shared" si="117">IF(I3&gt;=6,MID(R3,FIND("~",SUBSTITUTE(R3,";","~",5))+1,IFERROR(FIND("~",SUBSTITUTE(R3,";","~",6))-1,LEN(R3))- FIND("~",SUBSTITUTE(R3,";","~",5))),"")</f>
      </c>
      <c r="FE3" s="223">
        <f ref="FE3:FE14" t="shared" si="118">SUBSTITUTE(IF(BT3&gt;=1,MID(FD3,1,IFERROR(FIND("~",SUBSTITUTE(FD3,"/","~",1))-1,LEN(FD3))),"0"),"W","")*1</f>
        <v>0</v>
      </c>
      <c r="FF3" s="223">
        <f ref="FF3:FF14" t="shared" si="119">SUBSTITUTE(IF(BT3&gt;=2,MID(FD3,FIND("~",SUBSTITUTE(FD3,"/","~",1))+1,IFERROR(FIND("~",SUBSTITUTE(FD3,"/","~",2))-1,LEN(FD3))- FIND("~",SUBSTITUTE(FD3,"/","~",1))),"0"),"W","")*1</f>
        <v>0</v>
      </c>
      <c r="FG3" s="223">
        <f ref="FG3:FG14" t="shared" si="120">SUBSTITUTE(IF(BT3&gt;=3,MID(FD3,FIND("~",SUBSTITUTE(FD3,"/","~",2))+1,IFERROR(FIND("~",SUBSTITUTE(FD3,"/","~",3))-1,LEN(FD3))- FIND("~",SUBSTITUTE(FD3,"/","~",2))),"0"),"W","")*1</f>
        <v>0</v>
      </c>
      <c r="FH3" s="223">
        <f ref="FH3:FH14" t="shared" si="121">SUBSTITUTE(IF(BT3&gt;=4,MID(FD3,FIND("~",SUBSTITUTE(FD3,"/","~",3))+1,IFERROR(FIND("~",SUBSTITUTE(FD3,"/","~",4))-1,LEN(FD3))- FIND("~",SUBSTITUTE(FD3,"/","~",3))),"0"),"W","")*1</f>
        <v>0</v>
      </c>
      <c r="FI3" s="223">
        <f ref="FI3:FI14" t="shared" si="122">SUBSTITUTE(IF(BT3&gt;=5,MID(FD3,FIND("~",SUBSTITUTE(FD3,"/","~",4))+1,IFERROR(FIND("~",SUBSTITUTE(FD3,"/","~",5))-1,LEN(FD3))- FIND("~",SUBSTITUTE(FD3,"/","~",4))),"0"),"W","")*1</f>
        <v>0</v>
      </c>
      <c r="FJ3" s="223">
        <f ref="FJ3:FJ14" t="shared" si="123">SUBSTITUTE(IF(BT3&gt;=6,MID(FD3,FIND("~",SUBSTITUTE(FD3,"/","~",5))+1,IFERROR(FIND("~",SUBSTITUTE(FD3,"/","~",6))-1,LEN(FD3))- FIND("~",SUBSTITUTE(FD3,"/","~",5))),"0"),"W","")*1</f>
        <v>0</v>
      </c>
      <c r="FK3" s="223">
        <f ref="FK3:FK14" t="shared" si="124">ConcateMultiple(FE3:FJ3,"W/ ",BT3)</f>
      </c>
      <c r="FL3" s="223">
        <f ref="FL3:FL14" t="shared" si="125">MAX(FE3:FH3)</f>
        <v>0</v>
      </c>
      <c r="FM3" s="223">
        <f ref="FM3:FM14" t="shared" si="126">MAX(DS3,EB3,EK3,ET3,FC3,FL3)</f>
        <v>80</v>
      </c>
      <c r="FN3" s="223" t="str">
        <f ref="FN3:FN14" t="shared" si="127">TRIM(IF(I3&gt;=1,MID(S3,1,IFERROR(FIND("~",SUBSTITUTE(S3,";","~",1))-1,LEN(S3))),""))</f>
        <v>U2100</v>
      </c>
      <c r="FO3" s="223" t="str">
        <f ref="FO3:FO14" t="shared" si="128">TRIM(IF(I3&gt;=2,MID(S3,FIND("~",SUBSTITUTE(S3,";","~",1))+1,IFERROR(FIND("~",SUBSTITUTE(S3,";","~",2))-1,LEN(S3))- FIND("~",SUBSTITUTE(S3,";","~",1))),""))</f>
        <v>U900</v>
      </c>
      <c r="FP3" s="223">
        <f ref="FP3:FP14" t="shared" si="129">TRIM(IF(I3&gt;=3,MID(S3,FIND("~",SUBSTITUTE(S3,";","~",2))+1,IFERROR(FIND("~",SUBSTITUTE(S3,";","~",3))-1,LEN(S3))- FIND("~",SUBSTITUTE(S3,";","~",2))),""))</f>
      </c>
      <c r="FQ3" s="223">
        <f ref="FQ3:FQ14" t="shared" si="130">TRIM(IF(I3&gt;=4,MID(S3,FIND("~",SUBSTITUTE(S3,";","~",3))+1,IFERROR(FIND("~",SUBSTITUTE(S3,";","~",4))-1,LEN(S3))- FIND("~",SUBSTITUTE(S3,";","~",3))),""))</f>
      </c>
      <c r="FR3" s="223">
        <f ref="FR3:FR14" t="shared" si="131">TRIM(IF(I3&gt;=5,MID(S3,FIND("~",SUBSTITUTE(S3,";","~",4))+1,IFERROR(FIND("~",SUBSTITUTE(S3,";","~",5))-1,LEN(S3))- FIND("~",SUBSTITUTE(S3,";","~",4))),""))</f>
      </c>
      <c r="FS3" s="223">
        <f ref="FS3:FS14" t="shared" si="132">TRIM(IF(I3&gt;=6,MID(S3,FIND("~",SUBSTITUTE(S3,";","~",5))+1,IFERROR(FIND("~",SUBSTITUTE(S3,";","~",6))-1,LEN(S3))- FIND("~",SUBSTITUTE(S3,";","~",5))),""))</f>
      </c>
      <c r="FT3" s="223" t="str">
        <f ref="FT3:FT14" t="shared" si="133">TRIM(IF(I3&gt;=1,MID(T3,1,IFERROR(FIND("~",SUBSTITUTE(T3,";","~",1))-1,LEN(T3))),""))</f>
        <v>34m/ 34m/ 34m</v>
      </c>
      <c r="FU3" s="223">
        <f ref="FU3:FU14" t="shared" si="134">SUBSTITUTE(IF(BO3&gt;=1,MID(FT3,1,IFERROR(FIND("~",SUBSTITUTE(FT3,"/","~",1))-1,LEN(FT3))),"0"),"m","")*1</f>
        <v>34</v>
      </c>
      <c r="FV3" s="223">
        <f ref="FV3:FV14" t="shared" si="135">SUBSTITUTE(TRIM(IF(BO3&gt;=2,MID(FT3,FIND("~",SUBSTITUTE(FT3,"/","~",1))+1,IFERROR(FIND("~",SUBSTITUTE(FT3,"/","~",2))-1,LEN(FT3))- FIND("~",SUBSTITUTE(FT3,"/","~",1))),"0")),"m","")*1</f>
        <v>34</v>
      </c>
      <c r="FW3" s="223">
        <f ref="FW3:FW14" t="shared" si="136">SUBSTITUTE(TRIM(IF(BO3&gt;=3,MID(FT3,FIND("~",SUBSTITUTE(FT3,"/","~",2))+1,IFERROR(FIND("~",SUBSTITUTE(FT3,"/","~",3))-1,LEN(FT3))- FIND("~",SUBSTITUTE(FT3,"/","~",2))),"0")),"m","")*1</f>
        <v>34</v>
      </c>
      <c r="FX3" s="223">
        <f ref="FX3:FX14" t="shared" si="137">SUBSTITUTE(TRIM(IF(BO3&gt;=4,MID(FT3,FIND("~",SUBSTITUTE(FT3,"/","~",3))+1,IFERROR(FIND("~",SUBSTITUTE(FT3,"/","~",4))-1,LEN(FT3))- FIND("~",SUBSTITUTE(FT3,"/","~",3))),"0")),"m","")*1</f>
        <v>0</v>
      </c>
      <c r="FY3" s="223">
        <f ref="FY3:FY14" t="shared" si="138">SUBSTITUTE(TRIM(IF(BO3&gt;=5,MID(FT3,FIND("~",SUBSTITUTE(FT3,"/","~",4))+1,IFERROR(FIND("~",SUBSTITUTE(FT3,"/","~",5))-1,LEN(FT3))- FIND("~",SUBSTITUTE(FT3,"/","~",4))),"0")),"m","")*1</f>
        <v>0</v>
      </c>
      <c r="FZ3" s="223">
        <f ref="FZ3:FZ14" t="shared" si="139">SUBSTITUTE(TRIM(IF(BO3&gt;=6,MID(FT3,FIND("~",SUBSTITUTE(FT3,"/","~",5))+1,IFERROR(FIND("~",SUBSTITUTE(FT3,"/","~",6))-1,LEN(FT3))- FIND("~",SUBSTITUTE(FT3,"/","~",5))),"0")),"m","")*1</f>
        <v>0</v>
      </c>
      <c r="GA3" s="223" t="str">
        <f ref="GA3:GA14" t="shared" si="140">ConcateMultiple(FU3:FZ3,"m/ ",BO3)</f>
        <v>34m/ 34m/ 34m</v>
      </c>
      <c r="GB3" s="223" t="str">
        <f ref="GB3:GB14" t="shared" si="141">TRIM(IF(I3&gt;=2,MID(T3,FIND("~",SUBSTITUTE(T3,";","~",1))+1,IFERROR(FIND("~",SUBSTITUTE(T3,";","~",2))-1,LEN(T3))- FIND("~",SUBSTITUTE(T3,";","~",1))),""))</f>
        <v>30m/ 30m/ 30m</v>
      </c>
      <c r="GC3" s="223">
        <f ref="GC3:GC14" t="shared" si="142">SUBSTITUTE(IF(BP3&gt;=1,MID(GB3,1,IFERROR(FIND("~",SUBSTITUTE(GB3,"/","~",1))-1,LEN(GB3))),"0"),"m","")*1</f>
        <v>30</v>
      </c>
      <c r="GD3" s="223">
        <f ref="GD3:GD14" t="shared" si="143">SUBSTITUTE(TRIM(IF(BP3&gt;=2,MID(GB3,FIND("~",SUBSTITUTE(GB3,"/","~",1))+1,IFERROR(FIND("~",SUBSTITUTE(GB3,"/","~",2))-1,LEN(GB3))- FIND("~",SUBSTITUTE(GB3,"/","~",1))),"0")),"m","")*1</f>
        <v>30</v>
      </c>
      <c r="GE3" s="223">
        <f ref="GE3:GE14" t="shared" si="144">SUBSTITUTE(TRIM(IF(BP3&gt;=3,MID(GB3,FIND("~",SUBSTITUTE(GB3,"/","~",2))+1,IFERROR(FIND("~",SUBSTITUTE(GB3,"/","~",3))-1,LEN(GB3))- FIND("~",SUBSTITUTE(GB3,"/","~",2))),"0")),"m","")*1</f>
        <v>30</v>
      </c>
      <c r="GF3" s="223">
        <f ref="GF3:GF14" t="shared" si="145">SUBSTITUTE(TRIM(IF(BP3&gt;=4,MID(GB3,FIND("~",SUBSTITUTE(GB3,"/","~",3))+1,IFERROR(FIND("~",SUBSTITUTE(GB3,"/","~",4))-1,LEN(GB3))- FIND("~",SUBSTITUTE(GB3,"/","~",3))),"0")),"m","")*1</f>
        <v>0</v>
      </c>
      <c r="GG3" s="223">
        <f ref="GG3:GG14" t="shared" si="146">SUBSTITUTE(TRIM(IF(BP3&gt;=5,MID(GB3,FIND("~",SUBSTITUTE(GB3,"/","~",4))+1,IFERROR(FIND("~",SUBSTITUTE(GB3,"/","~",5))-1,LEN(GB3))- FIND("~",SUBSTITUTE(GB3,"/","~",4))),"0")),"m","")*1</f>
        <v>0</v>
      </c>
      <c r="GH3" s="223">
        <f ref="GH3:GH14" t="shared" si="147">SUBSTITUTE(TRIM(IF(BP3&gt;=6,MID(GB3,FIND("~",SUBSTITUTE(GB3,"/","~",5))+1,IFERROR(FIND("~",SUBSTITUTE(GB3,"/","~",6))-1,LEN(GB3))- FIND("~",SUBSTITUTE(GB3,"/","~",5))),"0")),"m","")*1</f>
        <v>0</v>
      </c>
      <c r="GI3" s="223" t="str">
        <f ref="GI3:GI14" t="shared" si="148">ConcateMultiple(GC3:GH3,"m/ ",BP3)</f>
        <v>30m/ 30m/ 30m</v>
      </c>
      <c r="GJ3" s="223">
        <f ref="GJ3:GJ14" t="shared" si="149">TRIM(IF(I3&gt;=3,MID(T3,FIND("~",SUBSTITUTE(T3,";","~",2))+1,IFERROR(FIND("~",SUBSTITUTE(T3,";","~",3))-1,LEN(T3))- FIND("~",SUBSTITUTE(T3,";","~",2))),""))</f>
      </c>
      <c r="GK3" s="223">
        <f ref="GK3:GK14" t="shared" si="150">SUBSTITUTE(IF(BQ3&gt;=1,MID(GJ3,1,IFERROR(FIND("~",SUBSTITUTE(GJ3,"/","~",1))-1,LEN(GJ3))),"0"),"m","")*1</f>
        <v>0</v>
      </c>
      <c r="GL3" s="223">
        <f ref="GL3:GL14" t="shared" si="151">SUBSTITUTE(TRIM(IF(BQ3&gt;=2,MID(GJ3,FIND("~",SUBSTITUTE(GJ3,"/","~",1))+1,IFERROR(FIND("~",SUBSTITUTE(GJ3,"/","~",2))-1,LEN(GJ3))- FIND("~",SUBSTITUTE(GJ3,"/","~",1))),"0")),"m","")*1</f>
        <v>0</v>
      </c>
      <c r="GM3" s="223">
        <f ref="GM3:GM14" t="shared" si="152">SUBSTITUTE(TRIM(IF(BQ3&gt;=3,MID(GJ3,FIND("~",SUBSTITUTE(GJ3,"/","~",2))+1,IFERROR(FIND("~",SUBSTITUTE(GJ3,"/","~",3))-1,LEN(GJ3))- FIND("~",SUBSTITUTE(GJ3,"/","~",2))),"0")),"m","")*1</f>
        <v>0</v>
      </c>
      <c r="GN3" s="223">
        <f ref="GN3:GN14" t="shared" si="153">SUBSTITUTE(TRIM(IF(BQ3&gt;=4,MID(GJ3,FIND("~",SUBSTITUTE(GJ3,"/","~",3))+1,IFERROR(FIND("~",SUBSTITUTE(GJ3,"/","~",4))-1,LEN(GJ3))- FIND("~",SUBSTITUTE(GJ3,"/","~",3))),"0")),"m","")*1</f>
        <v>0</v>
      </c>
      <c r="GO3" s="223">
        <f ref="GO3:GO14" t="shared" si="154">SUBSTITUTE(TRIM(IF(BQ3&gt;=5,MID(GJ3,FIND("~",SUBSTITUTE(GJ3,"/","~",4))+1,IFERROR(FIND("~",SUBSTITUTE(GJ3,"/","~",5))-1,LEN(GJ3))- FIND("~",SUBSTITUTE(GJ3,"/","~",4))),"0")),"m","")*1</f>
        <v>0</v>
      </c>
      <c r="GP3" s="223">
        <f ref="GP3:GP14" t="shared" si="155">SUBSTITUTE(TRIM(IF(BQ3&gt;=6,MID(GJ3,FIND("~",SUBSTITUTE(GJ3,"/","~",5))+1,IFERROR(FIND("~",SUBSTITUTE(GJ3,"/","~",6))-1,LEN(GJ3))- FIND("~",SUBSTITUTE(GJ3,"/","~",5))),"0")),"m","")*1</f>
        <v>0</v>
      </c>
      <c r="GQ3" s="223">
        <f ref="GQ3:GQ14" t="shared" si="156">ConcateMultiple(GK3:GP3,"m/ ",BQ3)</f>
      </c>
      <c r="GR3" s="223">
        <f ref="GR3:GR14" t="shared" si="157">TRIM(IF(I3&gt;=4,MID(T3,FIND("~",SUBSTITUTE(T3,";","~",3))+1,IFERROR(FIND("~",SUBSTITUTE(T3,";","~",4))-1,LEN(T3))- FIND("~",SUBSTITUTE(T3,";","~",3))),""))</f>
      </c>
      <c r="GS3" s="223">
        <f ref="GS3:GS14" t="shared" si="158">SUBSTITUTE(IF(BR3&gt;=1,MID(GR3,1,IFERROR(FIND("~",SUBSTITUTE(GR3,"/","~",1))-1,LEN(GR3))),"0"),"m","")*1</f>
        <v>0</v>
      </c>
      <c r="GT3" s="223">
        <f ref="GT3:GT14" t="shared" si="159">SUBSTITUTE(TRIM(IF(BR3&gt;=2,MID(GR3,FIND("~",SUBSTITUTE(GR3,"/","~",1))+1,IFERROR(FIND("~",SUBSTITUTE(GR3,"/","~",2))-1,LEN(GR3))- FIND("~",SUBSTITUTE(GR3,"/","~",1))),"0")),"m","")*1</f>
        <v>0</v>
      </c>
      <c r="GU3" s="223">
        <f ref="GU3:GU14" t="shared" si="160">SUBSTITUTE(TRIM(IF(BR3&gt;=3,MID(GR3,FIND("~",SUBSTITUTE(GR3,"/","~",2))+1,IFERROR(FIND("~",SUBSTITUTE(GR3,"/","~",3))-1,LEN(GR3))- FIND("~",SUBSTITUTE(GR3,"/","~",2))),"0")),"m","")*1</f>
        <v>0</v>
      </c>
      <c r="GV3" s="223">
        <f ref="GV3:GV14" t="shared" si="161">SUBSTITUTE(TRIM(IF(BR3&gt;=4,MID(GR3,FIND("~",SUBSTITUTE(GR3,"/","~",3))+1,IFERROR(FIND("~",SUBSTITUTE(GR3,"/","~",4))-1,LEN(GR3))- FIND("~",SUBSTITUTE(GR3,"/","~",3))),"0")),"m","")*1</f>
        <v>0</v>
      </c>
      <c r="GW3" s="223">
        <f ref="GW3:GW14" t="shared" si="162">SUBSTITUTE(TRIM(IF(BR3&gt;=5,MID(GR3,FIND("~",SUBSTITUTE(GR3,"/","~",4))+1,IFERROR(FIND("~",SUBSTITUTE(GR3,"/","~",5))-1,LEN(GR3))- FIND("~",SUBSTITUTE(GR3,"/","~",4))),"0")),"m","")*1</f>
        <v>0</v>
      </c>
      <c r="GX3" s="223">
        <f ref="GX3:GX14" t="shared" si="163">SUBSTITUTE(TRIM(IF(BR3&gt;=6,MID(GR3,FIND("~",SUBSTITUTE(GR3,"/","~",5))+1,IFERROR(FIND("~",SUBSTITUTE(GR3,"/","~",6))-1,LEN(GR3))- FIND("~",SUBSTITUTE(GR3,"/","~",5))),"0")),"m","")*1</f>
        <v>0</v>
      </c>
      <c r="GY3" s="223">
        <f ref="GY3:GY14" t="shared" si="164">ConcateMultiple(GS3:GX3,"m/ ",BR3)</f>
      </c>
      <c r="GZ3" s="223">
        <f ref="GZ3:GZ14" t="shared" si="165">TRIM(IF(I3&gt;=5,MID(T3,FIND("~",SUBSTITUTE(T3,";","~",4))+1,IFERROR(FIND("~",SUBSTITUTE(T3,";","~",5))-1,LEN(T3))- FIND("~",SUBSTITUTE(T3,";","~",4))),""))</f>
      </c>
      <c r="HA3" s="223">
        <f ref="HA3:HA14" t="shared" si="166">SUBSTITUTE(IF(BS3&gt;=1,MID(GZ3,1,IFERROR(FIND("~",SUBSTITUTE(GZ3,"/","~",1))-1,LEN(GZ3))),"0"),"m","")*1</f>
        <v>0</v>
      </c>
      <c r="HB3" s="223">
        <f ref="HB3:HB14" t="shared" si="167">SUBSTITUTE(TRIM(IF(BS3&gt;=2,MID(GZ3,FIND("~",SUBSTITUTE(GZ3,"/","~",1))+1,IFERROR(FIND("~",SUBSTITUTE(GZ3,"/","~",2))-1,LEN(GZ3))- FIND("~",SUBSTITUTE(GZ3,"/","~",1))),"0")),"m","")*1</f>
        <v>0</v>
      </c>
      <c r="HC3" s="223">
        <f ref="HC3:HC14" t="shared" si="168">SUBSTITUTE(TRIM(IF(BS3&gt;=3,MID(GZ3,FIND("~",SUBSTITUTE(GZ3,"/","~",2))+1,IFERROR(FIND("~",SUBSTITUTE(GZ3,"/","~",3))-1,LEN(GZ3))- FIND("~",SUBSTITUTE(GZ3,"/","~",2))),"0")),"m","")*1</f>
        <v>0</v>
      </c>
      <c r="HD3" s="223">
        <f ref="HD3:HD14" t="shared" si="169">SUBSTITUTE(TRIM(IF(BS3&gt;=4,MID(GZ3,FIND("~",SUBSTITUTE(GZ3,"/","~",3))+1,IFERROR(FIND("~",SUBSTITUTE(GZ3,"/","~",4))-1,LEN(GZ3))- FIND("~",SUBSTITUTE(GZ3,"/","~",3))),"0")),"m","")*1</f>
        <v>0</v>
      </c>
      <c r="HE3" s="223">
        <f ref="HE3:HE14" t="shared" si="170">SUBSTITUTE(TRIM(IF(BS3&gt;=5,MID(GZ3,FIND("~",SUBSTITUTE(GZ3,"/","~",4))+1,IFERROR(FIND("~",SUBSTITUTE(GZ3,"/","~",5))-1,LEN(GZ3))- FIND("~",SUBSTITUTE(GZ3,"/","~",4))),"0")),"m","")*1</f>
        <v>0</v>
      </c>
      <c r="HF3" s="223">
        <f ref="HF3:HF14" t="shared" si="171">SUBSTITUTE(TRIM(IF(BS3&gt;=6,MID(GZ3,FIND("~",SUBSTITUTE(GZ3,"/","~",5))+1,IFERROR(FIND("~",SUBSTITUTE(GZ3,"/","~",6))-1,LEN(GZ3))- FIND("~",SUBSTITUTE(GZ3,"/","~",5))),"0")),"m","")*1</f>
        <v>0</v>
      </c>
      <c r="HG3" s="223">
        <f ref="HG3:HG14" t="shared" si="172">ConcateMultiple(HA3:HF3,"m/ ",BS3)</f>
      </c>
      <c r="HH3" s="223">
        <f ref="HH3:HH14" t="shared" si="173">TRIM(IF(I3&gt;=6,MID(T3,FIND("~",SUBSTITUTE(T3,";","~",5))+1,IFERROR(FIND("~",SUBSTITUTE(T3,";","~",6))-1,LEN(T3))- FIND("~",SUBSTITUTE(T3,";","~",5))),""))</f>
      </c>
      <c r="HI3" s="223">
        <f ref="HI3:HI14" t="shared" si="174">SUBSTITUTE(IF(BT3&gt;=1,MID(HH3,1,IFERROR(FIND("~",SUBSTITUTE(HH3,"/","~",1))-1,LEN(HH3))),"0"),"m","")*1</f>
        <v>0</v>
      </c>
      <c r="HJ3" s="223">
        <f ref="HJ3:HJ14" t="shared" si="175">SUBSTITUTE(TRIM(IF(BT3&gt;=2,MID(HH3,FIND("~",SUBSTITUTE(HH3,"/","~",1))+1,IFERROR(FIND("~",SUBSTITUTE(HH3,"/","~",2))-1,LEN(HH3))- FIND("~",SUBSTITUTE(HH3,"/","~",1))),"0")),"m","")*1</f>
        <v>0</v>
      </c>
      <c r="HK3" s="223">
        <f ref="HK3:HK14" t="shared" si="176">SUBSTITUTE(TRIM(IF(BT3&gt;=3,MID(HH3,FIND("~",SUBSTITUTE(HH3,"/","~",2))+1,IFERROR(FIND("~",SUBSTITUTE(HH3,"/","~",3))-1,LEN(HH3))- FIND("~",SUBSTITUTE(HH3,"/","~",2))),"0")),"m","")*1</f>
        <v>0</v>
      </c>
      <c r="HL3" s="223">
        <f ref="HL3:HL14" t="shared" si="177">SUBSTITUTE(TRIM(IF(BT3&gt;=4,MID(HH3,FIND("~",SUBSTITUTE(HH3,"/","~",3))+1,IFERROR(FIND("~",SUBSTITUTE(HH3,"/","~",4))-1,LEN(HH3))- FIND("~",SUBSTITUTE(HH3,"/","~",3))),"0")),"m","")*1</f>
        <v>0</v>
      </c>
      <c r="HM3" s="223">
        <f ref="HM3:HM14" t="shared" si="178">SUBSTITUTE(TRIM(IF(BT3&gt;=5,MID(HH3,FIND("~",SUBSTITUTE(HH3,"/","~",4))+1,IFERROR(FIND("~",SUBSTITUTE(HH3,"/","~",5))-1,LEN(HH3))- FIND("~",SUBSTITUTE(HH3,"/","~",4))),"0")),"m","")*1</f>
        <v>0</v>
      </c>
      <c r="HN3" s="223">
        <f ref="HN3:HN14" t="shared" si="179">SUBSTITUTE(TRIM(IF(BT3&gt;=6,MID(HH3,FIND("~",SUBSTITUTE(HH3,"/","~",5))+1,IFERROR(FIND("~",SUBSTITUTE(HH3,"/","~",6))-1,LEN(HH3))- FIND("~",SUBSTITUTE(HH3,"/","~",5))),"0")),"m","")*1</f>
        <v>0</v>
      </c>
      <c r="HO3" s="223">
        <f ref="HO3:HO14" t="shared" si="180">ConcateMultiple(HI3:HN3,"m/ ",BT3)</f>
      </c>
      <c r="HP3" s="223" t="str">
        <f>INDEX(LabNameList,MATCH(AF3,LabIDList,0))</f>
        <v>Trung tâm Kiểm định và Chứng nhận 2</v>
      </c>
      <c r="HQ3" s="223">
        <f ref="HQ3:HQ14" t="shared" si="181">MinMultiple(FU3:FX3,BO3)</f>
        <v>34</v>
      </c>
      <c r="HR3" s="223">
        <f ref="HR3:HR14" t="shared" si="182">MinMultiple(GC3:GF3,BP3)</f>
        <v>30</v>
      </c>
      <c r="HS3" s="223">
        <f ref="HS3:HS14" t="shared" si="183">MinMultiple(GK3:GN3,BQ3)</f>
        <v>0</v>
      </c>
      <c r="HT3" s="223">
        <f ref="HT3:HT14" t="shared" si="184">MinMultiple(GS3:GV3,BR3)</f>
        <v>0</v>
      </c>
      <c r="HU3" s="223">
        <f ref="HU3:HU14" t="shared" si="185">MinMultiple(HA3:HD3,BS3)</f>
        <v>0</v>
      </c>
      <c r="HV3" s="223">
        <f ref="HV3:HV14" t="shared" si="186">MinMultiple(HI3:HL3,BT3)</f>
        <v>0</v>
      </c>
      <c r="HW3" s="222">
        <f ref="HW3:HW14" t="shared" si="187">MinMultiple(HQ3:HV3,I3)</f>
        <v>30</v>
      </c>
      <c r="HX3" s="222">
        <f ref="HX3:HX14" t="shared" si="188">HW3-AA3</f>
        <v>23</v>
      </c>
      <c r="HY3" s="223">
        <v>13</v>
      </c>
    </row>
    <row r="4" ht="102">
      <c r="A4" s="222">
        <f>Input!A4</f>
        <v>3</v>
      </c>
      <c r="B4" s="222" t="str">
        <f>Input!B4</f>
        <v>VNM-HCM</v>
      </c>
      <c r="C4" s="222" t="str">
        <f>Input!C4</f>
        <v>VNMOBILE</v>
      </c>
      <c r="D4" s="222" t="str">
        <f t="shared" si="0"/>
        <v>339082</v>
      </c>
      <c r="E4" s="222" t="str">
        <f>Input!E4</f>
        <v>Ấp 4, xã Phước Vân, huyện Cần Đước, tỉnh Long An.</v>
      </c>
      <c r="F4" s="222" t="str">
        <f>Input!F4</f>
        <v>Long An</v>
      </c>
      <c r="G4" s="222" t="str">
        <f>Input!G4</f>
        <v>106,53738</v>
      </c>
      <c r="H4" s="222" t="str">
        <f>Input!H4</f>
        <v>10,5874</v>
      </c>
      <c r="I4" s="222">
        <f>Input!I4</f>
        <v>2</v>
      </c>
      <c r="J4" s="222" t="str">
        <f>Input!J4</f>
        <v>1801183/19/TG/TT2</v>
      </c>
      <c r="K4" s="224" t="str">
        <f>TEXT(Input!K4,"dd/mm/yyyy")</f>
        <v>22/07/2019</v>
      </c>
      <c r="L4" s="224" t="str">
        <f>TEXT(Input!L4,"dd/mm/yyyy")</f>
        <v>29/06/2019</v>
      </c>
      <c r="M4" s="222" t="str">
        <f>Input!M4</f>
        <v>CÔNG TY CỔ PHẦN VIỄN THÔNG DI ĐỘNG VIETNAMOBILE;CÔNG TY CỔ PHẦN VIỄN THÔNG DI ĐỘNG VIETNAMOBILE</v>
      </c>
      <c r="N4" s="222" t="str">
        <f>Input!N4</f>
        <v>339082;339082</v>
      </c>
      <c r="O4" s="222" t="str">
        <f>Input!O4</f>
        <v>ZTE ZXSDR BS8700;ZTE ZXSDR BS8700</v>
      </c>
      <c r="P4" s="222" t="str">
        <f>Input!P4</f>
        <v>3;3</v>
      </c>
      <c r="Q4" s="222" t="str">
        <f>Input!Q4</f>
        <v>2/2/2;1/1/1</v>
      </c>
      <c r="R4" s="222" t="str">
        <f>Input!R4</f>
        <v>80W/80W/80W;40W/40W/40W</v>
      </c>
      <c r="S4" s="222" t="str">
        <f>Input!S4</f>
        <v>U2100;U900</v>
      </c>
      <c r="T4" s="222" t="str">
        <f>Input!T4</f>
        <v>34m/ 34m/ 34m;30m/ 30m/ 30m</v>
      </c>
      <c r="U4" s="222">
        <f>Input!U4</f>
        <v>1</v>
      </c>
      <c r="V4" s="222" t="str">
        <f>Input!V4</f>
        <v>Agisson DX-1710-2170-65-18i-0F;MB800/900-65-18DE14</v>
      </c>
      <c r="W4" s="222" t="b">
        <f>IF(OR(Input!W4,Input!W4="TRUE"),TRUE,IF(OR(Input!W4 = 0,Input!W4="FALSE"),FALSE,Input!W4))</f>
        <v>1</v>
      </c>
      <c r="X4" s="222" t="b">
        <f>IF(OR(Input!X4,Input!X4="TRUE"),TRUE,IF(OR(Input!X4 = 0,Input!X4="FALSE"),FALSE,Input!X4))</f>
        <v>0</v>
      </c>
      <c r="Y4" s="222">
        <f>VALUE(Input!Y4)</f>
        <v>0</v>
      </c>
      <c r="Z4" s="222" t="b">
        <f>IF(OR(Input!Z4,Input!Z4="TRUE"),TRUE,IF(OR(Input!Z4 = 0,Input!Z4="FALSE"),FALSE,Input!Z4))</f>
        <v>1</v>
      </c>
      <c r="AA4" s="222">
        <f>VALUE(Input!AA4)</f>
        <v>4</v>
      </c>
      <c r="AB4" s="222" t="b">
        <f>IF(OR(Input!AB4,Input!AB4="TRUE"),TRUE,IF(OR(Input!AB4 = 0,Input!AB4="FALSE"),FALSE,Input!AB4))</f>
        <v>0</v>
      </c>
      <c r="AC4" s="222" t="b">
        <f>IF(OR(Input!AC4,Input!AC4="TRUE"),TRUE,IF(OR(Input!AC4 = 0,Input!AC4="FALSE"),FALSE,Input!AC4))</f>
        <v>1</v>
      </c>
      <c r="AD4" s="222">
        <f>Input!AD4</f>
        <v>0</v>
      </c>
      <c r="AE4" s="222">
        <f>Input!AE4</f>
        <v>0</v>
      </c>
      <c r="AF4" s="222" t="str">
        <f>Input!AF4</f>
        <v>VCC2</v>
      </c>
      <c r="AG4" s="222">
        <f>Input!AG4</f>
        <v>0</v>
      </c>
      <c r="AH4" s="223"/>
      <c r="AI4" s="223" t="str">
        <f>INDEX(ApplicantNameList,MATCH(B4,ApplicantIDList,0))</f>
        <v>Chi nhánh Công ty Cổ phần Viễn thông Di động Vietnamobile tại Thành Phố Hồ Chí Minh</v>
      </c>
      <c r="AJ4" s="223" t="str">
        <f>INDEX(OperatorNameList,MATCH(C4,OperatorIDList,0))</f>
        <v>VNMOBILE</v>
      </c>
      <c r="AK4" s="222">
        <f t="shared" si="1"/>
        <v>3</v>
      </c>
      <c r="AL4" s="331" t="str">
        <f t="shared" si="2"/>
        <v>tỉnh Long An.</v>
      </c>
      <c r="AM4" s="331" t="str">
        <f t="shared" si="3"/>
        <v>huyện Cần Đước</v>
      </c>
      <c r="AN4" s="331" t="str">
        <f t="shared" si="4"/>
        <v>xã Phước Vân</v>
      </c>
      <c r="AO4" s="222" t="str">
        <f>INDEX(CityIDList,MATCH(F4,CityNameList,0))</f>
        <v>LAN</v>
      </c>
      <c r="AP4" s="223" t="str">
        <f t="shared" si="5"/>
        <v>CÔNG TY CỔ PHẦN VIỄN THÔNG DI ĐỘNG VIETNAMOBILE</v>
      </c>
      <c r="AQ4" s="223" t="str">
        <f t="shared" si="6"/>
        <v>CÔNG TY CỔ PHẦN VIỄN THÔNG DI ĐỘNG VIETNAMOBILE</v>
      </c>
      <c r="AR4" s="223">
        <f t="shared" si="7"/>
      </c>
      <c r="AS4" s="223">
        <f t="shared" si="8"/>
      </c>
      <c r="AT4" s="223">
        <f t="shared" si="9"/>
      </c>
      <c r="AU4" s="223">
        <f t="shared" si="10"/>
      </c>
      <c r="AV4" s="223" t="e">
        <f>IF(I4&gt;=1,INDEX(OperatorIDList,MATCH(AP4,OperatorNameList,0)),"")</f>
        <v>#N/A</v>
      </c>
      <c r="AW4" s="223" t="e">
        <f>IF(I4&gt;=2,INDEX(OperatorIDList,MATCH(AQ4,OperatorNameList,0)),"")</f>
        <v>#N/A</v>
      </c>
      <c r="AX4" s="223">
        <f>IF(I4&gt;=3,INDEX(OperatorIDList,MATCH(AR4,OperatorNameList,0)),"")</f>
      </c>
      <c r="AY4" s="223">
        <f>IF(I4&gt;=4,INDEX(OperatorIDList,MATCH(AS4,OperatorNameList,0)),"")</f>
      </c>
      <c r="AZ4" s="223">
        <f>IF(I4&gt;=5,INDEX(OperatorIDList,MATCH(AT4,OperatorNameList,0)),"")</f>
      </c>
      <c r="BA4" s="223">
        <f>IF(I4&gt;=6,INDEX(OperatorIDList,MATCH(AU4,OperatorNameList,0)),"")</f>
      </c>
      <c r="BB4" s="223" t="e">
        <f t="shared" si="11"/>
        <v>#VALUE!</v>
      </c>
      <c r="BC4" s="223" t="str">
        <f t="shared" si="12"/>
        <v>339082</v>
      </c>
      <c r="BD4" s="223" t="str">
        <f t="shared" si="13"/>
        <v>339082</v>
      </c>
      <c r="BE4" s="223">
        <f t="shared" si="14"/>
      </c>
      <c r="BF4" s="223">
        <f t="shared" si="15"/>
      </c>
      <c r="BG4" s="223">
        <f t="shared" si="16"/>
      </c>
      <c r="BH4" s="223">
        <f t="shared" si="17"/>
      </c>
      <c r="BI4" s="223" t="str">
        <f t="shared" si="18"/>
        <v>ZTE ZXSDR BS8700</v>
      </c>
      <c r="BJ4" s="223" t="str">
        <f t="shared" si="19"/>
        <v>ZTE ZXSDR BS8700</v>
      </c>
      <c r="BK4" s="223">
        <f t="shared" si="20"/>
      </c>
      <c r="BL4" s="223">
        <f t="shared" si="21"/>
      </c>
      <c r="BM4" s="223">
        <f t="shared" si="22"/>
      </c>
      <c r="BN4" s="223">
        <f t="shared" si="23"/>
      </c>
      <c r="BO4" s="223">
        <f t="shared" si="24"/>
        <v>3</v>
      </c>
      <c r="BP4" s="223">
        <f t="shared" si="25"/>
        <v>3</v>
      </c>
      <c r="BQ4" s="223">
        <f t="shared" si="26"/>
        <v>0</v>
      </c>
      <c r="BR4" s="223">
        <f t="shared" si="27"/>
        <v>0</v>
      </c>
      <c r="BS4" s="223">
        <f t="shared" si="28"/>
        <v>0</v>
      </c>
      <c r="BT4" s="223">
        <f t="shared" si="29"/>
        <v>0</v>
      </c>
      <c r="BU4" s="223" t="str">
        <f t="shared" si="30"/>
        <v>2/2/2</v>
      </c>
      <c r="BV4" s="223">
        <f t="shared" si="31"/>
        <v>2</v>
      </c>
      <c r="BW4" s="223">
        <f t="shared" si="32"/>
        <v>2</v>
      </c>
      <c r="BX4" s="223">
        <f t="shared" si="33"/>
        <v>2</v>
      </c>
      <c r="BY4" s="223">
        <f t="shared" si="34"/>
        <v>0</v>
      </c>
      <c r="BZ4" s="223">
        <f t="shared" si="35"/>
        <v>0</v>
      </c>
      <c r="CA4" s="223">
        <f t="shared" si="36"/>
        <v>0</v>
      </c>
      <c r="CB4" s="223" t="str">
        <f t="shared" si="37"/>
        <v>1/1/1</v>
      </c>
      <c r="CC4" s="223">
        <f t="shared" si="38"/>
        <v>1</v>
      </c>
      <c r="CD4" s="223">
        <f t="shared" si="39"/>
        <v>1</v>
      </c>
      <c r="CE4" s="223">
        <f t="shared" si="40"/>
        <v>1</v>
      </c>
      <c r="CF4" s="223">
        <f t="shared" si="41"/>
        <v>0</v>
      </c>
      <c r="CG4" s="223">
        <f t="shared" si="42"/>
        <v>0</v>
      </c>
      <c r="CH4" s="223">
        <f t="shared" si="43"/>
        <v>0</v>
      </c>
      <c r="CI4" s="223">
        <f t="shared" si="44"/>
      </c>
      <c r="CJ4" s="223">
        <f t="shared" si="45"/>
        <v>0</v>
      </c>
      <c r="CK4" s="223">
        <f t="shared" si="46"/>
        <v>0</v>
      </c>
      <c r="CL4" s="223">
        <f t="shared" si="47"/>
        <v>0</v>
      </c>
      <c r="CM4" s="223">
        <f t="shared" si="48"/>
        <v>0</v>
      </c>
      <c r="CN4" s="223">
        <f t="shared" si="49"/>
        <v>0</v>
      </c>
      <c r="CO4" s="223">
        <f t="shared" si="50"/>
        <v>0</v>
      </c>
      <c r="CP4" s="223">
        <f t="shared" si="51"/>
      </c>
      <c r="CQ4" s="223">
        <f t="shared" si="52"/>
        <v>0</v>
      </c>
      <c r="CR4" s="223">
        <f t="shared" si="53"/>
        <v>0</v>
      </c>
      <c r="CS4" s="223">
        <f t="shared" si="54"/>
        <v>0</v>
      </c>
      <c r="CT4" s="223">
        <f t="shared" si="55"/>
        <v>0</v>
      </c>
      <c r="CU4" s="223">
        <f t="shared" si="56"/>
        <v>0</v>
      </c>
      <c r="CV4" s="223">
        <f t="shared" si="57"/>
        <v>0</v>
      </c>
      <c r="CW4" s="223">
        <f t="shared" si="58"/>
      </c>
      <c r="CX4" s="223">
        <f t="shared" si="59"/>
        <v>0</v>
      </c>
      <c r="CY4" s="223">
        <f t="shared" si="60"/>
        <v>0</v>
      </c>
      <c r="CZ4" s="223">
        <f t="shared" si="61"/>
        <v>0</v>
      </c>
      <c r="DA4" s="223">
        <f t="shared" si="62"/>
        <v>0</v>
      </c>
      <c r="DB4" s="223">
        <f t="shared" si="63"/>
        <v>0</v>
      </c>
      <c r="DC4" s="223">
        <f t="shared" si="64"/>
        <v>0</v>
      </c>
      <c r="DD4" s="223">
        <f t="shared" si="65"/>
      </c>
      <c r="DE4" s="223">
        <f t="shared" si="66"/>
        <v>0</v>
      </c>
      <c r="DF4" s="223">
        <f t="shared" si="67"/>
        <v>0</v>
      </c>
      <c r="DG4" s="223">
        <f t="shared" si="68"/>
        <v>0</v>
      </c>
      <c r="DH4" s="223">
        <f t="shared" si="69"/>
        <v>0</v>
      </c>
      <c r="DI4" s="223">
        <f t="shared" si="70"/>
        <v>0</v>
      </c>
      <c r="DJ4" s="223">
        <f t="shared" si="71"/>
        <v>0</v>
      </c>
      <c r="DK4" s="223" t="str">
        <f t="shared" si="72"/>
        <v>80W/80W/80W</v>
      </c>
      <c r="DL4" s="223">
        <f t="shared" si="73"/>
        <v>80</v>
      </c>
      <c r="DM4" s="223">
        <f t="shared" si="74"/>
        <v>80</v>
      </c>
      <c r="DN4" s="223">
        <f t="shared" si="75"/>
        <v>80</v>
      </c>
      <c r="DO4" s="223">
        <f t="shared" si="76"/>
        <v>0</v>
      </c>
      <c r="DP4" s="223">
        <f t="shared" si="77"/>
        <v>0</v>
      </c>
      <c r="DQ4" s="223">
        <f t="shared" si="78"/>
        <v>0</v>
      </c>
      <c r="DR4" s="223" t="str">
        <f t="shared" si="79"/>
        <v>80W/ 80W/ 80W</v>
      </c>
      <c r="DS4" s="223">
        <f t="shared" si="80"/>
        <v>80</v>
      </c>
      <c r="DT4" s="223" t="str">
        <f t="shared" si="81"/>
        <v>40W/40W/40W</v>
      </c>
      <c r="DU4" s="223">
        <f t="shared" si="82"/>
        <v>40</v>
      </c>
      <c r="DV4" s="223">
        <f t="shared" si="83"/>
        <v>40</v>
      </c>
      <c r="DW4" s="223">
        <f t="shared" si="84"/>
        <v>40</v>
      </c>
      <c r="DX4" s="223">
        <f t="shared" si="85"/>
        <v>0</v>
      </c>
      <c r="DY4" s="223">
        <f t="shared" si="86"/>
        <v>0</v>
      </c>
      <c r="DZ4" s="223">
        <f t="shared" si="87"/>
        <v>0</v>
      </c>
      <c r="EA4" s="223" t="str">
        <f t="shared" si="88"/>
        <v>40W/ 40W/ 40W</v>
      </c>
      <c r="EB4" s="223">
        <f t="shared" si="89"/>
        <v>40</v>
      </c>
      <c r="EC4" s="223">
        <f t="shared" si="90"/>
      </c>
      <c r="ED4" s="223">
        <f t="shared" si="91"/>
        <v>0</v>
      </c>
      <c r="EE4" s="223">
        <f t="shared" si="92"/>
        <v>0</v>
      </c>
      <c r="EF4" s="223">
        <f t="shared" si="93"/>
        <v>0</v>
      </c>
      <c r="EG4" s="223">
        <f t="shared" si="94"/>
        <v>0</v>
      </c>
      <c r="EH4" s="223">
        <f t="shared" si="95"/>
        <v>0</v>
      </c>
      <c r="EI4" s="223">
        <f t="shared" si="96"/>
        <v>0</v>
      </c>
      <c r="EJ4" s="223">
        <f t="shared" si="97"/>
      </c>
      <c r="EK4" s="223">
        <f t="shared" si="98"/>
        <v>0</v>
      </c>
      <c r="EL4" s="223">
        <f t="shared" si="99"/>
      </c>
      <c r="EM4" s="223">
        <f t="shared" si="100"/>
        <v>0</v>
      </c>
      <c r="EN4" s="223">
        <f t="shared" si="101"/>
        <v>0</v>
      </c>
      <c r="EO4" s="223">
        <f t="shared" si="102"/>
        <v>0</v>
      </c>
      <c r="EP4" s="223">
        <f t="shared" si="103"/>
        <v>0</v>
      </c>
      <c r="EQ4" s="223">
        <f t="shared" si="104"/>
        <v>0</v>
      </c>
      <c r="ER4" s="223">
        <f t="shared" si="105"/>
        <v>0</v>
      </c>
      <c r="ES4" s="223">
        <f t="shared" si="106"/>
      </c>
      <c r="ET4" s="223">
        <f t="shared" si="107"/>
        <v>0</v>
      </c>
      <c r="EU4" s="223">
        <f t="shared" si="108"/>
      </c>
      <c r="EV4" s="223">
        <f t="shared" si="109"/>
        <v>0</v>
      </c>
      <c r="EW4" s="223">
        <f t="shared" si="110"/>
        <v>0</v>
      </c>
      <c r="EX4" s="223">
        <f t="shared" si="111"/>
        <v>0</v>
      </c>
      <c r="EY4" s="223">
        <f t="shared" si="112"/>
        <v>0</v>
      </c>
      <c r="EZ4" s="223">
        <f t="shared" si="113"/>
        <v>0</v>
      </c>
      <c r="FA4" s="223">
        <f t="shared" si="114"/>
        <v>0</v>
      </c>
      <c r="FB4" s="223">
        <f t="shared" si="115"/>
      </c>
      <c r="FC4" s="223">
        <f t="shared" si="116"/>
        <v>0</v>
      </c>
      <c r="FD4" s="223">
        <f t="shared" si="117"/>
      </c>
      <c r="FE4" s="223">
        <f t="shared" si="118"/>
        <v>0</v>
      </c>
      <c r="FF4" s="223">
        <f t="shared" si="119"/>
        <v>0</v>
      </c>
      <c r="FG4" s="223">
        <f t="shared" si="120"/>
        <v>0</v>
      </c>
      <c r="FH4" s="223">
        <f t="shared" si="121"/>
        <v>0</v>
      </c>
      <c r="FI4" s="223">
        <f t="shared" si="122"/>
        <v>0</v>
      </c>
      <c r="FJ4" s="223">
        <f t="shared" si="123"/>
        <v>0</v>
      </c>
      <c r="FK4" s="223">
        <f t="shared" si="124"/>
      </c>
      <c r="FL4" s="223">
        <f t="shared" si="125"/>
        <v>0</v>
      </c>
      <c r="FM4" s="223">
        <f t="shared" si="126"/>
        <v>80</v>
      </c>
      <c r="FN4" s="223" t="str">
        <f t="shared" si="127"/>
        <v>U2100</v>
      </c>
      <c r="FO4" s="223" t="str">
        <f t="shared" si="128"/>
        <v>U900</v>
      </c>
      <c r="FP4" s="223">
        <f t="shared" si="129"/>
      </c>
      <c r="FQ4" s="223">
        <f t="shared" si="130"/>
      </c>
      <c r="FR4" s="223">
        <f t="shared" si="131"/>
      </c>
      <c r="FS4" s="223">
        <f t="shared" si="132"/>
      </c>
      <c r="FT4" s="223" t="str">
        <f t="shared" si="133"/>
        <v>34m/ 34m/ 34m</v>
      </c>
      <c r="FU4" s="223">
        <f t="shared" si="134"/>
        <v>34</v>
      </c>
      <c r="FV4" s="223">
        <f t="shared" si="135"/>
        <v>34</v>
      </c>
      <c r="FW4" s="223">
        <f t="shared" si="136"/>
        <v>34</v>
      </c>
      <c r="FX4" s="223">
        <f t="shared" si="137"/>
        <v>0</v>
      </c>
      <c r="FY4" s="223">
        <f t="shared" si="138"/>
        <v>0</v>
      </c>
      <c r="FZ4" s="223">
        <f t="shared" si="139"/>
        <v>0</v>
      </c>
      <c r="GA4" s="223" t="str">
        <f t="shared" si="140"/>
        <v>34m/ 34m/ 34m</v>
      </c>
      <c r="GB4" s="223" t="str">
        <f t="shared" si="141"/>
        <v>30m/ 30m/ 30m</v>
      </c>
      <c r="GC4" s="223">
        <f t="shared" si="142"/>
        <v>30</v>
      </c>
      <c r="GD4" s="223">
        <f t="shared" si="143"/>
        <v>30</v>
      </c>
      <c r="GE4" s="223">
        <f t="shared" si="144"/>
        <v>30</v>
      </c>
      <c r="GF4" s="223">
        <f t="shared" si="145"/>
        <v>0</v>
      </c>
      <c r="GG4" s="223">
        <f t="shared" si="146"/>
        <v>0</v>
      </c>
      <c r="GH4" s="223">
        <f t="shared" si="147"/>
        <v>0</v>
      </c>
      <c r="GI4" s="223" t="str">
        <f t="shared" si="148"/>
        <v>30m/ 30m/ 30m</v>
      </c>
      <c r="GJ4" s="223">
        <f t="shared" si="149"/>
      </c>
      <c r="GK4" s="223">
        <f t="shared" si="150"/>
        <v>0</v>
      </c>
      <c r="GL4" s="223">
        <f t="shared" si="151"/>
        <v>0</v>
      </c>
      <c r="GM4" s="223">
        <f t="shared" si="152"/>
        <v>0</v>
      </c>
      <c r="GN4" s="223">
        <f t="shared" si="153"/>
        <v>0</v>
      </c>
      <c r="GO4" s="223">
        <f t="shared" si="154"/>
        <v>0</v>
      </c>
      <c r="GP4" s="223">
        <f t="shared" si="155"/>
        <v>0</v>
      </c>
      <c r="GQ4" s="223">
        <f t="shared" si="156"/>
      </c>
      <c r="GR4" s="223">
        <f t="shared" si="157"/>
      </c>
      <c r="GS4" s="223">
        <f t="shared" si="158"/>
        <v>0</v>
      </c>
      <c r="GT4" s="223">
        <f t="shared" si="159"/>
        <v>0</v>
      </c>
      <c r="GU4" s="223">
        <f t="shared" si="160"/>
        <v>0</v>
      </c>
      <c r="GV4" s="223">
        <f t="shared" si="161"/>
        <v>0</v>
      </c>
      <c r="GW4" s="223">
        <f t="shared" si="162"/>
        <v>0</v>
      </c>
      <c r="GX4" s="223">
        <f t="shared" si="163"/>
        <v>0</v>
      </c>
      <c r="GY4" s="223">
        <f t="shared" si="164"/>
      </c>
      <c r="GZ4" s="223">
        <f t="shared" si="165"/>
      </c>
      <c r="HA4" s="223">
        <f t="shared" si="166"/>
        <v>0</v>
      </c>
      <c r="HB4" s="223">
        <f t="shared" si="167"/>
        <v>0</v>
      </c>
      <c r="HC4" s="223">
        <f t="shared" si="168"/>
        <v>0</v>
      </c>
      <c r="HD4" s="223">
        <f t="shared" si="169"/>
        <v>0</v>
      </c>
      <c r="HE4" s="223">
        <f t="shared" si="170"/>
        <v>0</v>
      </c>
      <c r="HF4" s="223">
        <f t="shared" si="171"/>
        <v>0</v>
      </c>
      <c r="HG4" s="223">
        <f t="shared" si="172"/>
      </c>
      <c r="HH4" s="223">
        <f t="shared" si="173"/>
      </c>
      <c r="HI4" s="223">
        <f t="shared" si="174"/>
        <v>0</v>
      </c>
      <c r="HJ4" s="223">
        <f t="shared" si="175"/>
        <v>0</v>
      </c>
      <c r="HK4" s="223">
        <f t="shared" si="176"/>
        <v>0</v>
      </c>
      <c r="HL4" s="223">
        <f t="shared" si="177"/>
        <v>0</v>
      </c>
      <c r="HM4" s="223">
        <f t="shared" si="178"/>
        <v>0</v>
      </c>
      <c r="HN4" s="223">
        <f t="shared" si="179"/>
        <v>0</v>
      </c>
      <c r="HO4" s="223">
        <f t="shared" si="180"/>
      </c>
      <c r="HP4" s="223" t="str">
        <f>INDEX(LabNameList,MATCH(AF4,LabIDList,0))</f>
        <v>Trung tâm Kiểm định và Chứng nhận 2</v>
      </c>
      <c r="HQ4" s="223">
        <f t="shared" si="181"/>
        <v>34</v>
      </c>
      <c r="HR4" s="223">
        <f t="shared" si="182"/>
        <v>30</v>
      </c>
      <c r="HS4" s="223">
        <f t="shared" si="183"/>
        <v>0</v>
      </c>
      <c r="HT4" s="223">
        <f t="shared" si="184"/>
        <v>0</v>
      </c>
      <c r="HU4" s="223">
        <f t="shared" si="185"/>
        <v>0</v>
      </c>
      <c r="HV4" s="223">
        <f t="shared" si="186"/>
        <v>0</v>
      </c>
      <c r="HW4" s="222">
        <f t="shared" si="187"/>
        <v>30</v>
      </c>
      <c r="HX4" s="222">
        <f t="shared" si="188"/>
        <v>26</v>
      </c>
      <c r="HY4" s="223">
        <v>13</v>
      </c>
    </row>
    <row r="5" ht="102">
      <c r="A5" s="222">
        <f>Input!A5</f>
        <v>4</v>
      </c>
      <c r="B5" s="222" t="str">
        <f>Input!B5</f>
        <v>VNM-HCM</v>
      </c>
      <c r="C5" s="222" t="str">
        <f>Input!C5</f>
        <v>VNMOBILE</v>
      </c>
      <c r="D5" s="222" t="str">
        <f t="shared" si="0"/>
        <v>339115</v>
      </c>
      <c r="E5" s="222" t="str">
        <f>Input!E5</f>
        <v>Số 12, tổ 1, ấp Lăng, xã Tân Chánh, huyện Cần Đước, tỉnh Long An.</v>
      </c>
      <c r="F5" s="222" t="str">
        <f>Input!F5</f>
        <v>Long An</v>
      </c>
      <c r="G5" s="222" t="str">
        <f>Input!G5</f>
        <v>106,60232</v>
      </c>
      <c r="H5" s="222" t="str">
        <f>Input!H5</f>
        <v>10,47476</v>
      </c>
      <c r="I5" s="222">
        <f>Input!I5</f>
        <v>2</v>
      </c>
      <c r="J5" s="222" t="str">
        <f>Input!J5</f>
        <v>1801184/19/TG/TT2</v>
      </c>
      <c r="K5" s="224" t="str">
        <f>TEXT(Input!K5,"dd/mm/yyyy")</f>
        <v>22/07/2019</v>
      </c>
      <c r="L5" s="224" t="str">
        <f>TEXT(Input!L5,"dd/mm/yyyy")</f>
        <v>29/06/2019</v>
      </c>
      <c r="M5" s="222" t="str">
        <f>Input!M5</f>
        <v>CÔNG TY CỔ PHẦN VIỄN THÔNG DI ĐỘNG VIETNAMOBILE;CÔNG TY CỔ PHẦN VIỄN THÔNG DI ĐỘNG VIETNAMOBILE</v>
      </c>
      <c r="N5" s="222" t="str">
        <f>Input!N5</f>
        <v>339115;339115</v>
      </c>
      <c r="O5" s="222" t="str">
        <f>Input!O5</f>
        <v>ZTE ZXSDR BS8700;ZTE ZXSDR BS8700</v>
      </c>
      <c r="P5" s="222" t="str">
        <f>Input!P5</f>
        <v>3;3</v>
      </c>
      <c r="Q5" s="222" t="str">
        <f>Input!Q5</f>
        <v>2/2/2;1/1/1</v>
      </c>
      <c r="R5" s="222" t="str">
        <f>Input!R5</f>
        <v>80W/80W/80W;40W/40W/40W</v>
      </c>
      <c r="S5" s="222" t="str">
        <f>Input!S5</f>
        <v>U2100;U900</v>
      </c>
      <c r="T5" s="222" t="str">
        <f>Input!T5</f>
        <v>34m/ 34m/ 34m;30m/ 30m/ 30m</v>
      </c>
      <c r="U5" s="222">
        <f>Input!U5</f>
        <v>1</v>
      </c>
      <c r="V5" s="222" t="str">
        <f>Input!V5</f>
        <v>Agisson DX-1710-2170-65-18i-0F;MB800/900-65-18DE14</v>
      </c>
      <c r="W5" s="222" t="b">
        <f>IF(OR(Input!W5,Input!W5="TRUE"),TRUE,IF(OR(Input!W5 = 0,Input!W5="FALSE"),FALSE,Input!W5))</f>
        <v>1</v>
      </c>
      <c r="X5" s="222" t="b">
        <f>IF(OR(Input!X5,Input!X5="TRUE"),TRUE,IF(OR(Input!X5 = 0,Input!X5="FALSE"),FALSE,Input!X5))</f>
        <v>0</v>
      </c>
      <c r="Y5" s="222">
        <f>VALUE(Input!Y5)</f>
        <v>0</v>
      </c>
      <c r="Z5" s="222" t="b">
        <f>IF(OR(Input!Z5,Input!Z5="TRUE"),TRUE,IF(OR(Input!Z5 = 0,Input!Z5="FALSE"),FALSE,Input!Z5))</f>
        <v>1</v>
      </c>
      <c r="AA5" s="222">
        <f>VALUE(Input!AA5)</f>
        <v>4</v>
      </c>
      <c r="AB5" s="222" t="b">
        <f>IF(OR(Input!AB5,Input!AB5="TRUE"),TRUE,IF(OR(Input!AB5 = 0,Input!AB5="FALSE"),FALSE,Input!AB5))</f>
        <v>0</v>
      </c>
      <c r="AC5" s="222" t="b">
        <f>IF(OR(Input!AC5,Input!AC5="TRUE"),TRUE,IF(OR(Input!AC5 = 0,Input!AC5="FALSE"),FALSE,Input!AC5))</f>
        <v>1</v>
      </c>
      <c r="AD5" s="222">
        <f>Input!AD5</f>
        <v>0</v>
      </c>
      <c r="AE5" s="222">
        <f>Input!AE5</f>
        <v>0</v>
      </c>
      <c r="AF5" s="222" t="str">
        <f>Input!AF5</f>
        <v>VCC2</v>
      </c>
      <c r="AG5" s="222">
        <f>Input!AG5</f>
        <v>0</v>
      </c>
      <c r="AH5" s="223"/>
      <c r="AI5" s="223" t="str">
        <f>INDEX(ApplicantNameList,MATCH(B5,ApplicantIDList,0))</f>
        <v>Chi nhánh Công ty Cổ phần Viễn thông Di động Vietnamobile tại Thành Phố Hồ Chí Minh</v>
      </c>
      <c r="AJ5" s="223" t="str">
        <f>INDEX(OperatorNameList,MATCH(C5,OperatorIDList,0))</f>
        <v>VNMOBILE</v>
      </c>
      <c r="AK5" s="222">
        <f t="shared" si="1"/>
        <v>5</v>
      </c>
      <c r="AL5" s="331" t="str">
        <f t="shared" si="2"/>
        <v>tỉnh Long An.</v>
      </c>
      <c r="AM5" s="331" t="str">
        <f t="shared" si="3"/>
        <v>huyện Cần Đước</v>
      </c>
      <c r="AN5" s="331" t="str">
        <f t="shared" si="4"/>
        <v>xã Tân Chánh</v>
      </c>
      <c r="AO5" s="222" t="str">
        <f>INDEX(CityIDList,MATCH(F5,CityNameList,0))</f>
        <v>LAN</v>
      </c>
      <c r="AP5" s="223" t="str">
        <f t="shared" si="5"/>
        <v>CÔNG TY CỔ PHẦN VIỄN THÔNG DI ĐỘNG VIETNAMOBILE</v>
      </c>
      <c r="AQ5" s="223" t="str">
        <f t="shared" si="6"/>
        <v>CÔNG TY CỔ PHẦN VIỄN THÔNG DI ĐỘNG VIETNAMOBILE</v>
      </c>
      <c r="AR5" s="223">
        <f t="shared" si="7"/>
      </c>
      <c r="AS5" s="223">
        <f t="shared" si="8"/>
      </c>
      <c r="AT5" s="223">
        <f t="shared" si="9"/>
      </c>
      <c r="AU5" s="223">
        <f t="shared" si="10"/>
      </c>
      <c r="AV5" s="223" t="e">
        <f>IF(I5&gt;=1,INDEX(OperatorIDList,MATCH(AP5,OperatorNameList,0)),"")</f>
        <v>#N/A</v>
      </c>
      <c r="AW5" s="223" t="e">
        <f>IF(I5&gt;=2,INDEX(OperatorIDList,MATCH(AQ5,OperatorNameList,0)),"")</f>
        <v>#N/A</v>
      </c>
      <c r="AX5" s="223">
        <f>IF(I5&gt;=3,INDEX(OperatorIDList,MATCH(AR5,OperatorNameList,0)),"")</f>
      </c>
      <c r="AY5" s="223">
        <f>IF(I5&gt;=4,INDEX(OperatorIDList,MATCH(AS5,OperatorNameList,0)),"")</f>
      </c>
      <c r="AZ5" s="223">
        <f>IF(I5&gt;=5,INDEX(OperatorIDList,MATCH(AT5,OperatorNameList,0)),"")</f>
      </c>
      <c r="BA5" s="223">
        <f>IF(I5&gt;=6,INDEX(OperatorIDList,MATCH(AU5,OperatorNameList,0)),"")</f>
      </c>
      <c r="BB5" s="223" t="e">
        <f t="shared" si="11"/>
        <v>#VALUE!</v>
      </c>
      <c r="BC5" s="223" t="str">
        <f t="shared" si="12"/>
        <v>339115</v>
      </c>
      <c r="BD5" s="223" t="str">
        <f t="shared" si="13"/>
        <v>339115</v>
      </c>
      <c r="BE5" s="223">
        <f t="shared" si="14"/>
      </c>
      <c r="BF5" s="223">
        <f t="shared" si="15"/>
      </c>
      <c r="BG5" s="223">
        <f t="shared" si="16"/>
      </c>
      <c r="BH5" s="223">
        <f t="shared" si="17"/>
      </c>
      <c r="BI5" s="223" t="str">
        <f t="shared" si="18"/>
        <v>ZTE ZXSDR BS8700</v>
      </c>
      <c r="BJ5" s="223" t="str">
        <f t="shared" si="19"/>
        <v>ZTE ZXSDR BS8700</v>
      </c>
      <c r="BK5" s="223">
        <f t="shared" si="20"/>
      </c>
      <c r="BL5" s="223">
        <f t="shared" si="21"/>
      </c>
      <c r="BM5" s="223">
        <f t="shared" si="22"/>
      </c>
      <c r="BN5" s="223">
        <f t="shared" si="23"/>
      </c>
      <c r="BO5" s="223">
        <f t="shared" si="24"/>
        <v>3</v>
      </c>
      <c r="BP5" s="223">
        <f t="shared" si="25"/>
        <v>3</v>
      </c>
      <c r="BQ5" s="223">
        <f t="shared" si="26"/>
        <v>0</v>
      </c>
      <c r="BR5" s="223">
        <f t="shared" si="27"/>
        <v>0</v>
      </c>
      <c r="BS5" s="223">
        <f t="shared" si="28"/>
        <v>0</v>
      </c>
      <c r="BT5" s="223">
        <f t="shared" si="29"/>
        <v>0</v>
      </c>
      <c r="BU5" s="223" t="str">
        <f t="shared" si="30"/>
        <v>2/2/2</v>
      </c>
      <c r="BV5" s="223">
        <f t="shared" si="31"/>
        <v>2</v>
      </c>
      <c r="BW5" s="223">
        <f t="shared" si="32"/>
        <v>2</v>
      </c>
      <c r="BX5" s="223">
        <f t="shared" si="33"/>
        <v>2</v>
      </c>
      <c r="BY5" s="223">
        <f t="shared" si="34"/>
        <v>0</v>
      </c>
      <c r="BZ5" s="223">
        <f t="shared" si="35"/>
        <v>0</v>
      </c>
      <c r="CA5" s="223">
        <f t="shared" si="36"/>
        <v>0</v>
      </c>
      <c r="CB5" s="223" t="str">
        <f t="shared" si="37"/>
        <v>1/1/1</v>
      </c>
      <c r="CC5" s="223">
        <f t="shared" si="38"/>
        <v>1</v>
      </c>
      <c r="CD5" s="223">
        <f t="shared" si="39"/>
        <v>1</v>
      </c>
      <c r="CE5" s="223">
        <f t="shared" si="40"/>
        <v>1</v>
      </c>
      <c r="CF5" s="223">
        <f t="shared" si="41"/>
        <v>0</v>
      </c>
      <c r="CG5" s="223">
        <f t="shared" si="42"/>
        <v>0</v>
      </c>
      <c r="CH5" s="223">
        <f t="shared" si="43"/>
        <v>0</v>
      </c>
      <c r="CI5" s="223">
        <f t="shared" si="44"/>
      </c>
      <c r="CJ5" s="223">
        <f t="shared" si="45"/>
        <v>0</v>
      </c>
      <c r="CK5" s="223">
        <f t="shared" si="46"/>
        <v>0</v>
      </c>
      <c r="CL5" s="223">
        <f t="shared" si="47"/>
        <v>0</v>
      </c>
      <c r="CM5" s="223">
        <f t="shared" si="48"/>
        <v>0</v>
      </c>
      <c r="CN5" s="223">
        <f t="shared" si="49"/>
        <v>0</v>
      </c>
      <c r="CO5" s="223">
        <f t="shared" si="50"/>
        <v>0</v>
      </c>
      <c r="CP5" s="223">
        <f t="shared" si="51"/>
      </c>
      <c r="CQ5" s="223">
        <f t="shared" si="52"/>
        <v>0</v>
      </c>
      <c r="CR5" s="223">
        <f t="shared" si="53"/>
        <v>0</v>
      </c>
      <c r="CS5" s="223">
        <f t="shared" si="54"/>
        <v>0</v>
      </c>
      <c r="CT5" s="223">
        <f t="shared" si="55"/>
        <v>0</v>
      </c>
      <c r="CU5" s="223">
        <f t="shared" si="56"/>
        <v>0</v>
      </c>
      <c r="CV5" s="223">
        <f t="shared" si="57"/>
        <v>0</v>
      </c>
      <c r="CW5" s="223">
        <f t="shared" si="58"/>
      </c>
      <c r="CX5" s="223">
        <f t="shared" si="59"/>
        <v>0</v>
      </c>
      <c r="CY5" s="223">
        <f t="shared" si="60"/>
        <v>0</v>
      </c>
      <c r="CZ5" s="223">
        <f t="shared" si="61"/>
        <v>0</v>
      </c>
      <c r="DA5" s="223">
        <f t="shared" si="62"/>
        <v>0</v>
      </c>
      <c r="DB5" s="223">
        <f t="shared" si="63"/>
        <v>0</v>
      </c>
      <c r="DC5" s="223">
        <f t="shared" si="64"/>
        <v>0</v>
      </c>
      <c r="DD5" s="223">
        <f t="shared" si="65"/>
      </c>
      <c r="DE5" s="223">
        <f t="shared" si="66"/>
        <v>0</v>
      </c>
      <c r="DF5" s="223">
        <f t="shared" si="67"/>
        <v>0</v>
      </c>
      <c r="DG5" s="223">
        <f t="shared" si="68"/>
        <v>0</v>
      </c>
      <c r="DH5" s="223">
        <f t="shared" si="69"/>
        <v>0</v>
      </c>
      <c r="DI5" s="223">
        <f t="shared" si="70"/>
        <v>0</v>
      </c>
      <c r="DJ5" s="223">
        <f t="shared" si="71"/>
        <v>0</v>
      </c>
      <c r="DK5" s="223" t="str">
        <f t="shared" si="72"/>
        <v>80W/80W/80W</v>
      </c>
      <c r="DL5" s="223">
        <f t="shared" si="73"/>
        <v>80</v>
      </c>
      <c r="DM5" s="223">
        <f t="shared" si="74"/>
        <v>80</v>
      </c>
      <c r="DN5" s="223">
        <f t="shared" si="75"/>
        <v>80</v>
      </c>
      <c r="DO5" s="223">
        <f t="shared" si="76"/>
        <v>0</v>
      </c>
      <c r="DP5" s="223">
        <f t="shared" si="77"/>
        <v>0</v>
      </c>
      <c r="DQ5" s="223">
        <f t="shared" si="78"/>
        <v>0</v>
      </c>
      <c r="DR5" s="223" t="str">
        <f t="shared" si="79"/>
        <v>80W/ 80W/ 80W</v>
      </c>
      <c r="DS5" s="223">
        <f t="shared" si="80"/>
        <v>80</v>
      </c>
      <c r="DT5" s="223" t="str">
        <f t="shared" si="81"/>
        <v>40W/40W/40W</v>
      </c>
      <c r="DU5" s="223">
        <f t="shared" si="82"/>
        <v>40</v>
      </c>
      <c r="DV5" s="223">
        <f t="shared" si="83"/>
        <v>40</v>
      </c>
      <c r="DW5" s="223">
        <f t="shared" si="84"/>
        <v>40</v>
      </c>
      <c r="DX5" s="223">
        <f t="shared" si="85"/>
        <v>0</v>
      </c>
      <c r="DY5" s="223">
        <f t="shared" si="86"/>
        <v>0</v>
      </c>
      <c r="DZ5" s="223">
        <f t="shared" si="87"/>
        <v>0</v>
      </c>
      <c r="EA5" s="223" t="str">
        <f t="shared" si="88"/>
        <v>40W/ 40W/ 40W</v>
      </c>
      <c r="EB5" s="223">
        <f t="shared" si="89"/>
        <v>40</v>
      </c>
      <c r="EC5" s="223">
        <f t="shared" si="90"/>
      </c>
      <c r="ED5" s="223">
        <f t="shared" si="91"/>
        <v>0</v>
      </c>
      <c r="EE5" s="223">
        <f t="shared" si="92"/>
        <v>0</v>
      </c>
      <c r="EF5" s="223">
        <f t="shared" si="93"/>
        <v>0</v>
      </c>
      <c r="EG5" s="223">
        <f t="shared" si="94"/>
        <v>0</v>
      </c>
      <c r="EH5" s="223">
        <f t="shared" si="95"/>
        <v>0</v>
      </c>
      <c r="EI5" s="223">
        <f t="shared" si="96"/>
        <v>0</v>
      </c>
      <c r="EJ5" s="223">
        <f t="shared" si="97"/>
      </c>
      <c r="EK5" s="223">
        <f t="shared" si="98"/>
        <v>0</v>
      </c>
      <c r="EL5" s="223">
        <f t="shared" si="99"/>
      </c>
      <c r="EM5" s="223">
        <f t="shared" si="100"/>
        <v>0</v>
      </c>
      <c r="EN5" s="223">
        <f t="shared" si="101"/>
        <v>0</v>
      </c>
      <c r="EO5" s="223">
        <f t="shared" si="102"/>
        <v>0</v>
      </c>
      <c r="EP5" s="223">
        <f t="shared" si="103"/>
        <v>0</v>
      </c>
      <c r="EQ5" s="223">
        <f t="shared" si="104"/>
        <v>0</v>
      </c>
      <c r="ER5" s="223">
        <f t="shared" si="105"/>
        <v>0</v>
      </c>
      <c r="ES5" s="223">
        <f t="shared" si="106"/>
      </c>
      <c r="ET5" s="223">
        <f t="shared" si="107"/>
        <v>0</v>
      </c>
      <c r="EU5" s="223">
        <f t="shared" si="108"/>
      </c>
      <c r="EV5" s="223">
        <f t="shared" si="109"/>
        <v>0</v>
      </c>
      <c r="EW5" s="223">
        <f t="shared" si="110"/>
        <v>0</v>
      </c>
      <c r="EX5" s="223">
        <f t="shared" si="111"/>
        <v>0</v>
      </c>
      <c r="EY5" s="223">
        <f t="shared" si="112"/>
        <v>0</v>
      </c>
      <c r="EZ5" s="223">
        <f t="shared" si="113"/>
        <v>0</v>
      </c>
      <c r="FA5" s="223">
        <f t="shared" si="114"/>
        <v>0</v>
      </c>
      <c r="FB5" s="223">
        <f t="shared" si="115"/>
      </c>
      <c r="FC5" s="223">
        <f t="shared" si="116"/>
        <v>0</v>
      </c>
      <c r="FD5" s="223">
        <f t="shared" si="117"/>
      </c>
      <c r="FE5" s="223">
        <f t="shared" si="118"/>
        <v>0</v>
      </c>
      <c r="FF5" s="223">
        <f t="shared" si="119"/>
        <v>0</v>
      </c>
      <c r="FG5" s="223">
        <f t="shared" si="120"/>
        <v>0</v>
      </c>
      <c r="FH5" s="223">
        <f t="shared" si="121"/>
        <v>0</v>
      </c>
      <c r="FI5" s="223">
        <f t="shared" si="122"/>
        <v>0</v>
      </c>
      <c r="FJ5" s="223">
        <f t="shared" si="123"/>
        <v>0</v>
      </c>
      <c r="FK5" s="223">
        <f t="shared" si="124"/>
      </c>
      <c r="FL5" s="223">
        <f t="shared" si="125"/>
        <v>0</v>
      </c>
      <c r="FM5" s="223">
        <f t="shared" si="126"/>
        <v>80</v>
      </c>
      <c r="FN5" s="223" t="str">
        <f t="shared" si="127"/>
        <v>U2100</v>
      </c>
      <c r="FO5" s="223" t="str">
        <f t="shared" si="128"/>
        <v>U900</v>
      </c>
      <c r="FP5" s="223">
        <f t="shared" si="129"/>
      </c>
      <c r="FQ5" s="223">
        <f t="shared" si="130"/>
      </c>
      <c r="FR5" s="223">
        <f t="shared" si="131"/>
      </c>
      <c r="FS5" s="223">
        <f t="shared" si="132"/>
      </c>
      <c r="FT5" s="223" t="str">
        <f t="shared" si="133"/>
        <v>34m/ 34m/ 34m</v>
      </c>
      <c r="FU5" s="223">
        <f t="shared" si="134"/>
        <v>34</v>
      </c>
      <c r="FV5" s="223">
        <f t="shared" si="135"/>
        <v>34</v>
      </c>
      <c r="FW5" s="223">
        <f t="shared" si="136"/>
        <v>34</v>
      </c>
      <c r="FX5" s="223">
        <f t="shared" si="137"/>
        <v>0</v>
      </c>
      <c r="FY5" s="223">
        <f t="shared" si="138"/>
        <v>0</v>
      </c>
      <c r="FZ5" s="223">
        <f t="shared" si="139"/>
        <v>0</v>
      </c>
      <c r="GA5" s="223" t="str">
        <f t="shared" si="140"/>
        <v>34m/ 34m/ 34m</v>
      </c>
      <c r="GB5" s="223" t="str">
        <f t="shared" si="141"/>
        <v>30m/ 30m/ 30m</v>
      </c>
      <c r="GC5" s="223">
        <f t="shared" si="142"/>
        <v>30</v>
      </c>
      <c r="GD5" s="223">
        <f t="shared" si="143"/>
        <v>30</v>
      </c>
      <c r="GE5" s="223">
        <f t="shared" si="144"/>
        <v>30</v>
      </c>
      <c r="GF5" s="223">
        <f t="shared" si="145"/>
        <v>0</v>
      </c>
      <c r="GG5" s="223">
        <f t="shared" si="146"/>
        <v>0</v>
      </c>
      <c r="GH5" s="223">
        <f t="shared" si="147"/>
        <v>0</v>
      </c>
      <c r="GI5" s="223" t="str">
        <f t="shared" si="148"/>
        <v>30m/ 30m/ 30m</v>
      </c>
      <c r="GJ5" s="223">
        <f t="shared" si="149"/>
      </c>
      <c r="GK5" s="223">
        <f t="shared" si="150"/>
        <v>0</v>
      </c>
      <c r="GL5" s="223">
        <f t="shared" si="151"/>
        <v>0</v>
      </c>
      <c r="GM5" s="223">
        <f t="shared" si="152"/>
        <v>0</v>
      </c>
      <c r="GN5" s="223">
        <f t="shared" si="153"/>
        <v>0</v>
      </c>
      <c r="GO5" s="223">
        <f t="shared" si="154"/>
        <v>0</v>
      </c>
      <c r="GP5" s="223">
        <f t="shared" si="155"/>
        <v>0</v>
      </c>
      <c r="GQ5" s="223">
        <f t="shared" si="156"/>
      </c>
      <c r="GR5" s="223">
        <f t="shared" si="157"/>
      </c>
      <c r="GS5" s="223">
        <f t="shared" si="158"/>
        <v>0</v>
      </c>
      <c r="GT5" s="223">
        <f t="shared" si="159"/>
        <v>0</v>
      </c>
      <c r="GU5" s="223">
        <f t="shared" si="160"/>
        <v>0</v>
      </c>
      <c r="GV5" s="223">
        <f t="shared" si="161"/>
        <v>0</v>
      </c>
      <c r="GW5" s="223">
        <f t="shared" si="162"/>
        <v>0</v>
      </c>
      <c r="GX5" s="223">
        <f t="shared" si="163"/>
        <v>0</v>
      </c>
      <c r="GY5" s="223">
        <f t="shared" si="164"/>
      </c>
      <c r="GZ5" s="223">
        <f t="shared" si="165"/>
      </c>
      <c r="HA5" s="223">
        <f t="shared" si="166"/>
        <v>0</v>
      </c>
      <c r="HB5" s="223">
        <f t="shared" si="167"/>
        <v>0</v>
      </c>
      <c r="HC5" s="223">
        <f t="shared" si="168"/>
        <v>0</v>
      </c>
      <c r="HD5" s="223">
        <f t="shared" si="169"/>
        <v>0</v>
      </c>
      <c r="HE5" s="223">
        <f t="shared" si="170"/>
        <v>0</v>
      </c>
      <c r="HF5" s="223">
        <f t="shared" si="171"/>
        <v>0</v>
      </c>
      <c r="HG5" s="223">
        <f t="shared" si="172"/>
      </c>
      <c r="HH5" s="223">
        <f t="shared" si="173"/>
      </c>
      <c r="HI5" s="223">
        <f t="shared" si="174"/>
        <v>0</v>
      </c>
      <c r="HJ5" s="223">
        <f t="shared" si="175"/>
        <v>0</v>
      </c>
      <c r="HK5" s="223">
        <f t="shared" si="176"/>
        <v>0</v>
      </c>
      <c r="HL5" s="223">
        <f t="shared" si="177"/>
        <v>0</v>
      </c>
      <c r="HM5" s="223">
        <f t="shared" si="178"/>
        <v>0</v>
      </c>
      <c r="HN5" s="223">
        <f t="shared" si="179"/>
        <v>0</v>
      </c>
      <c r="HO5" s="223">
        <f t="shared" si="180"/>
      </c>
      <c r="HP5" s="223" t="str">
        <f>INDEX(LabNameList,MATCH(AF5,LabIDList,0))</f>
        <v>Trung tâm Kiểm định và Chứng nhận 2</v>
      </c>
      <c r="HQ5" s="223">
        <f t="shared" si="181"/>
        <v>34</v>
      </c>
      <c r="HR5" s="223">
        <f t="shared" si="182"/>
        <v>30</v>
      </c>
      <c r="HS5" s="223">
        <f t="shared" si="183"/>
        <v>0</v>
      </c>
      <c r="HT5" s="223">
        <f t="shared" si="184"/>
        <v>0</v>
      </c>
      <c r="HU5" s="223">
        <f t="shared" si="185"/>
        <v>0</v>
      </c>
      <c r="HV5" s="223">
        <f t="shared" si="186"/>
        <v>0</v>
      </c>
      <c r="HW5" s="222">
        <f t="shared" si="187"/>
        <v>30</v>
      </c>
      <c r="HX5" s="222">
        <f t="shared" si="188"/>
        <v>26</v>
      </c>
      <c r="HY5" s="223">
        <v>13</v>
      </c>
    </row>
    <row r="6" ht="102">
      <c r="A6" s="222">
        <f>Input!A6</f>
        <v>5</v>
      </c>
      <c r="B6" s="222" t="str">
        <f>Input!B6</f>
        <v>VNM-HCM</v>
      </c>
      <c r="C6" s="222" t="str">
        <f>Input!C6</f>
        <v>VNMOBILE</v>
      </c>
      <c r="D6" s="222" t="str">
        <f t="shared" si="0"/>
        <v>339198</v>
      </c>
      <c r="E6" s="222" t="str">
        <f>Input!E6</f>
        <v>Ấp Tân Điền, xã Long Thượng, huyện Cần Giuộc, tỉnh Long An.</v>
      </c>
      <c r="F6" s="222" t="str">
        <f>Input!F6</f>
        <v>Long An</v>
      </c>
      <c r="G6" s="222" t="str">
        <f>Input!G6</f>
        <v>106,61092</v>
      </c>
      <c r="H6" s="222" t="str">
        <f>Input!H6</f>
        <v>10,63834</v>
      </c>
      <c r="I6" s="222">
        <f>Input!I6</f>
        <v>2</v>
      </c>
      <c r="J6" s="222" t="str">
        <f>Input!J6</f>
        <v>1801185/19/TG/TT2</v>
      </c>
      <c r="K6" s="224" t="str">
        <f>TEXT(Input!K6,"dd/mm/yyyy")</f>
        <v>22/07/2019</v>
      </c>
      <c r="L6" s="224" t="str">
        <f>TEXT(Input!L6,"dd/mm/yyyy")</f>
        <v>30/06/2019</v>
      </c>
      <c r="M6" s="222" t="str">
        <f>Input!M6</f>
        <v>CÔNG TY CỔ PHẦN VIỄN THÔNG DI ĐỘNG VIETNAMOBILE;CÔNG TY CỔ PHẦN VIỄN THÔNG DI ĐỘNG VIETNAMOBILE</v>
      </c>
      <c r="N6" s="222" t="str">
        <f>Input!N6</f>
        <v>339198;339198</v>
      </c>
      <c r="O6" s="222" t="str">
        <f>Input!O6</f>
        <v>ZTE ZXSDR BS8700;ZTE ZXSDR BS8700</v>
      </c>
      <c r="P6" s="222" t="str">
        <f>Input!P6</f>
        <v>3;3</v>
      </c>
      <c r="Q6" s="222" t="str">
        <f>Input!Q6</f>
        <v>2/2/2;1/1/1</v>
      </c>
      <c r="R6" s="222" t="str">
        <f>Input!R6</f>
        <v>80W/80W/80W;40W/40W/40W</v>
      </c>
      <c r="S6" s="222" t="str">
        <f>Input!S6</f>
        <v>U2100;U900</v>
      </c>
      <c r="T6" s="222" t="str">
        <f>Input!T6</f>
        <v>34m/ 34m/ 34m;30m/ 30m/ 30m</v>
      </c>
      <c r="U6" s="222">
        <f>Input!U6</f>
        <v>1</v>
      </c>
      <c r="V6" s="222" t="str">
        <f>Input!V6</f>
        <v>Agisson DX-1710-2170-65-18i-0F;MB800/900-65-18DE14</v>
      </c>
      <c r="W6" s="222" t="b">
        <f>IF(OR(Input!W6,Input!W6="TRUE"),TRUE,IF(OR(Input!W6 = 0,Input!W6="FALSE"),FALSE,Input!W6))</f>
        <v>1</v>
      </c>
      <c r="X6" s="222" t="b">
        <f>IF(OR(Input!X6,Input!X6="TRUE"),TRUE,IF(OR(Input!X6 = 0,Input!X6="FALSE"),FALSE,Input!X6))</f>
        <v>0</v>
      </c>
      <c r="Y6" s="222">
        <f>VALUE(Input!Y6)</f>
        <v>0</v>
      </c>
      <c r="Z6" s="222" t="b">
        <f>IF(OR(Input!Z6,Input!Z6="TRUE"),TRUE,IF(OR(Input!Z6 = 0,Input!Z6="FALSE"),FALSE,Input!Z6))</f>
        <v>1</v>
      </c>
      <c r="AA6" s="222">
        <f>VALUE(Input!AA6)</f>
        <v>4</v>
      </c>
      <c r="AB6" s="222" t="b">
        <f>IF(OR(Input!AB6,Input!AB6="TRUE"),TRUE,IF(OR(Input!AB6 = 0,Input!AB6="FALSE"),FALSE,Input!AB6))</f>
        <v>0</v>
      </c>
      <c r="AC6" s="222" t="b">
        <f>IF(OR(Input!AC6,Input!AC6="TRUE"),TRUE,IF(OR(Input!AC6 = 0,Input!AC6="FALSE"),FALSE,Input!AC6))</f>
        <v>1</v>
      </c>
      <c r="AD6" s="222">
        <f>Input!AD6</f>
        <v>0</v>
      </c>
      <c r="AE6" s="222">
        <f>Input!AE6</f>
        <v>0</v>
      </c>
      <c r="AF6" s="222" t="str">
        <f>Input!AF6</f>
        <v>VCC2</v>
      </c>
      <c r="AG6" s="222">
        <f>Input!AG6</f>
        <v>0</v>
      </c>
      <c r="AH6" s="223"/>
      <c r="AI6" s="223" t="str">
        <f>INDEX(ApplicantNameList,MATCH(B6,ApplicantIDList,0))</f>
        <v>Chi nhánh Công ty Cổ phần Viễn thông Di động Vietnamobile tại Thành Phố Hồ Chí Minh</v>
      </c>
      <c r="AJ6" s="223" t="str">
        <f>INDEX(OperatorNameList,MATCH(C6,OperatorIDList,0))</f>
        <v>VNMOBILE</v>
      </c>
      <c r="AK6" s="222">
        <f t="shared" si="1"/>
        <v>3</v>
      </c>
      <c r="AL6" s="331" t="str">
        <f t="shared" si="2"/>
        <v>tỉnh Long An.</v>
      </c>
      <c r="AM6" s="331" t="str">
        <f t="shared" si="3"/>
        <v>huyện Cần Giuộc</v>
      </c>
      <c r="AN6" s="331" t="str">
        <f t="shared" si="4"/>
        <v>xã Long Thượng</v>
      </c>
      <c r="AO6" s="222" t="str">
        <f>INDEX(CityIDList,MATCH(F6,CityNameList,0))</f>
        <v>LAN</v>
      </c>
      <c r="AP6" s="223" t="str">
        <f t="shared" si="5"/>
        <v>CÔNG TY CỔ PHẦN VIỄN THÔNG DI ĐỘNG VIETNAMOBILE</v>
      </c>
      <c r="AQ6" s="223" t="str">
        <f t="shared" si="6"/>
        <v>CÔNG TY CỔ PHẦN VIỄN THÔNG DI ĐỘNG VIETNAMOBILE</v>
      </c>
      <c r="AR6" s="223">
        <f t="shared" si="7"/>
      </c>
      <c r="AS6" s="223">
        <f t="shared" si="8"/>
      </c>
      <c r="AT6" s="223">
        <f t="shared" si="9"/>
      </c>
      <c r="AU6" s="223">
        <f t="shared" si="10"/>
      </c>
      <c r="AV6" s="223" t="e">
        <f>IF(I6&gt;=1,INDEX(OperatorIDList,MATCH(AP6,OperatorNameList,0)),"")</f>
        <v>#N/A</v>
      </c>
      <c r="AW6" s="223" t="e">
        <f>IF(I6&gt;=2,INDEX(OperatorIDList,MATCH(AQ6,OperatorNameList,0)),"")</f>
        <v>#N/A</v>
      </c>
      <c r="AX6" s="223">
        <f>IF(I6&gt;=3,INDEX(OperatorIDList,MATCH(AR6,OperatorNameList,0)),"")</f>
      </c>
      <c r="AY6" s="223">
        <f>IF(I6&gt;=4,INDEX(OperatorIDList,MATCH(AS6,OperatorNameList,0)),"")</f>
      </c>
      <c r="AZ6" s="223">
        <f>IF(I6&gt;=5,INDEX(OperatorIDList,MATCH(AT6,OperatorNameList,0)),"")</f>
      </c>
      <c r="BA6" s="223">
        <f>IF(I6&gt;=6,INDEX(OperatorIDList,MATCH(AU6,OperatorNameList,0)),"")</f>
      </c>
      <c r="BB6" s="223" t="e">
        <f t="shared" si="11"/>
        <v>#VALUE!</v>
      </c>
      <c r="BC6" s="223" t="str">
        <f t="shared" si="12"/>
        <v>339198</v>
      </c>
      <c r="BD6" s="223" t="str">
        <f t="shared" si="13"/>
        <v>339198</v>
      </c>
      <c r="BE6" s="223">
        <f t="shared" si="14"/>
      </c>
      <c r="BF6" s="223">
        <f t="shared" si="15"/>
      </c>
      <c r="BG6" s="223">
        <f t="shared" si="16"/>
      </c>
      <c r="BH6" s="223">
        <f t="shared" si="17"/>
      </c>
      <c r="BI6" s="223" t="str">
        <f t="shared" si="18"/>
        <v>ZTE ZXSDR BS8700</v>
      </c>
      <c r="BJ6" s="223" t="str">
        <f t="shared" si="19"/>
        <v>ZTE ZXSDR BS8700</v>
      </c>
      <c r="BK6" s="223">
        <f t="shared" si="20"/>
      </c>
      <c r="BL6" s="223">
        <f t="shared" si="21"/>
      </c>
      <c r="BM6" s="223">
        <f t="shared" si="22"/>
      </c>
      <c r="BN6" s="223">
        <f t="shared" si="23"/>
      </c>
      <c r="BO6" s="223">
        <f t="shared" si="24"/>
        <v>3</v>
      </c>
      <c r="BP6" s="223">
        <f t="shared" si="25"/>
        <v>3</v>
      </c>
      <c r="BQ6" s="223">
        <f t="shared" si="26"/>
        <v>0</v>
      </c>
      <c r="BR6" s="223">
        <f t="shared" si="27"/>
        <v>0</v>
      </c>
      <c r="BS6" s="223">
        <f t="shared" si="28"/>
        <v>0</v>
      </c>
      <c r="BT6" s="223">
        <f t="shared" si="29"/>
        <v>0</v>
      </c>
      <c r="BU6" s="223" t="str">
        <f t="shared" si="30"/>
        <v>2/2/2</v>
      </c>
      <c r="BV6" s="223">
        <f t="shared" si="31"/>
        <v>2</v>
      </c>
      <c r="BW6" s="223">
        <f t="shared" si="32"/>
        <v>2</v>
      </c>
      <c r="BX6" s="223">
        <f t="shared" si="33"/>
        <v>2</v>
      </c>
      <c r="BY6" s="223">
        <f t="shared" si="34"/>
        <v>0</v>
      </c>
      <c r="BZ6" s="223">
        <f t="shared" si="35"/>
        <v>0</v>
      </c>
      <c r="CA6" s="223">
        <f t="shared" si="36"/>
        <v>0</v>
      </c>
      <c r="CB6" s="223" t="str">
        <f t="shared" si="37"/>
        <v>1/1/1</v>
      </c>
      <c r="CC6" s="223">
        <f t="shared" si="38"/>
        <v>1</v>
      </c>
      <c r="CD6" s="223">
        <f t="shared" si="39"/>
        <v>1</v>
      </c>
      <c r="CE6" s="223">
        <f t="shared" si="40"/>
        <v>1</v>
      </c>
      <c r="CF6" s="223">
        <f t="shared" si="41"/>
        <v>0</v>
      </c>
      <c r="CG6" s="223">
        <f t="shared" si="42"/>
        <v>0</v>
      </c>
      <c r="CH6" s="223">
        <f t="shared" si="43"/>
        <v>0</v>
      </c>
      <c r="CI6" s="223">
        <f t="shared" si="44"/>
      </c>
      <c r="CJ6" s="223">
        <f t="shared" si="45"/>
        <v>0</v>
      </c>
      <c r="CK6" s="223">
        <f t="shared" si="46"/>
        <v>0</v>
      </c>
      <c r="CL6" s="223">
        <f t="shared" si="47"/>
        <v>0</v>
      </c>
      <c r="CM6" s="223">
        <f t="shared" si="48"/>
        <v>0</v>
      </c>
      <c r="CN6" s="223">
        <f t="shared" si="49"/>
        <v>0</v>
      </c>
      <c r="CO6" s="223">
        <f t="shared" si="50"/>
        <v>0</v>
      </c>
      <c r="CP6" s="223">
        <f t="shared" si="51"/>
      </c>
      <c r="CQ6" s="223">
        <f t="shared" si="52"/>
        <v>0</v>
      </c>
      <c r="CR6" s="223">
        <f t="shared" si="53"/>
        <v>0</v>
      </c>
      <c r="CS6" s="223">
        <f t="shared" si="54"/>
        <v>0</v>
      </c>
      <c r="CT6" s="223">
        <f t="shared" si="55"/>
        <v>0</v>
      </c>
      <c r="CU6" s="223">
        <f t="shared" si="56"/>
        <v>0</v>
      </c>
      <c r="CV6" s="223">
        <f t="shared" si="57"/>
        <v>0</v>
      </c>
      <c r="CW6" s="223">
        <f t="shared" si="58"/>
      </c>
      <c r="CX6" s="223">
        <f t="shared" si="59"/>
        <v>0</v>
      </c>
      <c r="CY6" s="223">
        <f t="shared" si="60"/>
        <v>0</v>
      </c>
      <c r="CZ6" s="223">
        <f t="shared" si="61"/>
        <v>0</v>
      </c>
      <c r="DA6" s="223">
        <f t="shared" si="62"/>
        <v>0</v>
      </c>
      <c r="DB6" s="223">
        <f t="shared" si="63"/>
        <v>0</v>
      </c>
      <c r="DC6" s="223">
        <f t="shared" si="64"/>
        <v>0</v>
      </c>
      <c r="DD6" s="223">
        <f t="shared" si="65"/>
      </c>
      <c r="DE6" s="223">
        <f t="shared" si="66"/>
        <v>0</v>
      </c>
      <c r="DF6" s="223">
        <f t="shared" si="67"/>
        <v>0</v>
      </c>
      <c r="DG6" s="223">
        <f t="shared" si="68"/>
        <v>0</v>
      </c>
      <c r="DH6" s="223">
        <f t="shared" si="69"/>
        <v>0</v>
      </c>
      <c r="DI6" s="223">
        <f t="shared" si="70"/>
        <v>0</v>
      </c>
      <c r="DJ6" s="223">
        <f t="shared" si="71"/>
        <v>0</v>
      </c>
      <c r="DK6" s="223" t="str">
        <f t="shared" si="72"/>
        <v>80W/80W/80W</v>
      </c>
      <c r="DL6" s="223">
        <f t="shared" si="73"/>
        <v>80</v>
      </c>
      <c r="DM6" s="223">
        <f t="shared" si="74"/>
        <v>80</v>
      </c>
      <c r="DN6" s="223">
        <f t="shared" si="75"/>
        <v>80</v>
      </c>
      <c r="DO6" s="223">
        <f t="shared" si="76"/>
        <v>0</v>
      </c>
      <c r="DP6" s="223">
        <f t="shared" si="77"/>
        <v>0</v>
      </c>
      <c r="DQ6" s="223">
        <f t="shared" si="78"/>
        <v>0</v>
      </c>
      <c r="DR6" s="223" t="str">
        <f t="shared" si="79"/>
        <v>80W/ 80W/ 80W</v>
      </c>
      <c r="DS6" s="223">
        <f t="shared" si="80"/>
        <v>80</v>
      </c>
      <c r="DT6" s="223" t="str">
        <f t="shared" si="81"/>
        <v>40W/40W/40W</v>
      </c>
      <c r="DU6" s="223">
        <f t="shared" si="82"/>
        <v>40</v>
      </c>
      <c r="DV6" s="223">
        <f t="shared" si="83"/>
        <v>40</v>
      </c>
      <c r="DW6" s="223">
        <f t="shared" si="84"/>
        <v>40</v>
      </c>
      <c r="DX6" s="223">
        <f t="shared" si="85"/>
        <v>0</v>
      </c>
      <c r="DY6" s="223">
        <f t="shared" si="86"/>
        <v>0</v>
      </c>
      <c r="DZ6" s="223">
        <f t="shared" si="87"/>
        <v>0</v>
      </c>
      <c r="EA6" s="223" t="str">
        <f t="shared" si="88"/>
        <v>40W/ 40W/ 40W</v>
      </c>
      <c r="EB6" s="223">
        <f t="shared" si="89"/>
        <v>40</v>
      </c>
      <c r="EC6" s="223">
        <f t="shared" si="90"/>
      </c>
      <c r="ED6" s="223">
        <f t="shared" si="91"/>
        <v>0</v>
      </c>
      <c r="EE6" s="223">
        <f t="shared" si="92"/>
        <v>0</v>
      </c>
      <c r="EF6" s="223">
        <f t="shared" si="93"/>
        <v>0</v>
      </c>
      <c r="EG6" s="223">
        <f t="shared" si="94"/>
        <v>0</v>
      </c>
      <c r="EH6" s="223">
        <f t="shared" si="95"/>
        <v>0</v>
      </c>
      <c r="EI6" s="223">
        <f t="shared" si="96"/>
        <v>0</v>
      </c>
      <c r="EJ6" s="223">
        <f t="shared" si="97"/>
      </c>
      <c r="EK6" s="223">
        <f t="shared" si="98"/>
        <v>0</v>
      </c>
      <c r="EL6" s="223">
        <f t="shared" si="99"/>
      </c>
      <c r="EM6" s="223">
        <f t="shared" si="100"/>
        <v>0</v>
      </c>
      <c r="EN6" s="223">
        <f t="shared" si="101"/>
        <v>0</v>
      </c>
      <c r="EO6" s="223">
        <f t="shared" si="102"/>
        <v>0</v>
      </c>
      <c r="EP6" s="223">
        <f t="shared" si="103"/>
        <v>0</v>
      </c>
      <c r="EQ6" s="223">
        <f t="shared" si="104"/>
        <v>0</v>
      </c>
      <c r="ER6" s="223">
        <f t="shared" si="105"/>
        <v>0</v>
      </c>
      <c r="ES6" s="223">
        <f t="shared" si="106"/>
      </c>
      <c r="ET6" s="223">
        <f t="shared" si="107"/>
        <v>0</v>
      </c>
      <c r="EU6" s="223">
        <f t="shared" si="108"/>
      </c>
      <c r="EV6" s="223">
        <f t="shared" si="109"/>
        <v>0</v>
      </c>
      <c r="EW6" s="223">
        <f t="shared" si="110"/>
        <v>0</v>
      </c>
      <c r="EX6" s="223">
        <f t="shared" si="111"/>
        <v>0</v>
      </c>
      <c r="EY6" s="223">
        <f t="shared" si="112"/>
        <v>0</v>
      </c>
      <c r="EZ6" s="223">
        <f t="shared" si="113"/>
        <v>0</v>
      </c>
      <c r="FA6" s="223">
        <f t="shared" si="114"/>
        <v>0</v>
      </c>
      <c r="FB6" s="223">
        <f t="shared" si="115"/>
      </c>
      <c r="FC6" s="223">
        <f t="shared" si="116"/>
        <v>0</v>
      </c>
      <c r="FD6" s="223">
        <f t="shared" si="117"/>
      </c>
      <c r="FE6" s="223">
        <f t="shared" si="118"/>
        <v>0</v>
      </c>
      <c r="FF6" s="223">
        <f t="shared" si="119"/>
        <v>0</v>
      </c>
      <c r="FG6" s="223">
        <f t="shared" si="120"/>
        <v>0</v>
      </c>
      <c r="FH6" s="223">
        <f t="shared" si="121"/>
        <v>0</v>
      </c>
      <c r="FI6" s="223">
        <f t="shared" si="122"/>
        <v>0</v>
      </c>
      <c r="FJ6" s="223">
        <f t="shared" si="123"/>
        <v>0</v>
      </c>
      <c r="FK6" s="223">
        <f t="shared" si="124"/>
      </c>
      <c r="FL6" s="223">
        <f t="shared" si="125"/>
        <v>0</v>
      </c>
      <c r="FM6" s="223">
        <f t="shared" si="126"/>
        <v>80</v>
      </c>
      <c r="FN6" s="223" t="str">
        <f t="shared" si="127"/>
        <v>U2100</v>
      </c>
      <c r="FO6" s="223" t="str">
        <f t="shared" si="128"/>
        <v>U900</v>
      </c>
      <c r="FP6" s="223">
        <f t="shared" si="129"/>
      </c>
      <c r="FQ6" s="223">
        <f t="shared" si="130"/>
      </c>
      <c r="FR6" s="223">
        <f t="shared" si="131"/>
      </c>
      <c r="FS6" s="223">
        <f t="shared" si="132"/>
      </c>
      <c r="FT6" s="223" t="str">
        <f t="shared" si="133"/>
        <v>34m/ 34m/ 34m</v>
      </c>
      <c r="FU6" s="223">
        <f t="shared" si="134"/>
        <v>34</v>
      </c>
      <c r="FV6" s="223">
        <f t="shared" si="135"/>
        <v>34</v>
      </c>
      <c r="FW6" s="223">
        <f t="shared" si="136"/>
        <v>34</v>
      </c>
      <c r="FX6" s="223">
        <f t="shared" si="137"/>
        <v>0</v>
      </c>
      <c r="FY6" s="223">
        <f t="shared" si="138"/>
        <v>0</v>
      </c>
      <c r="FZ6" s="223">
        <f t="shared" si="139"/>
        <v>0</v>
      </c>
      <c r="GA6" s="223" t="str">
        <f t="shared" si="140"/>
        <v>34m/ 34m/ 34m</v>
      </c>
      <c r="GB6" s="223" t="str">
        <f t="shared" si="141"/>
        <v>30m/ 30m/ 30m</v>
      </c>
      <c r="GC6" s="223">
        <f t="shared" si="142"/>
        <v>30</v>
      </c>
      <c r="GD6" s="223">
        <f t="shared" si="143"/>
        <v>30</v>
      </c>
      <c r="GE6" s="223">
        <f t="shared" si="144"/>
        <v>30</v>
      </c>
      <c r="GF6" s="223">
        <f t="shared" si="145"/>
        <v>0</v>
      </c>
      <c r="GG6" s="223">
        <f t="shared" si="146"/>
        <v>0</v>
      </c>
      <c r="GH6" s="223">
        <f t="shared" si="147"/>
        <v>0</v>
      </c>
      <c r="GI6" s="223" t="str">
        <f t="shared" si="148"/>
        <v>30m/ 30m/ 30m</v>
      </c>
      <c r="GJ6" s="223">
        <f t="shared" si="149"/>
      </c>
      <c r="GK6" s="223">
        <f t="shared" si="150"/>
        <v>0</v>
      </c>
      <c r="GL6" s="223">
        <f t="shared" si="151"/>
        <v>0</v>
      </c>
      <c r="GM6" s="223">
        <f t="shared" si="152"/>
        <v>0</v>
      </c>
      <c r="GN6" s="223">
        <f t="shared" si="153"/>
        <v>0</v>
      </c>
      <c r="GO6" s="223">
        <f t="shared" si="154"/>
        <v>0</v>
      </c>
      <c r="GP6" s="223">
        <f t="shared" si="155"/>
        <v>0</v>
      </c>
      <c r="GQ6" s="223">
        <f t="shared" si="156"/>
      </c>
      <c r="GR6" s="223">
        <f t="shared" si="157"/>
      </c>
      <c r="GS6" s="223">
        <f t="shared" si="158"/>
        <v>0</v>
      </c>
      <c r="GT6" s="223">
        <f t="shared" si="159"/>
        <v>0</v>
      </c>
      <c r="GU6" s="223">
        <f t="shared" si="160"/>
        <v>0</v>
      </c>
      <c r="GV6" s="223">
        <f t="shared" si="161"/>
        <v>0</v>
      </c>
      <c r="GW6" s="223">
        <f t="shared" si="162"/>
        <v>0</v>
      </c>
      <c r="GX6" s="223">
        <f t="shared" si="163"/>
        <v>0</v>
      </c>
      <c r="GY6" s="223">
        <f t="shared" si="164"/>
      </c>
      <c r="GZ6" s="223">
        <f t="shared" si="165"/>
      </c>
      <c r="HA6" s="223">
        <f t="shared" si="166"/>
        <v>0</v>
      </c>
      <c r="HB6" s="223">
        <f t="shared" si="167"/>
        <v>0</v>
      </c>
      <c r="HC6" s="223">
        <f t="shared" si="168"/>
        <v>0</v>
      </c>
      <c r="HD6" s="223">
        <f t="shared" si="169"/>
        <v>0</v>
      </c>
      <c r="HE6" s="223">
        <f t="shared" si="170"/>
        <v>0</v>
      </c>
      <c r="HF6" s="223">
        <f t="shared" si="171"/>
        <v>0</v>
      </c>
      <c r="HG6" s="223">
        <f t="shared" si="172"/>
      </c>
      <c r="HH6" s="223">
        <f t="shared" si="173"/>
      </c>
      <c r="HI6" s="223">
        <f t="shared" si="174"/>
        <v>0</v>
      </c>
      <c r="HJ6" s="223">
        <f t="shared" si="175"/>
        <v>0</v>
      </c>
      <c r="HK6" s="223">
        <f t="shared" si="176"/>
        <v>0</v>
      </c>
      <c r="HL6" s="223">
        <f t="shared" si="177"/>
        <v>0</v>
      </c>
      <c r="HM6" s="223">
        <f t="shared" si="178"/>
        <v>0</v>
      </c>
      <c r="HN6" s="223">
        <f t="shared" si="179"/>
        <v>0</v>
      </c>
      <c r="HO6" s="223">
        <f t="shared" si="180"/>
      </c>
      <c r="HP6" s="223" t="str">
        <f>INDEX(LabNameList,MATCH(AF6,LabIDList,0))</f>
        <v>Trung tâm Kiểm định và Chứng nhận 2</v>
      </c>
      <c r="HQ6" s="223">
        <f t="shared" si="181"/>
        <v>34</v>
      </c>
      <c r="HR6" s="223">
        <f t="shared" si="182"/>
        <v>30</v>
      </c>
      <c r="HS6" s="223">
        <f t="shared" si="183"/>
        <v>0</v>
      </c>
      <c r="HT6" s="223">
        <f t="shared" si="184"/>
        <v>0</v>
      </c>
      <c r="HU6" s="223">
        <f t="shared" si="185"/>
        <v>0</v>
      </c>
      <c r="HV6" s="223">
        <f t="shared" si="186"/>
        <v>0</v>
      </c>
      <c r="HW6" s="222">
        <f t="shared" si="187"/>
        <v>30</v>
      </c>
      <c r="HX6" s="222">
        <f t="shared" si="188"/>
        <v>26</v>
      </c>
      <c r="HY6" s="223">
        <v>13</v>
      </c>
    </row>
    <row r="7" ht="102">
      <c r="A7" s="222">
        <f>Input!A7</f>
        <v>6</v>
      </c>
      <c r="B7" s="222" t="str">
        <f>Input!B7</f>
        <v>VNM-HCM</v>
      </c>
      <c r="C7" s="222" t="str">
        <f>Input!C7</f>
        <v>VNMOBILE</v>
      </c>
      <c r="D7" s="222" t="str">
        <f t="shared" si="0"/>
        <v>339113</v>
      </c>
      <c r="E7" s="222" t="str">
        <f>Input!E7</f>
        <v>Ấp Vĩnh Phước, xã Phước Lý, huyện Cần Giuộc, tỉnh Long An.</v>
      </c>
      <c r="F7" s="222" t="str">
        <f>Input!F7</f>
        <v>Long An</v>
      </c>
      <c r="G7" s="222" t="str">
        <f>Input!G7</f>
        <v>106,59003</v>
      </c>
      <c r="H7" s="222" t="str">
        <f>Input!H7</f>
        <v>10,64443</v>
      </c>
      <c r="I7" s="222">
        <f>Input!I7</f>
        <v>2</v>
      </c>
      <c r="J7" s="222" t="str">
        <f>Input!J7</f>
        <v>1801186/19/TG/TT2</v>
      </c>
      <c r="K7" s="224" t="str">
        <f>TEXT(Input!K7,"dd/mm/yyyy")</f>
        <v>22/07/2019</v>
      </c>
      <c r="L7" s="224" t="str">
        <f>TEXT(Input!L7,"dd/mm/yyyy")</f>
        <v>01/07/2019</v>
      </c>
      <c r="M7" s="222" t="str">
        <f>Input!M7</f>
        <v>CÔNG TY CỔ PHẦN VIỄN THÔNG DI ĐỘNG VIETNAMOBILE;CÔNG TY CỔ PHẦN VIỄN THÔNG DI ĐỘNG VIETNAMOBILE</v>
      </c>
      <c r="N7" s="222" t="str">
        <f>Input!N7</f>
        <v>339113;339113</v>
      </c>
      <c r="O7" s="222" t="str">
        <f>Input!O7</f>
        <v>ZTE ZXSDR BS8700;ZTE ZXSDR BS8700</v>
      </c>
      <c r="P7" s="222" t="str">
        <f>Input!P7</f>
        <v>3;3</v>
      </c>
      <c r="Q7" s="222" t="str">
        <f>Input!Q7</f>
        <v>2/2/2;1/1/1</v>
      </c>
      <c r="R7" s="222" t="str">
        <f>Input!R7</f>
        <v>80W/80W/80W;40W/40W/40W</v>
      </c>
      <c r="S7" s="222" t="str">
        <f>Input!S7</f>
        <v>U2100;U900</v>
      </c>
      <c r="T7" s="222" t="str">
        <f>Input!T7</f>
        <v>36m/ 36m/ 36m;30m/ 30m/ 30m</v>
      </c>
      <c r="U7" s="222">
        <f>Input!U7</f>
        <v>1</v>
      </c>
      <c r="V7" s="222" t="str">
        <f>Input!V7</f>
        <v>Agisson DX-1710-2170-65-18i-0F;MB800/900-65-18DE14</v>
      </c>
      <c r="W7" s="222" t="b">
        <f>IF(OR(Input!W7,Input!W7="TRUE"),TRUE,IF(OR(Input!W7 = 0,Input!W7="FALSE"),FALSE,Input!W7))</f>
        <v>1</v>
      </c>
      <c r="X7" s="222" t="b">
        <f>IF(OR(Input!X7,Input!X7="TRUE"),TRUE,IF(OR(Input!X7 = 0,Input!X7="FALSE"),FALSE,Input!X7))</f>
        <v>0</v>
      </c>
      <c r="Y7" s="222">
        <f>VALUE(Input!Y7)</f>
        <v>0</v>
      </c>
      <c r="Z7" s="222" t="b">
        <f>IF(OR(Input!Z7,Input!Z7="TRUE"),TRUE,IF(OR(Input!Z7 = 0,Input!Z7="FALSE"),FALSE,Input!Z7))</f>
        <v>1</v>
      </c>
      <c r="AA7" s="222">
        <f>VALUE(Input!AA7)</f>
        <v>4</v>
      </c>
      <c r="AB7" s="222" t="b">
        <f>IF(OR(Input!AB7,Input!AB7="TRUE"),TRUE,IF(OR(Input!AB7 = 0,Input!AB7="FALSE"),FALSE,Input!AB7))</f>
        <v>0</v>
      </c>
      <c r="AC7" s="222" t="b">
        <f>IF(OR(Input!AC7,Input!AC7="TRUE"),TRUE,IF(OR(Input!AC7 = 0,Input!AC7="FALSE"),FALSE,Input!AC7))</f>
        <v>1</v>
      </c>
      <c r="AD7" s="222">
        <f>Input!AD7</f>
        <v>0</v>
      </c>
      <c r="AE7" s="222">
        <f>Input!AE7</f>
        <v>0</v>
      </c>
      <c r="AF7" s="222" t="str">
        <f>Input!AF7</f>
        <v>VCC2</v>
      </c>
      <c r="AG7" s="222">
        <f>Input!AG7</f>
        <v>0</v>
      </c>
      <c r="AH7" s="223"/>
      <c r="AI7" s="223" t="str">
        <f>INDEX(ApplicantNameList,MATCH(B7,ApplicantIDList,0))</f>
        <v>Chi nhánh Công ty Cổ phần Viễn thông Di động Vietnamobile tại Thành Phố Hồ Chí Minh</v>
      </c>
      <c r="AJ7" s="223" t="str">
        <f>INDEX(OperatorNameList,MATCH(C7,OperatorIDList,0))</f>
        <v>VNMOBILE</v>
      </c>
      <c r="AK7" s="222">
        <f t="shared" si="1"/>
        <v>3</v>
      </c>
      <c r="AL7" s="331" t="str">
        <f t="shared" si="2"/>
        <v>tỉnh Long An.</v>
      </c>
      <c r="AM7" s="331" t="str">
        <f t="shared" si="3"/>
        <v>huyện Cần Giuộc</v>
      </c>
      <c r="AN7" s="331" t="str">
        <f t="shared" si="4"/>
        <v>xã Phước Lý</v>
      </c>
      <c r="AO7" s="222" t="str">
        <f>INDEX(CityIDList,MATCH(F7,CityNameList,0))</f>
        <v>LAN</v>
      </c>
      <c r="AP7" s="223" t="str">
        <f t="shared" si="5"/>
        <v>CÔNG TY CỔ PHẦN VIỄN THÔNG DI ĐỘNG VIETNAMOBILE</v>
      </c>
      <c r="AQ7" s="223" t="str">
        <f t="shared" si="6"/>
        <v>CÔNG TY CỔ PHẦN VIỄN THÔNG DI ĐỘNG VIETNAMOBILE</v>
      </c>
      <c r="AR7" s="223">
        <f t="shared" si="7"/>
      </c>
      <c r="AS7" s="223">
        <f t="shared" si="8"/>
      </c>
      <c r="AT7" s="223">
        <f t="shared" si="9"/>
      </c>
      <c r="AU7" s="223">
        <f t="shared" si="10"/>
      </c>
      <c r="AV7" s="223" t="e">
        <f>IF(I7&gt;=1,INDEX(OperatorIDList,MATCH(AP7,OperatorNameList,0)),"")</f>
        <v>#N/A</v>
      </c>
      <c r="AW7" s="223" t="e">
        <f>IF(I7&gt;=2,INDEX(OperatorIDList,MATCH(AQ7,OperatorNameList,0)),"")</f>
        <v>#N/A</v>
      </c>
      <c r="AX7" s="223">
        <f>IF(I7&gt;=3,INDEX(OperatorIDList,MATCH(AR7,OperatorNameList,0)),"")</f>
      </c>
      <c r="AY7" s="223">
        <f>IF(I7&gt;=4,INDEX(OperatorIDList,MATCH(AS7,OperatorNameList,0)),"")</f>
      </c>
      <c r="AZ7" s="223">
        <f>IF(I7&gt;=5,INDEX(OperatorIDList,MATCH(AT7,OperatorNameList,0)),"")</f>
      </c>
      <c r="BA7" s="223">
        <f>IF(I7&gt;=6,INDEX(OperatorIDList,MATCH(AU7,OperatorNameList,0)),"")</f>
      </c>
      <c r="BB7" s="223" t="e">
        <f t="shared" si="11"/>
        <v>#VALUE!</v>
      </c>
      <c r="BC7" s="223" t="str">
        <f t="shared" si="12"/>
        <v>339113</v>
      </c>
      <c r="BD7" s="223" t="str">
        <f t="shared" si="13"/>
        <v>339113</v>
      </c>
      <c r="BE7" s="223">
        <f t="shared" si="14"/>
      </c>
      <c r="BF7" s="223">
        <f t="shared" si="15"/>
      </c>
      <c r="BG7" s="223">
        <f t="shared" si="16"/>
      </c>
      <c r="BH7" s="223">
        <f t="shared" si="17"/>
      </c>
      <c r="BI7" s="223" t="str">
        <f t="shared" si="18"/>
        <v>ZTE ZXSDR BS8700</v>
      </c>
      <c r="BJ7" s="223" t="str">
        <f t="shared" si="19"/>
        <v>ZTE ZXSDR BS8700</v>
      </c>
      <c r="BK7" s="223">
        <f t="shared" si="20"/>
      </c>
      <c r="BL7" s="223">
        <f t="shared" si="21"/>
      </c>
      <c r="BM7" s="223">
        <f t="shared" si="22"/>
      </c>
      <c r="BN7" s="223">
        <f t="shared" si="23"/>
      </c>
      <c r="BO7" s="223">
        <f t="shared" si="24"/>
        <v>3</v>
      </c>
      <c r="BP7" s="223">
        <f t="shared" si="25"/>
        <v>3</v>
      </c>
      <c r="BQ7" s="223">
        <f t="shared" si="26"/>
        <v>0</v>
      </c>
      <c r="BR7" s="223">
        <f t="shared" si="27"/>
        <v>0</v>
      </c>
      <c r="BS7" s="223">
        <f t="shared" si="28"/>
        <v>0</v>
      </c>
      <c r="BT7" s="223">
        <f t="shared" si="29"/>
        <v>0</v>
      </c>
      <c r="BU7" s="223" t="str">
        <f t="shared" si="30"/>
        <v>2/2/2</v>
      </c>
      <c r="BV7" s="223">
        <f t="shared" si="31"/>
        <v>2</v>
      </c>
      <c r="BW7" s="223">
        <f t="shared" si="32"/>
        <v>2</v>
      </c>
      <c r="BX7" s="223">
        <f t="shared" si="33"/>
        <v>2</v>
      </c>
      <c r="BY7" s="223">
        <f t="shared" si="34"/>
        <v>0</v>
      </c>
      <c r="BZ7" s="223">
        <f t="shared" si="35"/>
        <v>0</v>
      </c>
      <c r="CA7" s="223">
        <f t="shared" si="36"/>
        <v>0</v>
      </c>
      <c r="CB7" s="223" t="str">
        <f t="shared" si="37"/>
        <v>1/1/1</v>
      </c>
      <c r="CC7" s="223">
        <f t="shared" si="38"/>
        <v>1</v>
      </c>
      <c r="CD7" s="223">
        <f t="shared" si="39"/>
        <v>1</v>
      </c>
      <c r="CE7" s="223">
        <f t="shared" si="40"/>
        <v>1</v>
      </c>
      <c r="CF7" s="223">
        <f t="shared" si="41"/>
        <v>0</v>
      </c>
      <c r="CG7" s="223">
        <f t="shared" si="42"/>
        <v>0</v>
      </c>
      <c r="CH7" s="223">
        <f t="shared" si="43"/>
        <v>0</v>
      </c>
      <c r="CI7" s="223">
        <f t="shared" si="44"/>
      </c>
      <c r="CJ7" s="223">
        <f t="shared" si="45"/>
        <v>0</v>
      </c>
      <c r="CK7" s="223">
        <f t="shared" si="46"/>
        <v>0</v>
      </c>
      <c r="CL7" s="223">
        <f t="shared" si="47"/>
        <v>0</v>
      </c>
      <c r="CM7" s="223">
        <f t="shared" si="48"/>
        <v>0</v>
      </c>
      <c r="CN7" s="223">
        <f t="shared" si="49"/>
        <v>0</v>
      </c>
      <c r="CO7" s="223">
        <f t="shared" si="50"/>
        <v>0</v>
      </c>
      <c r="CP7" s="223">
        <f t="shared" si="51"/>
      </c>
      <c r="CQ7" s="223">
        <f t="shared" si="52"/>
        <v>0</v>
      </c>
      <c r="CR7" s="223">
        <f t="shared" si="53"/>
        <v>0</v>
      </c>
      <c r="CS7" s="223">
        <f t="shared" si="54"/>
        <v>0</v>
      </c>
      <c r="CT7" s="223">
        <f t="shared" si="55"/>
        <v>0</v>
      </c>
      <c r="CU7" s="223">
        <f t="shared" si="56"/>
        <v>0</v>
      </c>
      <c r="CV7" s="223">
        <f t="shared" si="57"/>
        <v>0</v>
      </c>
      <c r="CW7" s="223">
        <f t="shared" si="58"/>
      </c>
      <c r="CX7" s="223">
        <f t="shared" si="59"/>
        <v>0</v>
      </c>
      <c r="CY7" s="223">
        <f t="shared" si="60"/>
        <v>0</v>
      </c>
      <c r="CZ7" s="223">
        <f t="shared" si="61"/>
        <v>0</v>
      </c>
      <c r="DA7" s="223">
        <f t="shared" si="62"/>
        <v>0</v>
      </c>
      <c r="DB7" s="223">
        <f t="shared" si="63"/>
        <v>0</v>
      </c>
      <c r="DC7" s="223">
        <f t="shared" si="64"/>
        <v>0</v>
      </c>
      <c r="DD7" s="223">
        <f t="shared" si="65"/>
      </c>
      <c r="DE7" s="223">
        <f t="shared" si="66"/>
        <v>0</v>
      </c>
      <c r="DF7" s="223">
        <f t="shared" si="67"/>
        <v>0</v>
      </c>
      <c r="DG7" s="223">
        <f t="shared" si="68"/>
        <v>0</v>
      </c>
      <c r="DH7" s="223">
        <f t="shared" si="69"/>
        <v>0</v>
      </c>
      <c r="DI7" s="223">
        <f t="shared" si="70"/>
        <v>0</v>
      </c>
      <c r="DJ7" s="223">
        <f t="shared" si="71"/>
        <v>0</v>
      </c>
      <c r="DK7" s="223" t="str">
        <f t="shared" si="72"/>
        <v>80W/80W/80W</v>
      </c>
      <c r="DL7" s="223">
        <f t="shared" si="73"/>
        <v>80</v>
      </c>
      <c r="DM7" s="223">
        <f t="shared" si="74"/>
        <v>80</v>
      </c>
      <c r="DN7" s="223">
        <f t="shared" si="75"/>
        <v>80</v>
      </c>
      <c r="DO7" s="223">
        <f t="shared" si="76"/>
        <v>0</v>
      </c>
      <c r="DP7" s="223">
        <f t="shared" si="77"/>
        <v>0</v>
      </c>
      <c r="DQ7" s="223">
        <f t="shared" si="78"/>
        <v>0</v>
      </c>
      <c r="DR7" s="223" t="str">
        <f t="shared" si="79"/>
        <v>80W/ 80W/ 80W</v>
      </c>
      <c r="DS7" s="223">
        <f t="shared" si="80"/>
        <v>80</v>
      </c>
      <c r="DT7" s="223" t="str">
        <f t="shared" si="81"/>
        <v>40W/40W/40W</v>
      </c>
      <c r="DU7" s="223">
        <f t="shared" si="82"/>
        <v>40</v>
      </c>
      <c r="DV7" s="223">
        <f t="shared" si="83"/>
        <v>40</v>
      </c>
      <c r="DW7" s="223">
        <f t="shared" si="84"/>
        <v>40</v>
      </c>
      <c r="DX7" s="223">
        <f t="shared" si="85"/>
        <v>0</v>
      </c>
      <c r="DY7" s="223">
        <f t="shared" si="86"/>
        <v>0</v>
      </c>
      <c r="DZ7" s="223">
        <f t="shared" si="87"/>
        <v>0</v>
      </c>
      <c r="EA7" s="223" t="str">
        <f t="shared" si="88"/>
        <v>40W/ 40W/ 40W</v>
      </c>
      <c r="EB7" s="223">
        <f t="shared" si="89"/>
        <v>40</v>
      </c>
      <c r="EC7" s="223">
        <f t="shared" si="90"/>
      </c>
      <c r="ED7" s="223">
        <f t="shared" si="91"/>
        <v>0</v>
      </c>
      <c r="EE7" s="223">
        <f t="shared" si="92"/>
        <v>0</v>
      </c>
      <c r="EF7" s="223">
        <f t="shared" si="93"/>
        <v>0</v>
      </c>
      <c r="EG7" s="223">
        <f t="shared" si="94"/>
        <v>0</v>
      </c>
      <c r="EH7" s="223">
        <f t="shared" si="95"/>
        <v>0</v>
      </c>
      <c r="EI7" s="223">
        <f t="shared" si="96"/>
        <v>0</v>
      </c>
      <c r="EJ7" s="223">
        <f t="shared" si="97"/>
      </c>
      <c r="EK7" s="223">
        <f t="shared" si="98"/>
        <v>0</v>
      </c>
      <c r="EL7" s="223">
        <f t="shared" si="99"/>
      </c>
      <c r="EM7" s="223">
        <f t="shared" si="100"/>
        <v>0</v>
      </c>
      <c r="EN7" s="223">
        <f t="shared" si="101"/>
        <v>0</v>
      </c>
      <c r="EO7" s="223">
        <f t="shared" si="102"/>
        <v>0</v>
      </c>
      <c r="EP7" s="223">
        <f t="shared" si="103"/>
        <v>0</v>
      </c>
      <c r="EQ7" s="223">
        <f t="shared" si="104"/>
        <v>0</v>
      </c>
      <c r="ER7" s="223">
        <f t="shared" si="105"/>
        <v>0</v>
      </c>
      <c r="ES7" s="223">
        <f t="shared" si="106"/>
      </c>
      <c r="ET7" s="223">
        <f t="shared" si="107"/>
        <v>0</v>
      </c>
      <c r="EU7" s="223">
        <f t="shared" si="108"/>
      </c>
      <c r="EV7" s="223">
        <f t="shared" si="109"/>
        <v>0</v>
      </c>
      <c r="EW7" s="223">
        <f t="shared" si="110"/>
        <v>0</v>
      </c>
      <c r="EX7" s="223">
        <f t="shared" si="111"/>
        <v>0</v>
      </c>
      <c r="EY7" s="223">
        <f t="shared" si="112"/>
        <v>0</v>
      </c>
      <c r="EZ7" s="223">
        <f t="shared" si="113"/>
        <v>0</v>
      </c>
      <c r="FA7" s="223">
        <f t="shared" si="114"/>
        <v>0</v>
      </c>
      <c r="FB7" s="223">
        <f t="shared" si="115"/>
      </c>
      <c r="FC7" s="223">
        <f t="shared" si="116"/>
        <v>0</v>
      </c>
      <c r="FD7" s="223">
        <f t="shared" si="117"/>
      </c>
      <c r="FE7" s="223">
        <f t="shared" si="118"/>
        <v>0</v>
      </c>
      <c r="FF7" s="223">
        <f t="shared" si="119"/>
        <v>0</v>
      </c>
      <c r="FG7" s="223">
        <f t="shared" si="120"/>
        <v>0</v>
      </c>
      <c r="FH7" s="223">
        <f t="shared" si="121"/>
        <v>0</v>
      </c>
      <c r="FI7" s="223">
        <f t="shared" si="122"/>
        <v>0</v>
      </c>
      <c r="FJ7" s="223">
        <f t="shared" si="123"/>
        <v>0</v>
      </c>
      <c r="FK7" s="223">
        <f t="shared" si="124"/>
      </c>
      <c r="FL7" s="223">
        <f t="shared" si="125"/>
        <v>0</v>
      </c>
      <c r="FM7" s="223">
        <f t="shared" si="126"/>
        <v>80</v>
      </c>
      <c r="FN7" s="223" t="str">
        <f t="shared" si="127"/>
        <v>U2100</v>
      </c>
      <c r="FO7" s="223" t="str">
        <f t="shared" si="128"/>
        <v>U900</v>
      </c>
      <c r="FP7" s="223">
        <f t="shared" si="129"/>
      </c>
      <c r="FQ7" s="223">
        <f t="shared" si="130"/>
      </c>
      <c r="FR7" s="223">
        <f t="shared" si="131"/>
      </c>
      <c r="FS7" s="223">
        <f t="shared" si="132"/>
      </c>
      <c r="FT7" s="223" t="str">
        <f t="shared" si="133"/>
        <v>36m/ 36m/ 36m</v>
      </c>
      <c r="FU7" s="223">
        <f t="shared" si="134"/>
        <v>36</v>
      </c>
      <c r="FV7" s="223">
        <f t="shared" si="135"/>
        <v>36</v>
      </c>
      <c r="FW7" s="223">
        <f t="shared" si="136"/>
        <v>36</v>
      </c>
      <c r="FX7" s="223">
        <f t="shared" si="137"/>
        <v>0</v>
      </c>
      <c r="FY7" s="223">
        <f t="shared" si="138"/>
        <v>0</v>
      </c>
      <c r="FZ7" s="223">
        <f t="shared" si="139"/>
        <v>0</v>
      </c>
      <c r="GA7" s="223" t="str">
        <f t="shared" si="140"/>
        <v>36m/ 36m/ 36m</v>
      </c>
      <c r="GB7" s="223" t="str">
        <f t="shared" si="141"/>
        <v>30m/ 30m/ 30m</v>
      </c>
      <c r="GC7" s="223">
        <f t="shared" si="142"/>
        <v>30</v>
      </c>
      <c r="GD7" s="223">
        <f t="shared" si="143"/>
        <v>30</v>
      </c>
      <c r="GE7" s="223">
        <f t="shared" si="144"/>
        <v>30</v>
      </c>
      <c r="GF7" s="223">
        <f t="shared" si="145"/>
        <v>0</v>
      </c>
      <c r="GG7" s="223">
        <f t="shared" si="146"/>
        <v>0</v>
      </c>
      <c r="GH7" s="223">
        <f t="shared" si="147"/>
        <v>0</v>
      </c>
      <c r="GI7" s="223" t="str">
        <f t="shared" si="148"/>
        <v>30m/ 30m/ 30m</v>
      </c>
      <c r="GJ7" s="223">
        <f t="shared" si="149"/>
      </c>
      <c r="GK7" s="223">
        <f t="shared" si="150"/>
        <v>0</v>
      </c>
      <c r="GL7" s="223">
        <f t="shared" si="151"/>
        <v>0</v>
      </c>
      <c r="GM7" s="223">
        <f t="shared" si="152"/>
        <v>0</v>
      </c>
      <c r="GN7" s="223">
        <f t="shared" si="153"/>
        <v>0</v>
      </c>
      <c r="GO7" s="223">
        <f t="shared" si="154"/>
        <v>0</v>
      </c>
      <c r="GP7" s="223">
        <f t="shared" si="155"/>
        <v>0</v>
      </c>
      <c r="GQ7" s="223">
        <f t="shared" si="156"/>
      </c>
      <c r="GR7" s="223">
        <f t="shared" si="157"/>
      </c>
      <c r="GS7" s="223">
        <f t="shared" si="158"/>
        <v>0</v>
      </c>
      <c r="GT7" s="223">
        <f t="shared" si="159"/>
        <v>0</v>
      </c>
      <c r="GU7" s="223">
        <f t="shared" si="160"/>
        <v>0</v>
      </c>
      <c r="GV7" s="223">
        <f t="shared" si="161"/>
        <v>0</v>
      </c>
      <c r="GW7" s="223">
        <f t="shared" si="162"/>
        <v>0</v>
      </c>
      <c r="GX7" s="223">
        <f t="shared" si="163"/>
        <v>0</v>
      </c>
      <c r="GY7" s="223">
        <f t="shared" si="164"/>
      </c>
      <c r="GZ7" s="223">
        <f t="shared" si="165"/>
      </c>
      <c r="HA7" s="223">
        <f t="shared" si="166"/>
        <v>0</v>
      </c>
      <c r="HB7" s="223">
        <f t="shared" si="167"/>
        <v>0</v>
      </c>
      <c r="HC7" s="223">
        <f t="shared" si="168"/>
        <v>0</v>
      </c>
      <c r="HD7" s="223">
        <f t="shared" si="169"/>
        <v>0</v>
      </c>
      <c r="HE7" s="223">
        <f t="shared" si="170"/>
        <v>0</v>
      </c>
      <c r="HF7" s="223">
        <f t="shared" si="171"/>
        <v>0</v>
      </c>
      <c r="HG7" s="223">
        <f t="shared" si="172"/>
      </c>
      <c r="HH7" s="223">
        <f t="shared" si="173"/>
      </c>
      <c r="HI7" s="223">
        <f t="shared" si="174"/>
        <v>0</v>
      </c>
      <c r="HJ7" s="223">
        <f t="shared" si="175"/>
        <v>0</v>
      </c>
      <c r="HK7" s="223">
        <f t="shared" si="176"/>
        <v>0</v>
      </c>
      <c r="HL7" s="223">
        <f t="shared" si="177"/>
        <v>0</v>
      </c>
      <c r="HM7" s="223">
        <f t="shared" si="178"/>
        <v>0</v>
      </c>
      <c r="HN7" s="223">
        <f t="shared" si="179"/>
        <v>0</v>
      </c>
      <c r="HO7" s="223">
        <f t="shared" si="180"/>
      </c>
      <c r="HP7" s="223" t="str">
        <f>INDEX(LabNameList,MATCH(AF7,LabIDList,0))</f>
        <v>Trung tâm Kiểm định và Chứng nhận 2</v>
      </c>
      <c r="HQ7" s="223">
        <f t="shared" si="181"/>
        <v>36</v>
      </c>
      <c r="HR7" s="223">
        <f t="shared" si="182"/>
        <v>30</v>
      </c>
      <c r="HS7" s="223">
        <f t="shared" si="183"/>
        <v>0</v>
      </c>
      <c r="HT7" s="223">
        <f t="shared" si="184"/>
        <v>0</v>
      </c>
      <c r="HU7" s="223">
        <f t="shared" si="185"/>
        <v>0</v>
      </c>
      <c r="HV7" s="223">
        <f t="shared" si="186"/>
        <v>0</v>
      </c>
      <c r="HW7" s="222">
        <f t="shared" si="187"/>
        <v>30</v>
      </c>
      <c r="HX7" s="222">
        <f t="shared" si="188"/>
        <v>26</v>
      </c>
      <c r="HY7" s="223">
        <v>13</v>
      </c>
    </row>
    <row r="8" ht="102">
      <c r="A8" s="222">
        <f>Input!A8</f>
        <v>7</v>
      </c>
      <c r="B8" s="222" t="str">
        <f>Input!B8</f>
        <v>VNM-HCM</v>
      </c>
      <c r="C8" s="222" t="str">
        <f>Input!C8</f>
        <v>VNMOBILE</v>
      </c>
      <c r="D8" s="222" t="str">
        <f t="shared" si="0"/>
        <v>339193</v>
      </c>
      <c r="E8" s="222" t="str">
        <f>Input!E8</f>
        <v>Ấp Kim Điền, xã Tân Kim, huyện Cần Giuộc, tỉnh Long An.</v>
      </c>
      <c r="F8" s="222" t="str">
        <f>Input!F8</f>
        <v>Long An</v>
      </c>
      <c r="G8" s="222" t="str">
        <f>Input!G8</f>
        <v>106,65939</v>
      </c>
      <c r="H8" s="222" t="str">
        <f>Input!H8</f>
        <v>10,62898</v>
      </c>
      <c r="I8" s="222">
        <f>Input!I8</f>
        <v>2</v>
      </c>
      <c r="J8" s="222" t="str">
        <f>Input!J8</f>
        <v>1801187/19/TG/TT2</v>
      </c>
      <c r="K8" s="224" t="str">
        <f>TEXT(Input!K8,"dd/mm/yyyy")</f>
        <v>22/07/2019</v>
      </c>
      <c r="L8" s="224" t="str">
        <f>TEXT(Input!L8,"dd/mm/yyyy")</f>
        <v>01/07/2019</v>
      </c>
      <c r="M8" s="222" t="str">
        <f>Input!M8</f>
        <v>CÔNG TY CỔ PHẦN VIỄN THÔNG DI ĐỘNG VIETNAMOBILE;CÔNG TY CỔ PHẦN VIỄN THÔNG DI ĐỘNG VIETNAMOBILE</v>
      </c>
      <c r="N8" s="222" t="str">
        <f>Input!N8</f>
        <v>339193;339193</v>
      </c>
      <c r="O8" s="222" t="str">
        <f>Input!O8</f>
        <v>ZTE ZXSDR BS8700;ZTE ZXSDR BS8700</v>
      </c>
      <c r="P8" s="222" t="str">
        <f>Input!P8</f>
        <v>3;3</v>
      </c>
      <c r="Q8" s="222" t="str">
        <f>Input!Q8</f>
        <v>2/2/2;1/1/1</v>
      </c>
      <c r="R8" s="222" t="str">
        <f>Input!R8</f>
        <v>80W/80W/80W;40W/40W/40W</v>
      </c>
      <c r="S8" s="222" t="str">
        <f>Input!S8</f>
        <v>U2100;U900</v>
      </c>
      <c r="T8" s="222" t="str">
        <f>Input!T8</f>
        <v>24m/ 24m/ 24m;24m/ 24m/ 24m</v>
      </c>
      <c r="U8" s="222">
        <f>Input!U8</f>
        <v>1</v>
      </c>
      <c r="V8" s="222" t="str">
        <f>Input!V8</f>
        <v>TDJ-809017/182018DE-65P;TDJ-809017/182018DE-65P</v>
      </c>
      <c r="W8" s="222" t="b">
        <f>IF(OR(Input!W8,Input!W8="TRUE"),TRUE,IF(OR(Input!W8 = 0,Input!W8="FALSE"),FALSE,Input!W8))</f>
        <v>1</v>
      </c>
      <c r="X8" s="222" t="b">
        <f>IF(OR(Input!X8,Input!X8="TRUE"),TRUE,IF(OR(Input!X8 = 0,Input!X8="FALSE"),FALSE,Input!X8))</f>
        <v>0</v>
      </c>
      <c r="Y8" s="222">
        <f>VALUE(Input!Y8)</f>
        <v>0</v>
      </c>
      <c r="Z8" s="222" t="b">
        <f>IF(OR(Input!Z8,Input!Z8="TRUE"),TRUE,IF(OR(Input!Z8 = 0,Input!Z8="FALSE"),FALSE,Input!Z8))</f>
        <v>1</v>
      </c>
      <c r="AA8" s="222">
        <f>VALUE(Input!AA8)</f>
        <v>7</v>
      </c>
      <c r="AB8" s="222" t="b">
        <f>IF(OR(Input!AB8,Input!AB8="TRUE"),TRUE,IF(OR(Input!AB8 = 0,Input!AB8="FALSE"),FALSE,Input!AB8))</f>
        <v>0</v>
      </c>
      <c r="AC8" s="222" t="b">
        <f>IF(OR(Input!AC8,Input!AC8="TRUE"),TRUE,IF(OR(Input!AC8 = 0,Input!AC8="FALSE"),FALSE,Input!AC8))</f>
        <v>1</v>
      </c>
      <c r="AD8" s="222">
        <f>Input!AD8</f>
        <v>0</v>
      </c>
      <c r="AE8" s="222">
        <f>Input!AE8</f>
        <v>0</v>
      </c>
      <c r="AF8" s="222" t="str">
        <f>Input!AF8</f>
        <v>VCC2</v>
      </c>
      <c r="AG8" s="222">
        <f>Input!AG8</f>
        <v>0</v>
      </c>
      <c r="AH8" s="223"/>
      <c r="AI8" s="223" t="str">
        <f>INDEX(ApplicantNameList,MATCH(B8,ApplicantIDList,0))</f>
        <v>Chi nhánh Công ty Cổ phần Viễn thông Di động Vietnamobile tại Thành Phố Hồ Chí Minh</v>
      </c>
      <c r="AJ8" s="223" t="str">
        <f>INDEX(OperatorNameList,MATCH(C8,OperatorIDList,0))</f>
        <v>VNMOBILE</v>
      </c>
      <c r="AK8" s="222">
        <f t="shared" si="1"/>
        <v>3</v>
      </c>
      <c r="AL8" s="331" t="str">
        <f t="shared" si="2"/>
        <v>tỉnh Long An.</v>
      </c>
      <c r="AM8" s="331" t="str">
        <f t="shared" si="3"/>
        <v>huyện Cần Giuộc</v>
      </c>
      <c r="AN8" s="331" t="str">
        <f t="shared" si="4"/>
        <v>xã Tân Kim</v>
      </c>
      <c r="AO8" s="222" t="str">
        <f>INDEX(CityIDList,MATCH(F8,CityNameList,0))</f>
        <v>LAN</v>
      </c>
      <c r="AP8" s="223" t="str">
        <f t="shared" si="5"/>
        <v>CÔNG TY CỔ PHẦN VIỄN THÔNG DI ĐỘNG VIETNAMOBILE</v>
      </c>
      <c r="AQ8" s="223" t="str">
        <f t="shared" si="6"/>
        <v>CÔNG TY CỔ PHẦN VIỄN THÔNG DI ĐỘNG VIETNAMOBILE</v>
      </c>
      <c r="AR8" s="223">
        <f t="shared" si="7"/>
      </c>
      <c r="AS8" s="223">
        <f t="shared" si="8"/>
      </c>
      <c r="AT8" s="223">
        <f t="shared" si="9"/>
      </c>
      <c r="AU8" s="223">
        <f t="shared" si="10"/>
      </c>
      <c r="AV8" s="223" t="e">
        <f>IF(I8&gt;=1,INDEX(OperatorIDList,MATCH(AP8,OperatorNameList,0)),"")</f>
        <v>#N/A</v>
      </c>
      <c r="AW8" s="223" t="e">
        <f>IF(I8&gt;=2,INDEX(OperatorIDList,MATCH(AQ8,OperatorNameList,0)),"")</f>
        <v>#N/A</v>
      </c>
      <c r="AX8" s="223">
        <f>IF(I8&gt;=3,INDEX(OperatorIDList,MATCH(AR8,OperatorNameList,0)),"")</f>
      </c>
      <c r="AY8" s="223">
        <f>IF(I8&gt;=4,INDEX(OperatorIDList,MATCH(AS8,OperatorNameList,0)),"")</f>
      </c>
      <c r="AZ8" s="223">
        <f>IF(I8&gt;=5,INDEX(OperatorIDList,MATCH(AT8,OperatorNameList,0)),"")</f>
      </c>
      <c r="BA8" s="223">
        <f>IF(I8&gt;=6,INDEX(OperatorIDList,MATCH(AU8,OperatorNameList,0)),"")</f>
      </c>
      <c r="BB8" s="223" t="e">
        <f t="shared" si="11"/>
        <v>#VALUE!</v>
      </c>
      <c r="BC8" s="223" t="str">
        <f t="shared" si="12"/>
        <v>339193</v>
      </c>
      <c r="BD8" s="223" t="str">
        <f t="shared" si="13"/>
        <v>339193</v>
      </c>
      <c r="BE8" s="223">
        <f t="shared" si="14"/>
      </c>
      <c r="BF8" s="223">
        <f t="shared" si="15"/>
      </c>
      <c r="BG8" s="223">
        <f t="shared" si="16"/>
      </c>
      <c r="BH8" s="223">
        <f t="shared" si="17"/>
      </c>
      <c r="BI8" s="223" t="str">
        <f t="shared" si="18"/>
        <v>ZTE ZXSDR BS8700</v>
      </c>
      <c r="BJ8" s="223" t="str">
        <f t="shared" si="19"/>
        <v>ZTE ZXSDR BS8700</v>
      </c>
      <c r="BK8" s="223">
        <f t="shared" si="20"/>
      </c>
      <c r="BL8" s="223">
        <f t="shared" si="21"/>
      </c>
      <c r="BM8" s="223">
        <f t="shared" si="22"/>
      </c>
      <c r="BN8" s="223">
        <f t="shared" si="23"/>
      </c>
      <c r="BO8" s="223">
        <f t="shared" si="24"/>
        <v>3</v>
      </c>
      <c r="BP8" s="223">
        <f t="shared" si="25"/>
        <v>3</v>
      </c>
      <c r="BQ8" s="223">
        <f t="shared" si="26"/>
        <v>0</v>
      </c>
      <c r="BR8" s="223">
        <f t="shared" si="27"/>
        <v>0</v>
      </c>
      <c r="BS8" s="223">
        <f t="shared" si="28"/>
        <v>0</v>
      </c>
      <c r="BT8" s="223">
        <f t="shared" si="29"/>
        <v>0</v>
      </c>
      <c r="BU8" s="223" t="str">
        <f t="shared" si="30"/>
        <v>2/2/2</v>
      </c>
      <c r="BV8" s="223">
        <f t="shared" si="31"/>
        <v>2</v>
      </c>
      <c r="BW8" s="223">
        <f t="shared" si="32"/>
        <v>2</v>
      </c>
      <c r="BX8" s="223">
        <f t="shared" si="33"/>
        <v>2</v>
      </c>
      <c r="BY8" s="223">
        <f t="shared" si="34"/>
        <v>0</v>
      </c>
      <c r="BZ8" s="223">
        <f t="shared" si="35"/>
        <v>0</v>
      </c>
      <c r="CA8" s="223">
        <f t="shared" si="36"/>
        <v>0</v>
      </c>
      <c r="CB8" s="223" t="str">
        <f t="shared" si="37"/>
        <v>1/1/1</v>
      </c>
      <c r="CC8" s="223">
        <f t="shared" si="38"/>
        <v>1</v>
      </c>
      <c r="CD8" s="223">
        <f t="shared" si="39"/>
        <v>1</v>
      </c>
      <c r="CE8" s="223">
        <f t="shared" si="40"/>
        <v>1</v>
      </c>
      <c r="CF8" s="223">
        <f t="shared" si="41"/>
        <v>0</v>
      </c>
      <c r="CG8" s="223">
        <f t="shared" si="42"/>
        <v>0</v>
      </c>
      <c r="CH8" s="223">
        <f t="shared" si="43"/>
        <v>0</v>
      </c>
      <c r="CI8" s="223">
        <f t="shared" si="44"/>
      </c>
      <c r="CJ8" s="223">
        <f t="shared" si="45"/>
        <v>0</v>
      </c>
      <c r="CK8" s="223">
        <f t="shared" si="46"/>
        <v>0</v>
      </c>
      <c r="CL8" s="223">
        <f t="shared" si="47"/>
        <v>0</v>
      </c>
      <c r="CM8" s="223">
        <f t="shared" si="48"/>
        <v>0</v>
      </c>
      <c r="CN8" s="223">
        <f t="shared" si="49"/>
        <v>0</v>
      </c>
      <c r="CO8" s="223">
        <f t="shared" si="50"/>
        <v>0</v>
      </c>
      <c r="CP8" s="223">
        <f t="shared" si="51"/>
      </c>
      <c r="CQ8" s="223">
        <f t="shared" si="52"/>
        <v>0</v>
      </c>
      <c r="CR8" s="223">
        <f t="shared" si="53"/>
        <v>0</v>
      </c>
      <c r="CS8" s="223">
        <f t="shared" si="54"/>
        <v>0</v>
      </c>
      <c r="CT8" s="223">
        <f t="shared" si="55"/>
        <v>0</v>
      </c>
      <c r="CU8" s="223">
        <f t="shared" si="56"/>
        <v>0</v>
      </c>
      <c r="CV8" s="223">
        <f t="shared" si="57"/>
        <v>0</v>
      </c>
      <c r="CW8" s="223">
        <f t="shared" si="58"/>
      </c>
      <c r="CX8" s="223">
        <f t="shared" si="59"/>
        <v>0</v>
      </c>
      <c r="CY8" s="223">
        <f t="shared" si="60"/>
        <v>0</v>
      </c>
      <c r="CZ8" s="223">
        <f t="shared" si="61"/>
        <v>0</v>
      </c>
      <c r="DA8" s="223">
        <f t="shared" si="62"/>
        <v>0</v>
      </c>
      <c r="DB8" s="223">
        <f t="shared" si="63"/>
        <v>0</v>
      </c>
      <c r="DC8" s="223">
        <f t="shared" si="64"/>
        <v>0</v>
      </c>
      <c r="DD8" s="223">
        <f t="shared" si="65"/>
      </c>
      <c r="DE8" s="223">
        <f t="shared" si="66"/>
        <v>0</v>
      </c>
      <c r="DF8" s="223">
        <f t="shared" si="67"/>
        <v>0</v>
      </c>
      <c r="DG8" s="223">
        <f t="shared" si="68"/>
        <v>0</v>
      </c>
      <c r="DH8" s="223">
        <f t="shared" si="69"/>
        <v>0</v>
      </c>
      <c r="DI8" s="223">
        <f t="shared" si="70"/>
        <v>0</v>
      </c>
      <c r="DJ8" s="223">
        <f t="shared" si="71"/>
        <v>0</v>
      </c>
      <c r="DK8" s="223" t="str">
        <f t="shared" si="72"/>
        <v>80W/80W/80W</v>
      </c>
      <c r="DL8" s="223">
        <f t="shared" si="73"/>
        <v>80</v>
      </c>
      <c r="DM8" s="223">
        <f t="shared" si="74"/>
        <v>80</v>
      </c>
      <c r="DN8" s="223">
        <f t="shared" si="75"/>
        <v>80</v>
      </c>
      <c r="DO8" s="223">
        <f t="shared" si="76"/>
        <v>0</v>
      </c>
      <c r="DP8" s="223">
        <f t="shared" si="77"/>
        <v>0</v>
      </c>
      <c r="DQ8" s="223">
        <f t="shared" si="78"/>
        <v>0</v>
      </c>
      <c r="DR8" s="223" t="str">
        <f t="shared" si="79"/>
        <v>80W/ 80W/ 80W</v>
      </c>
      <c r="DS8" s="223">
        <f t="shared" si="80"/>
        <v>80</v>
      </c>
      <c r="DT8" s="223" t="str">
        <f t="shared" si="81"/>
        <v>40W/40W/40W</v>
      </c>
      <c r="DU8" s="223">
        <f t="shared" si="82"/>
        <v>40</v>
      </c>
      <c r="DV8" s="223">
        <f t="shared" si="83"/>
        <v>40</v>
      </c>
      <c r="DW8" s="223">
        <f t="shared" si="84"/>
        <v>40</v>
      </c>
      <c r="DX8" s="223">
        <f t="shared" si="85"/>
        <v>0</v>
      </c>
      <c r="DY8" s="223">
        <f t="shared" si="86"/>
        <v>0</v>
      </c>
      <c r="DZ8" s="223">
        <f t="shared" si="87"/>
        <v>0</v>
      </c>
      <c r="EA8" s="223" t="str">
        <f t="shared" si="88"/>
        <v>40W/ 40W/ 40W</v>
      </c>
      <c r="EB8" s="223">
        <f t="shared" si="89"/>
        <v>40</v>
      </c>
      <c r="EC8" s="223">
        <f t="shared" si="90"/>
      </c>
      <c r="ED8" s="223">
        <f t="shared" si="91"/>
        <v>0</v>
      </c>
      <c r="EE8" s="223">
        <f t="shared" si="92"/>
        <v>0</v>
      </c>
      <c r="EF8" s="223">
        <f t="shared" si="93"/>
        <v>0</v>
      </c>
      <c r="EG8" s="223">
        <f t="shared" si="94"/>
        <v>0</v>
      </c>
      <c r="EH8" s="223">
        <f t="shared" si="95"/>
        <v>0</v>
      </c>
      <c r="EI8" s="223">
        <f t="shared" si="96"/>
        <v>0</v>
      </c>
      <c r="EJ8" s="223">
        <f t="shared" si="97"/>
      </c>
      <c r="EK8" s="223">
        <f t="shared" si="98"/>
        <v>0</v>
      </c>
      <c r="EL8" s="223">
        <f t="shared" si="99"/>
      </c>
      <c r="EM8" s="223">
        <f t="shared" si="100"/>
        <v>0</v>
      </c>
      <c r="EN8" s="223">
        <f t="shared" si="101"/>
        <v>0</v>
      </c>
      <c r="EO8" s="223">
        <f t="shared" si="102"/>
        <v>0</v>
      </c>
      <c r="EP8" s="223">
        <f t="shared" si="103"/>
        <v>0</v>
      </c>
      <c r="EQ8" s="223">
        <f t="shared" si="104"/>
        <v>0</v>
      </c>
      <c r="ER8" s="223">
        <f t="shared" si="105"/>
        <v>0</v>
      </c>
      <c r="ES8" s="223">
        <f t="shared" si="106"/>
      </c>
      <c r="ET8" s="223">
        <f t="shared" si="107"/>
        <v>0</v>
      </c>
      <c r="EU8" s="223">
        <f t="shared" si="108"/>
      </c>
      <c r="EV8" s="223">
        <f t="shared" si="109"/>
        <v>0</v>
      </c>
      <c r="EW8" s="223">
        <f t="shared" si="110"/>
        <v>0</v>
      </c>
      <c r="EX8" s="223">
        <f t="shared" si="111"/>
        <v>0</v>
      </c>
      <c r="EY8" s="223">
        <f t="shared" si="112"/>
        <v>0</v>
      </c>
      <c r="EZ8" s="223">
        <f t="shared" si="113"/>
        <v>0</v>
      </c>
      <c r="FA8" s="223">
        <f t="shared" si="114"/>
        <v>0</v>
      </c>
      <c r="FB8" s="223">
        <f t="shared" si="115"/>
      </c>
      <c r="FC8" s="223">
        <f t="shared" si="116"/>
        <v>0</v>
      </c>
      <c r="FD8" s="223">
        <f t="shared" si="117"/>
      </c>
      <c r="FE8" s="223">
        <f t="shared" si="118"/>
        <v>0</v>
      </c>
      <c r="FF8" s="223">
        <f t="shared" si="119"/>
        <v>0</v>
      </c>
      <c r="FG8" s="223">
        <f t="shared" si="120"/>
        <v>0</v>
      </c>
      <c r="FH8" s="223">
        <f t="shared" si="121"/>
        <v>0</v>
      </c>
      <c r="FI8" s="223">
        <f t="shared" si="122"/>
        <v>0</v>
      </c>
      <c r="FJ8" s="223">
        <f t="shared" si="123"/>
        <v>0</v>
      </c>
      <c r="FK8" s="223">
        <f t="shared" si="124"/>
      </c>
      <c r="FL8" s="223">
        <f t="shared" si="125"/>
        <v>0</v>
      </c>
      <c r="FM8" s="223">
        <f t="shared" si="126"/>
        <v>80</v>
      </c>
      <c r="FN8" s="223" t="str">
        <f t="shared" si="127"/>
        <v>U2100</v>
      </c>
      <c r="FO8" s="223" t="str">
        <f t="shared" si="128"/>
        <v>U900</v>
      </c>
      <c r="FP8" s="223">
        <f t="shared" si="129"/>
      </c>
      <c r="FQ8" s="223">
        <f t="shared" si="130"/>
      </c>
      <c r="FR8" s="223">
        <f t="shared" si="131"/>
      </c>
      <c r="FS8" s="223">
        <f t="shared" si="132"/>
      </c>
      <c r="FT8" s="223" t="str">
        <f t="shared" si="133"/>
        <v>24m/ 24m/ 24m</v>
      </c>
      <c r="FU8" s="223">
        <f t="shared" si="134"/>
        <v>24</v>
      </c>
      <c r="FV8" s="223">
        <f t="shared" si="135"/>
        <v>24</v>
      </c>
      <c r="FW8" s="223">
        <f t="shared" si="136"/>
        <v>24</v>
      </c>
      <c r="FX8" s="223">
        <f t="shared" si="137"/>
        <v>0</v>
      </c>
      <c r="FY8" s="223">
        <f t="shared" si="138"/>
        <v>0</v>
      </c>
      <c r="FZ8" s="223">
        <f t="shared" si="139"/>
        <v>0</v>
      </c>
      <c r="GA8" s="223" t="str">
        <f t="shared" si="140"/>
        <v>24m/ 24m/ 24m</v>
      </c>
      <c r="GB8" s="223" t="str">
        <f t="shared" si="141"/>
        <v>24m/ 24m/ 24m</v>
      </c>
      <c r="GC8" s="223">
        <f t="shared" si="142"/>
        <v>24</v>
      </c>
      <c r="GD8" s="223">
        <f t="shared" si="143"/>
        <v>24</v>
      </c>
      <c r="GE8" s="223">
        <f t="shared" si="144"/>
        <v>24</v>
      </c>
      <c r="GF8" s="223">
        <f t="shared" si="145"/>
        <v>0</v>
      </c>
      <c r="GG8" s="223">
        <f t="shared" si="146"/>
        <v>0</v>
      </c>
      <c r="GH8" s="223">
        <f t="shared" si="147"/>
        <v>0</v>
      </c>
      <c r="GI8" s="223" t="str">
        <f t="shared" si="148"/>
        <v>24m/ 24m/ 24m</v>
      </c>
      <c r="GJ8" s="223">
        <f t="shared" si="149"/>
      </c>
      <c r="GK8" s="223">
        <f t="shared" si="150"/>
        <v>0</v>
      </c>
      <c r="GL8" s="223">
        <f t="shared" si="151"/>
        <v>0</v>
      </c>
      <c r="GM8" s="223">
        <f t="shared" si="152"/>
        <v>0</v>
      </c>
      <c r="GN8" s="223">
        <f t="shared" si="153"/>
        <v>0</v>
      </c>
      <c r="GO8" s="223">
        <f t="shared" si="154"/>
        <v>0</v>
      </c>
      <c r="GP8" s="223">
        <f t="shared" si="155"/>
        <v>0</v>
      </c>
      <c r="GQ8" s="223">
        <f t="shared" si="156"/>
      </c>
      <c r="GR8" s="223">
        <f t="shared" si="157"/>
      </c>
      <c r="GS8" s="223">
        <f t="shared" si="158"/>
        <v>0</v>
      </c>
      <c r="GT8" s="223">
        <f t="shared" si="159"/>
        <v>0</v>
      </c>
      <c r="GU8" s="223">
        <f t="shared" si="160"/>
        <v>0</v>
      </c>
      <c r="GV8" s="223">
        <f t="shared" si="161"/>
        <v>0</v>
      </c>
      <c r="GW8" s="223">
        <f t="shared" si="162"/>
        <v>0</v>
      </c>
      <c r="GX8" s="223">
        <f t="shared" si="163"/>
        <v>0</v>
      </c>
      <c r="GY8" s="223">
        <f t="shared" si="164"/>
      </c>
      <c r="GZ8" s="223">
        <f t="shared" si="165"/>
      </c>
      <c r="HA8" s="223">
        <f t="shared" si="166"/>
        <v>0</v>
      </c>
      <c r="HB8" s="223">
        <f t="shared" si="167"/>
        <v>0</v>
      </c>
      <c r="HC8" s="223">
        <f t="shared" si="168"/>
        <v>0</v>
      </c>
      <c r="HD8" s="223">
        <f t="shared" si="169"/>
        <v>0</v>
      </c>
      <c r="HE8" s="223">
        <f t="shared" si="170"/>
        <v>0</v>
      </c>
      <c r="HF8" s="223">
        <f t="shared" si="171"/>
        <v>0</v>
      </c>
      <c r="HG8" s="223">
        <f t="shared" si="172"/>
      </c>
      <c r="HH8" s="223">
        <f t="shared" si="173"/>
      </c>
      <c r="HI8" s="223">
        <f t="shared" si="174"/>
        <v>0</v>
      </c>
      <c r="HJ8" s="223">
        <f t="shared" si="175"/>
        <v>0</v>
      </c>
      <c r="HK8" s="223">
        <f t="shared" si="176"/>
        <v>0</v>
      </c>
      <c r="HL8" s="223">
        <f t="shared" si="177"/>
        <v>0</v>
      </c>
      <c r="HM8" s="223">
        <f t="shared" si="178"/>
        <v>0</v>
      </c>
      <c r="HN8" s="223">
        <f t="shared" si="179"/>
        <v>0</v>
      </c>
      <c r="HO8" s="223">
        <f t="shared" si="180"/>
      </c>
      <c r="HP8" s="223" t="str">
        <f>INDEX(LabNameList,MATCH(AF8,LabIDList,0))</f>
        <v>Trung tâm Kiểm định và Chứng nhận 2</v>
      </c>
      <c r="HQ8" s="223">
        <f t="shared" si="181"/>
        <v>24</v>
      </c>
      <c r="HR8" s="223">
        <f t="shared" si="182"/>
        <v>24</v>
      </c>
      <c r="HS8" s="223">
        <f t="shared" si="183"/>
        <v>0</v>
      </c>
      <c r="HT8" s="223">
        <f t="shared" si="184"/>
        <v>0</v>
      </c>
      <c r="HU8" s="223">
        <f t="shared" si="185"/>
        <v>0</v>
      </c>
      <c r="HV8" s="223">
        <f t="shared" si="186"/>
        <v>0</v>
      </c>
      <c r="HW8" s="222">
        <f t="shared" si="187"/>
        <v>24</v>
      </c>
      <c r="HX8" s="222">
        <f t="shared" si="188"/>
        <v>17</v>
      </c>
      <c r="HY8" s="223">
        <v>13</v>
      </c>
    </row>
    <row r="9" ht="102">
      <c r="A9" s="222">
        <f>Input!A9</f>
        <v>8</v>
      </c>
      <c r="B9" s="222" t="str">
        <f>Input!B9</f>
        <v>VNM-HCM</v>
      </c>
      <c r="C9" s="222" t="str">
        <f>Input!C9</f>
        <v>VNMOBILE</v>
      </c>
      <c r="D9" s="222" t="str">
        <f t="shared" si="0"/>
        <v>339092</v>
      </c>
      <c r="E9" s="222" t="str">
        <f>Input!E9</f>
        <v>Số 105 K1, ấp Voi Lá, xã Long Hiệp, huyện Bến Lức, tỉnh Long An.</v>
      </c>
      <c r="F9" s="222" t="str">
        <f>Input!F9</f>
        <v>Long An</v>
      </c>
      <c r="G9" s="222" t="str">
        <f>Input!G9</f>
        <v>106,51183</v>
      </c>
      <c r="H9" s="222" t="str">
        <f>Input!H9</f>
        <v>10,63452</v>
      </c>
      <c r="I9" s="222">
        <f>Input!I9</f>
        <v>2</v>
      </c>
      <c r="J9" s="222" t="str">
        <f>Input!J9</f>
        <v>1801188/19/TG/TT2</v>
      </c>
      <c r="K9" s="224" t="str">
        <f>TEXT(Input!K9,"dd/mm/yyyy")</f>
        <v>22/07/2019</v>
      </c>
      <c r="L9" s="224" t="str">
        <f>TEXT(Input!L9,"dd/mm/yyyy")</f>
        <v>03/07/2019</v>
      </c>
      <c r="M9" s="222" t="str">
        <f>Input!M9</f>
        <v>CÔNG TY CỔ PHẦN VIỄN THÔNG DI ĐỘNG VIETNAMOBILE;CÔNG TY CỔ PHẦN VIỄN THÔNG DI ĐỘNG VIETNAMOBILE</v>
      </c>
      <c r="N9" s="222" t="str">
        <f>Input!N9</f>
        <v>339092;339092</v>
      </c>
      <c r="O9" s="222" t="str">
        <f>Input!O9</f>
        <v>ZTE ZXSDR BS8700;ZTE ZXSDR BS8700</v>
      </c>
      <c r="P9" s="222" t="str">
        <f>Input!P9</f>
        <v>3;3</v>
      </c>
      <c r="Q9" s="222" t="str">
        <f>Input!Q9</f>
        <v>2/2/2;1/1/1</v>
      </c>
      <c r="R9" s="222" t="str">
        <f>Input!R9</f>
        <v>80W/80W/80W;40W/40W/40W</v>
      </c>
      <c r="S9" s="222" t="str">
        <f>Input!S9</f>
        <v>U2100;U900</v>
      </c>
      <c r="T9" s="222" t="str">
        <f>Input!T9</f>
        <v>34m/ 34m/ 34m;30m/ 30m/ 30m</v>
      </c>
      <c r="U9" s="222">
        <f>Input!U9</f>
        <v>1</v>
      </c>
      <c r="V9" s="222" t="str">
        <f>Input!V9</f>
        <v>Agisson DX-1710-2170-65-18i-0F;MB800/900-65-18DE14</v>
      </c>
      <c r="W9" s="222" t="b">
        <f>IF(OR(Input!W9,Input!W9="TRUE"),TRUE,IF(OR(Input!W9 = 0,Input!W9="FALSE"),FALSE,Input!W9))</f>
        <v>1</v>
      </c>
      <c r="X9" s="222" t="b">
        <f>IF(OR(Input!X9,Input!X9="TRUE"),TRUE,IF(OR(Input!X9 = 0,Input!X9="FALSE"),FALSE,Input!X9))</f>
        <v>0</v>
      </c>
      <c r="Y9" s="222">
        <f>VALUE(Input!Y9)</f>
        <v>0</v>
      </c>
      <c r="Z9" s="222" t="b">
        <f>IF(OR(Input!Z9,Input!Z9="TRUE"),TRUE,IF(OR(Input!Z9 = 0,Input!Z9="FALSE"),FALSE,Input!Z9))</f>
        <v>1</v>
      </c>
      <c r="AA9" s="222">
        <f>VALUE(Input!AA9)</f>
        <v>4</v>
      </c>
      <c r="AB9" s="222" t="b">
        <f>IF(OR(Input!AB9,Input!AB9="TRUE"),TRUE,IF(OR(Input!AB9 = 0,Input!AB9="FALSE"),FALSE,Input!AB9))</f>
        <v>0</v>
      </c>
      <c r="AC9" s="222" t="b">
        <f>IF(OR(Input!AC9,Input!AC9="TRUE"),TRUE,IF(OR(Input!AC9 = 0,Input!AC9="FALSE"),FALSE,Input!AC9))</f>
        <v>1</v>
      </c>
      <c r="AD9" s="222">
        <f>Input!AD9</f>
        <v>0</v>
      </c>
      <c r="AE9" s="222">
        <f>Input!AE9</f>
        <v>0</v>
      </c>
      <c r="AF9" s="222" t="str">
        <f>Input!AF9</f>
        <v>VCC2</v>
      </c>
      <c r="AG9" s="222">
        <f>Input!AG9</f>
        <v>0</v>
      </c>
      <c r="AH9" s="223"/>
      <c r="AI9" s="223" t="str">
        <f>INDEX(ApplicantNameList,MATCH(B9,ApplicantIDList,0))</f>
        <v>Chi nhánh Công ty Cổ phần Viễn thông Di động Vietnamobile tại Thành Phố Hồ Chí Minh</v>
      </c>
      <c r="AJ9" s="223" t="str">
        <f>INDEX(OperatorNameList,MATCH(C9,OperatorIDList,0))</f>
        <v>VNMOBILE</v>
      </c>
      <c r="AK9" s="222">
        <f t="shared" si="1"/>
        <v>4</v>
      </c>
      <c r="AL9" s="331" t="str">
        <f t="shared" si="2"/>
        <v>tỉnh Long An.</v>
      </c>
      <c r="AM9" s="331" t="str">
        <f t="shared" si="3"/>
        <v>huyện Bến Lức</v>
      </c>
      <c r="AN9" s="331" t="str">
        <f t="shared" si="4"/>
        <v>xã Long Hiệp</v>
      </c>
      <c r="AO9" s="222" t="str">
        <f>INDEX(CityIDList,MATCH(F9,CityNameList,0))</f>
        <v>LAN</v>
      </c>
      <c r="AP9" s="223" t="str">
        <f t="shared" si="5"/>
        <v>CÔNG TY CỔ PHẦN VIỄN THÔNG DI ĐỘNG VIETNAMOBILE</v>
      </c>
      <c r="AQ9" s="223" t="str">
        <f t="shared" si="6"/>
        <v>CÔNG TY CỔ PHẦN VIỄN THÔNG DI ĐỘNG VIETNAMOBILE</v>
      </c>
      <c r="AR9" s="223">
        <f t="shared" si="7"/>
      </c>
      <c r="AS9" s="223">
        <f t="shared" si="8"/>
      </c>
      <c r="AT9" s="223">
        <f t="shared" si="9"/>
      </c>
      <c r="AU9" s="223">
        <f t="shared" si="10"/>
      </c>
      <c r="AV9" s="223" t="e">
        <f>IF(I9&gt;=1,INDEX(OperatorIDList,MATCH(AP9,OperatorNameList,0)),"")</f>
        <v>#N/A</v>
      </c>
      <c r="AW9" s="223" t="e">
        <f>IF(I9&gt;=2,INDEX(OperatorIDList,MATCH(AQ9,OperatorNameList,0)),"")</f>
        <v>#N/A</v>
      </c>
      <c r="AX9" s="223">
        <f>IF(I9&gt;=3,INDEX(OperatorIDList,MATCH(AR9,OperatorNameList,0)),"")</f>
      </c>
      <c r="AY9" s="223">
        <f>IF(I9&gt;=4,INDEX(OperatorIDList,MATCH(AS9,OperatorNameList,0)),"")</f>
      </c>
      <c r="AZ9" s="223">
        <f>IF(I9&gt;=5,INDEX(OperatorIDList,MATCH(AT9,OperatorNameList,0)),"")</f>
      </c>
      <c r="BA9" s="223">
        <f>IF(I9&gt;=6,INDEX(OperatorIDList,MATCH(AU9,OperatorNameList,0)),"")</f>
      </c>
      <c r="BB9" s="223" t="e">
        <f t="shared" si="11"/>
        <v>#VALUE!</v>
      </c>
      <c r="BC9" s="223" t="str">
        <f t="shared" si="12"/>
        <v>339092</v>
      </c>
      <c r="BD9" s="223" t="str">
        <f t="shared" si="13"/>
        <v>339092</v>
      </c>
      <c r="BE9" s="223">
        <f t="shared" si="14"/>
      </c>
      <c r="BF9" s="223">
        <f t="shared" si="15"/>
      </c>
      <c r="BG9" s="223">
        <f t="shared" si="16"/>
      </c>
      <c r="BH9" s="223">
        <f t="shared" si="17"/>
      </c>
      <c r="BI9" s="223" t="str">
        <f t="shared" si="18"/>
        <v>ZTE ZXSDR BS8700</v>
      </c>
      <c r="BJ9" s="223" t="str">
        <f t="shared" si="19"/>
        <v>ZTE ZXSDR BS8700</v>
      </c>
      <c r="BK9" s="223">
        <f t="shared" si="20"/>
      </c>
      <c r="BL9" s="223">
        <f t="shared" si="21"/>
      </c>
      <c r="BM9" s="223">
        <f t="shared" si="22"/>
      </c>
      <c r="BN9" s="223">
        <f t="shared" si="23"/>
      </c>
      <c r="BO9" s="223">
        <f t="shared" si="24"/>
        <v>3</v>
      </c>
      <c r="BP9" s="223">
        <f t="shared" si="25"/>
        <v>3</v>
      </c>
      <c r="BQ9" s="223">
        <f t="shared" si="26"/>
        <v>0</v>
      </c>
      <c r="BR9" s="223">
        <f t="shared" si="27"/>
        <v>0</v>
      </c>
      <c r="BS9" s="223">
        <f t="shared" si="28"/>
        <v>0</v>
      </c>
      <c r="BT9" s="223">
        <f t="shared" si="29"/>
        <v>0</v>
      </c>
      <c r="BU9" s="223" t="str">
        <f t="shared" si="30"/>
        <v>2/2/2</v>
      </c>
      <c r="BV9" s="223">
        <f t="shared" si="31"/>
        <v>2</v>
      </c>
      <c r="BW9" s="223">
        <f t="shared" si="32"/>
        <v>2</v>
      </c>
      <c r="BX9" s="223">
        <f t="shared" si="33"/>
        <v>2</v>
      </c>
      <c r="BY9" s="223">
        <f t="shared" si="34"/>
        <v>0</v>
      </c>
      <c r="BZ9" s="223">
        <f t="shared" si="35"/>
        <v>0</v>
      </c>
      <c r="CA9" s="223">
        <f t="shared" si="36"/>
        <v>0</v>
      </c>
      <c r="CB9" s="223" t="str">
        <f t="shared" si="37"/>
        <v>1/1/1</v>
      </c>
      <c r="CC9" s="223">
        <f t="shared" si="38"/>
        <v>1</v>
      </c>
      <c r="CD9" s="223">
        <f t="shared" si="39"/>
        <v>1</v>
      </c>
      <c r="CE9" s="223">
        <f t="shared" si="40"/>
        <v>1</v>
      </c>
      <c r="CF9" s="223">
        <f t="shared" si="41"/>
        <v>0</v>
      </c>
      <c r="CG9" s="223">
        <f t="shared" si="42"/>
        <v>0</v>
      </c>
      <c r="CH9" s="223">
        <f t="shared" si="43"/>
        <v>0</v>
      </c>
      <c r="CI9" s="223">
        <f t="shared" si="44"/>
      </c>
      <c r="CJ9" s="223">
        <f t="shared" si="45"/>
        <v>0</v>
      </c>
      <c r="CK9" s="223">
        <f t="shared" si="46"/>
        <v>0</v>
      </c>
      <c r="CL9" s="223">
        <f t="shared" si="47"/>
        <v>0</v>
      </c>
      <c r="CM9" s="223">
        <f t="shared" si="48"/>
        <v>0</v>
      </c>
      <c r="CN9" s="223">
        <f t="shared" si="49"/>
        <v>0</v>
      </c>
      <c r="CO9" s="223">
        <f t="shared" si="50"/>
        <v>0</v>
      </c>
      <c r="CP9" s="223">
        <f t="shared" si="51"/>
      </c>
      <c r="CQ9" s="223">
        <f t="shared" si="52"/>
        <v>0</v>
      </c>
      <c r="CR9" s="223">
        <f t="shared" si="53"/>
        <v>0</v>
      </c>
      <c r="CS9" s="223">
        <f t="shared" si="54"/>
        <v>0</v>
      </c>
      <c r="CT9" s="223">
        <f t="shared" si="55"/>
        <v>0</v>
      </c>
      <c r="CU9" s="223">
        <f t="shared" si="56"/>
        <v>0</v>
      </c>
      <c r="CV9" s="223">
        <f t="shared" si="57"/>
        <v>0</v>
      </c>
      <c r="CW9" s="223">
        <f t="shared" si="58"/>
      </c>
      <c r="CX9" s="223">
        <f t="shared" si="59"/>
        <v>0</v>
      </c>
      <c r="CY9" s="223">
        <f t="shared" si="60"/>
        <v>0</v>
      </c>
      <c r="CZ9" s="223">
        <f t="shared" si="61"/>
        <v>0</v>
      </c>
      <c r="DA9" s="223">
        <f t="shared" si="62"/>
        <v>0</v>
      </c>
      <c r="DB9" s="223">
        <f t="shared" si="63"/>
        <v>0</v>
      </c>
      <c r="DC9" s="223">
        <f t="shared" si="64"/>
        <v>0</v>
      </c>
      <c r="DD9" s="223">
        <f t="shared" si="65"/>
      </c>
      <c r="DE9" s="223">
        <f t="shared" si="66"/>
        <v>0</v>
      </c>
      <c r="DF9" s="223">
        <f t="shared" si="67"/>
        <v>0</v>
      </c>
      <c r="DG9" s="223">
        <f t="shared" si="68"/>
        <v>0</v>
      </c>
      <c r="DH9" s="223">
        <f t="shared" si="69"/>
        <v>0</v>
      </c>
      <c r="DI9" s="223">
        <f t="shared" si="70"/>
        <v>0</v>
      </c>
      <c r="DJ9" s="223">
        <f t="shared" si="71"/>
        <v>0</v>
      </c>
      <c r="DK9" s="223" t="str">
        <f t="shared" si="72"/>
        <v>80W/80W/80W</v>
      </c>
      <c r="DL9" s="223">
        <f t="shared" si="73"/>
        <v>80</v>
      </c>
      <c r="DM9" s="223">
        <f t="shared" si="74"/>
        <v>80</v>
      </c>
      <c r="DN9" s="223">
        <f t="shared" si="75"/>
        <v>80</v>
      </c>
      <c r="DO9" s="223">
        <f t="shared" si="76"/>
        <v>0</v>
      </c>
      <c r="DP9" s="223">
        <f t="shared" si="77"/>
        <v>0</v>
      </c>
      <c r="DQ9" s="223">
        <f t="shared" si="78"/>
        <v>0</v>
      </c>
      <c r="DR9" s="223" t="str">
        <f t="shared" si="79"/>
        <v>80W/ 80W/ 80W</v>
      </c>
      <c r="DS9" s="223">
        <f t="shared" si="80"/>
        <v>80</v>
      </c>
      <c r="DT9" s="223" t="str">
        <f t="shared" si="81"/>
        <v>40W/40W/40W</v>
      </c>
      <c r="DU9" s="223">
        <f t="shared" si="82"/>
        <v>40</v>
      </c>
      <c r="DV9" s="223">
        <f t="shared" si="83"/>
        <v>40</v>
      </c>
      <c r="DW9" s="223">
        <f t="shared" si="84"/>
        <v>40</v>
      </c>
      <c r="DX9" s="223">
        <f t="shared" si="85"/>
        <v>0</v>
      </c>
      <c r="DY9" s="223">
        <f t="shared" si="86"/>
        <v>0</v>
      </c>
      <c r="DZ9" s="223">
        <f t="shared" si="87"/>
        <v>0</v>
      </c>
      <c r="EA9" s="223" t="str">
        <f t="shared" si="88"/>
        <v>40W/ 40W/ 40W</v>
      </c>
      <c r="EB9" s="223">
        <f t="shared" si="89"/>
        <v>40</v>
      </c>
      <c r="EC9" s="223">
        <f t="shared" si="90"/>
      </c>
      <c r="ED9" s="223">
        <f t="shared" si="91"/>
        <v>0</v>
      </c>
      <c r="EE9" s="223">
        <f t="shared" si="92"/>
        <v>0</v>
      </c>
      <c r="EF9" s="223">
        <f t="shared" si="93"/>
        <v>0</v>
      </c>
      <c r="EG9" s="223">
        <f t="shared" si="94"/>
        <v>0</v>
      </c>
      <c r="EH9" s="223">
        <f t="shared" si="95"/>
        <v>0</v>
      </c>
      <c r="EI9" s="223">
        <f t="shared" si="96"/>
        <v>0</v>
      </c>
      <c r="EJ9" s="223">
        <f t="shared" si="97"/>
      </c>
      <c r="EK9" s="223">
        <f t="shared" si="98"/>
        <v>0</v>
      </c>
      <c r="EL9" s="223">
        <f t="shared" si="99"/>
      </c>
      <c r="EM9" s="223">
        <f t="shared" si="100"/>
        <v>0</v>
      </c>
      <c r="EN9" s="223">
        <f t="shared" si="101"/>
        <v>0</v>
      </c>
      <c r="EO9" s="223">
        <f t="shared" si="102"/>
        <v>0</v>
      </c>
      <c r="EP9" s="223">
        <f t="shared" si="103"/>
        <v>0</v>
      </c>
      <c r="EQ9" s="223">
        <f t="shared" si="104"/>
        <v>0</v>
      </c>
      <c r="ER9" s="223">
        <f t="shared" si="105"/>
        <v>0</v>
      </c>
      <c r="ES9" s="223">
        <f t="shared" si="106"/>
      </c>
      <c r="ET9" s="223">
        <f t="shared" si="107"/>
        <v>0</v>
      </c>
      <c r="EU9" s="223">
        <f t="shared" si="108"/>
      </c>
      <c r="EV9" s="223">
        <f t="shared" si="109"/>
        <v>0</v>
      </c>
      <c r="EW9" s="223">
        <f t="shared" si="110"/>
        <v>0</v>
      </c>
      <c r="EX9" s="223">
        <f t="shared" si="111"/>
        <v>0</v>
      </c>
      <c r="EY9" s="223">
        <f t="shared" si="112"/>
        <v>0</v>
      </c>
      <c r="EZ9" s="223">
        <f t="shared" si="113"/>
        <v>0</v>
      </c>
      <c r="FA9" s="223">
        <f t="shared" si="114"/>
        <v>0</v>
      </c>
      <c r="FB9" s="223">
        <f t="shared" si="115"/>
      </c>
      <c r="FC9" s="223">
        <f t="shared" si="116"/>
        <v>0</v>
      </c>
      <c r="FD9" s="223">
        <f t="shared" si="117"/>
      </c>
      <c r="FE9" s="223">
        <f t="shared" si="118"/>
        <v>0</v>
      </c>
      <c r="FF9" s="223">
        <f t="shared" si="119"/>
        <v>0</v>
      </c>
      <c r="FG9" s="223">
        <f t="shared" si="120"/>
        <v>0</v>
      </c>
      <c r="FH9" s="223">
        <f t="shared" si="121"/>
        <v>0</v>
      </c>
      <c r="FI9" s="223">
        <f t="shared" si="122"/>
        <v>0</v>
      </c>
      <c r="FJ9" s="223">
        <f t="shared" si="123"/>
        <v>0</v>
      </c>
      <c r="FK9" s="223">
        <f t="shared" si="124"/>
      </c>
      <c r="FL9" s="223">
        <f t="shared" si="125"/>
        <v>0</v>
      </c>
      <c r="FM9" s="223">
        <f t="shared" si="126"/>
        <v>80</v>
      </c>
      <c r="FN9" s="223" t="str">
        <f t="shared" si="127"/>
        <v>U2100</v>
      </c>
      <c r="FO9" s="223" t="str">
        <f t="shared" si="128"/>
        <v>U900</v>
      </c>
      <c r="FP9" s="223">
        <f t="shared" si="129"/>
      </c>
      <c r="FQ9" s="223">
        <f t="shared" si="130"/>
      </c>
      <c r="FR9" s="223">
        <f t="shared" si="131"/>
      </c>
      <c r="FS9" s="223">
        <f t="shared" si="132"/>
      </c>
      <c r="FT9" s="223" t="str">
        <f t="shared" si="133"/>
        <v>34m/ 34m/ 34m</v>
      </c>
      <c r="FU9" s="223">
        <f t="shared" si="134"/>
        <v>34</v>
      </c>
      <c r="FV9" s="223">
        <f t="shared" si="135"/>
        <v>34</v>
      </c>
      <c r="FW9" s="223">
        <f t="shared" si="136"/>
        <v>34</v>
      </c>
      <c r="FX9" s="223">
        <f t="shared" si="137"/>
        <v>0</v>
      </c>
      <c r="FY9" s="223">
        <f t="shared" si="138"/>
        <v>0</v>
      </c>
      <c r="FZ9" s="223">
        <f t="shared" si="139"/>
        <v>0</v>
      </c>
      <c r="GA9" s="223" t="str">
        <f t="shared" si="140"/>
        <v>34m/ 34m/ 34m</v>
      </c>
      <c r="GB9" s="223" t="str">
        <f t="shared" si="141"/>
        <v>30m/ 30m/ 30m</v>
      </c>
      <c r="GC9" s="223">
        <f t="shared" si="142"/>
        <v>30</v>
      </c>
      <c r="GD9" s="223">
        <f t="shared" si="143"/>
        <v>30</v>
      </c>
      <c r="GE9" s="223">
        <f t="shared" si="144"/>
        <v>30</v>
      </c>
      <c r="GF9" s="223">
        <f t="shared" si="145"/>
        <v>0</v>
      </c>
      <c r="GG9" s="223">
        <f t="shared" si="146"/>
        <v>0</v>
      </c>
      <c r="GH9" s="223">
        <f t="shared" si="147"/>
        <v>0</v>
      </c>
      <c r="GI9" s="223" t="str">
        <f t="shared" si="148"/>
        <v>30m/ 30m/ 30m</v>
      </c>
      <c r="GJ9" s="223">
        <f t="shared" si="149"/>
      </c>
      <c r="GK9" s="223">
        <f t="shared" si="150"/>
        <v>0</v>
      </c>
      <c r="GL9" s="223">
        <f t="shared" si="151"/>
        <v>0</v>
      </c>
      <c r="GM9" s="223">
        <f t="shared" si="152"/>
        <v>0</v>
      </c>
      <c r="GN9" s="223">
        <f t="shared" si="153"/>
        <v>0</v>
      </c>
      <c r="GO9" s="223">
        <f t="shared" si="154"/>
        <v>0</v>
      </c>
      <c r="GP9" s="223">
        <f t="shared" si="155"/>
        <v>0</v>
      </c>
      <c r="GQ9" s="223">
        <f t="shared" si="156"/>
      </c>
      <c r="GR9" s="223">
        <f t="shared" si="157"/>
      </c>
      <c r="GS9" s="223">
        <f t="shared" si="158"/>
        <v>0</v>
      </c>
      <c r="GT9" s="223">
        <f t="shared" si="159"/>
        <v>0</v>
      </c>
      <c r="GU9" s="223">
        <f t="shared" si="160"/>
        <v>0</v>
      </c>
      <c r="GV9" s="223">
        <f t="shared" si="161"/>
        <v>0</v>
      </c>
      <c r="GW9" s="223">
        <f t="shared" si="162"/>
        <v>0</v>
      </c>
      <c r="GX9" s="223">
        <f t="shared" si="163"/>
        <v>0</v>
      </c>
      <c r="GY9" s="223">
        <f t="shared" si="164"/>
      </c>
      <c r="GZ9" s="223">
        <f t="shared" si="165"/>
      </c>
      <c r="HA9" s="223">
        <f t="shared" si="166"/>
        <v>0</v>
      </c>
      <c r="HB9" s="223">
        <f t="shared" si="167"/>
        <v>0</v>
      </c>
      <c r="HC9" s="223">
        <f t="shared" si="168"/>
        <v>0</v>
      </c>
      <c r="HD9" s="223">
        <f t="shared" si="169"/>
        <v>0</v>
      </c>
      <c r="HE9" s="223">
        <f t="shared" si="170"/>
        <v>0</v>
      </c>
      <c r="HF9" s="223">
        <f t="shared" si="171"/>
        <v>0</v>
      </c>
      <c r="HG9" s="223">
        <f t="shared" si="172"/>
      </c>
      <c r="HH9" s="223">
        <f t="shared" si="173"/>
      </c>
      <c r="HI9" s="223">
        <f t="shared" si="174"/>
        <v>0</v>
      </c>
      <c r="HJ9" s="223">
        <f t="shared" si="175"/>
        <v>0</v>
      </c>
      <c r="HK9" s="223">
        <f t="shared" si="176"/>
        <v>0</v>
      </c>
      <c r="HL9" s="223">
        <f t="shared" si="177"/>
        <v>0</v>
      </c>
      <c r="HM9" s="223">
        <f t="shared" si="178"/>
        <v>0</v>
      </c>
      <c r="HN9" s="223">
        <f t="shared" si="179"/>
        <v>0</v>
      </c>
      <c r="HO9" s="223">
        <f t="shared" si="180"/>
      </c>
      <c r="HP9" s="223" t="str">
        <f>INDEX(LabNameList,MATCH(AF9,LabIDList,0))</f>
        <v>Trung tâm Kiểm định và Chứng nhận 2</v>
      </c>
      <c r="HQ9" s="223">
        <f t="shared" si="181"/>
        <v>34</v>
      </c>
      <c r="HR9" s="223">
        <f t="shared" si="182"/>
        <v>30</v>
      </c>
      <c r="HS9" s="223">
        <f t="shared" si="183"/>
        <v>0</v>
      </c>
      <c r="HT9" s="223">
        <f t="shared" si="184"/>
        <v>0</v>
      </c>
      <c r="HU9" s="223">
        <f t="shared" si="185"/>
        <v>0</v>
      </c>
      <c r="HV9" s="223">
        <f t="shared" si="186"/>
        <v>0</v>
      </c>
      <c r="HW9" s="222">
        <f t="shared" si="187"/>
        <v>30</v>
      </c>
      <c r="HX9" s="222">
        <f t="shared" si="188"/>
        <v>26</v>
      </c>
      <c r="HY9" s="223">
        <v>13</v>
      </c>
    </row>
    <row r="10" ht="102">
      <c r="A10" s="222">
        <f>Input!A10</f>
        <v>9</v>
      </c>
      <c r="B10" s="222" t="str">
        <f>Input!B10</f>
        <v>VNM-HCM</v>
      </c>
      <c r="C10" s="222" t="str">
        <f>Input!C10</f>
        <v>VNMOBILE</v>
      </c>
      <c r="D10" s="222" t="str">
        <f t="shared" si="0"/>
        <v>339211</v>
      </c>
      <c r="E10" s="222" t="str">
        <f>Input!E10</f>
        <v>Số 48, ấp 1, xã Nhựt Chánh, huyện Bến Lức, tỉnh Long An.</v>
      </c>
      <c r="F10" s="222" t="str">
        <f>Input!F10</f>
        <v>Long An</v>
      </c>
      <c r="G10" s="222" t="str">
        <f>Input!G10</f>
        <v>106,47015</v>
      </c>
      <c r="H10" s="222" t="str">
        <f>Input!H10</f>
        <v>10,63334</v>
      </c>
      <c r="I10" s="222">
        <f>Input!I10</f>
        <v>2</v>
      </c>
      <c r="J10" s="222" t="str">
        <f>Input!J10</f>
        <v>1801189/19/TG/TT2</v>
      </c>
      <c r="K10" s="224" t="str">
        <f>TEXT(Input!K10,"dd/mm/yyyy")</f>
        <v>22/07/2019</v>
      </c>
      <c r="L10" s="224" t="str">
        <f>TEXT(Input!L10,"dd/mm/yyyy")</f>
        <v>04/07/2019</v>
      </c>
      <c r="M10" s="222" t="str">
        <f>Input!M10</f>
        <v>CÔNG TY CỔ PHẦN VIỄN THÔNG DI ĐỘNG VIETNAMOBILE;CÔNG TY CỔ PHẦN VIỄN THÔNG DI ĐỘNG VIETNAMOBILE</v>
      </c>
      <c r="N10" s="222" t="str">
        <f>Input!N10</f>
        <v>339211;339211</v>
      </c>
      <c r="O10" s="222" t="str">
        <f>Input!O10</f>
        <v>ZTE ZXSDR BS8700;ZTE ZXSDR BS8700</v>
      </c>
      <c r="P10" s="222" t="str">
        <f>Input!P10</f>
        <v>3;3</v>
      </c>
      <c r="Q10" s="222" t="str">
        <f>Input!Q10</f>
        <v>2/2/2;1/1/1</v>
      </c>
      <c r="R10" s="222" t="str">
        <f>Input!R10</f>
        <v>80W/80W/80W;40W/40W/40W</v>
      </c>
      <c r="S10" s="222" t="str">
        <f>Input!S10</f>
        <v>U2100;U900</v>
      </c>
      <c r="T10" s="222" t="str">
        <f>Input!T10</f>
        <v>30m/ 30m/ 30m;26m/ 26m/ 26m</v>
      </c>
      <c r="U10" s="222">
        <f>Input!U10</f>
        <v>1</v>
      </c>
      <c r="V10" s="222" t="str">
        <f>Input!V10</f>
        <v>Agisson DX-1710-2170-65-18i-0F;MB800/900-65-18DE14</v>
      </c>
      <c r="W10" s="222" t="b">
        <f>IF(OR(Input!W10,Input!W10="TRUE"),TRUE,IF(OR(Input!W10 = 0,Input!W10="FALSE"),FALSE,Input!W10))</f>
        <v>0</v>
      </c>
      <c r="X10" s="222" t="b">
        <f>IF(OR(Input!X10,Input!X10="TRUE"),TRUE,IF(OR(Input!X10 = 0,Input!X10="FALSE"),FALSE,Input!X10))</f>
        <v>0</v>
      </c>
      <c r="Y10" s="222">
        <f>VALUE(Input!Y10)</f>
        <v>0</v>
      </c>
      <c r="Z10" s="222" t="b">
        <f>IF(OR(Input!Z10,Input!Z10="TRUE"),TRUE,IF(OR(Input!Z10 = 0,Input!Z10="FALSE"),FALSE,Input!Z10))</f>
        <v>1</v>
      </c>
      <c r="AA10" s="222">
        <f>VALUE(Input!AA10)</f>
        <v>11</v>
      </c>
      <c r="AB10" s="222" t="b">
        <f>IF(OR(Input!AB10,Input!AB10="TRUE"),TRUE,IF(OR(Input!AB10 = 0,Input!AB10="FALSE"),FALSE,Input!AB10))</f>
        <v>0</v>
      </c>
      <c r="AC10" s="222" t="b">
        <f>IF(OR(Input!AC10,Input!AC10="TRUE"),TRUE,IF(OR(Input!AC10 = 0,Input!AC10="FALSE"),FALSE,Input!AC10))</f>
        <v>1</v>
      </c>
      <c r="AD10" s="222">
        <f>Input!AD10</f>
        <v>0</v>
      </c>
      <c r="AE10" s="222">
        <f>Input!AE10</f>
        <v>0</v>
      </c>
      <c r="AF10" s="222" t="str">
        <f>Input!AF10</f>
        <v>VCC2</v>
      </c>
      <c r="AG10" s="222">
        <f>Input!AG10</f>
        <v>0</v>
      </c>
      <c r="AH10" s="223"/>
      <c r="AI10" s="223" t="str">
        <f>INDEX(ApplicantNameList,MATCH(B10,ApplicantIDList,0))</f>
        <v>Chi nhánh Công ty Cổ phần Viễn thông Di động Vietnamobile tại Thành Phố Hồ Chí Minh</v>
      </c>
      <c r="AJ10" s="223" t="str">
        <f>INDEX(OperatorNameList,MATCH(C10,OperatorIDList,0))</f>
        <v>VNMOBILE</v>
      </c>
      <c r="AK10" s="222">
        <f t="shared" si="1"/>
        <v>4</v>
      </c>
      <c r="AL10" s="331" t="str">
        <f t="shared" si="2"/>
        <v>tỉnh Long An.</v>
      </c>
      <c r="AM10" s="331" t="str">
        <f t="shared" si="3"/>
        <v>huyện Bến Lức</v>
      </c>
      <c r="AN10" s="331" t="str">
        <f t="shared" si="4"/>
        <v>xã Nhựt Chánh</v>
      </c>
      <c r="AO10" s="222" t="str">
        <f>INDEX(CityIDList,MATCH(F10,CityNameList,0))</f>
        <v>LAN</v>
      </c>
      <c r="AP10" s="223" t="str">
        <f t="shared" si="5"/>
        <v>CÔNG TY CỔ PHẦN VIỄN THÔNG DI ĐỘNG VIETNAMOBILE</v>
      </c>
      <c r="AQ10" s="223" t="str">
        <f t="shared" si="6"/>
        <v>CÔNG TY CỔ PHẦN VIỄN THÔNG DI ĐỘNG VIETNAMOBILE</v>
      </c>
      <c r="AR10" s="223">
        <f t="shared" si="7"/>
      </c>
      <c r="AS10" s="223">
        <f t="shared" si="8"/>
      </c>
      <c r="AT10" s="223">
        <f t="shared" si="9"/>
      </c>
      <c r="AU10" s="223">
        <f t="shared" si="10"/>
      </c>
      <c r="AV10" s="223" t="e">
        <f>IF(I10&gt;=1,INDEX(OperatorIDList,MATCH(AP10,OperatorNameList,0)),"")</f>
        <v>#N/A</v>
      </c>
      <c r="AW10" s="223" t="e">
        <f>IF(I10&gt;=2,INDEX(OperatorIDList,MATCH(AQ10,OperatorNameList,0)),"")</f>
        <v>#N/A</v>
      </c>
      <c r="AX10" s="223">
        <f>IF(I10&gt;=3,INDEX(OperatorIDList,MATCH(AR10,OperatorNameList,0)),"")</f>
      </c>
      <c r="AY10" s="223">
        <f>IF(I10&gt;=4,INDEX(OperatorIDList,MATCH(AS10,OperatorNameList,0)),"")</f>
      </c>
      <c r="AZ10" s="223">
        <f>IF(I10&gt;=5,INDEX(OperatorIDList,MATCH(AT10,OperatorNameList,0)),"")</f>
      </c>
      <c r="BA10" s="223">
        <f>IF(I10&gt;=6,INDEX(OperatorIDList,MATCH(AU10,OperatorNameList,0)),"")</f>
      </c>
      <c r="BB10" s="223" t="e">
        <f t="shared" si="11"/>
        <v>#VALUE!</v>
      </c>
      <c r="BC10" s="223" t="str">
        <f t="shared" si="12"/>
        <v>339211</v>
      </c>
      <c r="BD10" s="223" t="str">
        <f t="shared" si="13"/>
        <v>339211</v>
      </c>
      <c r="BE10" s="223">
        <f t="shared" si="14"/>
      </c>
      <c r="BF10" s="223">
        <f t="shared" si="15"/>
      </c>
      <c r="BG10" s="223">
        <f t="shared" si="16"/>
      </c>
      <c r="BH10" s="223">
        <f t="shared" si="17"/>
      </c>
      <c r="BI10" s="223" t="str">
        <f t="shared" si="18"/>
        <v>ZTE ZXSDR BS8700</v>
      </c>
      <c r="BJ10" s="223" t="str">
        <f t="shared" si="19"/>
        <v>ZTE ZXSDR BS8700</v>
      </c>
      <c r="BK10" s="223">
        <f t="shared" si="20"/>
      </c>
      <c r="BL10" s="223">
        <f t="shared" si="21"/>
      </c>
      <c r="BM10" s="223">
        <f t="shared" si="22"/>
      </c>
      <c r="BN10" s="223">
        <f t="shared" si="23"/>
      </c>
      <c r="BO10" s="223">
        <f t="shared" si="24"/>
        <v>3</v>
      </c>
      <c r="BP10" s="223">
        <f t="shared" si="25"/>
        <v>3</v>
      </c>
      <c r="BQ10" s="223">
        <f t="shared" si="26"/>
        <v>0</v>
      </c>
      <c r="BR10" s="223">
        <f t="shared" si="27"/>
        <v>0</v>
      </c>
      <c r="BS10" s="223">
        <f t="shared" si="28"/>
        <v>0</v>
      </c>
      <c r="BT10" s="223">
        <f t="shared" si="29"/>
        <v>0</v>
      </c>
      <c r="BU10" s="223" t="str">
        <f t="shared" si="30"/>
        <v>2/2/2</v>
      </c>
      <c r="BV10" s="223">
        <f t="shared" si="31"/>
        <v>2</v>
      </c>
      <c r="BW10" s="223">
        <f t="shared" si="32"/>
        <v>2</v>
      </c>
      <c r="BX10" s="223">
        <f t="shared" si="33"/>
        <v>2</v>
      </c>
      <c r="BY10" s="223">
        <f t="shared" si="34"/>
        <v>0</v>
      </c>
      <c r="BZ10" s="223">
        <f t="shared" si="35"/>
        <v>0</v>
      </c>
      <c r="CA10" s="223">
        <f t="shared" si="36"/>
        <v>0</v>
      </c>
      <c r="CB10" s="223" t="str">
        <f t="shared" si="37"/>
        <v>1/1/1</v>
      </c>
      <c r="CC10" s="223">
        <f t="shared" si="38"/>
        <v>1</v>
      </c>
      <c r="CD10" s="223">
        <f t="shared" si="39"/>
        <v>1</v>
      </c>
      <c r="CE10" s="223">
        <f t="shared" si="40"/>
        <v>1</v>
      </c>
      <c r="CF10" s="223">
        <f t="shared" si="41"/>
        <v>0</v>
      </c>
      <c r="CG10" s="223">
        <f t="shared" si="42"/>
        <v>0</v>
      </c>
      <c r="CH10" s="223">
        <f t="shared" si="43"/>
        <v>0</v>
      </c>
      <c r="CI10" s="223">
        <f t="shared" si="44"/>
      </c>
      <c r="CJ10" s="223">
        <f t="shared" si="45"/>
        <v>0</v>
      </c>
      <c r="CK10" s="223">
        <f t="shared" si="46"/>
        <v>0</v>
      </c>
      <c r="CL10" s="223">
        <f t="shared" si="47"/>
        <v>0</v>
      </c>
      <c r="CM10" s="223">
        <f t="shared" si="48"/>
        <v>0</v>
      </c>
      <c r="CN10" s="223">
        <f t="shared" si="49"/>
        <v>0</v>
      </c>
      <c r="CO10" s="223">
        <f t="shared" si="50"/>
        <v>0</v>
      </c>
      <c r="CP10" s="223">
        <f t="shared" si="51"/>
      </c>
      <c r="CQ10" s="223">
        <f t="shared" si="52"/>
        <v>0</v>
      </c>
      <c r="CR10" s="223">
        <f t="shared" si="53"/>
        <v>0</v>
      </c>
      <c r="CS10" s="223">
        <f t="shared" si="54"/>
        <v>0</v>
      </c>
      <c r="CT10" s="223">
        <f t="shared" si="55"/>
        <v>0</v>
      </c>
      <c r="CU10" s="223">
        <f t="shared" si="56"/>
        <v>0</v>
      </c>
      <c r="CV10" s="223">
        <f t="shared" si="57"/>
        <v>0</v>
      </c>
      <c r="CW10" s="223">
        <f t="shared" si="58"/>
      </c>
      <c r="CX10" s="223">
        <f t="shared" si="59"/>
        <v>0</v>
      </c>
      <c r="CY10" s="223">
        <f t="shared" si="60"/>
        <v>0</v>
      </c>
      <c r="CZ10" s="223">
        <f t="shared" si="61"/>
        <v>0</v>
      </c>
      <c r="DA10" s="223">
        <f t="shared" si="62"/>
        <v>0</v>
      </c>
      <c r="DB10" s="223">
        <f t="shared" si="63"/>
        <v>0</v>
      </c>
      <c r="DC10" s="223">
        <f t="shared" si="64"/>
        <v>0</v>
      </c>
      <c r="DD10" s="223">
        <f t="shared" si="65"/>
      </c>
      <c r="DE10" s="223">
        <f t="shared" si="66"/>
        <v>0</v>
      </c>
      <c r="DF10" s="223">
        <f t="shared" si="67"/>
        <v>0</v>
      </c>
      <c r="DG10" s="223">
        <f t="shared" si="68"/>
        <v>0</v>
      </c>
      <c r="DH10" s="223">
        <f t="shared" si="69"/>
        <v>0</v>
      </c>
      <c r="DI10" s="223">
        <f t="shared" si="70"/>
        <v>0</v>
      </c>
      <c r="DJ10" s="223">
        <f t="shared" si="71"/>
        <v>0</v>
      </c>
      <c r="DK10" s="223" t="str">
        <f t="shared" si="72"/>
        <v>80W/80W/80W</v>
      </c>
      <c r="DL10" s="223">
        <f t="shared" si="73"/>
        <v>80</v>
      </c>
      <c r="DM10" s="223">
        <f t="shared" si="74"/>
        <v>80</v>
      </c>
      <c r="DN10" s="223">
        <f t="shared" si="75"/>
        <v>80</v>
      </c>
      <c r="DO10" s="223">
        <f t="shared" si="76"/>
        <v>0</v>
      </c>
      <c r="DP10" s="223">
        <f t="shared" si="77"/>
        <v>0</v>
      </c>
      <c r="DQ10" s="223">
        <f t="shared" si="78"/>
        <v>0</v>
      </c>
      <c r="DR10" s="223" t="str">
        <f t="shared" si="79"/>
        <v>80W/ 80W/ 80W</v>
      </c>
      <c r="DS10" s="223">
        <f t="shared" si="80"/>
        <v>80</v>
      </c>
      <c r="DT10" s="223" t="str">
        <f t="shared" si="81"/>
        <v>40W/40W/40W</v>
      </c>
      <c r="DU10" s="223">
        <f t="shared" si="82"/>
        <v>40</v>
      </c>
      <c r="DV10" s="223">
        <f t="shared" si="83"/>
        <v>40</v>
      </c>
      <c r="DW10" s="223">
        <f t="shared" si="84"/>
        <v>40</v>
      </c>
      <c r="DX10" s="223">
        <f t="shared" si="85"/>
        <v>0</v>
      </c>
      <c r="DY10" s="223">
        <f t="shared" si="86"/>
        <v>0</v>
      </c>
      <c r="DZ10" s="223">
        <f t="shared" si="87"/>
        <v>0</v>
      </c>
      <c r="EA10" s="223" t="str">
        <f t="shared" si="88"/>
        <v>40W/ 40W/ 40W</v>
      </c>
      <c r="EB10" s="223">
        <f t="shared" si="89"/>
        <v>40</v>
      </c>
      <c r="EC10" s="223">
        <f t="shared" si="90"/>
      </c>
      <c r="ED10" s="223">
        <f t="shared" si="91"/>
        <v>0</v>
      </c>
      <c r="EE10" s="223">
        <f t="shared" si="92"/>
        <v>0</v>
      </c>
      <c r="EF10" s="223">
        <f t="shared" si="93"/>
        <v>0</v>
      </c>
      <c r="EG10" s="223">
        <f t="shared" si="94"/>
        <v>0</v>
      </c>
      <c r="EH10" s="223">
        <f t="shared" si="95"/>
        <v>0</v>
      </c>
      <c r="EI10" s="223">
        <f t="shared" si="96"/>
        <v>0</v>
      </c>
      <c r="EJ10" s="223">
        <f t="shared" si="97"/>
      </c>
      <c r="EK10" s="223">
        <f t="shared" si="98"/>
        <v>0</v>
      </c>
      <c r="EL10" s="223">
        <f t="shared" si="99"/>
      </c>
      <c r="EM10" s="223">
        <f t="shared" si="100"/>
        <v>0</v>
      </c>
      <c r="EN10" s="223">
        <f t="shared" si="101"/>
        <v>0</v>
      </c>
      <c r="EO10" s="223">
        <f t="shared" si="102"/>
        <v>0</v>
      </c>
      <c r="EP10" s="223">
        <f t="shared" si="103"/>
        <v>0</v>
      </c>
      <c r="EQ10" s="223">
        <f t="shared" si="104"/>
        <v>0</v>
      </c>
      <c r="ER10" s="223">
        <f t="shared" si="105"/>
        <v>0</v>
      </c>
      <c r="ES10" s="223">
        <f t="shared" si="106"/>
      </c>
      <c r="ET10" s="223">
        <f t="shared" si="107"/>
        <v>0</v>
      </c>
      <c r="EU10" s="223">
        <f t="shared" si="108"/>
      </c>
      <c r="EV10" s="223">
        <f t="shared" si="109"/>
        <v>0</v>
      </c>
      <c r="EW10" s="223">
        <f t="shared" si="110"/>
        <v>0</v>
      </c>
      <c r="EX10" s="223">
        <f t="shared" si="111"/>
        <v>0</v>
      </c>
      <c r="EY10" s="223">
        <f t="shared" si="112"/>
        <v>0</v>
      </c>
      <c r="EZ10" s="223">
        <f t="shared" si="113"/>
        <v>0</v>
      </c>
      <c r="FA10" s="223">
        <f t="shared" si="114"/>
        <v>0</v>
      </c>
      <c r="FB10" s="223">
        <f t="shared" si="115"/>
      </c>
      <c r="FC10" s="223">
        <f t="shared" si="116"/>
        <v>0</v>
      </c>
      <c r="FD10" s="223">
        <f t="shared" si="117"/>
      </c>
      <c r="FE10" s="223">
        <f t="shared" si="118"/>
        <v>0</v>
      </c>
      <c r="FF10" s="223">
        <f t="shared" si="119"/>
        <v>0</v>
      </c>
      <c r="FG10" s="223">
        <f t="shared" si="120"/>
        <v>0</v>
      </c>
      <c r="FH10" s="223">
        <f t="shared" si="121"/>
        <v>0</v>
      </c>
      <c r="FI10" s="223">
        <f t="shared" si="122"/>
        <v>0</v>
      </c>
      <c r="FJ10" s="223">
        <f t="shared" si="123"/>
        <v>0</v>
      </c>
      <c r="FK10" s="223">
        <f t="shared" si="124"/>
      </c>
      <c r="FL10" s="223">
        <f t="shared" si="125"/>
        <v>0</v>
      </c>
      <c r="FM10" s="223">
        <f t="shared" si="126"/>
        <v>80</v>
      </c>
      <c r="FN10" s="223" t="str">
        <f t="shared" si="127"/>
        <v>U2100</v>
      </c>
      <c r="FO10" s="223" t="str">
        <f t="shared" si="128"/>
        <v>U900</v>
      </c>
      <c r="FP10" s="223">
        <f t="shared" si="129"/>
      </c>
      <c r="FQ10" s="223">
        <f t="shared" si="130"/>
      </c>
      <c r="FR10" s="223">
        <f t="shared" si="131"/>
      </c>
      <c r="FS10" s="223">
        <f t="shared" si="132"/>
      </c>
      <c r="FT10" s="223" t="str">
        <f t="shared" si="133"/>
        <v>30m/ 30m/ 30m</v>
      </c>
      <c r="FU10" s="223">
        <f t="shared" si="134"/>
        <v>30</v>
      </c>
      <c r="FV10" s="223">
        <f t="shared" si="135"/>
        <v>30</v>
      </c>
      <c r="FW10" s="223">
        <f t="shared" si="136"/>
        <v>30</v>
      </c>
      <c r="FX10" s="223">
        <f t="shared" si="137"/>
        <v>0</v>
      </c>
      <c r="FY10" s="223">
        <f t="shared" si="138"/>
        <v>0</v>
      </c>
      <c r="FZ10" s="223">
        <f t="shared" si="139"/>
        <v>0</v>
      </c>
      <c r="GA10" s="223" t="str">
        <f t="shared" si="140"/>
        <v>30m/ 30m/ 30m</v>
      </c>
      <c r="GB10" s="223" t="str">
        <f t="shared" si="141"/>
        <v>26m/ 26m/ 26m</v>
      </c>
      <c r="GC10" s="223">
        <f t="shared" si="142"/>
        <v>26</v>
      </c>
      <c r="GD10" s="223">
        <f t="shared" si="143"/>
        <v>26</v>
      </c>
      <c r="GE10" s="223">
        <f t="shared" si="144"/>
        <v>26</v>
      </c>
      <c r="GF10" s="223">
        <f t="shared" si="145"/>
        <v>0</v>
      </c>
      <c r="GG10" s="223">
        <f t="shared" si="146"/>
        <v>0</v>
      </c>
      <c r="GH10" s="223">
        <f t="shared" si="147"/>
        <v>0</v>
      </c>
      <c r="GI10" s="223" t="str">
        <f t="shared" si="148"/>
        <v>26m/ 26m/ 26m</v>
      </c>
      <c r="GJ10" s="223">
        <f t="shared" si="149"/>
      </c>
      <c r="GK10" s="223">
        <f t="shared" si="150"/>
        <v>0</v>
      </c>
      <c r="GL10" s="223">
        <f t="shared" si="151"/>
        <v>0</v>
      </c>
      <c r="GM10" s="223">
        <f t="shared" si="152"/>
        <v>0</v>
      </c>
      <c r="GN10" s="223">
        <f t="shared" si="153"/>
        <v>0</v>
      </c>
      <c r="GO10" s="223">
        <f t="shared" si="154"/>
        <v>0</v>
      </c>
      <c r="GP10" s="223">
        <f t="shared" si="155"/>
        <v>0</v>
      </c>
      <c r="GQ10" s="223">
        <f t="shared" si="156"/>
      </c>
      <c r="GR10" s="223">
        <f t="shared" si="157"/>
      </c>
      <c r="GS10" s="223">
        <f t="shared" si="158"/>
        <v>0</v>
      </c>
      <c r="GT10" s="223">
        <f t="shared" si="159"/>
        <v>0</v>
      </c>
      <c r="GU10" s="223">
        <f t="shared" si="160"/>
        <v>0</v>
      </c>
      <c r="GV10" s="223">
        <f t="shared" si="161"/>
        <v>0</v>
      </c>
      <c r="GW10" s="223">
        <f t="shared" si="162"/>
        <v>0</v>
      </c>
      <c r="GX10" s="223">
        <f t="shared" si="163"/>
        <v>0</v>
      </c>
      <c r="GY10" s="223">
        <f t="shared" si="164"/>
      </c>
      <c r="GZ10" s="223">
        <f t="shared" si="165"/>
      </c>
      <c r="HA10" s="223">
        <f t="shared" si="166"/>
        <v>0</v>
      </c>
      <c r="HB10" s="223">
        <f t="shared" si="167"/>
        <v>0</v>
      </c>
      <c r="HC10" s="223">
        <f t="shared" si="168"/>
        <v>0</v>
      </c>
      <c r="HD10" s="223">
        <f t="shared" si="169"/>
        <v>0</v>
      </c>
      <c r="HE10" s="223">
        <f t="shared" si="170"/>
        <v>0</v>
      </c>
      <c r="HF10" s="223">
        <f t="shared" si="171"/>
        <v>0</v>
      </c>
      <c r="HG10" s="223">
        <f t="shared" si="172"/>
      </c>
      <c r="HH10" s="223">
        <f t="shared" si="173"/>
      </c>
      <c r="HI10" s="223">
        <f t="shared" si="174"/>
        <v>0</v>
      </c>
      <c r="HJ10" s="223">
        <f t="shared" si="175"/>
        <v>0</v>
      </c>
      <c r="HK10" s="223">
        <f t="shared" si="176"/>
        <v>0</v>
      </c>
      <c r="HL10" s="223">
        <f t="shared" si="177"/>
        <v>0</v>
      </c>
      <c r="HM10" s="223">
        <f t="shared" si="178"/>
        <v>0</v>
      </c>
      <c r="HN10" s="223">
        <f t="shared" si="179"/>
        <v>0</v>
      </c>
      <c r="HO10" s="223">
        <f t="shared" si="180"/>
      </c>
      <c r="HP10" s="223" t="str">
        <f>INDEX(LabNameList,MATCH(AF10,LabIDList,0))</f>
        <v>Trung tâm Kiểm định và Chứng nhận 2</v>
      </c>
      <c r="HQ10" s="223">
        <f t="shared" si="181"/>
        <v>30</v>
      </c>
      <c r="HR10" s="223">
        <f t="shared" si="182"/>
        <v>26</v>
      </c>
      <c r="HS10" s="223">
        <f t="shared" si="183"/>
        <v>0</v>
      </c>
      <c r="HT10" s="223">
        <f t="shared" si="184"/>
        <v>0</v>
      </c>
      <c r="HU10" s="223">
        <f t="shared" si="185"/>
        <v>0</v>
      </c>
      <c r="HV10" s="223">
        <f t="shared" si="186"/>
        <v>0</v>
      </c>
      <c r="HW10" s="222">
        <f t="shared" si="187"/>
        <v>26</v>
      </c>
      <c r="HX10" s="222">
        <f t="shared" si="188"/>
        <v>15</v>
      </c>
      <c r="HY10" s="223">
        <v>13</v>
      </c>
    </row>
    <row r="11" ht="102">
      <c r="A11" s="222">
        <f>Input!A11</f>
        <v>10</v>
      </c>
      <c r="B11" s="222" t="str">
        <f>Input!B11</f>
        <v>VNM-HCM</v>
      </c>
      <c r="C11" s="222" t="str">
        <f>Input!C11</f>
        <v>VNMOBILE</v>
      </c>
      <c r="D11" s="222" t="str">
        <f t="shared" si="0"/>
        <v>339120</v>
      </c>
      <c r="E11" s="222" t="str">
        <f>Input!E11</f>
        <v>Số 111, ấp Thanh Tân, xã Thanh Phú, huyện Bến Lức, tỉnh Long An.</v>
      </c>
      <c r="F11" s="222" t="str">
        <f>Input!F11</f>
        <v>Long An</v>
      </c>
      <c r="G11" s="222" t="str">
        <f>Input!G11</f>
        <v>106,51212</v>
      </c>
      <c r="H11" s="222" t="str">
        <f>Input!H11</f>
        <v>10,66729</v>
      </c>
      <c r="I11" s="222">
        <f>Input!I11</f>
        <v>2</v>
      </c>
      <c r="J11" s="222" t="str">
        <f>Input!J11</f>
        <v>1801190/19/TG/TT2</v>
      </c>
      <c r="K11" s="224" t="str">
        <f>TEXT(Input!K11,"dd/mm/yyyy")</f>
        <v>22/07/2019</v>
      </c>
      <c r="L11" s="224" t="str">
        <f>TEXT(Input!L11,"dd/mm/yyyy")</f>
        <v>05/07/2019</v>
      </c>
      <c r="M11" s="222" t="str">
        <f>Input!M11</f>
        <v>CÔNG TY CỔ PHẦN VIỄN THÔNG DI ĐỘNG VIETNAMOBILE;CÔNG TY CỔ PHẦN VIỄN THÔNG DI ĐỘNG VIETNAMOBILE</v>
      </c>
      <c r="N11" s="222" t="str">
        <f>Input!N11</f>
        <v>339120;339120</v>
      </c>
      <c r="O11" s="222" t="str">
        <f>Input!O11</f>
        <v>ZTE ZXSDR BS8700;ZTE ZXSDR BS8700</v>
      </c>
      <c r="P11" s="222" t="str">
        <f>Input!P11</f>
        <v>3;3</v>
      </c>
      <c r="Q11" s="222" t="str">
        <f>Input!Q11</f>
        <v>2/2/2;1/1/1</v>
      </c>
      <c r="R11" s="222" t="str">
        <f>Input!R11</f>
        <v>80W/80W/80W;40W/40W/40W</v>
      </c>
      <c r="S11" s="222" t="str">
        <f>Input!S11</f>
        <v>U2100;U900</v>
      </c>
      <c r="T11" s="222" t="str">
        <f>Input!T11</f>
        <v>34m/ 34m/ 34m;30m/ 30m/ 30m</v>
      </c>
      <c r="U11" s="222">
        <f>Input!U11</f>
        <v>1</v>
      </c>
      <c r="V11" s="222" t="str">
        <f>Input!V11</f>
        <v>Agisson DX-1710-2170-65-18i-0F;MB800/900-65-18DE14</v>
      </c>
      <c r="W11" s="222" t="b">
        <f>IF(OR(Input!W11,Input!W11="TRUE"),TRUE,IF(OR(Input!W11 = 0,Input!W11="FALSE"),FALSE,Input!W11))</f>
        <v>1</v>
      </c>
      <c r="X11" s="222" t="b">
        <f>IF(OR(Input!X11,Input!X11="TRUE"),TRUE,IF(OR(Input!X11 = 0,Input!X11="FALSE"),FALSE,Input!X11))</f>
        <v>0</v>
      </c>
      <c r="Y11" s="222">
        <f>VALUE(Input!Y11)</f>
        <v>0</v>
      </c>
      <c r="Z11" s="222" t="b">
        <f>IF(OR(Input!Z11,Input!Z11="TRUE"),TRUE,IF(OR(Input!Z11 = 0,Input!Z11="FALSE"),FALSE,Input!Z11))</f>
        <v>1</v>
      </c>
      <c r="AA11" s="222">
        <f>VALUE(Input!AA11)</f>
        <v>4</v>
      </c>
      <c r="AB11" s="222" t="b">
        <f>IF(OR(Input!AB11,Input!AB11="TRUE"),TRUE,IF(OR(Input!AB11 = 0,Input!AB11="FALSE"),FALSE,Input!AB11))</f>
        <v>0</v>
      </c>
      <c r="AC11" s="222" t="b">
        <f>IF(OR(Input!AC11,Input!AC11="TRUE"),TRUE,IF(OR(Input!AC11 = 0,Input!AC11="FALSE"),FALSE,Input!AC11))</f>
        <v>1</v>
      </c>
      <c r="AD11" s="222">
        <f>Input!AD11</f>
        <v>0</v>
      </c>
      <c r="AE11" s="222">
        <f>Input!AE11</f>
        <v>0</v>
      </c>
      <c r="AF11" s="222" t="str">
        <f>Input!AF11</f>
        <v>VCC2</v>
      </c>
      <c r="AG11" s="222">
        <f>Input!AG11</f>
        <v>0</v>
      </c>
      <c r="AH11" s="223"/>
      <c r="AI11" s="223" t="str">
        <f>INDEX(ApplicantNameList,MATCH(B11,ApplicantIDList,0))</f>
        <v>Chi nhánh Công ty Cổ phần Viễn thông Di động Vietnamobile tại Thành Phố Hồ Chí Minh</v>
      </c>
      <c r="AJ11" s="223" t="str">
        <f>INDEX(OperatorNameList,MATCH(C11,OperatorIDList,0))</f>
        <v>VNMOBILE</v>
      </c>
      <c r="AK11" s="222">
        <f t="shared" si="1"/>
        <v>4</v>
      </c>
      <c r="AL11" s="331" t="str">
        <f t="shared" si="2"/>
        <v>tỉnh Long An.</v>
      </c>
      <c r="AM11" s="331" t="str">
        <f t="shared" si="3"/>
        <v>huyện Bến Lức</v>
      </c>
      <c r="AN11" s="331" t="str">
        <f t="shared" si="4"/>
        <v>xã Thanh Phú</v>
      </c>
      <c r="AO11" s="222" t="str">
        <f>INDEX(CityIDList,MATCH(F11,CityNameList,0))</f>
        <v>LAN</v>
      </c>
      <c r="AP11" s="223" t="str">
        <f t="shared" si="5"/>
        <v>CÔNG TY CỔ PHẦN VIỄN THÔNG DI ĐỘNG VIETNAMOBILE</v>
      </c>
      <c r="AQ11" s="223" t="str">
        <f t="shared" si="6"/>
        <v>CÔNG TY CỔ PHẦN VIỄN THÔNG DI ĐỘNG VIETNAMOBILE</v>
      </c>
      <c r="AR11" s="223">
        <f t="shared" si="7"/>
      </c>
      <c r="AS11" s="223">
        <f t="shared" si="8"/>
      </c>
      <c r="AT11" s="223">
        <f t="shared" si="9"/>
      </c>
      <c r="AU11" s="223">
        <f t="shared" si="10"/>
      </c>
      <c r="AV11" s="223" t="e">
        <f>IF(I11&gt;=1,INDEX(OperatorIDList,MATCH(AP11,OperatorNameList,0)),"")</f>
        <v>#N/A</v>
      </c>
      <c r="AW11" s="223" t="e">
        <f>IF(I11&gt;=2,INDEX(OperatorIDList,MATCH(AQ11,OperatorNameList,0)),"")</f>
        <v>#N/A</v>
      </c>
      <c r="AX11" s="223">
        <f>IF(I11&gt;=3,INDEX(OperatorIDList,MATCH(AR11,OperatorNameList,0)),"")</f>
      </c>
      <c r="AY11" s="223">
        <f>IF(I11&gt;=4,INDEX(OperatorIDList,MATCH(AS11,OperatorNameList,0)),"")</f>
      </c>
      <c r="AZ11" s="223">
        <f>IF(I11&gt;=5,INDEX(OperatorIDList,MATCH(AT11,OperatorNameList,0)),"")</f>
      </c>
      <c r="BA11" s="223">
        <f>IF(I11&gt;=6,INDEX(OperatorIDList,MATCH(AU11,OperatorNameList,0)),"")</f>
      </c>
      <c r="BB11" s="223" t="e">
        <f t="shared" si="11"/>
        <v>#VALUE!</v>
      </c>
      <c r="BC11" s="223" t="str">
        <f t="shared" si="12"/>
        <v>339120</v>
      </c>
      <c r="BD11" s="223" t="str">
        <f t="shared" si="13"/>
        <v>339120</v>
      </c>
      <c r="BE11" s="223">
        <f t="shared" si="14"/>
      </c>
      <c r="BF11" s="223">
        <f t="shared" si="15"/>
      </c>
      <c r="BG11" s="223">
        <f t="shared" si="16"/>
      </c>
      <c r="BH11" s="223">
        <f t="shared" si="17"/>
      </c>
      <c r="BI11" s="223" t="str">
        <f t="shared" si="18"/>
        <v>ZTE ZXSDR BS8700</v>
      </c>
      <c r="BJ11" s="223" t="str">
        <f t="shared" si="19"/>
        <v>ZTE ZXSDR BS8700</v>
      </c>
      <c r="BK11" s="223">
        <f t="shared" si="20"/>
      </c>
      <c r="BL11" s="223">
        <f t="shared" si="21"/>
      </c>
      <c r="BM11" s="223">
        <f t="shared" si="22"/>
      </c>
      <c r="BN11" s="223">
        <f t="shared" si="23"/>
      </c>
      <c r="BO11" s="223">
        <f t="shared" si="24"/>
        <v>3</v>
      </c>
      <c r="BP11" s="223">
        <f t="shared" si="25"/>
        <v>3</v>
      </c>
      <c r="BQ11" s="223">
        <f t="shared" si="26"/>
        <v>0</v>
      </c>
      <c r="BR11" s="223">
        <f t="shared" si="27"/>
        <v>0</v>
      </c>
      <c r="BS11" s="223">
        <f t="shared" si="28"/>
        <v>0</v>
      </c>
      <c r="BT11" s="223">
        <f t="shared" si="29"/>
        <v>0</v>
      </c>
      <c r="BU11" s="223" t="str">
        <f t="shared" si="30"/>
        <v>2/2/2</v>
      </c>
      <c r="BV11" s="223">
        <f t="shared" si="31"/>
        <v>2</v>
      </c>
      <c r="BW11" s="223">
        <f t="shared" si="32"/>
        <v>2</v>
      </c>
      <c r="BX11" s="223">
        <f t="shared" si="33"/>
        <v>2</v>
      </c>
      <c r="BY11" s="223">
        <f t="shared" si="34"/>
        <v>0</v>
      </c>
      <c r="BZ11" s="223">
        <f t="shared" si="35"/>
        <v>0</v>
      </c>
      <c r="CA11" s="223">
        <f t="shared" si="36"/>
        <v>0</v>
      </c>
      <c r="CB11" s="223" t="str">
        <f t="shared" si="37"/>
        <v>1/1/1</v>
      </c>
      <c r="CC11" s="223">
        <f t="shared" si="38"/>
        <v>1</v>
      </c>
      <c r="CD11" s="223">
        <f t="shared" si="39"/>
        <v>1</v>
      </c>
      <c r="CE11" s="223">
        <f t="shared" si="40"/>
        <v>1</v>
      </c>
      <c r="CF11" s="223">
        <f t="shared" si="41"/>
        <v>0</v>
      </c>
      <c r="CG11" s="223">
        <f t="shared" si="42"/>
        <v>0</v>
      </c>
      <c r="CH11" s="223">
        <f t="shared" si="43"/>
        <v>0</v>
      </c>
      <c r="CI11" s="223">
        <f t="shared" si="44"/>
      </c>
      <c r="CJ11" s="223">
        <f t="shared" si="45"/>
        <v>0</v>
      </c>
      <c r="CK11" s="223">
        <f t="shared" si="46"/>
        <v>0</v>
      </c>
      <c r="CL11" s="223">
        <f t="shared" si="47"/>
        <v>0</v>
      </c>
      <c r="CM11" s="223">
        <f t="shared" si="48"/>
        <v>0</v>
      </c>
      <c r="CN11" s="223">
        <f t="shared" si="49"/>
        <v>0</v>
      </c>
      <c r="CO11" s="223">
        <f t="shared" si="50"/>
        <v>0</v>
      </c>
      <c r="CP11" s="223">
        <f t="shared" si="51"/>
      </c>
      <c r="CQ11" s="223">
        <f t="shared" si="52"/>
        <v>0</v>
      </c>
      <c r="CR11" s="223">
        <f t="shared" si="53"/>
        <v>0</v>
      </c>
      <c r="CS11" s="223">
        <f t="shared" si="54"/>
        <v>0</v>
      </c>
      <c r="CT11" s="223">
        <f t="shared" si="55"/>
        <v>0</v>
      </c>
      <c r="CU11" s="223">
        <f t="shared" si="56"/>
        <v>0</v>
      </c>
      <c r="CV11" s="223">
        <f t="shared" si="57"/>
        <v>0</v>
      </c>
      <c r="CW11" s="223">
        <f t="shared" si="58"/>
      </c>
      <c r="CX11" s="223">
        <f t="shared" si="59"/>
        <v>0</v>
      </c>
      <c r="CY11" s="223">
        <f t="shared" si="60"/>
        <v>0</v>
      </c>
      <c r="CZ11" s="223">
        <f t="shared" si="61"/>
        <v>0</v>
      </c>
      <c r="DA11" s="223">
        <f t="shared" si="62"/>
        <v>0</v>
      </c>
      <c r="DB11" s="223">
        <f t="shared" si="63"/>
        <v>0</v>
      </c>
      <c r="DC11" s="223">
        <f t="shared" si="64"/>
        <v>0</v>
      </c>
      <c r="DD11" s="223">
        <f t="shared" si="65"/>
      </c>
      <c r="DE11" s="223">
        <f t="shared" si="66"/>
        <v>0</v>
      </c>
      <c r="DF11" s="223">
        <f t="shared" si="67"/>
        <v>0</v>
      </c>
      <c r="DG11" s="223">
        <f t="shared" si="68"/>
        <v>0</v>
      </c>
      <c r="DH11" s="223">
        <f t="shared" si="69"/>
        <v>0</v>
      </c>
      <c r="DI11" s="223">
        <f t="shared" si="70"/>
        <v>0</v>
      </c>
      <c r="DJ11" s="223">
        <f t="shared" si="71"/>
        <v>0</v>
      </c>
      <c r="DK11" s="223" t="str">
        <f t="shared" si="72"/>
        <v>80W/80W/80W</v>
      </c>
      <c r="DL11" s="223">
        <f t="shared" si="73"/>
        <v>80</v>
      </c>
      <c r="DM11" s="223">
        <f t="shared" si="74"/>
        <v>80</v>
      </c>
      <c r="DN11" s="223">
        <f t="shared" si="75"/>
        <v>80</v>
      </c>
      <c r="DO11" s="223">
        <f t="shared" si="76"/>
        <v>0</v>
      </c>
      <c r="DP11" s="223">
        <f t="shared" si="77"/>
        <v>0</v>
      </c>
      <c r="DQ11" s="223">
        <f t="shared" si="78"/>
        <v>0</v>
      </c>
      <c r="DR11" s="223" t="str">
        <f t="shared" si="79"/>
        <v>80W/ 80W/ 80W</v>
      </c>
      <c r="DS11" s="223">
        <f t="shared" si="80"/>
        <v>80</v>
      </c>
      <c r="DT11" s="223" t="str">
        <f t="shared" si="81"/>
        <v>40W/40W/40W</v>
      </c>
      <c r="DU11" s="223">
        <f t="shared" si="82"/>
        <v>40</v>
      </c>
      <c r="DV11" s="223">
        <f t="shared" si="83"/>
        <v>40</v>
      </c>
      <c r="DW11" s="223">
        <f t="shared" si="84"/>
        <v>40</v>
      </c>
      <c r="DX11" s="223">
        <f t="shared" si="85"/>
        <v>0</v>
      </c>
      <c r="DY11" s="223">
        <f t="shared" si="86"/>
        <v>0</v>
      </c>
      <c r="DZ11" s="223">
        <f t="shared" si="87"/>
        <v>0</v>
      </c>
      <c r="EA11" s="223" t="str">
        <f t="shared" si="88"/>
        <v>40W/ 40W/ 40W</v>
      </c>
      <c r="EB11" s="223">
        <f t="shared" si="89"/>
        <v>40</v>
      </c>
      <c r="EC11" s="223">
        <f t="shared" si="90"/>
      </c>
      <c r="ED11" s="223">
        <f t="shared" si="91"/>
        <v>0</v>
      </c>
      <c r="EE11" s="223">
        <f t="shared" si="92"/>
        <v>0</v>
      </c>
      <c r="EF11" s="223">
        <f t="shared" si="93"/>
        <v>0</v>
      </c>
      <c r="EG11" s="223">
        <f t="shared" si="94"/>
        <v>0</v>
      </c>
      <c r="EH11" s="223">
        <f t="shared" si="95"/>
        <v>0</v>
      </c>
      <c r="EI11" s="223">
        <f t="shared" si="96"/>
        <v>0</v>
      </c>
      <c r="EJ11" s="223">
        <f t="shared" si="97"/>
      </c>
      <c r="EK11" s="223">
        <f t="shared" si="98"/>
        <v>0</v>
      </c>
      <c r="EL11" s="223">
        <f t="shared" si="99"/>
      </c>
      <c r="EM11" s="223">
        <f t="shared" si="100"/>
        <v>0</v>
      </c>
      <c r="EN11" s="223">
        <f t="shared" si="101"/>
        <v>0</v>
      </c>
      <c r="EO11" s="223">
        <f t="shared" si="102"/>
        <v>0</v>
      </c>
      <c r="EP11" s="223">
        <f t="shared" si="103"/>
        <v>0</v>
      </c>
      <c r="EQ11" s="223">
        <f t="shared" si="104"/>
        <v>0</v>
      </c>
      <c r="ER11" s="223">
        <f t="shared" si="105"/>
        <v>0</v>
      </c>
      <c r="ES11" s="223">
        <f t="shared" si="106"/>
      </c>
      <c r="ET11" s="223">
        <f t="shared" si="107"/>
        <v>0</v>
      </c>
      <c r="EU11" s="223">
        <f t="shared" si="108"/>
      </c>
      <c r="EV11" s="223">
        <f t="shared" si="109"/>
        <v>0</v>
      </c>
      <c r="EW11" s="223">
        <f t="shared" si="110"/>
        <v>0</v>
      </c>
      <c r="EX11" s="223">
        <f t="shared" si="111"/>
        <v>0</v>
      </c>
      <c r="EY11" s="223">
        <f t="shared" si="112"/>
        <v>0</v>
      </c>
      <c r="EZ11" s="223">
        <f t="shared" si="113"/>
        <v>0</v>
      </c>
      <c r="FA11" s="223">
        <f t="shared" si="114"/>
        <v>0</v>
      </c>
      <c r="FB11" s="223">
        <f t="shared" si="115"/>
      </c>
      <c r="FC11" s="223">
        <f t="shared" si="116"/>
        <v>0</v>
      </c>
      <c r="FD11" s="223">
        <f t="shared" si="117"/>
      </c>
      <c r="FE11" s="223">
        <f t="shared" si="118"/>
        <v>0</v>
      </c>
      <c r="FF11" s="223">
        <f t="shared" si="119"/>
        <v>0</v>
      </c>
      <c r="FG11" s="223">
        <f t="shared" si="120"/>
        <v>0</v>
      </c>
      <c r="FH11" s="223">
        <f t="shared" si="121"/>
        <v>0</v>
      </c>
      <c r="FI11" s="223">
        <f t="shared" si="122"/>
        <v>0</v>
      </c>
      <c r="FJ11" s="223">
        <f t="shared" si="123"/>
        <v>0</v>
      </c>
      <c r="FK11" s="223">
        <f t="shared" si="124"/>
      </c>
      <c r="FL11" s="223">
        <f t="shared" si="125"/>
        <v>0</v>
      </c>
      <c r="FM11" s="223">
        <f t="shared" si="126"/>
        <v>80</v>
      </c>
      <c r="FN11" s="223" t="str">
        <f t="shared" si="127"/>
        <v>U2100</v>
      </c>
      <c r="FO11" s="223" t="str">
        <f t="shared" si="128"/>
        <v>U900</v>
      </c>
      <c r="FP11" s="223">
        <f t="shared" si="129"/>
      </c>
      <c r="FQ11" s="223">
        <f t="shared" si="130"/>
      </c>
      <c r="FR11" s="223">
        <f t="shared" si="131"/>
      </c>
      <c r="FS11" s="223">
        <f t="shared" si="132"/>
      </c>
      <c r="FT11" s="223" t="str">
        <f t="shared" si="133"/>
        <v>34m/ 34m/ 34m</v>
      </c>
      <c r="FU11" s="223">
        <f t="shared" si="134"/>
        <v>34</v>
      </c>
      <c r="FV11" s="223">
        <f t="shared" si="135"/>
        <v>34</v>
      </c>
      <c r="FW11" s="223">
        <f t="shared" si="136"/>
        <v>34</v>
      </c>
      <c r="FX11" s="223">
        <f t="shared" si="137"/>
        <v>0</v>
      </c>
      <c r="FY11" s="223">
        <f t="shared" si="138"/>
        <v>0</v>
      </c>
      <c r="FZ11" s="223">
        <f t="shared" si="139"/>
        <v>0</v>
      </c>
      <c r="GA11" s="223" t="str">
        <f t="shared" si="140"/>
        <v>34m/ 34m/ 34m</v>
      </c>
      <c r="GB11" s="223" t="str">
        <f t="shared" si="141"/>
        <v>30m/ 30m/ 30m</v>
      </c>
      <c r="GC11" s="223">
        <f t="shared" si="142"/>
        <v>30</v>
      </c>
      <c r="GD11" s="223">
        <f t="shared" si="143"/>
        <v>30</v>
      </c>
      <c r="GE11" s="223">
        <f t="shared" si="144"/>
        <v>30</v>
      </c>
      <c r="GF11" s="223">
        <f t="shared" si="145"/>
        <v>0</v>
      </c>
      <c r="GG11" s="223">
        <f t="shared" si="146"/>
        <v>0</v>
      </c>
      <c r="GH11" s="223">
        <f t="shared" si="147"/>
        <v>0</v>
      </c>
      <c r="GI11" s="223" t="str">
        <f t="shared" si="148"/>
        <v>30m/ 30m/ 30m</v>
      </c>
      <c r="GJ11" s="223">
        <f t="shared" si="149"/>
      </c>
      <c r="GK11" s="223">
        <f t="shared" si="150"/>
        <v>0</v>
      </c>
      <c r="GL11" s="223">
        <f t="shared" si="151"/>
        <v>0</v>
      </c>
      <c r="GM11" s="223">
        <f t="shared" si="152"/>
        <v>0</v>
      </c>
      <c r="GN11" s="223">
        <f t="shared" si="153"/>
        <v>0</v>
      </c>
      <c r="GO11" s="223">
        <f t="shared" si="154"/>
        <v>0</v>
      </c>
      <c r="GP11" s="223">
        <f t="shared" si="155"/>
        <v>0</v>
      </c>
      <c r="GQ11" s="223">
        <f t="shared" si="156"/>
      </c>
      <c r="GR11" s="223">
        <f t="shared" si="157"/>
      </c>
      <c r="GS11" s="223">
        <f t="shared" si="158"/>
        <v>0</v>
      </c>
      <c r="GT11" s="223">
        <f t="shared" si="159"/>
        <v>0</v>
      </c>
      <c r="GU11" s="223">
        <f t="shared" si="160"/>
        <v>0</v>
      </c>
      <c r="GV11" s="223">
        <f t="shared" si="161"/>
        <v>0</v>
      </c>
      <c r="GW11" s="223">
        <f t="shared" si="162"/>
        <v>0</v>
      </c>
      <c r="GX11" s="223">
        <f t="shared" si="163"/>
        <v>0</v>
      </c>
      <c r="GY11" s="223">
        <f t="shared" si="164"/>
      </c>
      <c r="GZ11" s="223">
        <f t="shared" si="165"/>
      </c>
      <c r="HA11" s="223">
        <f t="shared" si="166"/>
        <v>0</v>
      </c>
      <c r="HB11" s="223">
        <f t="shared" si="167"/>
        <v>0</v>
      </c>
      <c r="HC11" s="223">
        <f t="shared" si="168"/>
        <v>0</v>
      </c>
      <c r="HD11" s="223">
        <f t="shared" si="169"/>
        <v>0</v>
      </c>
      <c r="HE11" s="223">
        <f t="shared" si="170"/>
        <v>0</v>
      </c>
      <c r="HF11" s="223">
        <f t="shared" si="171"/>
        <v>0</v>
      </c>
      <c r="HG11" s="223">
        <f t="shared" si="172"/>
      </c>
      <c r="HH11" s="223">
        <f t="shared" si="173"/>
      </c>
      <c r="HI11" s="223">
        <f t="shared" si="174"/>
        <v>0</v>
      </c>
      <c r="HJ11" s="223">
        <f t="shared" si="175"/>
        <v>0</v>
      </c>
      <c r="HK11" s="223">
        <f t="shared" si="176"/>
        <v>0</v>
      </c>
      <c r="HL11" s="223">
        <f t="shared" si="177"/>
        <v>0</v>
      </c>
      <c r="HM11" s="223">
        <f t="shared" si="178"/>
        <v>0</v>
      </c>
      <c r="HN11" s="223">
        <f t="shared" si="179"/>
        <v>0</v>
      </c>
      <c r="HO11" s="223">
        <f t="shared" si="180"/>
      </c>
      <c r="HP11" s="223" t="str">
        <f>INDEX(LabNameList,MATCH(AF11,LabIDList,0))</f>
        <v>Trung tâm Kiểm định và Chứng nhận 2</v>
      </c>
      <c r="HQ11" s="223">
        <f t="shared" si="181"/>
        <v>34</v>
      </c>
      <c r="HR11" s="223">
        <f t="shared" si="182"/>
        <v>30</v>
      </c>
      <c r="HS11" s="223">
        <f t="shared" si="183"/>
        <v>0</v>
      </c>
      <c r="HT11" s="223">
        <f t="shared" si="184"/>
        <v>0</v>
      </c>
      <c r="HU11" s="223">
        <f t="shared" si="185"/>
        <v>0</v>
      </c>
      <c r="HV11" s="223">
        <f t="shared" si="186"/>
        <v>0</v>
      </c>
      <c r="HW11" s="222">
        <f t="shared" si="187"/>
        <v>30</v>
      </c>
      <c r="HX11" s="222">
        <f t="shared" si="188"/>
        <v>26</v>
      </c>
      <c r="HY11" s="223">
        <v>13</v>
      </c>
    </row>
    <row r="12" ht="102">
      <c r="A12" s="222">
        <f>Input!A12</f>
        <v>11</v>
      </c>
      <c r="B12" s="222" t="str">
        <f>Input!B12</f>
        <v>VNM-HCM</v>
      </c>
      <c r="C12" s="222" t="str">
        <f>Input!C12</f>
        <v>VNMOBILE</v>
      </c>
      <c r="D12" s="222" t="str">
        <f t="shared" si="0"/>
        <v>339124</v>
      </c>
      <c r="E12" s="222" t="str">
        <f>Input!E12</f>
        <v>Lô H9A, đường số 5, khu công nghiệp Hải Sơn, thôn Bình Tiền 2, thị trấn Đức Hòa, huyện Đức Hòa, tỉnh Long An.</v>
      </c>
      <c r="F12" s="222" t="str">
        <f>Input!F12</f>
        <v>Long An</v>
      </c>
      <c r="G12" s="222" t="str">
        <f>Input!G12</f>
        <v>106,46635</v>
      </c>
      <c r="H12" s="222" t="str">
        <f>Input!H12</f>
        <v>10,77748</v>
      </c>
      <c r="I12" s="222">
        <f>Input!I12</f>
        <v>2</v>
      </c>
      <c r="J12" s="222" t="str">
        <f>Input!J12</f>
        <v>1801191/19/TG/TT2</v>
      </c>
      <c r="K12" s="224" t="str">
        <f>TEXT(Input!K12,"dd/mm/yyyy")</f>
        <v>22/07/2019</v>
      </c>
      <c r="L12" s="224" t="str">
        <f>TEXT(Input!L12,"dd/mm/yyyy")</f>
        <v>05/07/2019</v>
      </c>
      <c r="M12" s="222" t="str">
        <f>Input!M12</f>
        <v>CÔNG TY CỔ PHẦN VIỄN THÔNG DI ĐỘNG VIETNAMOBILE;CÔNG TY CỔ PHẦN VIỄN THÔNG DI ĐỘNG VIETNAMOBILE</v>
      </c>
      <c r="N12" s="222" t="str">
        <f>Input!N12</f>
        <v>339124;339124</v>
      </c>
      <c r="O12" s="222" t="str">
        <f>Input!O12</f>
        <v>ZTE ZXSDR BS8700;ZTE ZXSDR BS8700</v>
      </c>
      <c r="P12" s="222" t="str">
        <f>Input!P12</f>
        <v>3;3</v>
      </c>
      <c r="Q12" s="222" t="str">
        <f>Input!Q12</f>
        <v>2/2/2;1/1/1</v>
      </c>
      <c r="R12" s="222" t="str">
        <f>Input!R12</f>
        <v>80W/80W/80W;40W/40W/40W</v>
      </c>
      <c r="S12" s="222" t="str">
        <f>Input!S12</f>
        <v>U2100;U900</v>
      </c>
      <c r="T12" s="222" t="str">
        <f>Input!T12</f>
        <v>27m/ 27m/ 27m;27m/ 27m/ 27m</v>
      </c>
      <c r="U12" s="222">
        <f>Input!U12</f>
        <v>1</v>
      </c>
      <c r="V12" s="222" t="str">
        <f>Input!V12</f>
        <v>TDJ-809017/182018DE-65P;TDJ-809017/182018DE-65P</v>
      </c>
      <c r="W12" s="222" t="b">
        <f>IF(OR(Input!W12,Input!W12="TRUE"),TRUE,IF(OR(Input!W12 = 0,Input!W12="FALSE"),FALSE,Input!W12))</f>
        <v>1</v>
      </c>
      <c r="X12" s="222" t="b">
        <f>IF(OR(Input!X12,Input!X12="TRUE"),TRUE,IF(OR(Input!X12 = 0,Input!X12="FALSE"),FALSE,Input!X12))</f>
        <v>0</v>
      </c>
      <c r="Y12" s="222">
        <f>VALUE(Input!Y12)</f>
        <v>0</v>
      </c>
      <c r="Z12" s="222" t="b">
        <f>IF(OR(Input!Z12,Input!Z12="TRUE"),TRUE,IF(OR(Input!Z12 = 0,Input!Z12="FALSE"),FALSE,Input!Z12))</f>
        <v>1</v>
      </c>
      <c r="AA12" s="222">
        <f>VALUE(Input!AA12)</f>
        <v>7</v>
      </c>
      <c r="AB12" s="222" t="b">
        <f>IF(OR(Input!AB12,Input!AB12="TRUE"),TRUE,IF(OR(Input!AB12 = 0,Input!AB12="FALSE"),FALSE,Input!AB12))</f>
        <v>0</v>
      </c>
      <c r="AC12" s="222" t="b">
        <f>IF(OR(Input!AC12,Input!AC12="TRUE"),TRUE,IF(OR(Input!AC12 = 0,Input!AC12="FALSE"),FALSE,Input!AC12))</f>
        <v>1</v>
      </c>
      <c r="AD12" s="222">
        <f>Input!AD12</f>
        <v>0</v>
      </c>
      <c r="AE12" s="222">
        <f>Input!AE12</f>
        <v>0</v>
      </c>
      <c r="AF12" s="222" t="str">
        <f>Input!AF12</f>
        <v>VCC2</v>
      </c>
      <c r="AG12" s="222">
        <f>Input!AG12</f>
        <v>0</v>
      </c>
      <c r="AH12" s="223"/>
      <c r="AI12" s="223" t="str">
        <f>INDEX(ApplicantNameList,MATCH(B12,ApplicantIDList,0))</f>
        <v>Chi nhánh Công ty Cổ phần Viễn thông Di động Vietnamobile tại Thành Phố Hồ Chí Minh</v>
      </c>
      <c r="AJ12" s="223" t="str">
        <f>INDEX(OperatorNameList,MATCH(C12,OperatorIDList,0))</f>
        <v>VNMOBILE</v>
      </c>
      <c r="AK12" s="222">
        <f t="shared" si="1"/>
        <v>6</v>
      </c>
      <c r="AL12" s="331" t="str">
        <f t="shared" si="2"/>
        <v>tỉnh Long An.</v>
      </c>
      <c r="AM12" s="331" t="str">
        <f t="shared" si="3"/>
        <v>huyện Đức Hòa</v>
      </c>
      <c r="AN12" s="331" t="str">
        <f t="shared" si="4"/>
        <v>thị trấn Đức Hòa</v>
      </c>
      <c r="AO12" s="222" t="str">
        <f>INDEX(CityIDList,MATCH(F12,CityNameList,0))</f>
        <v>LAN</v>
      </c>
      <c r="AP12" s="223" t="str">
        <f t="shared" si="5"/>
        <v>CÔNG TY CỔ PHẦN VIỄN THÔNG DI ĐỘNG VIETNAMOBILE</v>
      </c>
      <c r="AQ12" s="223" t="str">
        <f t="shared" si="6"/>
        <v>CÔNG TY CỔ PHẦN VIỄN THÔNG DI ĐỘNG VIETNAMOBILE</v>
      </c>
      <c r="AR12" s="223">
        <f t="shared" si="7"/>
      </c>
      <c r="AS12" s="223">
        <f t="shared" si="8"/>
      </c>
      <c r="AT12" s="223">
        <f t="shared" si="9"/>
      </c>
      <c r="AU12" s="223">
        <f t="shared" si="10"/>
      </c>
      <c r="AV12" s="223" t="e">
        <f>IF(I12&gt;=1,INDEX(OperatorIDList,MATCH(AP12,OperatorNameList,0)),"")</f>
        <v>#N/A</v>
      </c>
      <c r="AW12" s="223" t="e">
        <f>IF(I12&gt;=2,INDEX(OperatorIDList,MATCH(AQ12,OperatorNameList,0)),"")</f>
        <v>#N/A</v>
      </c>
      <c r="AX12" s="223">
        <f>IF(I12&gt;=3,INDEX(OperatorIDList,MATCH(AR12,OperatorNameList,0)),"")</f>
      </c>
      <c r="AY12" s="223">
        <f>IF(I12&gt;=4,INDEX(OperatorIDList,MATCH(AS12,OperatorNameList,0)),"")</f>
      </c>
      <c r="AZ12" s="223">
        <f>IF(I12&gt;=5,INDEX(OperatorIDList,MATCH(AT12,OperatorNameList,0)),"")</f>
      </c>
      <c r="BA12" s="223">
        <f>IF(I12&gt;=6,INDEX(OperatorIDList,MATCH(AU12,OperatorNameList,0)),"")</f>
      </c>
      <c r="BB12" s="223" t="e">
        <f t="shared" si="11"/>
        <v>#VALUE!</v>
      </c>
      <c r="BC12" s="223" t="str">
        <f t="shared" si="12"/>
        <v>339124</v>
      </c>
      <c r="BD12" s="223" t="str">
        <f t="shared" si="13"/>
        <v>339124</v>
      </c>
      <c r="BE12" s="223">
        <f t="shared" si="14"/>
      </c>
      <c r="BF12" s="223">
        <f t="shared" si="15"/>
      </c>
      <c r="BG12" s="223">
        <f t="shared" si="16"/>
      </c>
      <c r="BH12" s="223">
        <f t="shared" si="17"/>
      </c>
      <c r="BI12" s="223" t="str">
        <f t="shared" si="18"/>
        <v>ZTE ZXSDR BS8700</v>
      </c>
      <c r="BJ12" s="223" t="str">
        <f t="shared" si="19"/>
        <v>ZTE ZXSDR BS8700</v>
      </c>
      <c r="BK12" s="223">
        <f t="shared" si="20"/>
      </c>
      <c r="BL12" s="223">
        <f t="shared" si="21"/>
      </c>
      <c r="BM12" s="223">
        <f t="shared" si="22"/>
      </c>
      <c r="BN12" s="223">
        <f t="shared" si="23"/>
      </c>
      <c r="BO12" s="223">
        <f t="shared" si="24"/>
        <v>3</v>
      </c>
      <c r="BP12" s="223">
        <f t="shared" si="25"/>
        <v>3</v>
      </c>
      <c r="BQ12" s="223">
        <f t="shared" si="26"/>
        <v>0</v>
      </c>
      <c r="BR12" s="223">
        <f t="shared" si="27"/>
        <v>0</v>
      </c>
      <c r="BS12" s="223">
        <f t="shared" si="28"/>
        <v>0</v>
      </c>
      <c r="BT12" s="223">
        <f t="shared" si="29"/>
        <v>0</v>
      </c>
      <c r="BU12" s="223" t="str">
        <f t="shared" si="30"/>
        <v>2/2/2</v>
      </c>
      <c r="BV12" s="223">
        <f t="shared" si="31"/>
        <v>2</v>
      </c>
      <c r="BW12" s="223">
        <f t="shared" si="32"/>
        <v>2</v>
      </c>
      <c r="BX12" s="223">
        <f t="shared" si="33"/>
        <v>2</v>
      </c>
      <c r="BY12" s="223">
        <f t="shared" si="34"/>
        <v>0</v>
      </c>
      <c r="BZ12" s="223">
        <f t="shared" si="35"/>
        <v>0</v>
      </c>
      <c r="CA12" s="223">
        <f t="shared" si="36"/>
        <v>0</v>
      </c>
      <c r="CB12" s="223" t="str">
        <f t="shared" si="37"/>
        <v>1/1/1</v>
      </c>
      <c r="CC12" s="223">
        <f t="shared" si="38"/>
        <v>1</v>
      </c>
      <c r="CD12" s="223">
        <f t="shared" si="39"/>
        <v>1</v>
      </c>
      <c r="CE12" s="223">
        <f t="shared" si="40"/>
        <v>1</v>
      </c>
      <c r="CF12" s="223">
        <f t="shared" si="41"/>
        <v>0</v>
      </c>
      <c r="CG12" s="223">
        <f t="shared" si="42"/>
        <v>0</v>
      </c>
      <c r="CH12" s="223">
        <f t="shared" si="43"/>
        <v>0</v>
      </c>
      <c r="CI12" s="223">
        <f t="shared" si="44"/>
      </c>
      <c r="CJ12" s="223">
        <f t="shared" si="45"/>
        <v>0</v>
      </c>
      <c r="CK12" s="223">
        <f t="shared" si="46"/>
        <v>0</v>
      </c>
      <c r="CL12" s="223">
        <f t="shared" si="47"/>
        <v>0</v>
      </c>
      <c r="CM12" s="223">
        <f t="shared" si="48"/>
        <v>0</v>
      </c>
      <c r="CN12" s="223">
        <f t="shared" si="49"/>
        <v>0</v>
      </c>
      <c r="CO12" s="223">
        <f t="shared" si="50"/>
        <v>0</v>
      </c>
      <c r="CP12" s="223">
        <f t="shared" si="51"/>
      </c>
      <c r="CQ12" s="223">
        <f t="shared" si="52"/>
        <v>0</v>
      </c>
      <c r="CR12" s="223">
        <f t="shared" si="53"/>
        <v>0</v>
      </c>
      <c r="CS12" s="223">
        <f t="shared" si="54"/>
        <v>0</v>
      </c>
      <c r="CT12" s="223">
        <f t="shared" si="55"/>
        <v>0</v>
      </c>
      <c r="CU12" s="223">
        <f t="shared" si="56"/>
        <v>0</v>
      </c>
      <c r="CV12" s="223">
        <f t="shared" si="57"/>
        <v>0</v>
      </c>
      <c r="CW12" s="223">
        <f t="shared" si="58"/>
      </c>
      <c r="CX12" s="223">
        <f t="shared" si="59"/>
        <v>0</v>
      </c>
      <c r="CY12" s="223">
        <f t="shared" si="60"/>
        <v>0</v>
      </c>
      <c r="CZ12" s="223">
        <f t="shared" si="61"/>
        <v>0</v>
      </c>
      <c r="DA12" s="223">
        <f t="shared" si="62"/>
        <v>0</v>
      </c>
      <c r="DB12" s="223">
        <f t="shared" si="63"/>
        <v>0</v>
      </c>
      <c r="DC12" s="223">
        <f t="shared" si="64"/>
        <v>0</v>
      </c>
      <c r="DD12" s="223">
        <f t="shared" si="65"/>
      </c>
      <c r="DE12" s="223">
        <f t="shared" si="66"/>
        <v>0</v>
      </c>
      <c r="DF12" s="223">
        <f t="shared" si="67"/>
        <v>0</v>
      </c>
      <c r="DG12" s="223">
        <f t="shared" si="68"/>
        <v>0</v>
      </c>
      <c r="DH12" s="223">
        <f t="shared" si="69"/>
        <v>0</v>
      </c>
      <c r="DI12" s="223">
        <f t="shared" si="70"/>
        <v>0</v>
      </c>
      <c r="DJ12" s="223">
        <f t="shared" si="71"/>
        <v>0</v>
      </c>
      <c r="DK12" s="223" t="str">
        <f t="shared" si="72"/>
        <v>80W/80W/80W</v>
      </c>
      <c r="DL12" s="223">
        <f t="shared" si="73"/>
        <v>80</v>
      </c>
      <c r="DM12" s="223">
        <f t="shared" si="74"/>
        <v>80</v>
      </c>
      <c r="DN12" s="223">
        <f t="shared" si="75"/>
        <v>80</v>
      </c>
      <c r="DO12" s="223">
        <f t="shared" si="76"/>
        <v>0</v>
      </c>
      <c r="DP12" s="223">
        <f t="shared" si="77"/>
        <v>0</v>
      </c>
      <c r="DQ12" s="223">
        <f t="shared" si="78"/>
        <v>0</v>
      </c>
      <c r="DR12" s="223" t="str">
        <f t="shared" si="79"/>
        <v>80W/ 80W/ 80W</v>
      </c>
      <c r="DS12" s="223">
        <f t="shared" si="80"/>
        <v>80</v>
      </c>
      <c r="DT12" s="223" t="str">
        <f t="shared" si="81"/>
        <v>40W/40W/40W</v>
      </c>
      <c r="DU12" s="223">
        <f t="shared" si="82"/>
        <v>40</v>
      </c>
      <c r="DV12" s="223">
        <f t="shared" si="83"/>
        <v>40</v>
      </c>
      <c r="DW12" s="223">
        <f t="shared" si="84"/>
        <v>40</v>
      </c>
      <c r="DX12" s="223">
        <f t="shared" si="85"/>
        <v>0</v>
      </c>
      <c r="DY12" s="223">
        <f t="shared" si="86"/>
        <v>0</v>
      </c>
      <c r="DZ12" s="223">
        <f t="shared" si="87"/>
        <v>0</v>
      </c>
      <c r="EA12" s="223" t="str">
        <f t="shared" si="88"/>
        <v>40W/ 40W/ 40W</v>
      </c>
      <c r="EB12" s="223">
        <f t="shared" si="89"/>
        <v>40</v>
      </c>
      <c r="EC12" s="223">
        <f t="shared" si="90"/>
      </c>
      <c r="ED12" s="223">
        <f t="shared" si="91"/>
        <v>0</v>
      </c>
      <c r="EE12" s="223">
        <f t="shared" si="92"/>
        <v>0</v>
      </c>
      <c r="EF12" s="223">
        <f t="shared" si="93"/>
        <v>0</v>
      </c>
      <c r="EG12" s="223">
        <f t="shared" si="94"/>
        <v>0</v>
      </c>
      <c r="EH12" s="223">
        <f t="shared" si="95"/>
        <v>0</v>
      </c>
      <c r="EI12" s="223">
        <f t="shared" si="96"/>
        <v>0</v>
      </c>
      <c r="EJ12" s="223">
        <f t="shared" si="97"/>
      </c>
      <c r="EK12" s="223">
        <f t="shared" si="98"/>
        <v>0</v>
      </c>
      <c r="EL12" s="223">
        <f t="shared" si="99"/>
      </c>
      <c r="EM12" s="223">
        <f t="shared" si="100"/>
        <v>0</v>
      </c>
      <c r="EN12" s="223">
        <f t="shared" si="101"/>
        <v>0</v>
      </c>
      <c r="EO12" s="223">
        <f t="shared" si="102"/>
        <v>0</v>
      </c>
      <c r="EP12" s="223">
        <f t="shared" si="103"/>
        <v>0</v>
      </c>
      <c r="EQ12" s="223">
        <f t="shared" si="104"/>
        <v>0</v>
      </c>
      <c r="ER12" s="223">
        <f t="shared" si="105"/>
        <v>0</v>
      </c>
      <c r="ES12" s="223">
        <f t="shared" si="106"/>
      </c>
      <c r="ET12" s="223">
        <f t="shared" si="107"/>
        <v>0</v>
      </c>
      <c r="EU12" s="223">
        <f t="shared" si="108"/>
      </c>
      <c r="EV12" s="223">
        <f t="shared" si="109"/>
        <v>0</v>
      </c>
      <c r="EW12" s="223">
        <f t="shared" si="110"/>
        <v>0</v>
      </c>
      <c r="EX12" s="223">
        <f t="shared" si="111"/>
        <v>0</v>
      </c>
      <c r="EY12" s="223">
        <f t="shared" si="112"/>
        <v>0</v>
      </c>
      <c r="EZ12" s="223">
        <f t="shared" si="113"/>
        <v>0</v>
      </c>
      <c r="FA12" s="223">
        <f t="shared" si="114"/>
        <v>0</v>
      </c>
      <c r="FB12" s="223">
        <f t="shared" si="115"/>
      </c>
      <c r="FC12" s="223">
        <f t="shared" si="116"/>
        <v>0</v>
      </c>
      <c r="FD12" s="223">
        <f t="shared" si="117"/>
      </c>
      <c r="FE12" s="223">
        <f t="shared" si="118"/>
        <v>0</v>
      </c>
      <c r="FF12" s="223">
        <f t="shared" si="119"/>
        <v>0</v>
      </c>
      <c r="FG12" s="223">
        <f t="shared" si="120"/>
        <v>0</v>
      </c>
      <c r="FH12" s="223">
        <f t="shared" si="121"/>
        <v>0</v>
      </c>
      <c r="FI12" s="223">
        <f t="shared" si="122"/>
        <v>0</v>
      </c>
      <c r="FJ12" s="223">
        <f t="shared" si="123"/>
        <v>0</v>
      </c>
      <c r="FK12" s="223">
        <f t="shared" si="124"/>
      </c>
      <c r="FL12" s="223">
        <f t="shared" si="125"/>
        <v>0</v>
      </c>
      <c r="FM12" s="223">
        <f t="shared" si="126"/>
        <v>80</v>
      </c>
      <c r="FN12" s="223" t="str">
        <f t="shared" si="127"/>
        <v>U2100</v>
      </c>
      <c r="FO12" s="223" t="str">
        <f t="shared" si="128"/>
        <v>U900</v>
      </c>
      <c r="FP12" s="223">
        <f t="shared" si="129"/>
      </c>
      <c r="FQ12" s="223">
        <f t="shared" si="130"/>
      </c>
      <c r="FR12" s="223">
        <f t="shared" si="131"/>
      </c>
      <c r="FS12" s="223">
        <f t="shared" si="132"/>
      </c>
      <c r="FT12" s="223" t="str">
        <f t="shared" si="133"/>
        <v>27m/ 27m/ 27m</v>
      </c>
      <c r="FU12" s="223">
        <f t="shared" si="134"/>
        <v>27</v>
      </c>
      <c r="FV12" s="223">
        <f t="shared" si="135"/>
        <v>27</v>
      </c>
      <c r="FW12" s="223">
        <f t="shared" si="136"/>
        <v>27</v>
      </c>
      <c r="FX12" s="223">
        <f t="shared" si="137"/>
        <v>0</v>
      </c>
      <c r="FY12" s="223">
        <f t="shared" si="138"/>
        <v>0</v>
      </c>
      <c r="FZ12" s="223">
        <f t="shared" si="139"/>
        <v>0</v>
      </c>
      <c r="GA12" s="223" t="str">
        <f t="shared" si="140"/>
        <v>27m/ 27m/ 27m</v>
      </c>
      <c r="GB12" s="223" t="str">
        <f t="shared" si="141"/>
        <v>27m/ 27m/ 27m</v>
      </c>
      <c r="GC12" s="223">
        <f t="shared" si="142"/>
        <v>27</v>
      </c>
      <c r="GD12" s="223">
        <f t="shared" si="143"/>
        <v>27</v>
      </c>
      <c r="GE12" s="223">
        <f t="shared" si="144"/>
        <v>27</v>
      </c>
      <c r="GF12" s="223">
        <f t="shared" si="145"/>
        <v>0</v>
      </c>
      <c r="GG12" s="223">
        <f t="shared" si="146"/>
        <v>0</v>
      </c>
      <c r="GH12" s="223">
        <f t="shared" si="147"/>
        <v>0</v>
      </c>
      <c r="GI12" s="223" t="str">
        <f t="shared" si="148"/>
        <v>27m/ 27m/ 27m</v>
      </c>
      <c r="GJ12" s="223">
        <f t="shared" si="149"/>
      </c>
      <c r="GK12" s="223">
        <f t="shared" si="150"/>
        <v>0</v>
      </c>
      <c r="GL12" s="223">
        <f t="shared" si="151"/>
        <v>0</v>
      </c>
      <c r="GM12" s="223">
        <f t="shared" si="152"/>
        <v>0</v>
      </c>
      <c r="GN12" s="223">
        <f t="shared" si="153"/>
        <v>0</v>
      </c>
      <c r="GO12" s="223">
        <f t="shared" si="154"/>
        <v>0</v>
      </c>
      <c r="GP12" s="223">
        <f t="shared" si="155"/>
        <v>0</v>
      </c>
      <c r="GQ12" s="223">
        <f t="shared" si="156"/>
      </c>
      <c r="GR12" s="223">
        <f t="shared" si="157"/>
      </c>
      <c r="GS12" s="223">
        <f t="shared" si="158"/>
        <v>0</v>
      </c>
      <c r="GT12" s="223">
        <f t="shared" si="159"/>
        <v>0</v>
      </c>
      <c r="GU12" s="223">
        <f t="shared" si="160"/>
        <v>0</v>
      </c>
      <c r="GV12" s="223">
        <f t="shared" si="161"/>
        <v>0</v>
      </c>
      <c r="GW12" s="223">
        <f t="shared" si="162"/>
        <v>0</v>
      </c>
      <c r="GX12" s="223">
        <f t="shared" si="163"/>
        <v>0</v>
      </c>
      <c r="GY12" s="223">
        <f t="shared" si="164"/>
      </c>
      <c r="GZ12" s="223">
        <f t="shared" si="165"/>
      </c>
      <c r="HA12" s="223">
        <f t="shared" si="166"/>
        <v>0</v>
      </c>
      <c r="HB12" s="223">
        <f t="shared" si="167"/>
        <v>0</v>
      </c>
      <c r="HC12" s="223">
        <f t="shared" si="168"/>
        <v>0</v>
      </c>
      <c r="HD12" s="223">
        <f t="shared" si="169"/>
        <v>0</v>
      </c>
      <c r="HE12" s="223">
        <f t="shared" si="170"/>
        <v>0</v>
      </c>
      <c r="HF12" s="223">
        <f t="shared" si="171"/>
        <v>0</v>
      </c>
      <c r="HG12" s="223">
        <f t="shared" si="172"/>
      </c>
      <c r="HH12" s="223">
        <f t="shared" si="173"/>
      </c>
      <c r="HI12" s="223">
        <f t="shared" si="174"/>
        <v>0</v>
      </c>
      <c r="HJ12" s="223">
        <f t="shared" si="175"/>
        <v>0</v>
      </c>
      <c r="HK12" s="223">
        <f t="shared" si="176"/>
        <v>0</v>
      </c>
      <c r="HL12" s="223">
        <f t="shared" si="177"/>
        <v>0</v>
      </c>
      <c r="HM12" s="223">
        <f t="shared" si="178"/>
        <v>0</v>
      </c>
      <c r="HN12" s="223">
        <f t="shared" si="179"/>
        <v>0</v>
      </c>
      <c r="HO12" s="223">
        <f t="shared" si="180"/>
      </c>
      <c r="HP12" s="223" t="str">
        <f>INDEX(LabNameList,MATCH(AF12,LabIDList,0))</f>
        <v>Trung tâm Kiểm định và Chứng nhận 2</v>
      </c>
      <c r="HQ12" s="223">
        <f t="shared" si="181"/>
        <v>27</v>
      </c>
      <c r="HR12" s="223">
        <f t="shared" si="182"/>
        <v>27</v>
      </c>
      <c r="HS12" s="223">
        <f t="shared" si="183"/>
        <v>0</v>
      </c>
      <c r="HT12" s="223">
        <f t="shared" si="184"/>
        <v>0</v>
      </c>
      <c r="HU12" s="223">
        <f t="shared" si="185"/>
        <v>0</v>
      </c>
      <c r="HV12" s="223">
        <f t="shared" si="186"/>
        <v>0</v>
      </c>
      <c r="HW12" s="222">
        <f t="shared" si="187"/>
        <v>27</v>
      </c>
      <c r="HX12" s="222">
        <f t="shared" si="188"/>
        <v>20</v>
      </c>
      <c r="HY12" s="223">
        <v>13</v>
      </c>
    </row>
    <row r="13" ht="102">
      <c r="A13" s="222">
        <f>Input!A13</f>
        <v>12</v>
      </c>
      <c r="B13" s="222" t="str">
        <f>Input!B13</f>
        <v>VNM-HCM</v>
      </c>
      <c r="C13" s="222" t="str">
        <f>Input!C13</f>
        <v>VNMOBILE</v>
      </c>
      <c r="D13" s="222" t="str">
        <f t="shared" si="0"/>
        <v>339101</v>
      </c>
      <c r="E13" s="222" t="str">
        <f>Input!E13</f>
        <v>Số 419, ấp Bình Hữu 2, xã Đức Hòa Thượng, huyện Đức Hòa, tỉnh Long An.</v>
      </c>
      <c r="F13" s="222" t="str">
        <f>Input!F13</f>
        <v>Long An</v>
      </c>
      <c r="G13" s="222" t="str">
        <f>Input!G13</f>
        <v>106,47879</v>
      </c>
      <c r="H13" s="222" t="str">
        <f>Input!H13</f>
        <v>10,85035</v>
      </c>
      <c r="I13" s="222">
        <f>Input!I13</f>
        <v>2</v>
      </c>
      <c r="J13" s="222" t="str">
        <f>Input!J13</f>
        <v>1801192/19/TG/TT2</v>
      </c>
      <c r="K13" s="224" t="str">
        <f>TEXT(Input!K13,"dd/mm/yyyy")</f>
        <v>22/07/2019</v>
      </c>
      <c r="L13" s="224" t="str">
        <f>TEXT(Input!L13,"dd/mm/yyyy")</f>
        <v>10/07/2019</v>
      </c>
      <c r="M13" s="222" t="str">
        <f>Input!M13</f>
        <v>CÔNG TY CỔ PHẦN VIỄN THÔNG DI ĐỘNG VIETNAMOBILE;CÔNG TY CỔ PHẦN VIỄN THÔNG DI ĐỘNG VIETNAMOBILE</v>
      </c>
      <c r="N13" s="222" t="str">
        <f>Input!N13</f>
        <v>339101;339101</v>
      </c>
      <c r="O13" s="222" t="str">
        <f>Input!O13</f>
        <v>ZTE ZXSDR BS8700;ZTE ZXSDR BS8700</v>
      </c>
      <c r="P13" s="222" t="str">
        <f>Input!P13</f>
        <v>3;3</v>
      </c>
      <c r="Q13" s="222" t="str">
        <f>Input!Q13</f>
        <v>2/2/2;1/1/1</v>
      </c>
      <c r="R13" s="222" t="str">
        <f>Input!R13</f>
        <v>80W/80W/80W;40W/40W/40W</v>
      </c>
      <c r="S13" s="222" t="str">
        <f>Input!S13</f>
        <v>U2100;U900</v>
      </c>
      <c r="T13" s="222" t="str">
        <f>Input!T13</f>
        <v>43m/ 43m/ 43m;33m/ 33m/ 33m</v>
      </c>
      <c r="U13" s="222">
        <f>Input!U13</f>
        <v>1</v>
      </c>
      <c r="V13" s="222" t="str">
        <f>Input!V13</f>
        <v>Agisson DX-1710-2170-65-18i-0F;MB800/900-65-18DE14</v>
      </c>
      <c r="W13" s="222" t="b">
        <f>IF(OR(Input!W13,Input!W13="TRUE"),TRUE,IF(OR(Input!W13 = 0,Input!W13="FALSE"),FALSE,Input!W13))</f>
        <v>1</v>
      </c>
      <c r="X13" s="222" t="b">
        <f>IF(OR(Input!X13,Input!X13="TRUE"),TRUE,IF(OR(Input!X13 = 0,Input!X13="FALSE"),FALSE,Input!X13))</f>
        <v>0</v>
      </c>
      <c r="Y13" s="222">
        <f>VALUE(Input!Y13)</f>
        <v>0</v>
      </c>
      <c r="Z13" s="222" t="b">
        <f>IF(OR(Input!Z13,Input!Z13="TRUE"),TRUE,IF(OR(Input!Z13 = 0,Input!Z13="FALSE"),FALSE,Input!Z13))</f>
        <v>1</v>
      </c>
      <c r="AA13" s="222">
        <f>VALUE(Input!AA13)</f>
        <v>7</v>
      </c>
      <c r="AB13" s="222" t="b">
        <f>IF(OR(Input!AB13,Input!AB13="TRUE"),TRUE,IF(OR(Input!AB13 = 0,Input!AB13="FALSE"),FALSE,Input!AB13))</f>
        <v>0</v>
      </c>
      <c r="AC13" s="222" t="b">
        <f>IF(OR(Input!AC13,Input!AC13="TRUE"),TRUE,IF(OR(Input!AC13 = 0,Input!AC13="FALSE"),FALSE,Input!AC13))</f>
        <v>1</v>
      </c>
      <c r="AD13" s="222">
        <f>Input!AD13</f>
        <v>0</v>
      </c>
      <c r="AE13" s="222">
        <f>Input!AE13</f>
        <v>0</v>
      </c>
      <c r="AF13" s="222" t="str">
        <f>Input!AF13</f>
        <v>VCC2</v>
      </c>
      <c r="AG13" s="222">
        <f>Input!AG13</f>
        <v>0</v>
      </c>
      <c r="AH13" s="223"/>
      <c r="AI13" s="223" t="str">
        <f>INDEX(ApplicantNameList,MATCH(B13,ApplicantIDList,0))</f>
        <v>Chi nhánh Công ty Cổ phần Viễn thông Di động Vietnamobile tại Thành Phố Hồ Chí Minh</v>
      </c>
      <c r="AJ13" s="223" t="str">
        <f>INDEX(OperatorNameList,MATCH(C13,OperatorIDList,0))</f>
        <v>VNMOBILE</v>
      </c>
      <c r="AK13" s="222">
        <f t="shared" si="1"/>
        <v>4</v>
      </c>
      <c r="AL13" s="331" t="str">
        <f t="shared" si="2"/>
        <v>tỉnh Long An.</v>
      </c>
      <c r="AM13" s="331" t="str">
        <f t="shared" si="3"/>
        <v>huyện Đức Hòa</v>
      </c>
      <c r="AN13" s="331" t="str">
        <f t="shared" si="4"/>
        <v>xã Đức Hòa Thượng</v>
      </c>
      <c r="AO13" s="222" t="str">
        <f>INDEX(CityIDList,MATCH(F13,CityNameList,0))</f>
        <v>LAN</v>
      </c>
      <c r="AP13" s="223" t="str">
        <f t="shared" si="5"/>
        <v>CÔNG TY CỔ PHẦN VIỄN THÔNG DI ĐỘNG VIETNAMOBILE</v>
      </c>
      <c r="AQ13" s="223" t="str">
        <f t="shared" si="6"/>
        <v>CÔNG TY CỔ PHẦN VIỄN THÔNG DI ĐỘNG VIETNAMOBILE</v>
      </c>
      <c r="AR13" s="223">
        <f t="shared" si="7"/>
      </c>
      <c r="AS13" s="223">
        <f t="shared" si="8"/>
      </c>
      <c r="AT13" s="223">
        <f t="shared" si="9"/>
      </c>
      <c r="AU13" s="223">
        <f t="shared" si="10"/>
      </c>
      <c r="AV13" s="223" t="e">
        <f>IF(I13&gt;=1,INDEX(OperatorIDList,MATCH(AP13,OperatorNameList,0)),"")</f>
        <v>#N/A</v>
      </c>
      <c r="AW13" s="223" t="e">
        <f>IF(I13&gt;=2,INDEX(OperatorIDList,MATCH(AQ13,OperatorNameList,0)),"")</f>
        <v>#N/A</v>
      </c>
      <c r="AX13" s="223">
        <f>IF(I13&gt;=3,INDEX(OperatorIDList,MATCH(AR13,OperatorNameList,0)),"")</f>
      </c>
      <c r="AY13" s="223">
        <f>IF(I13&gt;=4,INDEX(OperatorIDList,MATCH(AS13,OperatorNameList,0)),"")</f>
      </c>
      <c r="AZ13" s="223">
        <f>IF(I13&gt;=5,INDEX(OperatorIDList,MATCH(AT13,OperatorNameList,0)),"")</f>
      </c>
      <c r="BA13" s="223">
        <f>IF(I13&gt;=6,INDEX(OperatorIDList,MATCH(AU13,OperatorNameList,0)),"")</f>
      </c>
      <c r="BB13" s="223" t="e">
        <f t="shared" si="11"/>
        <v>#VALUE!</v>
      </c>
      <c r="BC13" s="223" t="str">
        <f t="shared" si="12"/>
        <v>339101</v>
      </c>
      <c r="BD13" s="223" t="str">
        <f t="shared" si="13"/>
        <v>339101</v>
      </c>
      <c r="BE13" s="223">
        <f t="shared" si="14"/>
      </c>
      <c r="BF13" s="223">
        <f t="shared" si="15"/>
      </c>
      <c r="BG13" s="223">
        <f t="shared" si="16"/>
      </c>
      <c r="BH13" s="223">
        <f t="shared" si="17"/>
      </c>
      <c r="BI13" s="223" t="str">
        <f t="shared" si="18"/>
        <v>ZTE ZXSDR BS8700</v>
      </c>
      <c r="BJ13" s="223" t="str">
        <f t="shared" si="19"/>
        <v>ZTE ZXSDR BS8700</v>
      </c>
      <c r="BK13" s="223">
        <f t="shared" si="20"/>
      </c>
      <c r="BL13" s="223">
        <f t="shared" si="21"/>
      </c>
      <c r="BM13" s="223">
        <f t="shared" si="22"/>
      </c>
      <c r="BN13" s="223">
        <f t="shared" si="23"/>
      </c>
      <c r="BO13" s="223">
        <f t="shared" si="24"/>
        <v>3</v>
      </c>
      <c r="BP13" s="223">
        <f t="shared" si="25"/>
        <v>3</v>
      </c>
      <c r="BQ13" s="223">
        <f t="shared" si="26"/>
        <v>0</v>
      </c>
      <c r="BR13" s="223">
        <f t="shared" si="27"/>
        <v>0</v>
      </c>
      <c r="BS13" s="223">
        <f t="shared" si="28"/>
        <v>0</v>
      </c>
      <c r="BT13" s="223">
        <f t="shared" si="29"/>
        <v>0</v>
      </c>
      <c r="BU13" s="223" t="str">
        <f t="shared" si="30"/>
        <v>2/2/2</v>
      </c>
      <c r="BV13" s="223">
        <f t="shared" si="31"/>
        <v>2</v>
      </c>
      <c r="BW13" s="223">
        <f t="shared" si="32"/>
        <v>2</v>
      </c>
      <c r="BX13" s="223">
        <f t="shared" si="33"/>
        <v>2</v>
      </c>
      <c r="BY13" s="223">
        <f t="shared" si="34"/>
        <v>0</v>
      </c>
      <c r="BZ13" s="223">
        <f t="shared" si="35"/>
        <v>0</v>
      </c>
      <c r="CA13" s="223">
        <f t="shared" si="36"/>
        <v>0</v>
      </c>
      <c r="CB13" s="223" t="str">
        <f t="shared" si="37"/>
        <v>1/1/1</v>
      </c>
      <c r="CC13" s="223">
        <f t="shared" si="38"/>
        <v>1</v>
      </c>
      <c r="CD13" s="223">
        <f t="shared" si="39"/>
        <v>1</v>
      </c>
      <c r="CE13" s="223">
        <f t="shared" si="40"/>
        <v>1</v>
      </c>
      <c r="CF13" s="223">
        <f t="shared" si="41"/>
        <v>0</v>
      </c>
      <c r="CG13" s="223">
        <f t="shared" si="42"/>
        <v>0</v>
      </c>
      <c r="CH13" s="223">
        <f t="shared" si="43"/>
        <v>0</v>
      </c>
      <c r="CI13" s="223">
        <f t="shared" si="44"/>
      </c>
      <c r="CJ13" s="223">
        <f t="shared" si="45"/>
        <v>0</v>
      </c>
      <c r="CK13" s="223">
        <f t="shared" si="46"/>
        <v>0</v>
      </c>
      <c r="CL13" s="223">
        <f t="shared" si="47"/>
        <v>0</v>
      </c>
      <c r="CM13" s="223">
        <f t="shared" si="48"/>
        <v>0</v>
      </c>
      <c r="CN13" s="223">
        <f t="shared" si="49"/>
        <v>0</v>
      </c>
      <c r="CO13" s="223">
        <f t="shared" si="50"/>
        <v>0</v>
      </c>
      <c r="CP13" s="223">
        <f t="shared" si="51"/>
      </c>
      <c r="CQ13" s="223">
        <f t="shared" si="52"/>
        <v>0</v>
      </c>
      <c r="CR13" s="223">
        <f t="shared" si="53"/>
        <v>0</v>
      </c>
      <c r="CS13" s="223">
        <f t="shared" si="54"/>
        <v>0</v>
      </c>
      <c r="CT13" s="223">
        <f t="shared" si="55"/>
        <v>0</v>
      </c>
      <c r="CU13" s="223">
        <f t="shared" si="56"/>
        <v>0</v>
      </c>
      <c r="CV13" s="223">
        <f t="shared" si="57"/>
        <v>0</v>
      </c>
      <c r="CW13" s="223">
        <f t="shared" si="58"/>
      </c>
      <c r="CX13" s="223">
        <f t="shared" si="59"/>
        <v>0</v>
      </c>
      <c r="CY13" s="223">
        <f t="shared" si="60"/>
        <v>0</v>
      </c>
      <c r="CZ13" s="223">
        <f t="shared" si="61"/>
        <v>0</v>
      </c>
      <c r="DA13" s="223">
        <f t="shared" si="62"/>
        <v>0</v>
      </c>
      <c r="DB13" s="223">
        <f t="shared" si="63"/>
        <v>0</v>
      </c>
      <c r="DC13" s="223">
        <f t="shared" si="64"/>
        <v>0</v>
      </c>
      <c r="DD13" s="223">
        <f t="shared" si="65"/>
      </c>
      <c r="DE13" s="223">
        <f t="shared" si="66"/>
        <v>0</v>
      </c>
      <c r="DF13" s="223">
        <f t="shared" si="67"/>
        <v>0</v>
      </c>
      <c r="DG13" s="223">
        <f t="shared" si="68"/>
        <v>0</v>
      </c>
      <c r="DH13" s="223">
        <f t="shared" si="69"/>
        <v>0</v>
      </c>
      <c r="DI13" s="223">
        <f t="shared" si="70"/>
        <v>0</v>
      </c>
      <c r="DJ13" s="223">
        <f t="shared" si="71"/>
        <v>0</v>
      </c>
      <c r="DK13" s="223" t="str">
        <f t="shared" si="72"/>
        <v>80W/80W/80W</v>
      </c>
      <c r="DL13" s="223">
        <f t="shared" si="73"/>
        <v>80</v>
      </c>
      <c r="DM13" s="223">
        <f t="shared" si="74"/>
        <v>80</v>
      </c>
      <c r="DN13" s="223">
        <f t="shared" si="75"/>
        <v>80</v>
      </c>
      <c r="DO13" s="223">
        <f t="shared" si="76"/>
        <v>0</v>
      </c>
      <c r="DP13" s="223">
        <f t="shared" si="77"/>
        <v>0</v>
      </c>
      <c r="DQ13" s="223">
        <f t="shared" si="78"/>
        <v>0</v>
      </c>
      <c r="DR13" s="223" t="str">
        <f t="shared" si="79"/>
        <v>80W/ 80W/ 80W</v>
      </c>
      <c r="DS13" s="223">
        <f t="shared" si="80"/>
        <v>80</v>
      </c>
      <c r="DT13" s="223" t="str">
        <f t="shared" si="81"/>
        <v>40W/40W/40W</v>
      </c>
      <c r="DU13" s="223">
        <f t="shared" si="82"/>
        <v>40</v>
      </c>
      <c r="DV13" s="223">
        <f t="shared" si="83"/>
        <v>40</v>
      </c>
      <c r="DW13" s="223">
        <f t="shared" si="84"/>
        <v>40</v>
      </c>
      <c r="DX13" s="223">
        <f t="shared" si="85"/>
        <v>0</v>
      </c>
      <c r="DY13" s="223">
        <f t="shared" si="86"/>
        <v>0</v>
      </c>
      <c r="DZ13" s="223">
        <f t="shared" si="87"/>
        <v>0</v>
      </c>
      <c r="EA13" s="223" t="str">
        <f t="shared" si="88"/>
        <v>40W/ 40W/ 40W</v>
      </c>
      <c r="EB13" s="223">
        <f t="shared" si="89"/>
        <v>40</v>
      </c>
      <c r="EC13" s="223">
        <f t="shared" si="90"/>
      </c>
      <c r="ED13" s="223">
        <f t="shared" si="91"/>
        <v>0</v>
      </c>
      <c r="EE13" s="223">
        <f t="shared" si="92"/>
        <v>0</v>
      </c>
      <c r="EF13" s="223">
        <f t="shared" si="93"/>
        <v>0</v>
      </c>
      <c r="EG13" s="223">
        <f t="shared" si="94"/>
        <v>0</v>
      </c>
      <c r="EH13" s="223">
        <f t="shared" si="95"/>
        <v>0</v>
      </c>
      <c r="EI13" s="223">
        <f t="shared" si="96"/>
        <v>0</v>
      </c>
      <c r="EJ13" s="223">
        <f t="shared" si="97"/>
      </c>
      <c r="EK13" s="223">
        <f t="shared" si="98"/>
        <v>0</v>
      </c>
      <c r="EL13" s="223">
        <f t="shared" si="99"/>
      </c>
      <c r="EM13" s="223">
        <f t="shared" si="100"/>
        <v>0</v>
      </c>
      <c r="EN13" s="223">
        <f t="shared" si="101"/>
        <v>0</v>
      </c>
      <c r="EO13" s="223">
        <f t="shared" si="102"/>
        <v>0</v>
      </c>
      <c r="EP13" s="223">
        <f t="shared" si="103"/>
        <v>0</v>
      </c>
      <c r="EQ13" s="223">
        <f t="shared" si="104"/>
        <v>0</v>
      </c>
      <c r="ER13" s="223">
        <f t="shared" si="105"/>
        <v>0</v>
      </c>
      <c r="ES13" s="223">
        <f t="shared" si="106"/>
      </c>
      <c r="ET13" s="223">
        <f t="shared" si="107"/>
        <v>0</v>
      </c>
      <c r="EU13" s="223">
        <f t="shared" si="108"/>
      </c>
      <c r="EV13" s="223">
        <f t="shared" si="109"/>
        <v>0</v>
      </c>
      <c r="EW13" s="223">
        <f t="shared" si="110"/>
        <v>0</v>
      </c>
      <c r="EX13" s="223">
        <f t="shared" si="111"/>
        <v>0</v>
      </c>
      <c r="EY13" s="223">
        <f t="shared" si="112"/>
        <v>0</v>
      </c>
      <c r="EZ13" s="223">
        <f t="shared" si="113"/>
        <v>0</v>
      </c>
      <c r="FA13" s="223">
        <f t="shared" si="114"/>
        <v>0</v>
      </c>
      <c r="FB13" s="223">
        <f t="shared" si="115"/>
      </c>
      <c r="FC13" s="223">
        <f t="shared" si="116"/>
        <v>0</v>
      </c>
      <c r="FD13" s="223">
        <f t="shared" si="117"/>
      </c>
      <c r="FE13" s="223">
        <f t="shared" si="118"/>
        <v>0</v>
      </c>
      <c r="FF13" s="223">
        <f t="shared" si="119"/>
        <v>0</v>
      </c>
      <c r="FG13" s="223">
        <f t="shared" si="120"/>
        <v>0</v>
      </c>
      <c r="FH13" s="223">
        <f t="shared" si="121"/>
        <v>0</v>
      </c>
      <c r="FI13" s="223">
        <f t="shared" si="122"/>
        <v>0</v>
      </c>
      <c r="FJ13" s="223">
        <f t="shared" si="123"/>
        <v>0</v>
      </c>
      <c r="FK13" s="223">
        <f t="shared" si="124"/>
      </c>
      <c r="FL13" s="223">
        <f t="shared" si="125"/>
        <v>0</v>
      </c>
      <c r="FM13" s="223">
        <f t="shared" si="126"/>
        <v>80</v>
      </c>
      <c r="FN13" s="223" t="str">
        <f t="shared" si="127"/>
        <v>U2100</v>
      </c>
      <c r="FO13" s="223" t="str">
        <f t="shared" si="128"/>
        <v>U900</v>
      </c>
      <c r="FP13" s="223">
        <f t="shared" si="129"/>
      </c>
      <c r="FQ13" s="223">
        <f t="shared" si="130"/>
      </c>
      <c r="FR13" s="223">
        <f t="shared" si="131"/>
      </c>
      <c r="FS13" s="223">
        <f t="shared" si="132"/>
      </c>
      <c r="FT13" s="223" t="str">
        <f t="shared" si="133"/>
        <v>43m/ 43m/ 43m</v>
      </c>
      <c r="FU13" s="223">
        <f t="shared" si="134"/>
        <v>43</v>
      </c>
      <c r="FV13" s="223">
        <f t="shared" si="135"/>
        <v>43</v>
      </c>
      <c r="FW13" s="223">
        <f t="shared" si="136"/>
        <v>43</v>
      </c>
      <c r="FX13" s="223">
        <f t="shared" si="137"/>
        <v>0</v>
      </c>
      <c r="FY13" s="223">
        <f t="shared" si="138"/>
        <v>0</v>
      </c>
      <c r="FZ13" s="223">
        <f t="shared" si="139"/>
        <v>0</v>
      </c>
      <c r="GA13" s="223" t="str">
        <f t="shared" si="140"/>
        <v>43m/ 43m/ 43m</v>
      </c>
      <c r="GB13" s="223" t="str">
        <f t="shared" si="141"/>
        <v>33m/ 33m/ 33m</v>
      </c>
      <c r="GC13" s="223">
        <f t="shared" si="142"/>
        <v>33</v>
      </c>
      <c r="GD13" s="223">
        <f t="shared" si="143"/>
        <v>33</v>
      </c>
      <c r="GE13" s="223">
        <f t="shared" si="144"/>
        <v>33</v>
      </c>
      <c r="GF13" s="223">
        <f t="shared" si="145"/>
        <v>0</v>
      </c>
      <c r="GG13" s="223">
        <f t="shared" si="146"/>
        <v>0</v>
      </c>
      <c r="GH13" s="223">
        <f t="shared" si="147"/>
        <v>0</v>
      </c>
      <c r="GI13" s="223" t="str">
        <f t="shared" si="148"/>
        <v>33m/ 33m/ 33m</v>
      </c>
      <c r="GJ13" s="223">
        <f t="shared" si="149"/>
      </c>
      <c r="GK13" s="223">
        <f t="shared" si="150"/>
        <v>0</v>
      </c>
      <c r="GL13" s="223">
        <f t="shared" si="151"/>
        <v>0</v>
      </c>
      <c r="GM13" s="223">
        <f t="shared" si="152"/>
        <v>0</v>
      </c>
      <c r="GN13" s="223">
        <f t="shared" si="153"/>
        <v>0</v>
      </c>
      <c r="GO13" s="223">
        <f t="shared" si="154"/>
        <v>0</v>
      </c>
      <c r="GP13" s="223">
        <f t="shared" si="155"/>
        <v>0</v>
      </c>
      <c r="GQ13" s="223">
        <f t="shared" si="156"/>
      </c>
      <c r="GR13" s="223">
        <f t="shared" si="157"/>
      </c>
      <c r="GS13" s="223">
        <f t="shared" si="158"/>
        <v>0</v>
      </c>
      <c r="GT13" s="223">
        <f t="shared" si="159"/>
        <v>0</v>
      </c>
      <c r="GU13" s="223">
        <f t="shared" si="160"/>
        <v>0</v>
      </c>
      <c r="GV13" s="223">
        <f t="shared" si="161"/>
        <v>0</v>
      </c>
      <c r="GW13" s="223">
        <f t="shared" si="162"/>
        <v>0</v>
      </c>
      <c r="GX13" s="223">
        <f t="shared" si="163"/>
        <v>0</v>
      </c>
      <c r="GY13" s="223">
        <f t="shared" si="164"/>
      </c>
      <c r="GZ13" s="223">
        <f t="shared" si="165"/>
      </c>
      <c r="HA13" s="223">
        <f t="shared" si="166"/>
        <v>0</v>
      </c>
      <c r="HB13" s="223">
        <f t="shared" si="167"/>
        <v>0</v>
      </c>
      <c r="HC13" s="223">
        <f t="shared" si="168"/>
        <v>0</v>
      </c>
      <c r="HD13" s="223">
        <f t="shared" si="169"/>
        <v>0</v>
      </c>
      <c r="HE13" s="223">
        <f t="shared" si="170"/>
        <v>0</v>
      </c>
      <c r="HF13" s="223">
        <f t="shared" si="171"/>
        <v>0</v>
      </c>
      <c r="HG13" s="223">
        <f t="shared" si="172"/>
      </c>
      <c r="HH13" s="223">
        <f t="shared" si="173"/>
      </c>
      <c r="HI13" s="223">
        <f t="shared" si="174"/>
        <v>0</v>
      </c>
      <c r="HJ13" s="223">
        <f t="shared" si="175"/>
        <v>0</v>
      </c>
      <c r="HK13" s="223">
        <f t="shared" si="176"/>
        <v>0</v>
      </c>
      <c r="HL13" s="223">
        <f t="shared" si="177"/>
        <v>0</v>
      </c>
      <c r="HM13" s="223">
        <f t="shared" si="178"/>
        <v>0</v>
      </c>
      <c r="HN13" s="223">
        <f t="shared" si="179"/>
        <v>0</v>
      </c>
      <c r="HO13" s="223">
        <f t="shared" si="180"/>
      </c>
      <c r="HP13" s="223" t="str">
        <f>INDEX(LabNameList,MATCH(AF13,LabIDList,0))</f>
        <v>Trung tâm Kiểm định và Chứng nhận 2</v>
      </c>
      <c r="HQ13" s="223">
        <f t="shared" si="181"/>
        <v>43</v>
      </c>
      <c r="HR13" s="223">
        <f t="shared" si="182"/>
        <v>33</v>
      </c>
      <c r="HS13" s="223">
        <f t="shared" si="183"/>
        <v>0</v>
      </c>
      <c r="HT13" s="223">
        <f t="shared" si="184"/>
        <v>0</v>
      </c>
      <c r="HU13" s="223">
        <f t="shared" si="185"/>
        <v>0</v>
      </c>
      <c r="HV13" s="223">
        <f t="shared" si="186"/>
        <v>0</v>
      </c>
      <c r="HW13" s="222">
        <f t="shared" si="187"/>
        <v>33</v>
      </c>
      <c r="HX13" s="222">
        <f t="shared" si="188"/>
        <v>26</v>
      </c>
      <c r="HY13" s="223">
        <v>13</v>
      </c>
    </row>
    <row r="14" ht="102">
      <c r="A14" s="222">
        <f>Input!A14</f>
        <v>13</v>
      </c>
      <c r="B14" s="222" t="str">
        <f>Input!B14</f>
        <v>VNM-HCM</v>
      </c>
      <c r="C14" s="222" t="str">
        <f>Input!C14</f>
        <v>VNMOBILE</v>
      </c>
      <c r="D14" s="222" t="str">
        <f t="shared" si="0"/>
        <v>339027</v>
      </c>
      <c r="E14" s="222" t="str">
        <f>Input!E14</f>
        <v>Số 360, ấp Lộc Bình, xã Lộc Giang, huyện Đức Hòa, tỉnh Long An.</v>
      </c>
      <c r="F14" s="222" t="str">
        <f>Input!F14</f>
        <v>Long An</v>
      </c>
      <c r="G14" s="222" t="str">
        <f>Input!G14</f>
        <v>106,31339</v>
      </c>
      <c r="H14" s="222" t="str">
        <f>Input!H14</f>
        <v>11,00522</v>
      </c>
      <c r="I14" s="222">
        <f>Input!I14</f>
        <v>2</v>
      </c>
      <c r="J14" s="222" t="str">
        <f>Input!J14</f>
        <v>1801193/19/TG/TT2</v>
      </c>
      <c r="K14" s="224" t="str">
        <f>TEXT(Input!K14,"dd/mm/yyyy")</f>
        <v>22/07/2019</v>
      </c>
      <c r="L14" s="224" t="str">
        <f>TEXT(Input!L14,"dd/mm/yyyy")</f>
        <v>15/07/2019</v>
      </c>
      <c r="M14" s="222" t="str">
        <f>Input!M14</f>
        <v>CÔNG TY CỔ PHẦN VIỄN THÔNG DI ĐỘNG VIETNAMOBILE;CÔNG TY CỔ PHẦN VIỄN THÔNG DI ĐỘNG VIETNAMOBILE</v>
      </c>
      <c r="N14" s="222" t="str">
        <f>Input!N14</f>
        <v>339027;339027</v>
      </c>
      <c r="O14" s="222" t="str">
        <f>Input!O14</f>
        <v>ZTE ZXSDR BS8700;ZTE ZXSDR BS8700</v>
      </c>
      <c r="P14" s="222" t="str">
        <f>Input!P14</f>
        <v>3;3</v>
      </c>
      <c r="Q14" s="222" t="str">
        <f>Input!Q14</f>
        <v>2/2/2;1/1/1</v>
      </c>
      <c r="R14" s="222" t="str">
        <f>Input!R14</f>
        <v>80W/80W/80W;40W/40W/40W</v>
      </c>
      <c r="S14" s="222" t="str">
        <f>Input!S14</f>
        <v>U2100;U900</v>
      </c>
      <c r="T14" s="222" t="str">
        <f>Input!T14</f>
        <v>25m/ 25m/ 25m;28m/ 28m/ 28m</v>
      </c>
      <c r="U14" s="222">
        <f>Input!U14</f>
        <v>1</v>
      </c>
      <c r="V14" s="222" t="str">
        <f>Input!V14</f>
        <v>Agisson DX-1710-2170-65-18i-0F;MB800/900-65-18DE14</v>
      </c>
      <c r="W14" s="222" t="b">
        <f>IF(OR(Input!W14,Input!W14="TRUE"),TRUE,IF(OR(Input!W14 = 0,Input!W14="FALSE"),FALSE,Input!W14))</f>
        <v>0</v>
      </c>
      <c r="X14" s="222" t="b">
        <f>IF(OR(Input!X14,Input!X14="TRUE"),TRUE,IF(OR(Input!X14 = 0,Input!X14="FALSE"),FALSE,Input!X14))</f>
        <v>0</v>
      </c>
      <c r="Y14" s="222">
        <f>VALUE(Input!Y14)</f>
        <v>0</v>
      </c>
      <c r="Z14" s="222" t="b">
        <f>IF(OR(Input!Z14,Input!Z14="TRUE"),TRUE,IF(OR(Input!Z14 = 0,Input!Z14="FALSE"),FALSE,Input!Z14))</f>
        <v>1</v>
      </c>
      <c r="AA14" s="222">
        <f>VALUE(Input!AA14)</f>
        <v>11</v>
      </c>
      <c r="AB14" s="222" t="b">
        <f>IF(OR(Input!AB14,Input!AB14="TRUE"),TRUE,IF(OR(Input!AB14 = 0,Input!AB14="FALSE"),FALSE,Input!AB14))</f>
        <v>0</v>
      </c>
      <c r="AC14" s="222" t="b">
        <f>IF(OR(Input!AC14,Input!AC14="TRUE"),TRUE,IF(OR(Input!AC14 = 0,Input!AC14="FALSE"),FALSE,Input!AC14))</f>
        <v>1</v>
      </c>
      <c r="AD14" s="222">
        <f>Input!AD14</f>
        <v>0</v>
      </c>
      <c r="AE14" s="222">
        <f>Input!AE14</f>
        <v>0</v>
      </c>
      <c r="AF14" s="222" t="str">
        <f>Input!AF14</f>
        <v>VCC2</v>
      </c>
      <c r="AG14" s="222">
        <f>Input!AG14</f>
        <v>0</v>
      </c>
      <c r="AH14" s="223"/>
      <c r="AI14" s="223" t="str">
        <f>INDEX(ApplicantNameList,MATCH(B14,ApplicantIDList,0))</f>
        <v>Chi nhánh Công ty Cổ phần Viễn thông Di động Vietnamobile tại Thành Phố Hồ Chí Minh</v>
      </c>
      <c r="AJ14" s="223" t="str">
        <f>INDEX(OperatorNameList,MATCH(C14,OperatorIDList,0))</f>
        <v>VNMOBILE</v>
      </c>
      <c r="AK14" s="222">
        <f t="shared" si="1"/>
        <v>4</v>
      </c>
      <c r="AL14" s="331" t="str">
        <f t="shared" si="2"/>
        <v>tỉnh Long An.</v>
      </c>
      <c r="AM14" s="331" t="str">
        <f t="shared" si="3"/>
        <v>huyện Đức Hòa</v>
      </c>
      <c r="AN14" s="331" t="str">
        <f t="shared" si="4"/>
        <v>xã Lộc Giang</v>
      </c>
      <c r="AO14" s="222" t="str">
        <f>INDEX(CityIDList,MATCH(F14,CityNameList,0))</f>
        <v>LAN</v>
      </c>
      <c r="AP14" s="223" t="str">
        <f t="shared" si="5"/>
        <v>CÔNG TY CỔ PHẦN VIỄN THÔNG DI ĐỘNG VIETNAMOBILE</v>
      </c>
      <c r="AQ14" s="223" t="str">
        <f t="shared" si="6"/>
        <v>CÔNG TY CỔ PHẦN VIỄN THÔNG DI ĐỘNG VIETNAMOBILE</v>
      </c>
      <c r="AR14" s="223">
        <f t="shared" si="7"/>
      </c>
      <c r="AS14" s="223">
        <f t="shared" si="8"/>
      </c>
      <c r="AT14" s="223">
        <f t="shared" si="9"/>
      </c>
      <c r="AU14" s="223">
        <f t="shared" si="10"/>
      </c>
      <c r="AV14" s="223" t="e">
        <f>IF(I14&gt;=1,INDEX(OperatorIDList,MATCH(AP14,OperatorNameList,0)),"")</f>
        <v>#N/A</v>
      </c>
      <c r="AW14" s="223" t="e">
        <f>IF(I14&gt;=2,INDEX(OperatorIDList,MATCH(AQ14,OperatorNameList,0)),"")</f>
        <v>#N/A</v>
      </c>
      <c r="AX14" s="223">
        <f>IF(I14&gt;=3,INDEX(OperatorIDList,MATCH(AR14,OperatorNameList,0)),"")</f>
      </c>
      <c r="AY14" s="223">
        <f>IF(I14&gt;=4,INDEX(OperatorIDList,MATCH(AS14,OperatorNameList,0)),"")</f>
      </c>
      <c r="AZ14" s="223">
        <f>IF(I14&gt;=5,INDEX(OperatorIDList,MATCH(AT14,OperatorNameList,0)),"")</f>
      </c>
      <c r="BA14" s="223">
        <f>IF(I14&gt;=6,INDEX(OperatorIDList,MATCH(AU14,OperatorNameList,0)),"")</f>
      </c>
      <c r="BB14" s="223" t="e">
        <f t="shared" si="11"/>
        <v>#VALUE!</v>
      </c>
      <c r="BC14" s="223" t="str">
        <f t="shared" si="12"/>
        <v>339027</v>
      </c>
      <c r="BD14" s="223" t="str">
        <f t="shared" si="13"/>
        <v>339027</v>
      </c>
      <c r="BE14" s="223">
        <f t="shared" si="14"/>
      </c>
      <c r="BF14" s="223">
        <f t="shared" si="15"/>
      </c>
      <c r="BG14" s="223">
        <f t="shared" si="16"/>
      </c>
      <c r="BH14" s="223">
        <f t="shared" si="17"/>
      </c>
      <c r="BI14" s="223" t="str">
        <f t="shared" si="18"/>
        <v>ZTE ZXSDR BS8700</v>
      </c>
      <c r="BJ14" s="223" t="str">
        <f t="shared" si="19"/>
        <v>ZTE ZXSDR BS8700</v>
      </c>
      <c r="BK14" s="223">
        <f t="shared" si="20"/>
      </c>
      <c r="BL14" s="223">
        <f t="shared" si="21"/>
      </c>
      <c r="BM14" s="223">
        <f t="shared" si="22"/>
      </c>
      <c r="BN14" s="223">
        <f t="shared" si="23"/>
      </c>
      <c r="BO14" s="223">
        <f t="shared" si="24"/>
        <v>3</v>
      </c>
      <c r="BP14" s="223">
        <f t="shared" si="25"/>
        <v>3</v>
      </c>
      <c r="BQ14" s="223">
        <f t="shared" si="26"/>
        <v>0</v>
      </c>
      <c r="BR14" s="223">
        <f t="shared" si="27"/>
        <v>0</v>
      </c>
      <c r="BS14" s="223">
        <f t="shared" si="28"/>
        <v>0</v>
      </c>
      <c r="BT14" s="223">
        <f t="shared" si="29"/>
        <v>0</v>
      </c>
      <c r="BU14" s="223" t="str">
        <f t="shared" si="30"/>
        <v>2/2/2</v>
      </c>
      <c r="BV14" s="223">
        <f t="shared" si="31"/>
        <v>2</v>
      </c>
      <c r="BW14" s="223">
        <f t="shared" si="32"/>
        <v>2</v>
      </c>
      <c r="BX14" s="223">
        <f t="shared" si="33"/>
        <v>2</v>
      </c>
      <c r="BY14" s="223">
        <f t="shared" si="34"/>
        <v>0</v>
      </c>
      <c r="BZ14" s="223">
        <f t="shared" si="35"/>
        <v>0</v>
      </c>
      <c r="CA14" s="223">
        <f t="shared" si="36"/>
        <v>0</v>
      </c>
      <c r="CB14" s="223" t="str">
        <f t="shared" si="37"/>
        <v>1/1/1</v>
      </c>
      <c r="CC14" s="223">
        <f t="shared" si="38"/>
        <v>1</v>
      </c>
      <c r="CD14" s="223">
        <f t="shared" si="39"/>
        <v>1</v>
      </c>
      <c r="CE14" s="223">
        <f t="shared" si="40"/>
        <v>1</v>
      </c>
      <c r="CF14" s="223">
        <f t="shared" si="41"/>
        <v>0</v>
      </c>
      <c r="CG14" s="223">
        <f t="shared" si="42"/>
        <v>0</v>
      </c>
      <c r="CH14" s="223">
        <f t="shared" si="43"/>
        <v>0</v>
      </c>
      <c r="CI14" s="223">
        <f t="shared" si="44"/>
      </c>
      <c r="CJ14" s="223">
        <f t="shared" si="45"/>
        <v>0</v>
      </c>
      <c r="CK14" s="223">
        <f t="shared" si="46"/>
        <v>0</v>
      </c>
      <c r="CL14" s="223">
        <f t="shared" si="47"/>
        <v>0</v>
      </c>
      <c r="CM14" s="223">
        <f t="shared" si="48"/>
        <v>0</v>
      </c>
      <c r="CN14" s="223">
        <f t="shared" si="49"/>
        <v>0</v>
      </c>
      <c r="CO14" s="223">
        <f t="shared" si="50"/>
        <v>0</v>
      </c>
      <c r="CP14" s="223">
        <f t="shared" si="51"/>
      </c>
      <c r="CQ14" s="223">
        <f t="shared" si="52"/>
        <v>0</v>
      </c>
      <c r="CR14" s="223">
        <f t="shared" si="53"/>
        <v>0</v>
      </c>
      <c r="CS14" s="223">
        <f t="shared" si="54"/>
        <v>0</v>
      </c>
      <c r="CT14" s="223">
        <f t="shared" si="55"/>
        <v>0</v>
      </c>
      <c r="CU14" s="223">
        <f t="shared" si="56"/>
        <v>0</v>
      </c>
      <c r="CV14" s="223">
        <f t="shared" si="57"/>
        <v>0</v>
      </c>
      <c r="CW14" s="223">
        <f t="shared" si="58"/>
      </c>
      <c r="CX14" s="223">
        <f t="shared" si="59"/>
        <v>0</v>
      </c>
      <c r="CY14" s="223">
        <f t="shared" si="60"/>
        <v>0</v>
      </c>
      <c r="CZ14" s="223">
        <f t="shared" si="61"/>
        <v>0</v>
      </c>
      <c r="DA14" s="223">
        <f t="shared" si="62"/>
        <v>0</v>
      </c>
      <c r="DB14" s="223">
        <f t="shared" si="63"/>
        <v>0</v>
      </c>
      <c r="DC14" s="223">
        <f t="shared" si="64"/>
        <v>0</v>
      </c>
      <c r="DD14" s="223">
        <f t="shared" si="65"/>
      </c>
      <c r="DE14" s="223">
        <f t="shared" si="66"/>
        <v>0</v>
      </c>
      <c r="DF14" s="223">
        <f t="shared" si="67"/>
        <v>0</v>
      </c>
      <c r="DG14" s="223">
        <f t="shared" si="68"/>
        <v>0</v>
      </c>
      <c r="DH14" s="223">
        <f t="shared" si="69"/>
        <v>0</v>
      </c>
      <c r="DI14" s="223">
        <f t="shared" si="70"/>
        <v>0</v>
      </c>
      <c r="DJ14" s="223">
        <f t="shared" si="71"/>
        <v>0</v>
      </c>
      <c r="DK14" s="223" t="str">
        <f t="shared" si="72"/>
        <v>80W/80W/80W</v>
      </c>
      <c r="DL14" s="223">
        <f t="shared" si="73"/>
        <v>80</v>
      </c>
      <c r="DM14" s="223">
        <f t="shared" si="74"/>
        <v>80</v>
      </c>
      <c r="DN14" s="223">
        <f t="shared" si="75"/>
        <v>80</v>
      </c>
      <c r="DO14" s="223">
        <f t="shared" si="76"/>
        <v>0</v>
      </c>
      <c r="DP14" s="223">
        <f t="shared" si="77"/>
        <v>0</v>
      </c>
      <c r="DQ14" s="223">
        <f t="shared" si="78"/>
        <v>0</v>
      </c>
      <c r="DR14" s="223" t="str">
        <f t="shared" si="79"/>
        <v>80W/ 80W/ 80W</v>
      </c>
      <c r="DS14" s="223">
        <f t="shared" si="80"/>
        <v>80</v>
      </c>
      <c r="DT14" s="223" t="str">
        <f t="shared" si="81"/>
        <v>40W/40W/40W</v>
      </c>
      <c r="DU14" s="223">
        <f t="shared" si="82"/>
        <v>40</v>
      </c>
      <c r="DV14" s="223">
        <f t="shared" si="83"/>
        <v>40</v>
      </c>
      <c r="DW14" s="223">
        <f t="shared" si="84"/>
        <v>40</v>
      </c>
      <c r="DX14" s="223">
        <f t="shared" si="85"/>
        <v>0</v>
      </c>
      <c r="DY14" s="223">
        <f t="shared" si="86"/>
        <v>0</v>
      </c>
      <c r="DZ14" s="223">
        <f t="shared" si="87"/>
        <v>0</v>
      </c>
      <c r="EA14" s="223" t="str">
        <f t="shared" si="88"/>
        <v>40W/ 40W/ 40W</v>
      </c>
      <c r="EB14" s="223">
        <f t="shared" si="89"/>
        <v>40</v>
      </c>
      <c r="EC14" s="223">
        <f t="shared" si="90"/>
      </c>
      <c r="ED14" s="223">
        <f t="shared" si="91"/>
        <v>0</v>
      </c>
      <c r="EE14" s="223">
        <f t="shared" si="92"/>
        <v>0</v>
      </c>
      <c r="EF14" s="223">
        <f t="shared" si="93"/>
        <v>0</v>
      </c>
      <c r="EG14" s="223">
        <f t="shared" si="94"/>
        <v>0</v>
      </c>
      <c r="EH14" s="223">
        <f t="shared" si="95"/>
        <v>0</v>
      </c>
      <c r="EI14" s="223">
        <f t="shared" si="96"/>
        <v>0</v>
      </c>
      <c r="EJ14" s="223">
        <f t="shared" si="97"/>
      </c>
      <c r="EK14" s="223">
        <f t="shared" si="98"/>
        <v>0</v>
      </c>
      <c r="EL14" s="223">
        <f t="shared" si="99"/>
      </c>
      <c r="EM14" s="223">
        <f t="shared" si="100"/>
        <v>0</v>
      </c>
      <c r="EN14" s="223">
        <f t="shared" si="101"/>
        <v>0</v>
      </c>
      <c r="EO14" s="223">
        <f t="shared" si="102"/>
        <v>0</v>
      </c>
      <c r="EP14" s="223">
        <f t="shared" si="103"/>
        <v>0</v>
      </c>
      <c r="EQ14" s="223">
        <f t="shared" si="104"/>
        <v>0</v>
      </c>
      <c r="ER14" s="223">
        <f t="shared" si="105"/>
        <v>0</v>
      </c>
      <c r="ES14" s="223">
        <f t="shared" si="106"/>
      </c>
      <c r="ET14" s="223">
        <f t="shared" si="107"/>
        <v>0</v>
      </c>
      <c r="EU14" s="223">
        <f t="shared" si="108"/>
      </c>
      <c r="EV14" s="223">
        <f t="shared" si="109"/>
        <v>0</v>
      </c>
      <c r="EW14" s="223">
        <f t="shared" si="110"/>
        <v>0</v>
      </c>
      <c r="EX14" s="223">
        <f t="shared" si="111"/>
        <v>0</v>
      </c>
      <c r="EY14" s="223">
        <f t="shared" si="112"/>
        <v>0</v>
      </c>
      <c r="EZ14" s="223">
        <f t="shared" si="113"/>
        <v>0</v>
      </c>
      <c r="FA14" s="223">
        <f t="shared" si="114"/>
        <v>0</v>
      </c>
      <c r="FB14" s="223">
        <f t="shared" si="115"/>
      </c>
      <c r="FC14" s="223">
        <f t="shared" si="116"/>
        <v>0</v>
      </c>
      <c r="FD14" s="223">
        <f t="shared" si="117"/>
      </c>
      <c r="FE14" s="223">
        <f t="shared" si="118"/>
        <v>0</v>
      </c>
      <c r="FF14" s="223">
        <f t="shared" si="119"/>
        <v>0</v>
      </c>
      <c r="FG14" s="223">
        <f t="shared" si="120"/>
        <v>0</v>
      </c>
      <c r="FH14" s="223">
        <f t="shared" si="121"/>
        <v>0</v>
      </c>
      <c r="FI14" s="223">
        <f t="shared" si="122"/>
        <v>0</v>
      </c>
      <c r="FJ14" s="223">
        <f t="shared" si="123"/>
        <v>0</v>
      </c>
      <c r="FK14" s="223">
        <f t="shared" si="124"/>
      </c>
      <c r="FL14" s="223">
        <f t="shared" si="125"/>
        <v>0</v>
      </c>
      <c r="FM14" s="223">
        <f t="shared" si="126"/>
        <v>80</v>
      </c>
      <c r="FN14" s="223" t="str">
        <f t="shared" si="127"/>
        <v>U2100</v>
      </c>
      <c r="FO14" s="223" t="str">
        <f t="shared" si="128"/>
        <v>U900</v>
      </c>
      <c r="FP14" s="223">
        <f t="shared" si="129"/>
      </c>
      <c r="FQ14" s="223">
        <f t="shared" si="130"/>
      </c>
      <c r="FR14" s="223">
        <f t="shared" si="131"/>
      </c>
      <c r="FS14" s="223">
        <f t="shared" si="132"/>
      </c>
      <c r="FT14" s="223" t="str">
        <f t="shared" si="133"/>
        <v>25m/ 25m/ 25m</v>
      </c>
      <c r="FU14" s="223">
        <f t="shared" si="134"/>
        <v>25</v>
      </c>
      <c r="FV14" s="223">
        <f t="shared" si="135"/>
        <v>25</v>
      </c>
      <c r="FW14" s="223">
        <f t="shared" si="136"/>
        <v>25</v>
      </c>
      <c r="FX14" s="223">
        <f t="shared" si="137"/>
        <v>0</v>
      </c>
      <c r="FY14" s="223">
        <f t="shared" si="138"/>
        <v>0</v>
      </c>
      <c r="FZ14" s="223">
        <f t="shared" si="139"/>
        <v>0</v>
      </c>
      <c r="GA14" s="223" t="str">
        <f t="shared" si="140"/>
        <v>25m/ 25m/ 25m</v>
      </c>
      <c r="GB14" s="223" t="str">
        <f t="shared" si="141"/>
        <v>28m/ 28m/ 28m</v>
      </c>
      <c r="GC14" s="223">
        <f t="shared" si="142"/>
        <v>28</v>
      </c>
      <c r="GD14" s="223">
        <f t="shared" si="143"/>
        <v>28</v>
      </c>
      <c r="GE14" s="223">
        <f t="shared" si="144"/>
        <v>28</v>
      </c>
      <c r="GF14" s="223">
        <f t="shared" si="145"/>
        <v>0</v>
      </c>
      <c r="GG14" s="223">
        <f t="shared" si="146"/>
        <v>0</v>
      </c>
      <c r="GH14" s="223">
        <f t="shared" si="147"/>
        <v>0</v>
      </c>
      <c r="GI14" s="223" t="str">
        <f t="shared" si="148"/>
        <v>28m/ 28m/ 28m</v>
      </c>
      <c r="GJ14" s="223">
        <f t="shared" si="149"/>
      </c>
      <c r="GK14" s="223">
        <f t="shared" si="150"/>
        <v>0</v>
      </c>
      <c r="GL14" s="223">
        <f t="shared" si="151"/>
        <v>0</v>
      </c>
      <c r="GM14" s="223">
        <f t="shared" si="152"/>
        <v>0</v>
      </c>
      <c r="GN14" s="223">
        <f t="shared" si="153"/>
        <v>0</v>
      </c>
      <c r="GO14" s="223">
        <f t="shared" si="154"/>
        <v>0</v>
      </c>
      <c r="GP14" s="223">
        <f t="shared" si="155"/>
        <v>0</v>
      </c>
      <c r="GQ14" s="223">
        <f t="shared" si="156"/>
      </c>
      <c r="GR14" s="223">
        <f t="shared" si="157"/>
      </c>
      <c r="GS14" s="223">
        <f t="shared" si="158"/>
        <v>0</v>
      </c>
      <c r="GT14" s="223">
        <f t="shared" si="159"/>
        <v>0</v>
      </c>
      <c r="GU14" s="223">
        <f t="shared" si="160"/>
        <v>0</v>
      </c>
      <c r="GV14" s="223">
        <f t="shared" si="161"/>
        <v>0</v>
      </c>
      <c r="GW14" s="223">
        <f t="shared" si="162"/>
        <v>0</v>
      </c>
      <c r="GX14" s="223">
        <f t="shared" si="163"/>
        <v>0</v>
      </c>
      <c r="GY14" s="223">
        <f t="shared" si="164"/>
      </c>
      <c r="GZ14" s="223">
        <f t="shared" si="165"/>
      </c>
      <c r="HA14" s="223">
        <f t="shared" si="166"/>
        <v>0</v>
      </c>
      <c r="HB14" s="223">
        <f t="shared" si="167"/>
        <v>0</v>
      </c>
      <c r="HC14" s="223">
        <f t="shared" si="168"/>
        <v>0</v>
      </c>
      <c r="HD14" s="223">
        <f t="shared" si="169"/>
        <v>0</v>
      </c>
      <c r="HE14" s="223">
        <f t="shared" si="170"/>
        <v>0</v>
      </c>
      <c r="HF14" s="223">
        <f t="shared" si="171"/>
        <v>0</v>
      </c>
      <c r="HG14" s="223">
        <f t="shared" si="172"/>
      </c>
      <c r="HH14" s="223">
        <f t="shared" si="173"/>
      </c>
      <c r="HI14" s="223">
        <f t="shared" si="174"/>
        <v>0</v>
      </c>
      <c r="HJ14" s="223">
        <f t="shared" si="175"/>
        <v>0</v>
      </c>
      <c r="HK14" s="223">
        <f t="shared" si="176"/>
        <v>0</v>
      </c>
      <c r="HL14" s="223">
        <f t="shared" si="177"/>
        <v>0</v>
      </c>
      <c r="HM14" s="223">
        <f t="shared" si="178"/>
        <v>0</v>
      </c>
      <c r="HN14" s="223">
        <f t="shared" si="179"/>
        <v>0</v>
      </c>
      <c r="HO14" s="223">
        <f t="shared" si="180"/>
      </c>
      <c r="HP14" s="223" t="str">
        <f>INDEX(LabNameList,MATCH(AF14,LabIDList,0))</f>
        <v>Trung tâm Kiểm định và Chứng nhận 2</v>
      </c>
      <c r="HQ14" s="223">
        <f t="shared" si="181"/>
        <v>25</v>
      </c>
      <c r="HR14" s="223">
        <f t="shared" si="182"/>
        <v>28</v>
      </c>
      <c r="HS14" s="223">
        <f t="shared" si="183"/>
        <v>0</v>
      </c>
      <c r="HT14" s="223">
        <f t="shared" si="184"/>
        <v>0</v>
      </c>
      <c r="HU14" s="223">
        <f t="shared" si="185"/>
        <v>0</v>
      </c>
      <c r="HV14" s="223">
        <f t="shared" si="186"/>
        <v>0</v>
      </c>
      <c r="HW14" s="222">
        <f t="shared" si="187"/>
        <v>25</v>
      </c>
      <c r="HX14" s="222">
        <f t="shared" si="188"/>
        <v>14</v>
      </c>
      <c r="HY14" s="223">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64" width="9.140625" customWidth="1" style="312"/>
    <col min="265"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490</v>
      </c>
      <c r="IA1" s="384" t="s">
        <v>491</v>
      </c>
      <c r="IB1" s="384" t="s">
        <v>492</v>
      </c>
      <c r="IC1" s="384" t="s">
        <v>493</v>
      </c>
      <c r="ID1" s="384" t="s">
        <v>494</v>
      </c>
      <c r="IE1" s="385" t="s">
        <v>495</v>
      </c>
      <c r="IF1" s="384" t="s">
        <v>496</v>
      </c>
      <c r="IG1" s="384" t="s">
        <v>497</v>
      </c>
      <c r="IH1" s="384" t="s">
        <v>498</v>
      </c>
      <c r="II1" s="384" t="s">
        <v>499</v>
      </c>
      <c r="IJ1" s="384" t="s">
        <v>500</v>
      </c>
      <c r="IK1" s="386" t="s">
        <v>501</v>
      </c>
      <c r="IL1" s="386" t="s">
        <v>502</v>
      </c>
      <c r="IM1" s="386" t="s">
        <v>503</v>
      </c>
      <c r="IN1" s="386" t="s">
        <v>504</v>
      </c>
      <c r="IO1" s="386" t="s">
        <v>505</v>
      </c>
      <c r="IP1" s="386" t="s">
        <v>506</v>
      </c>
      <c r="IQ1" s="386" t="s">
        <v>507</v>
      </c>
      <c r="IR1" s="386" t="s">
        <v>508</v>
      </c>
      <c r="IS1" s="386" t="s">
        <v>509</v>
      </c>
      <c r="IT1" s="386" t="s">
        <v>510</v>
      </c>
      <c r="IU1" s="386" t="s">
        <v>511</v>
      </c>
    </row>
    <row r="2" ht="102" s="325" customFormat="1">
      <c r="A2" s="222">
        <v>1</v>
      </c>
      <c r="B2" s="222" t="s">
        <v>196</v>
      </c>
      <c r="C2" s="222" t="s">
        <v>197</v>
      </c>
      <c r="D2" s="222" t="s">
        <v>512</v>
      </c>
      <c r="E2" s="222" t="s">
        <v>198</v>
      </c>
      <c r="F2" s="222" t="s">
        <v>46</v>
      </c>
      <c r="G2" s="222" t="s">
        <v>199</v>
      </c>
      <c r="H2" s="222" t="s">
        <v>200</v>
      </c>
      <c r="I2" s="222">
        <v>2</v>
      </c>
      <c r="J2" s="222" t="s">
        <v>201</v>
      </c>
      <c r="K2" s="224" t="s">
        <v>513</v>
      </c>
      <c r="L2" s="224" t="s">
        <v>514</v>
      </c>
      <c r="M2" s="222" t="s">
        <v>202</v>
      </c>
      <c r="N2" s="222" t="s">
        <v>203</v>
      </c>
      <c r="O2" s="222" t="s">
        <v>204</v>
      </c>
      <c r="P2" s="222" t="s">
        <v>205</v>
      </c>
      <c r="Q2" s="222" t="s">
        <v>206</v>
      </c>
      <c r="R2" s="222" t="s">
        <v>207</v>
      </c>
      <c r="S2" s="222" t="s">
        <v>208</v>
      </c>
      <c r="T2" s="222" t="s">
        <v>209</v>
      </c>
      <c r="U2" s="222">
        <v>1</v>
      </c>
      <c r="V2" s="222" t="s">
        <v>210</v>
      </c>
      <c r="W2" s="222" t="b">
        <v>1</v>
      </c>
      <c r="X2" s="222" t="b">
        <v>1</v>
      </c>
      <c r="Y2" s="222">
        <v>39</v>
      </c>
      <c r="Z2" s="222" t="b">
        <v>1</v>
      </c>
      <c r="AA2" s="222">
        <v>4</v>
      </c>
      <c r="AB2" s="222" t="b">
        <v>0</v>
      </c>
      <c r="AC2" s="222" t="b">
        <v>1</v>
      </c>
      <c r="AD2" s="222">
        <v>0</v>
      </c>
      <c r="AE2" s="222">
        <v>0</v>
      </c>
      <c r="AF2" s="222" t="s">
        <v>83</v>
      </c>
      <c r="AG2" s="222">
        <v>0</v>
      </c>
      <c r="AH2" s="223"/>
      <c r="AI2" s="223" t="s">
        <v>515</v>
      </c>
      <c r="AJ2" s="223" t="s">
        <v>516</v>
      </c>
      <c r="AK2" s="222">
        <v>3</v>
      </c>
      <c r="AL2" s="331" t="s">
        <v>517</v>
      </c>
      <c r="AM2" s="331" t="s">
        <v>518</v>
      </c>
      <c r="AN2" s="331" t="s">
        <v>519</v>
      </c>
      <c r="AO2" s="222" t="s">
        <v>45</v>
      </c>
      <c r="AP2" s="223" t="s">
        <v>520</v>
      </c>
      <c r="AQ2" s="223" t="s">
        <v>520</v>
      </c>
      <c r="AR2" s="223" t="s">
        <v>77</v>
      </c>
      <c r="AS2" s="223" t="s">
        <v>77</v>
      </c>
      <c r="AT2" s="223" t="s">
        <v>77</v>
      </c>
      <c r="AU2" s="223" t="s">
        <v>77</v>
      </c>
      <c r="AV2" s="223" t="s">
        <v>521</v>
      </c>
      <c r="AW2" s="223" t="s">
        <v>521</v>
      </c>
      <c r="AX2" s="223" t="s">
        <v>77</v>
      </c>
      <c r="AY2" s="223" t="s">
        <v>77</v>
      </c>
      <c r="AZ2" s="223" t="s">
        <v>77</v>
      </c>
      <c r="BA2" s="223" t="s">
        <v>77</v>
      </c>
      <c r="BB2" s="223" t="s">
        <v>522</v>
      </c>
      <c r="BC2" s="223" t="s">
        <v>512</v>
      </c>
      <c r="BD2" s="223" t="s">
        <v>512</v>
      </c>
      <c r="BE2" s="223" t="s">
        <v>77</v>
      </c>
      <c r="BF2" s="223" t="s">
        <v>77</v>
      </c>
      <c r="BG2" s="223" t="s">
        <v>77</v>
      </c>
      <c r="BH2" s="223" t="s">
        <v>77</v>
      </c>
      <c r="BI2" s="223" t="s">
        <v>523</v>
      </c>
      <c r="BJ2" s="223" t="s">
        <v>523</v>
      </c>
      <c r="BK2" s="223" t="s">
        <v>77</v>
      </c>
      <c r="BL2" s="223" t="s">
        <v>77</v>
      </c>
      <c r="BM2" s="223" t="s">
        <v>77</v>
      </c>
      <c r="BN2" s="223" t="s">
        <v>77</v>
      </c>
      <c r="BO2" s="223">
        <v>3</v>
      </c>
      <c r="BP2" s="223">
        <v>3</v>
      </c>
      <c r="BQ2" s="223">
        <v>0</v>
      </c>
      <c r="BR2" s="223">
        <v>0</v>
      </c>
      <c r="BS2" s="223">
        <v>0</v>
      </c>
      <c r="BT2" s="223">
        <v>0</v>
      </c>
      <c r="BU2" s="223" t="s">
        <v>524</v>
      </c>
      <c r="BV2" s="223">
        <v>2</v>
      </c>
      <c r="BW2" s="223">
        <v>2</v>
      </c>
      <c r="BX2" s="223">
        <v>2</v>
      </c>
      <c r="BY2" s="223">
        <v>0</v>
      </c>
      <c r="BZ2" s="223">
        <v>0</v>
      </c>
      <c r="CA2" s="223">
        <v>0</v>
      </c>
      <c r="CB2" s="223" t="s">
        <v>525</v>
      </c>
      <c r="CC2" s="223">
        <v>1</v>
      </c>
      <c r="CD2" s="223">
        <v>1</v>
      </c>
      <c r="CE2" s="223">
        <v>1</v>
      </c>
      <c r="CF2" s="223">
        <v>0</v>
      </c>
      <c r="CG2" s="223">
        <v>0</v>
      </c>
      <c r="CH2" s="223">
        <v>0</v>
      </c>
      <c r="CI2" s="223" t="s">
        <v>77</v>
      </c>
      <c r="CJ2" s="223">
        <v>0</v>
      </c>
      <c r="CK2" s="223">
        <v>0</v>
      </c>
      <c r="CL2" s="223">
        <v>0</v>
      </c>
      <c r="CM2" s="223">
        <v>0</v>
      </c>
      <c r="CN2" s="223">
        <v>0</v>
      </c>
      <c r="CO2" s="223">
        <v>0</v>
      </c>
      <c r="CP2" s="223" t="s">
        <v>77</v>
      </c>
      <c r="CQ2" s="223">
        <v>0</v>
      </c>
      <c r="CR2" s="223">
        <v>0</v>
      </c>
      <c r="CS2" s="223">
        <v>0</v>
      </c>
      <c r="CT2" s="223">
        <v>0</v>
      </c>
      <c r="CU2" s="223">
        <v>0</v>
      </c>
      <c r="CV2" s="223">
        <v>0</v>
      </c>
      <c r="CW2" s="223" t="s">
        <v>77</v>
      </c>
      <c r="CX2" s="223">
        <v>0</v>
      </c>
      <c r="CY2" s="223">
        <v>0</v>
      </c>
      <c r="CZ2" s="223">
        <v>0</v>
      </c>
      <c r="DA2" s="223">
        <v>0</v>
      </c>
      <c r="DB2" s="223">
        <v>0</v>
      </c>
      <c r="DC2" s="223">
        <v>0</v>
      </c>
      <c r="DD2" s="223" t="s">
        <v>77</v>
      </c>
      <c r="DE2" s="223">
        <v>0</v>
      </c>
      <c r="DF2" s="223">
        <v>0</v>
      </c>
      <c r="DG2" s="223">
        <v>0</v>
      </c>
      <c r="DH2" s="223">
        <v>0</v>
      </c>
      <c r="DI2" s="223">
        <v>0</v>
      </c>
      <c r="DJ2" s="223">
        <v>0</v>
      </c>
      <c r="DK2" s="223" t="s">
        <v>526</v>
      </c>
      <c r="DL2" s="223">
        <v>80</v>
      </c>
      <c r="DM2" s="223">
        <v>80</v>
      </c>
      <c r="DN2" s="223">
        <v>80</v>
      </c>
      <c r="DO2" s="223">
        <v>0</v>
      </c>
      <c r="DP2" s="223">
        <v>0</v>
      </c>
      <c r="DQ2" s="223">
        <v>0</v>
      </c>
      <c r="DR2" s="223" t="s">
        <v>527</v>
      </c>
      <c r="DS2" s="223">
        <v>80</v>
      </c>
      <c r="DT2" s="223" t="s">
        <v>528</v>
      </c>
      <c r="DU2" s="223">
        <v>40</v>
      </c>
      <c r="DV2" s="223">
        <v>40</v>
      </c>
      <c r="DW2" s="223">
        <v>40</v>
      </c>
      <c r="DX2" s="223">
        <v>0</v>
      </c>
      <c r="DY2" s="223">
        <v>0</v>
      </c>
      <c r="DZ2" s="223">
        <v>0</v>
      </c>
      <c r="EA2" s="223" t="s">
        <v>529</v>
      </c>
      <c r="EB2" s="223">
        <v>40</v>
      </c>
      <c r="EC2" s="223" t="s">
        <v>77</v>
      </c>
      <c r="ED2" s="223">
        <v>0</v>
      </c>
      <c r="EE2" s="223">
        <v>0</v>
      </c>
      <c r="EF2" s="223">
        <v>0</v>
      </c>
      <c r="EG2" s="223">
        <v>0</v>
      </c>
      <c r="EH2" s="223">
        <v>0</v>
      </c>
      <c r="EI2" s="223">
        <v>0</v>
      </c>
      <c r="EJ2" s="223" t="s">
        <v>77</v>
      </c>
      <c r="EK2" s="223">
        <v>0</v>
      </c>
      <c r="EL2" s="223" t="s">
        <v>77</v>
      </c>
      <c r="EM2" s="223">
        <v>0</v>
      </c>
      <c r="EN2" s="223">
        <v>0</v>
      </c>
      <c r="EO2" s="223">
        <v>0</v>
      </c>
      <c r="EP2" s="223">
        <v>0</v>
      </c>
      <c r="EQ2" s="223">
        <v>0</v>
      </c>
      <c r="ER2" s="223">
        <v>0</v>
      </c>
      <c r="ES2" s="223" t="s">
        <v>77</v>
      </c>
      <c r="ET2" s="223">
        <v>0</v>
      </c>
      <c r="EU2" s="223" t="s">
        <v>77</v>
      </c>
      <c r="EV2" s="223">
        <v>0</v>
      </c>
      <c r="EW2" s="223">
        <v>0</v>
      </c>
      <c r="EX2" s="223">
        <v>0</v>
      </c>
      <c r="EY2" s="223">
        <v>0</v>
      </c>
      <c r="EZ2" s="223">
        <v>0</v>
      </c>
      <c r="FA2" s="223">
        <v>0</v>
      </c>
      <c r="FB2" s="223" t="s">
        <v>77</v>
      </c>
      <c r="FC2" s="223">
        <v>0</v>
      </c>
      <c r="FD2" s="223" t="s">
        <v>77</v>
      </c>
      <c r="FE2" s="223">
        <v>0</v>
      </c>
      <c r="FF2" s="223">
        <v>0</v>
      </c>
      <c r="FG2" s="223">
        <v>0</v>
      </c>
      <c r="FH2" s="223">
        <v>0</v>
      </c>
      <c r="FI2" s="223">
        <v>0</v>
      </c>
      <c r="FJ2" s="223">
        <v>0</v>
      </c>
      <c r="FK2" s="223" t="s">
        <v>77</v>
      </c>
      <c r="FL2" s="223">
        <v>0</v>
      </c>
      <c r="FM2" s="223">
        <v>80</v>
      </c>
      <c r="FN2" s="223" t="s">
        <v>530</v>
      </c>
      <c r="FO2" s="223" t="s">
        <v>531</v>
      </c>
      <c r="FP2" s="223" t="s">
        <v>77</v>
      </c>
      <c r="FQ2" s="223" t="s">
        <v>77</v>
      </c>
      <c r="FR2" s="223" t="s">
        <v>77</v>
      </c>
      <c r="FS2" s="223" t="s">
        <v>77</v>
      </c>
      <c r="FT2" s="223" t="s">
        <v>532</v>
      </c>
      <c r="FU2" s="223">
        <v>43</v>
      </c>
      <c r="FV2" s="223">
        <v>43</v>
      </c>
      <c r="FW2" s="223">
        <v>43</v>
      </c>
      <c r="FX2" s="223">
        <v>0</v>
      </c>
      <c r="FY2" s="223">
        <v>0</v>
      </c>
      <c r="FZ2" s="223">
        <v>0</v>
      </c>
      <c r="GA2" s="223" t="s">
        <v>532</v>
      </c>
      <c r="GB2" s="223" t="s">
        <v>533</v>
      </c>
      <c r="GC2" s="223">
        <v>39</v>
      </c>
      <c r="GD2" s="223">
        <v>39</v>
      </c>
      <c r="GE2" s="223">
        <v>39</v>
      </c>
      <c r="GF2" s="223">
        <v>0</v>
      </c>
      <c r="GG2" s="223">
        <v>0</v>
      </c>
      <c r="GH2" s="223">
        <v>0</v>
      </c>
      <c r="GI2" s="223" t="s">
        <v>533</v>
      </c>
      <c r="GJ2" s="223" t="s">
        <v>77</v>
      </c>
      <c r="GK2" s="223">
        <v>0</v>
      </c>
      <c r="GL2" s="223">
        <v>0</v>
      </c>
      <c r="GM2" s="223">
        <v>0</v>
      </c>
      <c r="GN2" s="223">
        <v>0</v>
      </c>
      <c r="GO2" s="223">
        <v>0</v>
      </c>
      <c r="GP2" s="223">
        <v>0</v>
      </c>
      <c r="GQ2" s="223" t="s">
        <v>77</v>
      </c>
      <c r="GR2" s="223" t="s">
        <v>77</v>
      </c>
      <c r="GS2" s="223">
        <v>0</v>
      </c>
      <c r="GT2" s="223">
        <v>0</v>
      </c>
      <c r="GU2" s="223">
        <v>0</v>
      </c>
      <c r="GV2" s="223">
        <v>0</v>
      </c>
      <c r="GW2" s="223">
        <v>0</v>
      </c>
      <c r="GX2" s="223">
        <v>0</v>
      </c>
      <c r="GY2" s="223" t="s">
        <v>77</v>
      </c>
      <c r="GZ2" s="223" t="s">
        <v>77</v>
      </c>
      <c r="HA2" s="223">
        <v>0</v>
      </c>
      <c r="HB2" s="223">
        <v>0</v>
      </c>
      <c r="HC2" s="223">
        <v>0</v>
      </c>
      <c r="HD2" s="223">
        <v>0</v>
      </c>
      <c r="HE2" s="223">
        <v>0</v>
      </c>
      <c r="HF2" s="223">
        <v>0</v>
      </c>
      <c r="HG2" s="223" t="s">
        <v>77</v>
      </c>
      <c r="HH2" s="223" t="s">
        <v>77</v>
      </c>
      <c r="HI2" s="223">
        <v>0</v>
      </c>
      <c r="HJ2" s="223">
        <v>0</v>
      </c>
      <c r="HK2" s="223">
        <v>0</v>
      </c>
      <c r="HL2" s="223">
        <v>0</v>
      </c>
      <c r="HM2" s="223">
        <v>0</v>
      </c>
      <c r="HN2" s="223">
        <v>0</v>
      </c>
      <c r="HO2" s="223" t="s">
        <v>77</v>
      </c>
      <c r="HP2" s="223" t="s">
        <v>84</v>
      </c>
      <c r="HQ2" s="223">
        <v>43</v>
      </c>
      <c r="HR2" s="223">
        <v>39</v>
      </c>
      <c r="HS2" s="223">
        <v>0</v>
      </c>
      <c r="HT2" s="223">
        <v>0</v>
      </c>
      <c r="HU2" s="223">
        <v>0</v>
      </c>
      <c r="HV2" s="223">
        <v>0</v>
      </c>
      <c r="HW2" s="222">
        <v>39</v>
      </c>
      <c r="HX2" s="222">
        <v>35</v>
      </c>
      <c r="HY2" s="223">
        <v>13</v>
      </c>
      <c r="HZ2" s="223">
        <v>13</v>
      </c>
      <c r="IA2" s="223"/>
      <c r="IB2" s="223"/>
      <c r="IC2" s="225" t="str">
        <f>IF(LEN(ID2)=4,"B0"&amp;ID2&amp;IE2&amp;IF2,IF(LEN(ID2)=3,"B00"&amp;ID2&amp;IE2&amp;IF2,IF(LEN(ID2)=2,"B000"&amp;ID2&amp;IE2&amp;IF2,IF(LEN(ID2)=1,"B0000"&amp;ID2&amp;IE2&amp;IF2,"B"&amp;ID2&amp;IE2&amp;IF2))))</f>
        <v>B01744230719TG05</v>
      </c>
      <c r="ID2" s="226">
        <v>1744</v>
      </c>
      <c r="IE2" s="332" t="str">
        <f>TEXT(II2,"ddmmyy")</f>
        <v>230719</v>
      </c>
      <c r="IF2" s="225" t="s">
        <v>534</v>
      </c>
      <c r="IG2" s="332" t="str">
        <f ref="IG2:IH2" t="shared" si="0">TEXT(II2,"dd/mm/yyyy")</f>
        <v>23/07/2019</v>
      </c>
      <c r="IH2" s="332" t="str">
        <f t="shared" si="0"/>
        <v>23/07/2024</v>
      </c>
      <c r="II2" s="227" t="s">
        <v>535</v>
      </c>
      <c r="IJ2" s="332">
        <f>DATE(YEAR(II2) + 5,MONTH(II2),DAY(II2))</f>
        <v>45496</v>
      </c>
      <c r="IK2" s="333">
        <f>IFERROR(MATCH("",AP2:AU2,0)-1,6)</f>
        <v>2</v>
      </c>
      <c r="IL2" s="334" t="str">
        <f>IK2&amp;"-"&amp;IR2</f>
        <v>2-2</v>
      </c>
      <c r="IM2" s="334" t="str">
        <f>IF(AQ2&lt;&gt;"",IF(AQ2=AP2,"CHUNG","KHAC"),"")</f>
        <v>CHUNG</v>
      </c>
      <c r="IN2" s="334">
        <f>IF(AR2&lt;&gt;"",IF(AR2=AP2,"CHUNG","KHAC"),"")</f>
      </c>
      <c r="IO2" s="334">
        <f>IF(AS2&lt;&gt;"",IF(AS2=AP2,"CHUNG","KHAC"),"")</f>
      </c>
      <c r="IP2" s="334">
        <f>IF(AT2&lt;&gt;"",IF(AT2=AP2,"CHUNG","KHAC"),"")</f>
      </c>
      <c r="IQ2" s="334">
        <f>IF(AU2&lt;&gt;"",IF(AU2=AP2,"CHUNG","KHAC"),"")</f>
      </c>
      <c r="IR2" s="334">
        <f>IF(COUNTIF(IM2:IQ2,"CHUNG")=0,1,COUNTIF(IM2:IQ2,"CHUNG")+1)</f>
        <v>2</v>
      </c>
      <c r="IS2" s="335">
        <f>IK2-IR2</f>
        <v>0</v>
      </c>
      <c r="IT2" s="335" t="str">
        <f>IF(IS2=0,"No","Yes")</f>
        <v>No</v>
      </c>
      <c r="IU2" s="335" t="str">
        <f>IF(IS2=0,"No","Yes")</f>
        <v>No</v>
      </c>
    </row>
    <row r="3" ht="102">
      <c r="A3" s="222">
        <v>2</v>
      </c>
      <c r="B3" s="222" t="s">
        <v>196</v>
      </c>
      <c r="C3" s="222" t="s">
        <v>197</v>
      </c>
      <c r="D3" s="222" t="s">
        <v>536</v>
      </c>
      <c r="E3" s="222" t="s">
        <v>214</v>
      </c>
      <c r="F3" s="222" t="s">
        <v>46</v>
      </c>
      <c r="G3" s="222" t="s">
        <v>215</v>
      </c>
      <c r="H3" s="222" t="s">
        <v>216</v>
      </c>
      <c r="I3" s="222">
        <v>2</v>
      </c>
      <c r="J3" s="222" t="s">
        <v>217</v>
      </c>
      <c r="K3" s="224" t="s">
        <v>513</v>
      </c>
      <c r="L3" s="224" t="s">
        <v>537</v>
      </c>
      <c r="M3" s="222" t="s">
        <v>202</v>
      </c>
      <c r="N3" s="222" t="s">
        <v>218</v>
      </c>
      <c r="O3" s="222" t="s">
        <v>204</v>
      </c>
      <c r="P3" s="222" t="s">
        <v>205</v>
      </c>
      <c r="Q3" s="222" t="s">
        <v>206</v>
      </c>
      <c r="R3" s="222" t="s">
        <v>207</v>
      </c>
      <c r="S3" s="222" t="s">
        <v>208</v>
      </c>
      <c r="T3" s="222" t="s">
        <v>219</v>
      </c>
      <c r="U3" s="222">
        <v>1</v>
      </c>
      <c r="V3" s="222" t="s">
        <v>210</v>
      </c>
      <c r="W3" s="222" t="b">
        <v>1</v>
      </c>
      <c r="X3" s="222" t="b">
        <v>0</v>
      </c>
      <c r="Y3" s="222">
        <v>0</v>
      </c>
      <c r="Z3" s="222" t="b">
        <v>1</v>
      </c>
      <c r="AA3" s="222">
        <v>7</v>
      </c>
      <c r="AB3" s="222" t="b">
        <v>0</v>
      </c>
      <c r="AC3" s="222" t="b">
        <v>1</v>
      </c>
      <c r="AD3" s="222">
        <v>0</v>
      </c>
      <c r="AE3" s="222">
        <v>0</v>
      </c>
      <c r="AF3" s="222" t="s">
        <v>83</v>
      </c>
      <c r="AG3" s="222">
        <v>0</v>
      </c>
      <c r="AH3" s="223"/>
      <c r="AI3" s="223" t="s">
        <v>515</v>
      </c>
      <c r="AJ3" s="223" t="s">
        <v>516</v>
      </c>
      <c r="AK3" s="222">
        <v>5</v>
      </c>
      <c r="AL3" s="331" t="s">
        <v>517</v>
      </c>
      <c r="AM3" s="331" t="s">
        <v>538</v>
      </c>
      <c r="AN3" s="331" t="s">
        <v>539</v>
      </c>
      <c r="AO3" s="222" t="s">
        <v>45</v>
      </c>
      <c r="AP3" s="223" t="s">
        <v>520</v>
      </c>
      <c r="AQ3" s="223" t="s">
        <v>520</v>
      </c>
      <c r="AR3" s="223" t="s">
        <v>77</v>
      </c>
      <c r="AS3" s="223" t="s">
        <v>77</v>
      </c>
      <c r="AT3" s="223" t="s">
        <v>77</v>
      </c>
      <c r="AU3" s="223" t="s">
        <v>77</v>
      </c>
      <c r="AV3" s="223" t="s">
        <v>521</v>
      </c>
      <c r="AW3" s="223" t="s">
        <v>521</v>
      </c>
      <c r="AX3" s="223" t="s">
        <v>77</v>
      </c>
      <c r="AY3" s="223" t="s">
        <v>77</v>
      </c>
      <c r="AZ3" s="223" t="s">
        <v>77</v>
      </c>
      <c r="BA3" s="223" t="s">
        <v>77</v>
      </c>
      <c r="BB3" s="223" t="s">
        <v>522</v>
      </c>
      <c r="BC3" s="223" t="s">
        <v>536</v>
      </c>
      <c r="BD3" s="223" t="s">
        <v>536</v>
      </c>
      <c r="BE3" s="223" t="s">
        <v>77</v>
      </c>
      <c r="BF3" s="223" t="s">
        <v>77</v>
      </c>
      <c r="BG3" s="223" t="s">
        <v>77</v>
      </c>
      <c r="BH3" s="223" t="s">
        <v>77</v>
      </c>
      <c r="BI3" s="223" t="s">
        <v>523</v>
      </c>
      <c r="BJ3" s="223" t="s">
        <v>523</v>
      </c>
      <c r="BK3" s="223" t="s">
        <v>77</v>
      </c>
      <c r="BL3" s="223" t="s">
        <v>77</v>
      </c>
      <c r="BM3" s="223" t="s">
        <v>77</v>
      </c>
      <c r="BN3" s="223" t="s">
        <v>77</v>
      </c>
      <c r="BO3" s="223">
        <v>3</v>
      </c>
      <c r="BP3" s="223">
        <v>3</v>
      </c>
      <c r="BQ3" s="223">
        <v>0</v>
      </c>
      <c r="BR3" s="223">
        <v>0</v>
      </c>
      <c r="BS3" s="223">
        <v>0</v>
      </c>
      <c r="BT3" s="223">
        <v>0</v>
      </c>
      <c r="BU3" s="223" t="s">
        <v>524</v>
      </c>
      <c r="BV3" s="223">
        <v>2</v>
      </c>
      <c r="BW3" s="223">
        <v>2</v>
      </c>
      <c r="BX3" s="223">
        <v>2</v>
      </c>
      <c r="BY3" s="223">
        <v>0</v>
      </c>
      <c r="BZ3" s="223">
        <v>0</v>
      </c>
      <c r="CA3" s="223">
        <v>0</v>
      </c>
      <c r="CB3" s="223" t="s">
        <v>525</v>
      </c>
      <c r="CC3" s="223">
        <v>1</v>
      </c>
      <c r="CD3" s="223">
        <v>1</v>
      </c>
      <c r="CE3" s="223">
        <v>1</v>
      </c>
      <c r="CF3" s="223">
        <v>0</v>
      </c>
      <c r="CG3" s="223">
        <v>0</v>
      </c>
      <c r="CH3" s="223">
        <v>0</v>
      </c>
      <c r="CI3" s="223" t="s">
        <v>77</v>
      </c>
      <c r="CJ3" s="223">
        <v>0</v>
      </c>
      <c r="CK3" s="223">
        <v>0</v>
      </c>
      <c r="CL3" s="223">
        <v>0</v>
      </c>
      <c r="CM3" s="223">
        <v>0</v>
      </c>
      <c r="CN3" s="223">
        <v>0</v>
      </c>
      <c r="CO3" s="223">
        <v>0</v>
      </c>
      <c r="CP3" s="223" t="s">
        <v>77</v>
      </c>
      <c r="CQ3" s="223">
        <v>0</v>
      </c>
      <c r="CR3" s="223">
        <v>0</v>
      </c>
      <c r="CS3" s="223">
        <v>0</v>
      </c>
      <c r="CT3" s="223">
        <v>0</v>
      </c>
      <c r="CU3" s="223">
        <v>0</v>
      </c>
      <c r="CV3" s="223">
        <v>0</v>
      </c>
      <c r="CW3" s="223" t="s">
        <v>77</v>
      </c>
      <c r="CX3" s="223">
        <v>0</v>
      </c>
      <c r="CY3" s="223">
        <v>0</v>
      </c>
      <c r="CZ3" s="223">
        <v>0</v>
      </c>
      <c r="DA3" s="223">
        <v>0</v>
      </c>
      <c r="DB3" s="223">
        <v>0</v>
      </c>
      <c r="DC3" s="223">
        <v>0</v>
      </c>
      <c r="DD3" s="223" t="s">
        <v>77</v>
      </c>
      <c r="DE3" s="223">
        <v>0</v>
      </c>
      <c r="DF3" s="223">
        <v>0</v>
      </c>
      <c r="DG3" s="223">
        <v>0</v>
      </c>
      <c r="DH3" s="223">
        <v>0</v>
      </c>
      <c r="DI3" s="223">
        <v>0</v>
      </c>
      <c r="DJ3" s="223">
        <v>0</v>
      </c>
      <c r="DK3" s="223" t="s">
        <v>526</v>
      </c>
      <c r="DL3" s="223">
        <v>80</v>
      </c>
      <c r="DM3" s="223">
        <v>80</v>
      </c>
      <c r="DN3" s="223">
        <v>80</v>
      </c>
      <c r="DO3" s="223">
        <v>0</v>
      </c>
      <c r="DP3" s="223">
        <v>0</v>
      </c>
      <c r="DQ3" s="223">
        <v>0</v>
      </c>
      <c r="DR3" s="223" t="s">
        <v>527</v>
      </c>
      <c r="DS3" s="223">
        <v>80</v>
      </c>
      <c r="DT3" s="223" t="s">
        <v>528</v>
      </c>
      <c r="DU3" s="223">
        <v>40</v>
      </c>
      <c r="DV3" s="223">
        <v>40</v>
      </c>
      <c r="DW3" s="223">
        <v>40</v>
      </c>
      <c r="DX3" s="223">
        <v>0</v>
      </c>
      <c r="DY3" s="223">
        <v>0</v>
      </c>
      <c r="DZ3" s="223">
        <v>0</v>
      </c>
      <c r="EA3" s="223" t="s">
        <v>529</v>
      </c>
      <c r="EB3" s="223">
        <v>40</v>
      </c>
      <c r="EC3" s="223" t="s">
        <v>77</v>
      </c>
      <c r="ED3" s="223">
        <v>0</v>
      </c>
      <c r="EE3" s="223">
        <v>0</v>
      </c>
      <c r="EF3" s="223">
        <v>0</v>
      </c>
      <c r="EG3" s="223">
        <v>0</v>
      </c>
      <c r="EH3" s="223">
        <v>0</v>
      </c>
      <c r="EI3" s="223">
        <v>0</v>
      </c>
      <c r="EJ3" s="223" t="s">
        <v>77</v>
      </c>
      <c r="EK3" s="223">
        <v>0</v>
      </c>
      <c r="EL3" s="223" t="s">
        <v>77</v>
      </c>
      <c r="EM3" s="223">
        <v>0</v>
      </c>
      <c r="EN3" s="223">
        <v>0</v>
      </c>
      <c r="EO3" s="223">
        <v>0</v>
      </c>
      <c r="EP3" s="223">
        <v>0</v>
      </c>
      <c r="EQ3" s="223">
        <v>0</v>
      </c>
      <c r="ER3" s="223">
        <v>0</v>
      </c>
      <c r="ES3" s="223" t="s">
        <v>77</v>
      </c>
      <c r="ET3" s="223">
        <v>0</v>
      </c>
      <c r="EU3" s="223" t="s">
        <v>77</v>
      </c>
      <c r="EV3" s="223">
        <v>0</v>
      </c>
      <c r="EW3" s="223">
        <v>0</v>
      </c>
      <c r="EX3" s="223">
        <v>0</v>
      </c>
      <c r="EY3" s="223">
        <v>0</v>
      </c>
      <c r="EZ3" s="223">
        <v>0</v>
      </c>
      <c r="FA3" s="223">
        <v>0</v>
      </c>
      <c r="FB3" s="223" t="s">
        <v>77</v>
      </c>
      <c r="FC3" s="223">
        <v>0</v>
      </c>
      <c r="FD3" s="223" t="s">
        <v>77</v>
      </c>
      <c r="FE3" s="223">
        <v>0</v>
      </c>
      <c r="FF3" s="223">
        <v>0</v>
      </c>
      <c r="FG3" s="223">
        <v>0</v>
      </c>
      <c r="FH3" s="223">
        <v>0</v>
      </c>
      <c r="FI3" s="223">
        <v>0</v>
      </c>
      <c r="FJ3" s="223">
        <v>0</v>
      </c>
      <c r="FK3" s="223" t="s">
        <v>77</v>
      </c>
      <c r="FL3" s="223">
        <v>0</v>
      </c>
      <c r="FM3" s="223">
        <v>80</v>
      </c>
      <c r="FN3" s="223" t="s">
        <v>530</v>
      </c>
      <c r="FO3" s="223" t="s">
        <v>531</v>
      </c>
      <c r="FP3" s="223" t="s">
        <v>77</v>
      </c>
      <c r="FQ3" s="223" t="s">
        <v>77</v>
      </c>
      <c r="FR3" s="223" t="s">
        <v>77</v>
      </c>
      <c r="FS3" s="223" t="s">
        <v>77</v>
      </c>
      <c r="FT3" s="223" t="s">
        <v>540</v>
      </c>
      <c r="FU3" s="223">
        <v>34</v>
      </c>
      <c r="FV3" s="223">
        <v>34</v>
      </c>
      <c r="FW3" s="223">
        <v>34</v>
      </c>
      <c r="FX3" s="223">
        <v>0</v>
      </c>
      <c r="FY3" s="223">
        <v>0</v>
      </c>
      <c r="FZ3" s="223">
        <v>0</v>
      </c>
      <c r="GA3" s="223" t="s">
        <v>540</v>
      </c>
      <c r="GB3" s="223" t="s">
        <v>541</v>
      </c>
      <c r="GC3" s="223">
        <v>30</v>
      </c>
      <c r="GD3" s="223">
        <v>30</v>
      </c>
      <c r="GE3" s="223">
        <v>30</v>
      </c>
      <c r="GF3" s="223">
        <v>0</v>
      </c>
      <c r="GG3" s="223">
        <v>0</v>
      </c>
      <c r="GH3" s="223">
        <v>0</v>
      </c>
      <c r="GI3" s="223" t="s">
        <v>541</v>
      </c>
      <c r="GJ3" s="223" t="s">
        <v>77</v>
      </c>
      <c r="GK3" s="223">
        <v>0</v>
      </c>
      <c r="GL3" s="223">
        <v>0</v>
      </c>
      <c r="GM3" s="223">
        <v>0</v>
      </c>
      <c r="GN3" s="223">
        <v>0</v>
      </c>
      <c r="GO3" s="223">
        <v>0</v>
      </c>
      <c r="GP3" s="223">
        <v>0</v>
      </c>
      <c r="GQ3" s="223" t="s">
        <v>77</v>
      </c>
      <c r="GR3" s="223" t="s">
        <v>77</v>
      </c>
      <c r="GS3" s="223">
        <v>0</v>
      </c>
      <c r="GT3" s="223">
        <v>0</v>
      </c>
      <c r="GU3" s="223">
        <v>0</v>
      </c>
      <c r="GV3" s="223">
        <v>0</v>
      </c>
      <c r="GW3" s="223">
        <v>0</v>
      </c>
      <c r="GX3" s="223">
        <v>0</v>
      </c>
      <c r="GY3" s="223" t="s">
        <v>77</v>
      </c>
      <c r="GZ3" s="223" t="s">
        <v>77</v>
      </c>
      <c r="HA3" s="223">
        <v>0</v>
      </c>
      <c r="HB3" s="223">
        <v>0</v>
      </c>
      <c r="HC3" s="223">
        <v>0</v>
      </c>
      <c r="HD3" s="223">
        <v>0</v>
      </c>
      <c r="HE3" s="223">
        <v>0</v>
      </c>
      <c r="HF3" s="223">
        <v>0</v>
      </c>
      <c r="HG3" s="223" t="s">
        <v>77</v>
      </c>
      <c r="HH3" s="223" t="s">
        <v>77</v>
      </c>
      <c r="HI3" s="223">
        <v>0</v>
      </c>
      <c r="HJ3" s="223">
        <v>0</v>
      </c>
      <c r="HK3" s="223">
        <v>0</v>
      </c>
      <c r="HL3" s="223">
        <v>0</v>
      </c>
      <c r="HM3" s="223">
        <v>0</v>
      </c>
      <c r="HN3" s="223">
        <v>0</v>
      </c>
      <c r="HO3" s="223" t="s">
        <v>77</v>
      </c>
      <c r="HP3" s="223" t="s">
        <v>84</v>
      </c>
      <c r="HQ3" s="223">
        <v>34</v>
      </c>
      <c r="HR3" s="223">
        <v>30</v>
      </c>
      <c r="HS3" s="223">
        <v>0</v>
      </c>
      <c r="HT3" s="223">
        <v>0</v>
      </c>
      <c r="HU3" s="223">
        <v>0</v>
      </c>
      <c r="HV3" s="223">
        <v>0</v>
      </c>
      <c r="HW3" s="222">
        <v>30</v>
      </c>
      <c r="HX3" s="222">
        <v>23</v>
      </c>
      <c r="HY3" s="223">
        <v>13</v>
      </c>
    </row>
    <row r="4" ht="102">
      <c r="A4" s="222">
        <v>3</v>
      </c>
      <c r="B4" s="222" t="s">
        <v>196</v>
      </c>
      <c r="C4" s="222" t="s">
        <v>197</v>
      </c>
      <c r="D4" s="222" t="s">
        <v>542</v>
      </c>
      <c r="E4" s="222" t="s">
        <v>221</v>
      </c>
      <c r="F4" s="222" t="s">
        <v>46</v>
      </c>
      <c r="G4" s="222" t="s">
        <v>222</v>
      </c>
      <c r="H4" s="222" t="s">
        <v>223</v>
      </c>
      <c r="I4" s="222">
        <v>2</v>
      </c>
      <c r="J4" s="222" t="s">
        <v>224</v>
      </c>
      <c r="K4" s="224" t="s">
        <v>513</v>
      </c>
      <c r="L4" s="224" t="s">
        <v>543</v>
      </c>
      <c r="M4" s="222" t="s">
        <v>202</v>
      </c>
      <c r="N4" s="222" t="s">
        <v>225</v>
      </c>
      <c r="O4" s="222" t="s">
        <v>204</v>
      </c>
      <c r="P4" s="222" t="s">
        <v>205</v>
      </c>
      <c r="Q4" s="222" t="s">
        <v>206</v>
      </c>
      <c r="R4" s="222" t="s">
        <v>207</v>
      </c>
      <c r="S4" s="222" t="s">
        <v>208</v>
      </c>
      <c r="T4" s="222" t="s">
        <v>219</v>
      </c>
      <c r="U4" s="222">
        <v>1</v>
      </c>
      <c r="V4" s="222" t="s">
        <v>210</v>
      </c>
      <c r="W4" s="222" t="b">
        <v>1</v>
      </c>
      <c r="X4" s="222" t="b">
        <v>0</v>
      </c>
      <c r="Y4" s="222">
        <v>0</v>
      </c>
      <c r="Z4" s="222" t="b">
        <v>1</v>
      </c>
      <c r="AA4" s="222">
        <v>4</v>
      </c>
      <c r="AB4" s="222" t="b">
        <v>0</v>
      </c>
      <c r="AC4" s="222" t="b">
        <v>1</v>
      </c>
      <c r="AD4" s="222">
        <v>0</v>
      </c>
      <c r="AE4" s="222">
        <v>0</v>
      </c>
      <c r="AF4" s="222" t="s">
        <v>83</v>
      </c>
      <c r="AG4" s="222">
        <v>0</v>
      </c>
      <c r="AH4" s="223"/>
      <c r="AI4" s="223" t="s">
        <v>515</v>
      </c>
      <c r="AJ4" s="223" t="s">
        <v>516</v>
      </c>
      <c r="AK4" s="222">
        <v>3</v>
      </c>
      <c r="AL4" s="331" t="s">
        <v>517</v>
      </c>
      <c r="AM4" s="331" t="s">
        <v>538</v>
      </c>
      <c r="AN4" s="331" t="s">
        <v>544</v>
      </c>
      <c r="AO4" s="222" t="s">
        <v>45</v>
      </c>
      <c r="AP4" s="223" t="s">
        <v>520</v>
      </c>
      <c r="AQ4" s="223" t="s">
        <v>520</v>
      </c>
      <c r="AR4" s="223" t="s">
        <v>77</v>
      </c>
      <c r="AS4" s="223" t="s">
        <v>77</v>
      </c>
      <c r="AT4" s="223" t="s">
        <v>77</v>
      </c>
      <c r="AU4" s="223" t="s">
        <v>77</v>
      </c>
      <c r="AV4" s="223" t="s">
        <v>521</v>
      </c>
      <c r="AW4" s="223" t="s">
        <v>521</v>
      </c>
      <c r="AX4" s="223" t="s">
        <v>77</v>
      </c>
      <c r="AY4" s="223" t="s">
        <v>77</v>
      </c>
      <c r="AZ4" s="223" t="s">
        <v>77</v>
      </c>
      <c r="BA4" s="223" t="s">
        <v>77</v>
      </c>
      <c r="BB4" s="223" t="s">
        <v>522</v>
      </c>
      <c r="BC4" s="223" t="s">
        <v>542</v>
      </c>
      <c r="BD4" s="223" t="s">
        <v>542</v>
      </c>
      <c r="BE4" s="223" t="s">
        <v>77</v>
      </c>
      <c r="BF4" s="223" t="s">
        <v>77</v>
      </c>
      <c r="BG4" s="223" t="s">
        <v>77</v>
      </c>
      <c r="BH4" s="223" t="s">
        <v>77</v>
      </c>
      <c r="BI4" s="223" t="s">
        <v>523</v>
      </c>
      <c r="BJ4" s="223" t="s">
        <v>523</v>
      </c>
      <c r="BK4" s="223" t="s">
        <v>77</v>
      </c>
      <c r="BL4" s="223" t="s">
        <v>77</v>
      </c>
      <c r="BM4" s="223" t="s">
        <v>77</v>
      </c>
      <c r="BN4" s="223" t="s">
        <v>77</v>
      </c>
      <c r="BO4" s="223">
        <v>3</v>
      </c>
      <c r="BP4" s="223">
        <v>3</v>
      </c>
      <c r="BQ4" s="223">
        <v>0</v>
      </c>
      <c r="BR4" s="223">
        <v>0</v>
      </c>
      <c r="BS4" s="223">
        <v>0</v>
      </c>
      <c r="BT4" s="223">
        <v>0</v>
      </c>
      <c r="BU4" s="223" t="s">
        <v>524</v>
      </c>
      <c r="BV4" s="223">
        <v>2</v>
      </c>
      <c r="BW4" s="223">
        <v>2</v>
      </c>
      <c r="BX4" s="223">
        <v>2</v>
      </c>
      <c r="BY4" s="223">
        <v>0</v>
      </c>
      <c r="BZ4" s="223">
        <v>0</v>
      </c>
      <c r="CA4" s="223">
        <v>0</v>
      </c>
      <c r="CB4" s="223" t="s">
        <v>525</v>
      </c>
      <c r="CC4" s="223">
        <v>1</v>
      </c>
      <c r="CD4" s="223">
        <v>1</v>
      </c>
      <c r="CE4" s="223">
        <v>1</v>
      </c>
      <c r="CF4" s="223">
        <v>0</v>
      </c>
      <c r="CG4" s="223">
        <v>0</v>
      </c>
      <c r="CH4" s="223">
        <v>0</v>
      </c>
      <c r="CI4" s="223" t="s">
        <v>77</v>
      </c>
      <c r="CJ4" s="223">
        <v>0</v>
      </c>
      <c r="CK4" s="223">
        <v>0</v>
      </c>
      <c r="CL4" s="223">
        <v>0</v>
      </c>
      <c r="CM4" s="223">
        <v>0</v>
      </c>
      <c r="CN4" s="223">
        <v>0</v>
      </c>
      <c r="CO4" s="223">
        <v>0</v>
      </c>
      <c r="CP4" s="223" t="s">
        <v>77</v>
      </c>
      <c r="CQ4" s="223">
        <v>0</v>
      </c>
      <c r="CR4" s="223">
        <v>0</v>
      </c>
      <c r="CS4" s="223">
        <v>0</v>
      </c>
      <c r="CT4" s="223">
        <v>0</v>
      </c>
      <c r="CU4" s="223">
        <v>0</v>
      </c>
      <c r="CV4" s="223">
        <v>0</v>
      </c>
      <c r="CW4" s="223" t="s">
        <v>77</v>
      </c>
      <c r="CX4" s="223">
        <v>0</v>
      </c>
      <c r="CY4" s="223">
        <v>0</v>
      </c>
      <c r="CZ4" s="223">
        <v>0</v>
      </c>
      <c r="DA4" s="223">
        <v>0</v>
      </c>
      <c r="DB4" s="223">
        <v>0</v>
      </c>
      <c r="DC4" s="223">
        <v>0</v>
      </c>
      <c r="DD4" s="223" t="s">
        <v>77</v>
      </c>
      <c r="DE4" s="223">
        <v>0</v>
      </c>
      <c r="DF4" s="223">
        <v>0</v>
      </c>
      <c r="DG4" s="223">
        <v>0</v>
      </c>
      <c r="DH4" s="223">
        <v>0</v>
      </c>
      <c r="DI4" s="223">
        <v>0</v>
      </c>
      <c r="DJ4" s="223">
        <v>0</v>
      </c>
      <c r="DK4" s="223" t="s">
        <v>526</v>
      </c>
      <c r="DL4" s="223">
        <v>80</v>
      </c>
      <c r="DM4" s="223">
        <v>80</v>
      </c>
      <c r="DN4" s="223">
        <v>80</v>
      </c>
      <c r="DO4" s="223">
        <v>0</v>
      </c>
      <c r="DP4" s="223">
        <v>0</v>
      </c>
      <c r="DQ4" s="223">
        <v>0</v>
      </c>
      <c r="DR4" s="223" t="s">
        <v>527</v>
      </c>
      <c r="DS4" s="223">
        <v>80</v>
      </c>
      <c r="DT4" s="223" t="s">
        <v>528</v>
      </c>
      <c r="DU4" s="223">
        <v>40</v>
      </c>
      <c r="DV4" s="223">
        <v>40</v>
      </c>
      <c r="DW4" s="223">
        <v>40</v>
      </c>
      <c r="DX4" s="223">
        <v>0</v>
      </c>
      <c r="DY4" s="223">
        <v>0</v>
      </c>
      <c r="DZ4" s="223">
        <v>0</v>
      </c>
      <c r="EA4" s="223" t="s">
        <v>529</v>
      </c>
      <c r="EB4" s="223">
        <v>40</v>
      </c>
      <c r="EC4" s="223" t="s">
        <v>77</v>
      </c>
      <c r="ED4" s="223">
        <v>0</v>
      </c>
      <c r="EE4" s="223">
        <v>0</v>
      </c>
      <c r="EF4" s="223">
        <v>0</v>
      </c>
      <c r="EG4" s="223">
        <v>0</v>
      </c>
      <c r="EH4" s="223">
        <v>0</v>
      </c>
      <c r="EI4" s="223">
        <v>0</v>
      </c>
      <c r="EJ4" s="223" t="s">
        <v>77</v>
      </c>
      <c r="EK4" s="223">
        <v>0</v>
      </c>
      <c r="EL4" s="223" t="s">
        <v>77</v>
      </c>
      <c r="EM4" s="223">
        <v>0</v>
      </c>
      <c r="EN4" s="223">
        <v>0</v>
      </c>
      <c r="EO4" s="223">
        <v>0</v>
      </c>
      <c r="EP4" s="223">
        <v>0</v>
      </c>
      <c r="EQ4" s="223">
        <v>0</v>
      </c>
      <c r="ER4" s="223">
        <v>0</v>
      </c>
      <c r="ES4" s="223" t="s">
        <v>77</v>
      </c>
      <c r="ET4" s="223">
        <v>0</v>
      </c>
      <c r="EU4" s="223" t="s">
        <v>77</v>
      </c>
      <c r="EV4" s="223">
        <v>0</v>
      </c>
      <c r="EW4" s="223">
        <v>0</v>
      </c>
      <c r="EX4" s="223">
        <v>0</v>
      </c>
      <c r="EY4" s="223">
        <v>0</v>
      </c>
      <c r="EZ4" s="223">
        <v>0</v>
      </c>
      <c r="FA4" s="223">
        <v>0</v>
      </c>
      <c r="FB4" s="223" t="s">
        <v>77</v>
      </c>
      <c r="FC4" s="223">
        <v>0</v>
      </c>
      <c r="FD4" s="223" t="s">
        <v>77</v>
      </c>
      <c r="FE4" s="223">
        <v>0</v>
      </c>
      <c r="FF4" s="223">
        <v>0</v>
      </c>
      <c r="FG4" s="223">
        <v>0</v>
      </c>
      <c r="FH4" s="223">
        <v>0</v>
      </c>
      <c r="FI4" s="223">
        <v>0</v>
      </c>
      <c r="FJ4" s="223">
        <v>0</v>
      </c>
      <c r="FK4" s="223" t="s">
        <v>77</v>
      </c>
      <c r="FL4" s="223">
        <v>0</v>
      </c>
      <c r="FM4" s="223">
        <v>80</v>
      </c>
      <c r="FN4" s="223" t="s">
        <v>530</v>
      </c>
      <c r="FO4" s="223" t="s">
        <v>531</v>
      </c>
      <c r="FP4" s="223" t="s">
        <v>77</v>
      </c>
      <c r="FQ4" s="223" t="s">
        <v>77</v>
      </c>
      <c r="FR4" s="223" t="s">
        <v>77</v>
      </c>
      <c r="FS4" s="223" t="s">
        <v>77</v>
      </c>
      <c r="FT4" s="223" t="s">
        <v>540</v>
      </c>
      <c r="FU4" s="223">
        <v>34</v>
      </c>
      <c r="FV4" s="223">
        <v>34</v>
      </c>
      <c r="FW4" s="223">
        <v>34</v>
      </c>
      <c r="FX4" s="223">
        <v>0</v>
      </c>
      <c r="FY4" s="223">
        <v>0</v>
      </c>
      <c r="FZ4" s="223">
        <v>0</v>
      </c>
      <c r="GA4" s="223" t="s">
        <v>540</v>
      </c>
      <c r="GB4" s="223" t="s">
        <v>541</v>
      </c>
      <c r="GC4" s="223">
        <v>30</v>
      </c>
      <c r="GD4" s="223">
        <v>30</v>
      </c>
      <c r="GE4" s="223">
        <v>30</v>
      </c>
      <c r="GF4" s="223">
        <v>0</v>
      </c>
      <c r="GG4" s="223">
        <v>0</v>
      </c>
      <c r="GH4" s="223">
        <v>0</v>
      </c>
      <c r="GI4" s="223" t="s">
        <v>541</v>
      </c>
      <c r="GJ4" s="223" t="s">
        <v>77</v>
      </c>
      <c r="GK4" s="223">
        <v>0</v>
      </c>
      <c r="GL4" s="223">
        <v>0</v>
      </c>
      <c r="GM4" s="223">
        <v>0</v>
      </c>
      <c r="GN4" s="223">
        <v>0</v>
      </c>
      <c r="GO4" s="223">
        <v>0</v>
      </c>
      <c r="GP4" s="223">
        <v>0</v>
      </c>
      <c r="GQ4" s="223" t="s">
        <v>77</v>
      </c>
      <c r="GR4" s="223" t="s">
        <v>77</v>
      </c>
      <c r="GS4" s="223">
        <v>0</v>
      </c>
      <c r="GT4" s="223">
        <v>0</v>
      </c>
      <c r="GU4" s="223">
        <v>0</v>
      </c>
      <c r="GV4" s="223">
        <v>0</v>
      </c>
      <c r="GW4" s="223">
        <v>0</v>
      </c>
      <c r="GX4" s="223">
        <v>0</v>
      </c>
      <c r="GY4" s="223" t="s">
        <v>77</v>
      </c>
      <c r="GZ4" s="223" t="s">
        <v>77</v>
      </c>
      <c r="HA4" s="223">
        <v>0</v>
      </c>
      <c r="HB4" s="223">
        <v>0</v>
      </c>
      <c r="HC4" s="223">
        <v>0</v>
      </c>
      <c r="HD4" s="223">
        <v>0</v>
      </c>
      <c r="HE4" s="223">
        <v>0</v>
      </c>
      <c r="HF4" s="223">
        <v>0</v>
      </c>
      <c r="HG4" s="223" t="s">
        <v>77</v>
      </c>
      <c r="HH4" s="223" t="s">
        <v>77</v>
      </c>
      <c r="HI4" s="223">
        <v>0</v>
      </c>
      <c r="HJ4" s="223">
        <v>0</v>
      </c>
      <c r="HK4" s="223">
        <v>0</v>
      </c>
      <c r="HL4" s="223">
        <v>0</v>
      </c>
      <c r="HM4" s="223">
        <v>0</v>
      </c>
      <c r="HN4" s="223">
        <v>0</v>
      </c>
      <c r="HO4" s="223" t="s">
        <v>77</v>
      </c>
      <c r="HP4" s="223" t="s">
        <v>84</v>
      </c>
      <c r="HQ4" s="223">
        <v>34</v>
      </c>
      <c r="HR4" s="223">
        <v>30</v>
      </c>
      <c r="HS4" s="223">
        <v>0</v>
      </c>
      <c r="HT4" s="223">
        <v>0</v>
      </c>
      <c r="HU4" s="223">
        <v>0</v>
      </c>
      <c r="HV4" s="223">
        <v>0</v>
      </c>
      <c r="HW4" s="222">
        <v>30</v>
      </c>
      <c r="HX4" s="222">
        <v>26</v>
      </c>
      <c r="HY4" s="223">
        <v>13</v>
      </c>
    </row>
    <row r="5" ht="102">
      <c r="A5" s="222">
        <v>4</v>
      </c>
      <c r="B5" s="222" t="s">
        <v>196</v>
      </c>
      <c r="C5" s="222" t="s">
        <v>197</v>
      </c>
      <c r="D5" s="222" t="s">
        <v>545</v>
      </c>
      <c r="E5" s="222" t="s">
        <v>226</v>
      </c>
      <c r="F5" s="222" t="s">
        <v>46</v>
      </c>
      <c r="G5" s="222" t="s">
        <v>227</v>
      </c>
      <c r="H5" s="222" t="s">
        <v>228</v>
      </c>
      <c r="I5" s="222">
        <v>2</v>
      </c>
      <c r="J5" s="222" t="s">
        <v>229</v>
      </c>
      <c r="K5" s="224" t="s">
        <v>513</v>
      </c>
      <c r="L5" s="224" t="s">
        <v>543</v>
      </c>
      <c r="M5" s="222" t="s">
        <v>202</v>
      </c>
      <c r="N5" s="222" t="s">
        <v>230</v>
      </c>
      <c r="O5" s="222" t="s">
        <v>204</v>
      </c>
      <c r="P5" s="222" t="s">
        <v>205</v>
      </c>
      <c r="Q5" s="222" t="s">
        <v>206</v>
      </c>
      <c r="R5" s="222" t="s">
        <v>207</v>
      </c>
      <c r="S5" s="222" t="s">
        <v>208</v>
      </c>
      <c r="T5" s="222" t="s">
        <v>219</v>
      </c>
      <c r="U5" s="222">
        <v>1</v>
      </c>
      <c r="V5" s="222" t="s">
        <v>210</v>
      </c>
      <c r="W5" s="222" t="b">
        <v>1</v>
      </c>
      <c r="X5" s="222" t="b">
        <v>0</v>
      </c>
      <c r="Y5" s="222">
        <v>0</v>
      </c>
      <c r="Z5" s="222" t="b">
        <v>1</v>
      </c>
      <c r="AA5" s="222">
        <v>4</v>
      </c>
      <c r="AB5" s="222" t="b">
        <v>0</v>
      </c>
      <c r="AC5" s="222" t="b">
        <v>1</v>
      </c>
      <c r="AD5" s="222">
        <v>0</v>
      </c>
      <c r="AE5" s="222">
        <v>0</v>
      </c>
      <c r="AF5" s="222" t="s">
        <v>83</v>
      </c>
      <c r="AG5" s="222">
        <v>0</v>
      </c>
      <c r="AH5" s="223"/>
      <c r="AI5" s="223" t="s">
        <v>515</v>
      </c>
      <c r="AJ5" s="223" t="s">
        <v>516</v>
      </c>
      <c r="AK5" s="222">
        <v>5</v>
      </c>
      <c r="AL5" s="331" t="s">
        <v>517</v>
      </c>
      <c r="AM5" s="331" t="s">
        <v>538</v>
      </c>
      <c r="AN5" s="331" t="s">
        <v>546</v>
      </c>
      <c r="AO5" s="222" t="s">
        <v>45</v>
      </c>
      <c r="AP5" s="223" t="s">
        <v>520</v>
      </c>
      <c r="AQ5" s="223" t="s">
        <v>520</v>
      </c>
      <c r="AR5" s="223" t="s">
        <v>77</v>
      </c>
      <c r="AS5" s="223" t="s">
        <v>77</v>
      </c>
      <c r="AT5" s="223" t="s">
        <v>77</v>
      </c>
      <c r="AU5" s="223" t="s">
        <v>77</v>
      </c>
      <c r="AV5" s="223" t="s">
        <v>521</v>
      </c>
      <c r="AW5" s="223" t="s">
        <v>521</v>
      </c>
      <c r="AX5" s="223" t="s">
        <v>77</v>
      </c>
      <c r="AY5" s="223" t="s">
        <v>77</v>
      </c>
      <c r="AZ5" s="223" t="s">
        <v>77</v>
      </c>
      <c r="BA5" s="223" t="s">
        <v>77</v>
      </c>
      <c r="BB5" s="223" t="s">
        <v>522</v>
      </c>
      <c r="BC5" s="223" t="s">
        <v>545</v>
      </c>
      <c r="BD5" s="223" t="s">
        <v>545</v>
      </c>
      <c r="BE5" s="223" t="s">
        <v>77</v>
      </c>
      <c r="BF5" s="223" t="s">
        <v>77</v>
      </c>
      <c r="BG5" s="223" t="s">
        <v>77</v>
      </c>
      <c r="BH5" s="223" t="s">
        <v>77</v>
      </c>
      <c r="BI5" s="223" t="s">
        <v>523</v>
      </c>
      <c r="BJ5" s="223" t="s">
        <v>523</v>
      </c>
      <c r="BK5" s="223" t="s">
        <v>77</v>
      </c>
      <c r="BL5" s="223" t="s">
        <v>77</v>
      </c>
      <c r="BM5" s="223" t="s">
        <v>77</v>
      </c>
      <c r="BN5" s="223" t="s">
        <v>77</v>
      </c>
      <c r="BO5" s="223">
        <v>3</v>
      </c>
      <c r="BP5" s="223">
        <v>3</v>
      </c>
      <c r="BQ5" s="223">
        <v>0</v>
      </c>
      <c r="BR5" s="223">
        <v>0</v>
      </c>
      <c r="BS5" s="223">
        <v>0</v>
      </c>
      <c r="BT5" s="223">
        <v>0</v>
      </c>
      <c r="BU5" s="223" t="s">
        <v>524</v>
      </c>
      <c r="BV5" s="223">
        <v>2</v>
      </c>
      <c r="BW5" s="223">
        <v>2</v>
      </c>
      <c r="BX5" s="223">
        <v>2</v>
      </c>
      <c r="BY5" s="223">
        <v>0</v>
      </c>
      <c r="BZ5" s="223">
        <v>0</v>
      </c>
      <c r="CA5" s="223">
        <v>0</v>
      </c>
      <c r="CB5" s="223" t="s">
        <v>525</v>
      </c>
      <c r="CC5" s="223">
        <v>1</v>
      </c>
      <c r="CD5" s="223">
        <v>1</v>
      </c>
      <c r="CE5" s="223">
        <v>1</v>
      </c>
      <c r="CF5" s="223">
        <v>0</v>
      </c>
      <c r="CG5" s="223">
        <v>0</v>
      </c>
      <c r="CH5" s="223">
        <v>0</v>
      </c>
      <c r="CI5" s="223" t="s">
        <v>77</v>
      </c>
      <c r="CJ5" s="223">
        <v>0</v>
      </c>
      <c r="CK5" s="223">
        <v>0</v>
      </c>
      <c r="CL5" s="223">
        <v>0</v>
      </c>
      <c r="CM5" s="223">
        <v>0</v>
      </c>
      <c r="CN5" s="223">
        <v>0</v>
      </c>
      <c r="CO5" s="223">
        <v>0</v>
      </c>
      <c r="CP5" s="223" t="s">
        <v>77</v>
      </c>
      <c r="CQ5" s="223">
        <v>0</v>
      </c>
      <c r="CR5" s="223">
        <v>0</v>
      </c>
      <c r="CS5" s="223">
        <v>0</v>
      </c>
      <c r="CT5" s="223">
        <v>0</v>
      </c>
      <c r="CU5" s="223">
        <v>0</v>
      </c>
      <c r="CV5" s="223">
        <v>0</v>
      </c>
      <c r="CW5" s="223" t="s">
        <v>77</v>
      </c>
      <c r="CX5" s="223">
        <v>0</v>
      </c>
      <c r="CY5" s="223">
        <v>0</v>
      </c>
      <c r="CZ5" s="223">
        <v>0</v>
      </c>
      <c r="DA5" s="223">
        <v>0</v>
      </c>
      <c r="DB5" s="223">
        <v>0</v>
      </c>
      <c r="DC5" s="223">
        <v>0</v>
      </c>
      <c r="DD5" s="223" t="s">
        <v>77</v>
      </c>
      <c r="DE5" s="223">
        <v>0</v>
      </c>
      <c r="DF5" s="223">
        <v>0</v>
      </c>
      <c r="DG5" s="223">
        <v>0</v>
      </c>
      <c r="DH5" s="223">
        <v>0</v>
      </c>
      <c r="DI5" s="223">
        <v>0</v>
      </c>
      <c r="DJ5" s="223">
        <v>0</v>
      </c>
      <c r="DK5" s="223" t="s">
        <v>526</v>
      </c>
      <c r="DL5" s="223">
        <v>80</v>
      </c>
      <c r="DM5" s="223">
        <v>80</v>
      </c>
      <c r="DN5" s="223">
        <v>80</v>
      </c>
      <c r="DO5" s="223">
        <v>0</v>
      </c>
      <c r="DP5" s="223">
        <v>0</v>
      </c>
      <c r="DQ5" s="223">
        <v>0</v>
      </c>
      <c r="DR5" s="223" t="s">
        <v>527</v>
      </c>
      <c r="DS5" s="223">
        <v>80</v>
      </c>
      <c r="DT5" s="223" t="s">
        <v>528</v>
      </c>
      <c r="DU5" s="223">
        <v>40</v>
      </c>
      <c r="DV5" s="223">
        <v>40</v>
      </c>
      <c r="DW5" s="223">
        <v>40</v>
      </c>
      <c r="DX5" s="223">
        <v>0</v>
      </c>
      <c r="DY5" s="223">
        <v>0</v>
      </c>
      <c r="DZ5" s="223">
        <v>0</v>
      </c>
      <c r="EA5" s="223" t="s">
        <v>529</v>
      </c>
      <c r="EB5" s="223">
        <v>40</v>
      </c>
      <c r="EC5" s="223" t="s">
        <v>77</v>
      </c>
      <c r="ED5" s="223">
        <v>0</v>
      </c>
      <c r="EE5" s="223">
        <v>0</v>
      </c>
      <c r="EF5" s="223">
        <v>0</v>
      </c>
      <c r="EG5" s="223">
        <v>0</v>
      </c>
      <c r="EH5" s="223">
        <v>0</v>
      </c>
      <c r="EI5" s="223">
        <v>0</v>
      </c>
      <c r="EJ5" s="223" t="s">
        <v>77</v>
      </c>
      <c r="EK5" s="223">
        <v>0</v>
      </c>
      <c r="EL5" s="223" t="s">
        <v>77</v>
      </c>
      <c r="EM5" s="223">
        <v>0</v>
      </c>
      <c r="EN5" s="223">
        <v>0</v>
      </c>
      <c r="EO5" s="223">
        <v>0</v>
      </c>
      <c r="EP5" s="223">
        <v>0</v>
      </c>
      <c r="EQ5" s="223">
        <v>0</v>
      </c>
      <c r="ER5" s="223">
        <v>0</v>
      </c>
      <c r="ES5" s="223" t="s">
        <v>77</v>
      </c>
      <c r="ET5" s="223">
        <v>0</v>
      </c>
      <c r="EU5" s="223" t="s">
        <v>77</v>
      </c>
      <c r="EV5" s="223">
        <v>0</v>
      </c>
      <c r="EW5" s="223">
        <v>0</v>
      </c>
      <c r="EX5" s="223">
        <v>0</v>
      </c>
      <c r="EY5" s="223">
        <v>0</v>
      </c>
      <c r="EZ5" s="223">
        <v>0</v>
      </c>
      <c r="FA5" s="223">
        <v>0</v>
      </c>
      <c r="FB5" s="223" t="s">
        <v>77</v>
      </c>
      <c r="FC5" s="223">
        <v>0</v>
      </c>
      <c r="FD5" s="223" t="s">
        <v>77</v>
      </c>
      <c r="FE5" s="223">
        <v>0</v>
      </c>
      <c r="FF5" s="223">
        <v>0</v>
      </c>
      <c r="FG5" s="223">
        <v>0</v>
      </c>
      <c r="FH5" s="223">
        <v>0</v>
      </c>
      <c r="FI5" s="223">
        <v>0</v>
      </c>
      <c r="FJ5" s="223">
        <v>0</v>
      </c>
      <c r="FK5" s="223" t="s">
        <v>77</v>
      </c>
      <c r="FL5" s="223">
        <v>0</v>
      </c>
      <c r="FM5" s="223">
        <v>80</v>
      </c>
      <c r="FN5" s="223" t="s">
        <v>530</v>
      </c>
      <c r="FO5" s="223" t="s">
        <v>531</v>
      </c>
      <c r="FP5" s="223" t="s">
        <v>77</v>
      </c>
      <c r="FQ5" s="223" t="s">
        <v>77</v>
      </c>
      <c r="FR5" s="223" t="s">
        <v>77</v>
      </c>
      <c r="FS5" s="223" t="s">
        <v>77</v>
      </c>
      <c r="FT5" s="223" t="s">
        <v>540</v>
      </c>
      <c r="FU5" s="223">
        <v>34</v>
      </c>
      <c r="FV5" s="223">
        <v>34</v>
      </c>
      <c r="FW5" s="223">
        <v>34</v>
      </c>
      <c r="FX5" s="223">
        <v>0</v>
      </c>
      <c r="FY5" s="223">
        <v>0</v>
      </c>
      <c r="FZ5" s="223">
        <v>0</v>
      </c>
      <c r="GA5" s="223" t="s">
        <v>540</v>
      </c>
      <c r="GB5" s="223" t="s">
        <v>541</v>
      </c>
      <c r="GC5" s="223">
        <v>30</v>
      </c>
      <c r="GD5" s="223">
        <v>30</v>
      </c>
      <c r="GE5" s="223">
        <v>30</v>
      </c>
      <c r="GF5" s="223">
        <v>0</v>
      </c>
      <c r="GG5" s="223">
        <v>0</v>
      </c>
      <c r="GH5" s="223">
        <v>0</v>
      </c>
      <c r="GI5" s="223" t="s">
        <v>541</v>
      </c>
      <c r="GJ5" s="223" t="s">
        <v>77</v>
      </c>
      <c r="GK5" s="223">
        <v>0</v>
      </c>
      <c r="GL5" s="223">
        <v>0</v>
      </c>
      <c r="GM5" s="223">
        <v>0</v>
      </c>
      <c r="GN5" s="223">
        <v>0</v>
      </c>
      <c r="GO5" s="223">
        <v>0</v>
      </c>
      <c r="GP5" s="223">
        <v>0</v>
      </c>
      <c r="GQ5" s="223" t="s">
        <v>77</v>
      </c>
      <c r="GR5" s="223" t="s">
        <v>77</v>
      </c>
      <c r="GS5" s="223">
        <v>0</v>
      </c>
      <c r="GT5" s="223">
        <v>0</v>
      </c>
      <c r="GU5" s="223">
        <v>0</v>
      </c>
      <c r="GV5" s="223">
        <v>0</v>
      </c>
      <c r="GW5" s="223">
        <v>0</v>
      </c>
      <c r="GX5" s="223">
        <v>0</v>
      </c>
      <c r="GY5" s="223" t="s">
        <v>77</v>
      </c>
      <c r="GZ5" s="223" t="s">
        <v>77</v>
      </c>
      <c r="HA5" s="223">
        <v>0</v>
      </c>
      <c r="HB5" s="223">
        <v>0</v>
      </c>
      <c r="HC5" s="223">
        <v>0</v>
      </c>
      <c r="HD5" s="223">
        <v>0</v>
      </c>
      <c r="HE5" s="223">
        <v>0</v>
      </c>
      <c r="HF5" s="223">
        <v>0</v>
      </c>
      <c r="HG5" s="223" t="s">
        <v>77</v>
      </c>
      <c r="HH5" s="223" t="s">
        <v>77</v>
      </c>
      <c r="HI5" s="223">
        <v>0</v>
      </c>
      <c r="HJ5" s="223">
        <v>0</v>
      </c>
      <c r="HK5" s="223">
        <v>0</v>
      </c>
      <c r="HL5" s="223">
        <v>0</v>
      </c>
      <c r="HM5" s="223">
        <v>0</v>
      </c>
      <c r="HN5" s="223">
        <v>0</v>
      </c>
      <c r="HO5" s="223" t="s">
        <v>77</v>
      </c>
      <c r="HP5" s="223" t="s">
        <v>84</v>
      </c>
      <c r="HQ5" s="223">
        <v>34</v>
      </c>
      <c r="HR5" s="223">
        <v>30</v>
      </c>
      <c r="HS5" s="223">
        <v>0</v>
      </c>
      <c r="HT5" s="223">
        <v>0</v>
      </c>
      <c r="HU5" s="223">
        <v>0</v>
      </c>
      <c r="HV5" s="223">
        <v>0</v>
      </c>
      <c r="HW5" s="222">
        <v>30</v>
      </c>
      <c r="HX5" s="222">
        <v>26</v>
      </c>
      <c r="HY5" s="223">
        <v>13</v>
      </c>
    </row>
    <row r="6" ht="102">
      <c r="A6" s="222">
        <v>5</v>
      </c>
      <c r="B6" s="222" t="s">
        <v>196</v>
      </c>
      <c r="C6" s="222" t="s">
        <v>197</v>
      </c>
      <c r="D6" s="222" t="s">
        <v>547</v>
      </c>
      <c r="E6" s="222" t="s">
        <v>231</v>
      </c>
      <c r="F6" s="222" t="s">
        <v>46</v>
      </c>
      <c r="G6" s="222" t="s">
        <v>232</v>
      </c>
      <c r="H6" s="222" t="s">
        <v>233</v>
      </c>
      <c r="I6" s="222">
        <v>2</v>
      </c>
      <c r="J6" s="222" t="s">
        <v>234</v>
      </c>
      <c r="K6" s="224" t="s">
        <v>513</v>
      </c>
      <c r="L6" s="224" t="s">
        <v>548</v>
      </c>
      <c r="M6" s="222" t="s">
        <v>202</v>
      </c>
      <c r="N6" s="222" t="s">
        <v>235</v>
      </c>
      <c r="O6" s="222" t="s">
        <v>204</v>
      </c>
      <c r="P6" s="222" t="s">
        <v>205</v>
      </c>
      <c r="Q6" s="222" t="s">
        <v>206</v>
      </c>
      <c r="R6" s="222" t="s">
        <v>207</v>
      </c>
      <c r="S6" s="222" t="s">
        <v>208</v>
      </c>
      <c r="T6" s="222" t="s">
        <v>219</v>
      </c>
      <c r="U6" s="222">
        <v>1</v>
      </c>
      <c r="V6" s="222" t="s">
        <v>210</v>
      </c>
      <c r="W6" s="222" t="b">
        <v>1</v>
      </c>
      <c r="X6" s="222" t="b">
        <v>0</v>
      </c>
      <c r="Y6" s="222">
        <v>0</v>
      </c>
      <c r="Z6" s="222" t="b">
        <v>1</v>
      </c>
      <c r="AA6" s="222">
        <v>4</v>
      </c>
      <c r="AB6" s="222" t="b">
        <v>0</v>
      </c>
      <c r="AC6" s="222" t="b">
        <v>1</v>
      </c>
      <c r="AD6" s="222">
        <v>0</v>
      </c>
      <c r="AE6" s="222">
        <v>0</v>
      </c>
      <c r="AF6" s="222" t="s">
        <v>83</v>
      </c>
      <c r="AG6" s="222">
        <v>0</v>
      </c>
      <c r="AH6" s="223"/>
      <c r="AI6" s="223" t="s">
        <v>515</v>
      </c>
      <c r="AJ6" s="223" t="s">
        <v>516</v>
      </c>
      <c r="AK6" s="222">
        <v>3</v>
      </c>
      <c r="AL6" s="331" t="s">
        <v>517</v>
      </c>
      <c r="AM6" s="331" t="s">
        <v>549</v>
      </c>
      <c r="AN6" s="331" t="s">
        <v>550</v>
      </c>
      <c r="AO6" s="222" t="s">
        <v>45</v>
      </c>
      <c r="AP6" s="223" t="s">
        <v>520</v>
      </c>
      <c r="AQ6" s="223" t="s">
        <v>520</v>
      </c>
      <c r="AR6" s="223" t="s">
        <v>77</v>
      </c>
      <c r="AS6" s="223" t="s">
        <v>77</v>
      </c>
      <c r="AT6" s="223" t="s">
        <v>77</v>
      </c>
      <c r="AU6" s="223" t="s">
        <v>77</v>
      </c>
      <c r="AV6" s="223" t="s">
        <v>521</v>
      </c>
      <c r="AW6" s="223" t="s">
        <v>521</v>
      </c>
      <c r="AX6" s="223" t="s">
        <v>77</v>
      </c>
      <c r="AY6" s="223" t="s">
        <v>77</v>
      </c>
      <c r="AZ6" s="223" t="s">
        <v>77</v>
      </c>
      <c r="BA6" s="223" t="s">
        <v>77</v>
      </c>
      <c r="BB6" s="223" t="s">
        <v>522</v>
      </c>
      <c r="BC6" s="223" t="s">
        <v>547</v>
      </c>
      <c r="BD6" s="223" t="s">
        <v>547</v>
      </c>
      <c r="BE6" s="223" t="s">
        <v>77</v>
      </c>
      <c r="BF6" s="223" t="s">
        <v>77</v>
      </c>
      <c r="BG6" s="223" t="s">
        <v>77</v>
      </c>
      <c r="BH6" s="223" t="s">
        <v>77</v>
      </c>
      <c r="BI6" s="223" t="s">
        <v>523</v>
      </c>
      <c r="BJ6" s="223" t="s">
        <v>523</v>
      </c>
      <c r="BK6" s="223" t="s">
        <v>77</v>
      </c>
      <c r="BL6" s="223" t="s">
        <v>77</v>
      </c>
      <c r="BM6" s="223" t="s">
        <v>77</v>
      </c>
      <c r="BN6" s="223" t="s">
        <v>77</v>
      </c>
      <c r="BO6" s="223">
        <v>3</v>
      </c>
      <c r="BP6" s="223">
        <v>3</v>
      </c>
      <c r="BQ6" s="223">
        <v>0</v>
      </c>
      <c r="BR6" s="223">
        <v>0</v>
      </c>
      <c r="BS6" s="223">
        <v>0</v>
      </c>
      <c r="BT6" s="223">
        <v>0</v>
      </c>
      <c r="BU6" s="223" t="s">
        <v>524</v>
      </c>
      <c r="BV6" s="223">
        <v>2</v>
      </c>
      <c r="BW6" s="223">
        <v>2</v>
      </c>
      <c r="BX6" s="223">
        <v>2</v>
      </c>
      <c r="BY6" s="223">
        <v>0</v>
      </c>
      <c r="BZ6" s="223">
        <v>0</v>
      </c>
      <c r="CA6" s="223">
        <v>0</v>
      </c>
      <c r="CB6" s="223" t="s">
        <v>525</v>
      </c>
      <c r="CC6" s="223">
        <v>1</v>
      </c>
      <c r="CD6" s="223">
        <v>1</v>
      </c>
      <c r="CE6" s="223">
        <v>1</v>
      </c>
      <c r="CF6" s="223">
        <v>0</v>
      </c>
      <c r="CG6" s="223">
        <v>0</v>
      </c>
      <c r="CH6" s="223">
        <v>0</v>
      </c>
      <c r="CI6" s="223" t="s">
        <v>77</v>
      </c>
      <c r="CJ6" s="223">
        <v>0</v>
      </c>
      <c r="CK6" s="223">
        <v>0</v>
      </c>
      <c r="CL6" s="223">
        <v>0</v>
      </c>
      <c r="CM6" s="223">
        <v>0</v>
      </c>
      <c r="CN6" s="223">
        <v>0</v>
      </c>
      <c r="CO6" s="223">
        <v>0</v>
      </c>
      <c r="CP6" s="223" t="s">
        <v>77</v>
      </c>
      <c r="CQ6" s="223">
        <v>0</v>
      </c>
      <c r="CR6" s="223">
        <v>0</v>
      </c>
      <c r="CS6" s="223">
        <v>0</v>
      </c>
      <c r="CT6" s="223">
        <v>0</v>
      </c>
      <c r="CU6" s="223">
        <v>0</v>
      </c>
      <c r="CV6" s="223">
        <v>0</v>
      </c>
      <c r="CW6" s="223" t="s">
        <v>77</v>
      </c>
      <c r="CX6" s="223">
        <v>0</v>
      </c>
      <c r="CY6" s="223">
        <v>0</v>
      </c>
      <c r="CZ6" s="223">
        <v>0</v>
      </c>
      <c r="DA6" s="223">
        <v>0</v>
      </c>
      <c r="DB6" s="223">
        <v>0</v>
      </c>
      <c r="DC6" s="223">
        <v>0</v>
      </c>
      <c r="DD6" s="223" t="s">
        <v>77</v>
      </c>
      <c r="DE6" s="223">
        <v>0</v>
      </c>
      <c r="DF6" s="223">
        <v>0</v>
      </c>
      <c r="DG6" s="223">
        <v>0</v>
      </c>
      <c r="DH6" s="223">
        <v>0</v>
      </c>
      <c r="DI6" s="223">
        <v>0</v>
      </c>
      <c r="DJ6" s="223">
        <v>0</v>
      </c>
      <c r="DK6" s="223" t="s">
        <v>526</v>
      </c>
      <c r="DL6" s="223">
        <v>80</v>
      </c>
      <c r="DM6" s="223">
        <v>80</v>
      </c>
      <c r="DN6" s="223">
        <v>80</v>
      </c>
      <c r="DO6" s="223">
        <v>0</v>
      </c>
      <c r="DP6" s="223">
        <v>0</v>
      </c>
      <c r="DQ6" s="223">
        <v>0</v>
      </c>
      <c r="DR6" s="223" t="s">
        <v>527</v>
      </c>
      <c r="DS6" s="223">
        <v>80</v>
      </c>
      <c r="DT6" s="223" t="s">
        <v>528</v>
      </c>
      <c r="DU6" s="223">
        <v>40</v>
      </c>
      <c r="DV6" s="223">
        <v>40</v>
      </c>
      <c r="DW6" s="223">
        <v>40</v>
      </c>
      <c r="DX6" s="223">
        <v>0</v>
      </c>
      <c r="DY6" s="223">
        <v>0</v>
      </c>
      <c r="DZ6" s="223">
        <v>0</v>
      </c>
      <c r="EA6" s="223" t="s">
        <v>529</v>
      </c>
      <c r="EB6" s="223">
        <v>40</v>
      </c>
      <c r="EC6" s="223" t="s">
        <v>77</v>
      </c>
      <c r="ED6" s="223">
        <v>0</v>
      </c>
      <c r="EE6" s="223">
        <v>0</v>
      </c>
      <c r="EF6" s="223">
        <v>0</v>
      </c>
      <c r="EG6" s="223">
        <v>0</v>
      </c>
      <c r="EH6" s="223">
        <v>0</v>
      </c>
      <c r="EI6" s="223">
        <v>0</v>
      </c>
      <c r="EJ6" s="223" t="s">
        <v>77</v>
      </c>
      <c r="EK6" s="223">
        <v>0</v>
      </c>
      <c r="EL6" s="223" t="s">
        <v>77</v>
      </c>
      <c r="EM6" s="223">
        <v>0</v>
      </c>
      <c r="EN6" s="223">
        <v>0</v>
      </c>
      <c r="EO6" s="223">
        <v>0</v>
      </c>
      <c r="EP6" s="223">
        <v>0</v>
      </c>
      <c r="EQ6" s="223">
        <v>0</v>
      </c>
      <c r="ER6" s="223">
        <v>0</v>
      </c>
      <c r="ES6" s="223" t="s">
        <v>77</v>
      </c>
      <c r="ET6" s="223">
        <v>0</v>
      </c>
      <c r="EU6" s="223" t="s">
        <v>77</v>
      </c>
      <c r="EV6" s="223">
        <v>0</v>
      </c>
      <c r="EW6" s="223">
        <v>0</v>
      </c>
      <c r="EX6" s="223">
        <v>0</v>
      </c>
      <c r="EY6" s="223">
        <v>0</v>
      </c>
      <c r="EZ6" s="223">
        <v>0</v>
      </c>
      <c r="FA6" s="223">
        <v>0</v>
      </c>
      <c r="FB6" s="223" t="s">
        <v>77</v>
      </c>
      <c r="FC6" s="223">
        <v>0</v>
      </c>
      <c r="FD6" s="223" t="s">
        <v>77</v>
      </c>
      <c r="FE6" s="223">
        <v>0</v>
      </c>
      <c r="FF6" s="223">
        <v>0</v>
      </c>
      <c r="FG6" s="223">
        <v>0</v>
      </c>
      <c r="FH6" s="223">
        <v>0</v>
      </c>
      <c r="FI6" s="223">
        <v>0</v>
      </c>
      <c r="FJ6" s="223">
        <v>0</v>
      </c>
      <c r="FK6" s="223" t="s">
        <v>77</v>
      </c>
      <c r="FL6" s="223">
        <v>0</v>
      </c>
      <c r="FM6" s="223">
        <v>80</v>
      </c>
      <c r="FN6" s="223" t="s">
        <v>530</v>
      </c>
      <c r="FO6" s="223" t="s">
        <v>531</v>
      </c>
      <c r="FP6" s="223" t="s">
        <v>77</v>
      </c>
      <c r="FQ6" s="223" t="s">
        <v>77</v>
      </c>
      <c r="FR6" s="223" t="s">
        <v>77</v>
      </c>
      <c r="FS6" s="223" t="s">
        <v>77</v>
      </c>
      <c r="FT6" s="223" t="s">
        <v>540</v>
      </c>
      <c r="FU6" s="223">
        <v>34</v>
      </c>
      <c r="FV6" s="223">
        <v>34</v>
      </c>
      <c r="FW6" s="223">
        <v>34</v>
      </c>
      <c r="FX6" s="223">
        <v>0</v>
      </c>
      <c r="FY6" s="223">
        <v>0</v>
      </c>
      <c r="FZ6" s="223">
        <v>0</v>
      </c>
      <c r="GA6" s="223" t="s">
        <v>540</v>
      </c>
      <c r="GB6" s="223" t="s">
        <v>541</v>
      </c>
      <c r="GC6" s="223">
        <v>30</v>
      </c>
      <c r="GD6" s="223">
        <v>30</v>
      </c>
      <c r="GE6" s="223">
        <v>30</v>
      </c>
      <c r="GF6" s="223">
        <v>0</v>
      </c>
      <c r="GG6" s="223">
        <v>0</v>
      </c>
      <c r="GH6" s="223">
        <v>0</v>
      </c>
      <c r="GI6" s="223" t="s">
        <v>541</v>
      </c>
      <c r="GJ6" s="223" t="s">
        <v>77</v>
      </c>
      <c r="GK6" s="223">
        <v>0</v>
      </c>
      <c r="GL6" s="223">
        <v>0</v>
      </c>
      <c r="GM6" s="223">
        <v>0</v>
      </c>
      <c r="GN6" s="223">
        <v>0</v>
      </c>
      <c r="GO6" s="223">
        <v>0</v>
      </c>
      <c r="GP6" s="223">
        <v>0</v>
      </c>
      <c r="GQ6" s="223" t="s">
        <v>77</v>
      </c>
      <c r="GR6" s="223" t="s">
        <v>77</v>
      </c>
      <c r="GS6" s="223">
        <v>0</v>
      </c>
      <c r="GT6" s="223">
        <v>0</v>
      </c>
      <c r="GU6" s="223">
        <v>0</v>
      </c>
      <c r="GV6" s="223">
        <v>0</v>
      </c>
      <c r="GW6" s="223">
        <v>0</v>
      </c>
      <c r="GX6" s="223">
        <v>0</v>
      </c>
      <c r="GY6" s="223" t="s">
        <v>77</v>
      </c>
      <c r="GZ6" s="223" t="s">
        <v>77</v>
      </c>
      <c r="HA6" s="223">
        <v>0</v>
      </c>
      <c r="HB6" s="223">
        <v>0</v>
      </c>
      <c r="HC6" s="223">
        <v>0</v>
      </c>
      <c r="HD6" s="223">
        <v>0</v>
      </c>
      <c r="HE6" s="223">
        <v>0</v>
      </c>
      <c r="HF6" s="223">
        <v>0</v>
      </c>
      <c r="HG6" s="223" t="s">
        <v>77</v>
      </c>
      <c r="HH6" s="223" t="s">
        <v>77</v>
      </c>
      <c r="HI6" s="223">
        <v>0</v>
      </c>
      <c r="HJ6" s="223">
        <v>0</v>
      </c>
      <c r="HK6" s="223">
        <v>0</v>
      </c>
      <c r="HL6" s="223">
        <v>0</v>
      </c>
      <c r="HM6" s="223">
        <v>0</v>
      </c>
      <c r="HN6" s="223">
        <v>0</v>
      </c>
      <c r="HO6" s="223" t="s">
        <v>77</v>
      </c>
      <c r="HP6" s="223" t="s">
        <v>84</v>
      </c>
      <c r="HQ6" s="223">
        <v>34</v>
      </c>
      <c r="HR6" s="223">
        <v>30</v>
      </c>
      <c r="HS6" s="223">
        <v>0</v>
      </c>
      <c r="HT6" s="223">
        <v>0</v>
      </c>
      <c r="HU6" s="223">
        <v>0</v>
      </c>
      <c r="HV6" s="223">
        <v>0</v>
      </c>
      <c r="HW6" s="222">
        <v>30</v>
      </c>
      <c r="HX6" s="222">
        <v>26</v>
      </c>
      <c r="HY6" s="223">
        <v>13</v>
      </c>
    </row>
    <row r="7" ht="102">
      <c r="A7" s="222">
        <v>6</v>
      </c>
      <c r="B7" s="222" t="s">
        <v>196</v>
      </c>
      <c r="C7" s="222" t="s">
        <v>197</v>
      </c>
      <c r="D7" s="222" t="s">
        <v>551</v>
      </c>
      <c r="E7" s="222" t="s">
        <v>236</v>
      </c>
      <c r="F7" s="222" t="s">
        <v>46</v>
      </c>
      <c r="G7" s="222" t="s">
        <v>237</v>
      </c>
      <c r="H7" s="222" t="s">
        <v>238</v>
      </c>
      <c r="I7" s="222">
        <v>2</v>
      </c>
      <c r="J7" s="222" t="s">
        <v>239</v>
      </c>
      <c r="K7" s="224" t="s">
        <v>513</v>
      </c>
      <c r="L7" s="224" t="s">
        <v>552</v>
      </c>
      <c r="M7" s="222" t="s">
        <v>202</v>
      </c>
      <c r="N7" s="222" t="s">
        <v>240</v>
      </c>
      <c r="O7" s="222" t="s">
        <v>204</v>
      </c>
      <c r="P7" s="222" t="s">
        <v>205</v>
      </c>
      <c r="Q7" s="222" t="s">
        <v>206</v>
      </c>
      <c r="R7" s="222" t="s">
        <v>207</v>
      </c>
      <c r="S7" s="222" t="s">
        <v>208</v>
      </c>
      <c r="T7" s="222" t="s">
        <v>241</v>
      </c>
      <c r="U7" s="222">
        <v>1</v>
      </c>
      <c r="V7" s="222" t="s">
        <v>210</v>
      </c>
      <c r="W7" s="222" t="b">
        <v>1</v>
      </c>
      <c r="X7" s="222" t="b">
        <v>0</v>
      </c>
      <c r="Y7" s="222">
        <v>0</v>
      </c>
      <c r="Z7" s="222" t="b">
        <v>1</v>
      </c>
      <c r="AA7" s="222">
        <v>4</v>
      </c>
      <c r="AB7" s="222" t="b">
        <v>0</v>
      </c>
      <c r="AC7" s="222" t="b">
        <v>1</v>
      </c>
      <c r="AD7" s="222">
        <v>0</v>
      </c>
      <c r="AE7" s="222">
        <v>0</v>
      </c>
      <c r="AF7" s="222" t="s">
        <v>83</v>
      </c>
      <c r="AG7" s="222">
        <v>0</v>
      </c>
      <c r="AH7" s="223"/>
      <c r="AI7" s="223" t="s">
        <v>515</v>
      </c>
      <c r="AJ7" s="223" t="s">
        <v>516</v>
      </c>
      <c r="AK7" s="222">
        <v>3</v>
      </c>
      <c r="AL7" s="331" t="s">
        <v>517</v>
      </c>
      <c r="AM7" s="331" t="s">
        <v>549</v>
      </c>
      <c r="AN7" s="331" t="s">
        <v>553</v>
      </c>
      <c r="AO7" s="222" t="s">
        <v>45</v>
      </c>
      <c r="AP7" s="223" t="s">
        <v>520</v>
      </c>
      <c r="AQ7" s="223" t="s">
        <v>520</v>
      </c>
      <c r="AR7" s="223" t="s">
        <v>77</v>
      </c>
      <c r="AS7" s="223" t="s">
        <v>77</v>
      </c>
      <c r="AT7" s="223" t="s">
        <v>77</v>
      </c>
      <c r="AU7" s="223" t="s">
        <v>77</v>
      </c>
      <c r="AV7" s="223" t="s">
        <v>521</v>
      </c>
      <c r="AW7" s="223" t="s">
        <v>521</v>
      </c>
      <c r="AX7" s="223" t="s">
        <v>77</v>
      </c>
      <c r="AY7" s="223" t="s">
        <v>77</v>
      </c>
      <c r="AZ7" s="223" t="s">
        <v>77</v>
      </c>
      <c r="BA7" s="223" t="s">
        <v>77</v>
      </c>
      <c r="BB7" s="223" t="s">
        <v>522</v>
      </c>
      <c r="BC7" s="223" t="s">
        <v>551</v>
      </c>
      <c r="BD7" s="223" t="s">
        <v>551</v>
      </c>
      <c r="BE7" s="223" t="s">
        <v>77</v>
      </c>
      <c r="BF7" s="223" t="s">
        <v>77</v>
      </c>
      <c r="BG7" s="223" t="s">
        <v>77</v>
      </c>
      <c r="BH7" s="223" t="s">
        <v>77</v>
      </c>
      <c r="BI7" s="223" t="s">
        <v>523</v>
      </c>
      <c r="BJ7" s="223" t="s">
        <v>523</v>
      </c>
      <c r="BK7" s="223" t="s">
        <v>77</v>
      </c>
      <c r="BL7" s="223" t="s">
        <v>77</v>
      </c>
      <c r="BM7" s="223" t="s">
        <v>77</v>
      </c>
      <c r="BN7" s="223" t="s">
        <v>77</v>
      </c>
      <c r="BO7" s="223">
        <v>3</v>
      </c>
      <c r="BP7" s="223">
        <v>3</v>
      </c>
      <c r="BQ7" s="223">
        <v>0</v>
      </c>
      <c r="BR7" s="223">
        <v>0</v>
      </c>
      <c r="BS7" s="223">
        <v>0</v>
      </c>
      <c r="BT7" s="223">
        <v>0</v>
      </c>
      <c r="BU7" s="223" t="s">
        <v>524</v>
      </c>
      <c r="BV7" s="223">
        <v>2</v>
      </c>
      <c r="BW7" s="223">
        <v>2</v>
      </c>
      <c r="BX7" s="223">
        <v>2</v>
      </c>
      <c r="BY7" s="223">
        <v>0</v>
      </c>
      <c r="BZ7" s="223">
        <v>0</v>
      </c>
      <c r="CA7" s="223">
        <v>0</v>
      </c>
      <c r="CB7" s="223" t="s">
        <v>525</v>
      </c>
      <c r="CC7" s="223">
        <v>1</v>
      </c>
      <c r="CD7" s="223">
        <v>1</v>
      </c>
      <c r="CE7" s="223">
        <v>1</v>
      </c>
      <c r="CF7" s="223">
        <v>0</v>
      </c>
      <c r="CG7" s="223">
        <v>0</v>
      </c>
      <c r="CH7" s="223">
        <v>0</v>
      </c>
      <c r="CI7" s="223" t="s">
        <v>77</v>
      </c>
      <c r="CJ7" s="223">
        <v>0</v>
      </c>
      <c r="CK7" s="223">
        <v>0</v>
      </c>
      <c r="CL7" s="223">
        <v>0</v>
      </c>
      <c r="CM7" s="223">
        <v>0</v>
      </c>
      <c r="CN7" s="223">
        <v>0</v>
      </c>
      <c r="CO7" s="223">
        <v>0</v>
      </c>
      <c r="CP7" s="223" t="s">
        <v>77</v>
      </c>
      <c r="CQ7" s="223">
        <v>0</v>
      </c>
      <c r="CR7" s="223">
        <v>0</v>
      </c>
      <c r="CS7" s="223">
        <v>0</v>
      </c>
      <c r="CT7" s="223">
        <v>0</v>
      </c>
      <c r="CU7" s="223">
        <v>0</v>
      </c>
      <c r="CV7" s="223">
        <v>0</v>
      </c>
      <c r="CW7" s="223" t="s">
        <v>77</v>
      </c>
      <c r="CX7" s="223">
        <v>0</v>
      </c>
      <c r="CY7" s="223">
        <v>0</v>
      </c>
      <c r="CZ7" s="223">
        <v>0</v>
      </c>
      <c r="DA7" s="223">
        <v>0</v>
      </c>
      <c r="DB7" s="223">
        <v>0</v>
      </c>
      <c r="DC7" s="223">
        <v>0</v>
      </c>
      <c r="DD7" s="223" t="s">
        <v>77</v>
      </c>
      <c r="DE7" s="223">
        <v>0</v>
      </c>
      <c r="DF7" s="223">
        <v>0</v>
      </c>
      <c r="DG7" s="223">
        <v>0</v>
      </c>
      <c r="DH7" s="223">
        <v>0</v>
      </c>
      <c r="DI7" s="223">
        <v>0</v>
      </c>
      <c r="DJ7" s="223">
        <v>0</v>
      </c>
      <c r="DK7" s="223" t="s">
        <v>526</v>
      </c>
      <c r="DL7" s="223">
        <v>80</v>
      </c>
      <c r="DM7" s="223">
        <v>80</v>
      </c>
      <c r="DN7" s="223">
        <v>80</v>
      </c>
      <c r="DO7" s="223">
        <v>0</v>
      </c>
      <c r="DP7" s="223">
        <v>0</v>
      </c>
      <c r="DQ7" s="223">
        <v>0</v>
      </c>
      <c r="DR7" s="223" t="s">
        <v>527</v>
      </c>
      <c r="DS7" s="223">
        <v>80</v>
      </c>
      <c r="DT7" s="223" t="s">
        <v>528</v>
      </c>
      <c r="DU7" s="223">
        <v>40</v>
      </c>
      <c r="DV7" s="223">
        <v>40</v>
      </c>
      <c r="DW7" s="223">
        <v>40</v>
      </c>
      <c r="DX7" s="223">
        <v>0</v>
      </c>
      <c r="DY7" s="223">
        <v>0</v>
      </c>
      <c r="DZ7" s="223">
        <v>0</v>
      </c>
      <c r="EA7" s="223" t="s">
        <v>529</v>
      </c>
      <c r="EB7" s="223">
        <v>40</v>
      </c>
      <c r="EC7" s="223" t="s">
        <v>77</v>
      </c>
      <c r="ED7" s="223">
        <v>0</v>
      </c>
      <c r="EE7" s="223">
        <v>0</v>
      </c>
      <c r="EF7" s="223">
        <v>0</v>
      </c>
      <c r="EG7" s="223">
        <v>0</v>
      </c>
      <c r="EH7" s="223">
        <v>0</v>
      </c>
      <c r="EI7" s="223">
        <v>0</v>
      </c>
      <c r="EJ7" s="223" t="s">
        <v>77</v>
      </c>
      <c r="EK7" s="223">
        <v>0</v>
      </c>
      <c r="EL7" s="223" t="s">
        <v>77</v>
      </c>
      <c r="EM7" s="223">
        <v>0</v>
      </c>
      <c r="EN7" s="223">
        <v>0</v>
      </c>
      <c r="EO7" s="223">
        <v>0</v>
      </c>
      <c r="EP7" s="223">
        <v>0</v>
      </c>
      <c r="EQ7" s="223">
        <v>0</v>
      </c>
      <c r="ER7" s="223">
        <v>0</v>
      </c>
      <c r="ES7" s="223" t="s">
        <v>77</v>
      </c>
      <c r="ET7" s="223">
        <v>0</v>
      </c>
      <c r="EU7" s="223" t="s">
        <v>77</v>
      </c>
      <c r="EV7" s="223">
        <v>0</v>
      </c>
      <c r="EW7" s="223">
        <v>0</v>
      </c>
      <c r="EX7" s="223">
        <v>0</v>
      </c>
      <c r="EY7" s="223">
        <v>0</v>
      </c>
      <c r="EZ7" s="223">
        <v>0</v>
      </c>
      <c r="FA7" s="223">
        <v>0</v>
      </c>
      <c r="FB7" s="223" t="s">
        <v>77</v>
      </c>
      <c r="FC7" s="223">
        <v>0</v>
      </c>
      <c r="FD7" s="223" t="s">
        <v>77</v>
      </c>
      <c r="FE7" s="223">
        <v>0</v>
      </c>
      <c r="FF7" s="223">
        <v>0</v>
      </c>
      <c r="FG7" s="223">
        <v>0</v>
      </c>
      <c r="FH7" s="223">
        <v>0</v>
      </c>
      <c r="FI7" s="223">
        <v>0</v>
      </c>
      <c r="FJ7" s="223">
        <v>0</v>
      </c>
      <c r="FK7" s="223" t="s">
        <v>77</v>
      </c>
      <c r="FL7" s="223">
        <v>0</v>
      </c>
      <c r="FM7" s="223">
        <v>80</v>
      </c>
      <c r="FN7" s="223" t="s">
        <v>530</v>
      </c>
      <c r="FO7" s="223" t="s">
        <v>531</v>
      </c>
      <c r="FP7" s="223" t="s">
        <v>77</v>
      </c>
      <c r="FQ7" s="223" t="s">
        <v>77</v>
      </c>
      <c r="FR7" s="223" t="s">
        <v>77</v>
      </c>
      <c r="FS7" s="223" t="s">
        <v>77</v>
      </c>
      <c r="FT7" s="223" t="s">
        <v>554</v>
      </c>
      <c r="FU7" s="223">
        <v>36</v>
      </c>
      <c r="FV7" s="223">
        <v>36</v>
      </c>
      <c r="FW7" s="223">
        <v>36</v>
      </c>
      <c r="FX7" s="223">
        <v>0</v>
      </c>
      <c r="FY7" s="223">
        <v>0</v>
      </c>
      <c r="FZ7" s="223">
        <v>0</v>
      </c>
      <c r="GA7" s="223" t="s">
        <v>554</v>
      </c>
      <c r="GB7" s="223" t="s">
        <v>541</v>
      </c>
      <c r="GC7" s="223">
        <v>30</v>
      </c>
      <c r="GD7" s="223">
        <v>30</v>
      </c>
      <c r="GE7" s="223">
        <v>30</v>
      </c>
      <c r="GF7" s="223">
        <v>0</v>
      </c>
      <c r="GG7" s="223">
        <v>0</v>
      </c>
      <c r="GH7" s="223">
        <v>0</v>
      </c>
      <c r="GI7" s="223" t="s">
        <v>541</v>
      </c>
      <c r="GJ7" s="223" t="s">
        <v>77</v>
      </c>
      <c r="GK7" s="223">
        <v>0</v>
      </c>
      <c r="GL7" s="223">
        <v>0</v>
      </c>
      <c r="GM7" s="223">
        <v>0</v>
      </c>
      <c r="GN7" s="223">
        <v>0</v>
      </c>
      <c r="GO7" s="223">
        <v>0</v>
      </c>
      <c r="GP7" s="223">
        <v>0</v>
      </c>
      <c r="GQ7" s="223" t="s">
        <v>77</v>
      </c>
      <c r="GR7" s="223" t="s">
        <v>77</v>
      </c>
      <c r="GS7" s="223">
        <v>0</v>
      </c>
      <c r="GT7" s="223">
        <v>0</v>
      </c>
      <c r="GU7" s="223">
        <v>0</v>
      </c>
      <c r="GV7" s="223">
        <v>0</v>
      </c>
      <c r="GW7" s="223">
        <v>0</v>
      </c>
      <c r="GX7" s="223">
        <v>0</v>
      </c>
      <c r="GY7" s="223" t="s">
        <v>77</v>
      </c>
      <c r="GZ7" s="223" t="s">
        <v>77</v>
      </c>
      <c r="HA7" s="223">
        <v>0</v>
      </c>
      <c r="HB7" s="223">
        <v>0</v>
      </c>
      <c r="HC7" s="223">
        <v>0</v>
      </c>
      <c r="HD7" s="223">
        <v>0</v>
      </c>
      <c r="HE7" s="223">
        <v>0</v>
      </c>
      <c r="HF7" s="223">
        <v>0</v>
      </c>
      <c r="HG7" s="223" t="s">
        <v>77</v>
      </c>
      <c r="HH7" s="223" t="s">
        <v>77</v>
      </c>
      <c r="HI7" s="223">
        <v>0</v>
      </c>
      <c r="HJ7" s="223">
        <v>0</v>
      </c>
      <c r="HK7" s="223">
        <v>0</v>
      </c>
      <c r="HL7" s="223">
        <v>0</v>
      </c>
      <c r="HM7" s="223">
        <v>0</v>
      </c>
      <c r="HN7" s="223">
        <v>0</v>
      </c>
      <c r="HO7" s="223" t="s">
        <v>77</v>
      </c>
      <c r="HP7" s="223" t="s">
        <v>84</v>
      </c>
      <c r="HQ7" s="223">
        <v>36</v>
      </c>
      <c r="HR7" s="223">
        <v>30</v>
      </c>
      <c r="HS7" s="223">
        <v>0</v>
      </c>
      <c r="HT7" s="223">
        <v>0</v>
      </c>
      <c r="HU7" s="223">
        <v>0</v>
      </c>
      <c r="HV7" s="223">
        <v>0</v>
      </c>
      <c r="HW7" s="222">
        <v>30</v>
      </c>
      <c r="HX7" s="222">
        <v>26</v>
      </c>
      <c r="HY7" s="223">
        <v>13</v>
      </c>
    </row>
    <row r="8" ht="102">
      <c r="A8" s="222">
        <v>7</v>
      </c>
      <c r="B8" s="222" t="s">
        <v>196</v>
      </c>
      <c r="C8" s="222" t="s">
        <v>197</v>
      </c>
      <c r="D8" s="222" t="s">
        <v>555</v>
      </c>
      <c r="E8" s="222" t="s">
        <v>242</v>
      </c>
      <c r="F8" s="222" t="s">
        <v>46</v>
      </c>
      <c r="G8" s="222" t="s">
        <v>243</v>
      </c>
      <c r="H8" s="222" t="s">
        <v>244</v>
      </c>
      <c r="I8" s="222">
        <v>2</v>
      </c>
      <c r="J8" s="222" t="s">
        <v>245</v>
      </c>
      <c r="K8" s="224" t="s">
        <v>513</v>
      </c>
      <c r="L8" s="224" t="s">
        <v>552</v>
      </c>
      <c r="M8" s="222" t="s">
        <v>202</v>
      </c>
      <c r="N8" s="222" t="s">
        <v>246</v>
      </c>
      <c r="O8" s="222" t="s">
        <v>204</v>
      </c>
      <c r="P8" s="222" t="s">
        <v>205</v>
      </c>
      <c r="Q8" s="222" t="s">
        <v>206</v>
      </c>
      <c r="R8" s="222" t="s">
        <v>207</v>
      </c>
      <c r="S8" s="222" t="s">
        <v>208</v>
      </c>
      <c r="T8" s="222" t="s">
        <v>247</v>
      </c>
      <c r="U8" s="222">
        <v>1</v>
      </c>
      <c r="V8" s="222" t="s">
        <v>248</v>
      </c>
      <c r="W8" s="222" t="b">
        <v>1</v>
      </c>
      <c r="X8" s="222" t="b">
        <v>0</v>
      </c>
      <c r="Y8" s="222">
        <v>0</v>
      </c>
      <c r="Z8" s="222" t="b">
        <v>1</v>
      </c>
      <c r="AA8" s="222">
        <v>7</v>
      </c>
      <c r="AB8" s="222" t="b">
        <v>0</v>
      </c>
      <c r="AC8" s="222" t="b">
        <v>1</v>
      </c>
      <c r="AD8" s="222">
        <v>0</v>
      </c>
      <c r="AE8" s="222">
        <v>0</v>
      </c>
      <c r="AF8" s="222" t="s">
        <v>83</v>
      </c>
      <c r="AG8" s="222">
        <v>0</v>
      </c>
      <c r="AH8" s="223"/>
      <c r="AI8" s="223" t="s">
        <v>515</v>
      </c>
      <c r="AJ8" s="223" t="s">
        <v>516</v>
      </c>
      <c r="AK8" s="222">
        <v>3</v>
      </c>
      <c r="AL8" s="331" t="s">
        <v>517</v>
      </c>
      <c r="AM8" s="331" t="s">
        <v>549</v>
      </c>
      <c r="AN8" s="331" t="s">
        <v>556</v>
      </c>
      <c r="AO8" s="222" t="s">
        <v>45</v>
      </c>
      <c r="AP8" s="223" t="s">
        <v>520</v>
      </c>
      <c r="AQ8" s="223" t="s">
        <v>520</v>
      </c>
      <c r="AR8" s="223" t="s">
        <v>77</v>
      </c>
      <c r="AS8" s="223" t="s">
        <v>77</v>
      </c>
      <c r="AT8" s="223" t="s">
        <v>77</v>
      </c>
      <c r="AU8" s="223" t="s">
        <v>77</v>
      </c>
      <c r="AV8" s="223" t="s">
        <v>521</v>
      </c>
      <c r="AW8" s="223" t="s">
        <v>521</v>
      </c>
      <c r="AX8" s="223" t="s">
        <v>77</v>
      </c>
      <c r="AY8" s="223" t="s">
        <v>77</v>
      </c>
      <c r="AZ8" s="223" t="s">
        <v>77</v>
      </c>
      <c r="BA8" s="223" t="s">
        <v>77</v>
      </c>
      <c r="BB8" s="223" t="s">
        <v>522</v>
      </c>
      <c r="BC8" s="223" t="s">
        <v>555</v>
      </c>
      <c r="BD8" s="223" t="s">
        <v>555</v>
      </c>
      <c r="BE8" s="223" t="s">
        <v>77</v>
      </c>
      <c r="BF8" s="223" t="s">
        <v>77</v>
      </c>
      <c r="BG8" s="223" t="s">
        <v>77</v>
      </c>
      <c r="BH8" s="223" t="s">
        <v>77</v>
      </c>
      <c r="BI8" s="223" t="s">
        <v>523</v>
      </c>
      <c r="BJ8" s="223" t="s">
        <v>523</v>
      </c>
      <c r="BK8" s="223" t="s">
        <v>77</v>
      </c>
      <c r="BL8" s="223" t="s">
        <v>77</v>
      </c>
      <c r="BM8" s="223" t="s">
        <v>77</v>
      </c>
      <c r="BN8" s="223" t="s">
        <v>77</v>
      </c>
      <c r="BO8" s="223">
        <v>3</v>
      </c>
      <c r="BP8" s="223">
        <v>3</v>
      </c>
      <c r="BQ8" s="223">
        <v>0</v>
      </c>
      <c r="BR8" s="223">
        <v>0</v>
      </c>
      <c r="BS8" s="223">
        <v>0</v>
      </c>
      <c r="BT8" s="223">
        <v>0</v>
      </c>
      <c r="BU8" s="223" t="s">
        <v>524</v>
      </c>
      <c r="BV8" s="223">
        <v>2</v>
      </c>
      <c r="BW8" s="223">
        <v>2</v>
      </c>
      <c r="BX8" s="223">
        <v>2</v>
      </c>
      <c r="BY8" s="223">
        <v>0</v>
      </c>
      <c r="BZ8" s="223">
        <v>0</v>
      </c>
      <c r="CA8" s="223">
        <v>0</v>
      </c>
      <c r="CB8" s="223" t="s">
        <v>525</v>
      </c>
      <c r="CC8" s="223">
        <v>1</v>
      </c>
      <c r="CD8" s="223">
        <v>1</v>
      </c>
      <c r="CE8" s="223">
        <v>1</v>
      </c>
      <c r="CF8" s="223">
        <v>0</v>
      </c>
      <c r="CG8" s="223">
        <v>0</v>
      </c>
      <c r="CH8" s="223">
        <v>0</v>
      </c>
      <c r="CI8" s="223" t="s">
        <v>77</v>
      </c>
      <c r="CJ8" s="223">
        <v>0</v>
      </c>
      <c r="CK8" s="223">
        <v>0</v>
      </c>
      <c r="CL8" s="223">
        <v>0</v>
      </c>
      <c r="CM8" s="223">
        <v>0</v>
      </c>
      <c r="CN8" s="223">
        <v>0</v>
      </c>
      <c r="CO8" s="223">
        <v>0</v>
      </c>
      <c r="CP8" s="223" t="s">
        <v>77</v>
      </c>
      <c r="CQ8" s="223">
        <v>0</v>
      </c>
      <c r="CR8" s="223">
        <v>0</v>
      </c>
      <c r="CS8" s="223">
        <v>0</v>
      </c>
      <c r="CT8" s="223">
        <v>0</v>
      </c>
      <c r="CU8" s="223">
        <v>0</v>
      </c>
      <c r="CV8" s="223">
        <v>0</v>
      </c>
      <c r="CW8" s="223" t="s">
        <v>77</v>
      </c>
      <c r="CX8" s="223">
        <v>0</v>
      </c>
      <c r="CY8" s="223">
        <v>0</v>
      </c>
      <c r="CZ8" s="223">
        <v>0</v>
      </c>
      <c r="DA8" s="223">
        <v>0</v>
      </c>
      <c r="DB8" s="223">
        <v>0</v>
      </c>
      <c r="DC8" s="223">
        <v>0</v>
      </c>
      <c r="DD8" s="223" t="s">
        <v>77</v>
      </c>
      <c r="DE8" s="223">
        <v>0</v>
      </c>
      <c r="DF8" s="223">
        <v>0</v>
      </c>
      <c r="DG8" s="223">
        <v>0</v>
      </c>
      <c r="DH8" s="223">
        <v>0</v>
      </c>
      <c r="DI8" s="223">
        <v>0</v>
      </c>
      <c r="DJ8" s="223">
        <v>0</v>
      </c>
      <c r="DK8" s="223" t="s">
        <v>526</v>
      </c>
      <c r="DL8" s="223">
        <v>80</v>
      </c>
      <c r="DM8" s="223">
        <v>80</v>
      </c>
      <c r="DN8" s="223">
        <v>80</v>
      </c>
      <c r="DO8" s="223">
        <v>0</v>
      </c>
      <c r="DP8" s="223">
        <v>0</v>
      </c>
      <c r="DQ8" s="223">
        <v>0</v>
      </c>
      <c r="DR8" s="223" t="s">
        <v>527</v>
      </c>
      <c r="DS8" s="223">
        <v>80</v>
      </c>
      <c r="DT8" s="223" t="s">
        <v>528</v>
      </c>
      <c r="DU8" s="223">
        <v>40</v>
      </c>
      <c r="DV8" s="223">
        <v>40</v>
      </c>
      <c r="DW8" s="223">
        <v>40</v>
      </c>
      <c r="DX8" s="223">
        <v>0</v>
      </c>
      <c r="DY8" s="223">
        <v>0</v>
      </c>
      <c r="DZ8" s="223">
        <v>0</v>
      </c>
      <c r="EA8" s="223" t="s">
        <v>529</v>
      </c>
      <c r="EB8" s="223">
        <v>40</v>
      </c>
      <c r="EC8" s="223" t="s">
        <v>77</v>
      </c>
      <c r="ED8" s="223">
        <v>0</v>
      </c>
      <c r="EE8" s="223">
        <v>0</v>
      </c>
      <c r="EF8" s="223">
        <v>0</v>
      </c>
      <c r="EG8" s="223">
        <v>0</v>
      </c>
      <c r="EH8" s="223">
        <v>0</v>
      </c>
      <c r="EI8" s="223">
        <v>0</v>
      </c>
      <c r="EJ8" s="223" t="s">
        <v>77</v>
      </c>
      <c r="EK8" s="223">
        <v>0</v>
      </c>
      <c r="EL8" s="223" t="s">
        <v>77</v>
      </c>
      <c r="EM8" s="223">
        <v>0</v>
      </c>
      <c r="EN8" s="223">
        <v>0</v>
      </c>
      <c r="EO8" s="223">
        <v>0</v>
      </c>
      <c r="EP8" s="223">
        <v>0</v>
      </c>
      <c r="EQ8" s="223">
        <v>0</v>
      </c>
      <c r="ER8" s="223">
        <v>0</v>
      </c>
      <c r="ES8" s="223" t="s">
        <v>77</v>
      </c>
      <c r="ET8" s="223">
        <v>0</v>
      </c>
      <c r="EU8" s="223" t="s">
        <v>77</v>
      </c>
      <c r="EV8" s="223">
        <v>0</v>
      </c>
      <c r="EW8" s="223">
        <v>0</v>
      </c>
      <c r="EX8" s="223">
        <v>0</v>
      </c>
      <c r="EY8" s="223">
        <v>0</v>
      </c>
      <c r="EZ8" s="223">
        <v>0</v>
      </c>
      <c r="FA8" s="223">
        <v>0</v>
      </c>
      <c r="FB8" s="223" t="s">
        <v>77</v>
      </c>
      <c r="FC8" s="223">
        <v>0</v>
      </c>
      <c r="FD8" s="223" t="s">
        <v>77</v>
      </c>
      <c r="FE8" s="223">
        <v>0</v>
      </c>
      <c r="FF8" s="223">
        <v>0</v>
      </c>
      <c r="FG8" s="223">
        <v>0</v>
      </c>
      <c r="FH8" s="223">
        <v>0</v>
      </c>
      <c r="FI8" s="223">
        <v>0</v>
      </c>
      <c r="FJ8" s="223">
        <v>0</v>
      </c>
      <c r="FK8" s="223" t="s">
        <v>77</v>
      </c>
      <c r="FL8" s="223">
        <v>0</v>
      </c>
      <c r="FM8" s="223">
        <v>80</v>
      </c>
      <c r="FN8" s="223" t="s">
        <v>530</v>
      </c>
      <c r="FO8" s="223" t="s">
        <v>531</v>
      </c>
      <c r="FP8" s="223" t="s">
        <v>77</v>
      </c>
      <c r="FQ8" s="223" t="s">
        <v>77</v>
      </c>
      <c r="FR8" s="223" t="s">
        <v>77</v>
      </c>
      <c r="FS8" s="223" t="s">
        <v>77</v>
      </c>
      <c r="FT8" s="223" t="s">
        <v>557</v>
      </c>
      <c r="FU8" s="223">
        <v>24</v>
      </c>
      <c r="FV8" s="223">
        <v>24</v>
      </c>
      <c r="FW8" s="223">
        <v>24</v>
      </c>
      <c r="FX8" s="223">
        <v>0</v>
      </c>
      <c r="FY8" s="223">
        <v>0</v>
      </c>
      <c r="FZ8" s="223">
        <v>0</v>
      </c>
      <c r="GA8" s="223" t="s">
        <v>557</v>
      </c>
      <c r="GB8" s="223" t="s">
        <v>557</v>
      </c>
      <c r="GC8" s="223">
        <v>24</v>
      </c>
      <c r="GD8" s="223">
        <v>24</v>
      </c>
      <c r="GE8" s="223">
        <v>24</v>
      </c>
      <c r="GF8" s="223">
        <v>0</v>
      </c>
      <c r="GG8" s="223">
        <v>0</v>
      </c>
      <c r="GH8" s="223">
        <v>0</v>
      </c>
      <c r="GI8" s="223" t="s">
        <v>557</v>
      </c>
      <c r="GJ8" s="223" t="s">
        <v>77</v>
      </c>
      <c r="GK8" s="223">
        <v>0</v>
      </c>
      <c r="GL8" s="223">
        <v>0</v>
      </c>
      <c r="GM8" s="223">
        <v>0</v>
      </c>
      <c r="GN8" s="223">
        <v>0</v>
      </c>
      <c r="GO8" s="223">
        <v>0</v>
      </c>
      <c r="GP8" s="223">
        <v>0</v>
      </c>
      <c r="GQ8" s="223" t="s">
        <v>77</v>
      </c>
      <c r="GR8" s="223" t="s">
        <v>77</v>
      </c>
      <c r="GS8" s="223">
        <v>0</v>
      </c>
      <c r="GT8" s="223">
        <v>0</v>
      </c>
      <c r="GU8" s="223">
        <v>0</v>
      </c>
      <c r="GV8" s="223">
        <v>0</v>
      </c>
      <c r="GW8" s="223">
        <v>0</v>
      </c>
      <c r="GX8" s="223">
        <v>0</v>
      </c>
      <c r="GY8" s="223" t="s">
        <v>77</v>
      </c>
      <c r="GZ8" s="223" t="s">
        <v>77</v>
      </c>
      <c r="HA8" s="223">
        <v>0</v>
      </c>
      <c r="HB8" s="223">
        <v>0</v>
      </c>
      <c r="HC8" s="223">
        <v>0</v>
      </c>
      <c r="HD8" s="223">
        <v>0</v>
      </c>
      <c r="HE8" s="223">
        <v>0</v>
      </c>
      <c r="HF8" s="223">
        <v>0</v>
      </c>
      <c r="HG8" s="223" t="s">
        <v>77</v>
      </c>
      <c r="HH8" s="223" t="s">
        <v>77</v>
      </c>
      <c r="HI8" s="223">
        <v>0</v>
      </c>
      <c r="HJ8" s="223">
        <v>0</v>
      </c>
      <c r="HK8" s="223">
        <v>0</v>
      </c>
      <c r="HL8" s="223">
        <v>0</v>
      </c>
      <c r="HM8" s="223">
        <v>0</v>
      </c>
      <c r="HN8" s="223">
        <v>0</v>
      </c>
      <c r="HO8" s="223" t="s">
        <v>77</v>
      </c>
      <c r="HP8" s="223" t="s">
        <v>84</v>
      </c>
      <c r="HQ8" s="223">
        <v>24</v>
      </c>
      <c r="HR8" s="223">
        <v>24</v>
      </c>
      <c r="HS8" s="223">
        <v>0</v>
      </c>
      <c r="HT8" s="223">
        <v>0</v>
      </c>
      <c r="HU8" s="223">
        <v>0</v>
      </c>
      <c r="HV8" s="223">
        <v>0</v>
      </c>
      <c r="HW8" s="222">
        <v>24</v>
      </c>
      <c r="HX8" s="222">
        <v>17</v>
      </c>
      <c r="HY8" s="223">
        <v>13</v>
      </c>
    </row>
    <row r="9" ht="102">
      <c r="A9" s="222">
        <v>8</v>
      </c>
      <c r="B9" s="222" t="s">
        <v>196</v>
      </c>
      <c r="C9" s="222" t="s">
        <v>197</v>
      </c>
      <c r="D9" s="222" t="s">
        <v>558</v>
      </c>
      <c r="E9" s="222" t="s">
        <v>249</v>
      </c>
      <c r="F9" s="222" t="s">
        <v>46</v>
      </c>
      <c r="G9" s="222" t="s">
        <v>250</v>
      </c>
      <c r="H9" s="222" t="s">
        <v>251</v>
      </c>
      <c r="I9" s="222">
        <v>2</v>
      </c>
      <c r="J9" s="222" t="s">
        <v>252</v>
      </c>
      <c r="K9" s="224" t="s">
        <v>513</v>
      </c>
      <c r="L9" s="224" t="s">
        <v>559</v>
      </c>
      <c r="M9" s="222" t="s">
        <v>202</v>
      </c>
      <c r="N9" s="222" t="s">
        <v>253</v>
      </c>
      <c r="O9" s="222" t="s">
        <v>204</v>
      </c>
      <c r="P9" s="222" t="s">
        <v>205</v>
      </c>
      <c r="Q9" s="222" t="s">
        <v>206</v>
      </c>
      <c r="R9" s="222" t="s">
        <v>207</v>
      </c>
      <c r="S9" s="222" t="s">
        <v>208</v>
      </c>
      <c r="T9" s="222" t="s">
        <v>219</v>
      </c>
      <c r="U9" s="222">
        <v>1</v>
      </c>
      <c r="V9" s="222" t="s">
        <v>210</v>
      </c>
      <c r="W9" s="222" t="b">
        <v>1</v>
      </c>
      <c r="X9" s="222" t="b">
        <v>0</v>
      </c>
      <c r="Y9" s="222">
        <v>0</v>
      </c>
      <c r="Z9" s="222" t="b">
        <v>1</v>
      </c>
      <c r="AA9" s="222">
        <v>4</v>
      </c>
      <c r="AB9" s="222" t="b">
        <v>0</v>
      </c>
      <c r="AC9" s="222" t="b">
        <v>1</v>
      </c>
      <c r="AD9" s="222">
        <v>0</v>
      </c>
      <c r="AE9" s="222">
        <v>0</v>
      </c>
      <c r="AF9" s="222" t="s">
        <v>83</v>
      </c>
      <c r="AG9" s="222">
        <v>0</v>
      </c>
      <c r="AH9" s="223"/>
      <c r="AI9" s="223" t="s">
        <v>515</v>
      </c>
      <c r="AJ9" s="223" t="s">
        <v>516</v>
      </c>
      <c r="AK9" s="222">
        <v>4</v>
      </c>
      <c r="AL9" s="331" t="s">
        <v>517</v>
      </c>
      <c r="AM9" s="331" t="s">
        <v>560</v>
      </c>
      <c r="AN9" s="331" t="s">
        <v>561</v>
      </c>
      <c r="AO9" s="222" t="s">
        <v>45</v>
      </c>
      <c r="AP9" s="223" t="s">
        <v>520</v>
      </c>
      <c r="AQ9" s="223" t="s">
        <v>520</v>
      </c>
      <c r="AR9" s="223" t="s">
        <v>77</v>
      </c>
      <c r="AS9" s="223" t="s">
        <v>77</v>
      </c>
      <c r="AT9" s="223" t="s">
        <v>77</v>
      </c>
      <c r="AU9" s="223" t="s">
        <v>77</v>
      </c>
      <c r="AV9" s="223" t="s">
        <v>521</v>
      </c>
      <c r="AW9" s="223" t="s">
        <v>521</v>
      </c>
      <c r="AX9" s="223" t="s">
        <v>77</v>
      </c>
      <c r="AY9" s="223" t="s">
        <v>77</v>
      </c>
      <c r="AZ9" s="223" t="s">
        <v>77</v>
      </c>
      <c r="BA9" s="223" t="s">
        <v>77</v>
      </c>
      <c r="BB9" s="223" t="s">
        <v>522</v>
      </c>
      <c r="BC9" s="223" t="s">
        <v>558</v>
      </c>
      <c r="BD9" s="223" t="s">
        <v>558</v>
      </c>
      <c r="BE9" s="223" t="s">
        <v>77</v>
      </c>
      <c r="BF9" s="223" t="s">
        <v>77</v>
      </c>
      <c r="BG9" s="223" t="s">
        <v>77</v>
      </c>
      <c r="BH9" s="223" t="s">
        <v>77</v>
      </c>
      <c r="BI9" s="223" t="s">
        <v>523</v>
      </c>
      <c r="BJ9" s="223" t="s">
        <v>523</v>
      </c>
      <c r="BK9" s="223" t="s">
        <v>77</v>
      </c>
      <c r="BL9" s="223" t="s">
        <v>77</v>
      </c>
      <c r="BM9" s="223" t="s">
        <v>77</v>
      </c>
      <c r="BN9" s="223" t="s">
        <v>77</v>
      </c>
      <c r="BO9" s="223">
        <v>3</v>
      </c>
      <c r="BP9" s="223">
        <v>3</v>
      </c>
      <c r="BQ9" s="223">
        <v>0</v>
      </c>
      <c r="BR9" s="223">
        <v>0</v>
      </c>
      <c r="BS9" s="223">
        <v>0</v>
      </c>
      <c r="BT9" s="223">
        <v>0</v>
      </c>
      <c r="BU9" s="223" t="s">
        <v>524</v>
      </c>
      <c r="BV9" s="223">
        <v>2</v>
      </c>
      <c r="BW9" s="223">
        <v>2</v>
      </c>
      <c r="BX9" s="223">
        <v>2</v>
      </c>
      <c r="BY9" s="223">
        <v>0</v>
      </c>
      <c r="BZ9" s="223">
        <v>0</v>
      </c>
      <c r="CA9" s="223">
        <v>0</v>
      </c>
      <c r="CB9" s="223" t="s">
        <v>525</v>
      </c>
      <c r="CC9" s="223">
        <v>1</v>
      </c>
      <c r="CD9" s="223">
        <v>1</v>
      </c>
      <c r="CE9" s="223">
        <v>1</v>
      </c>
      <c r="CF9" s="223">
        <v>0</v>
      </c>
      <c r="CG9" s="223">
        <v>0</v>
      </c>
      <c r="CH9" s="223">
        <v>0</v>
      </c>
      <c r="CI9" s="223" t="s">
        <v>77</v>
      </c>
      <c r="CJ9" s="223">
        <v>0</v>
      </c>
      <c r="CK9" s="223">
        <v>0</v>
      </c>
      <c r="CL9" s="223">
        <v>0</v>
      </c>
      <c r="CM9" s="223">
        <v>0</v>
      </c>
      <c r="CN9" s="223">
        <v>0</v>
      </c>
      <c r="CO9" s="223">
        <v>0</v>
      </c>
      <c r="CP9" s="223" t="s">
        <v>77</v>
      </c>
      <c r="CQ9" s="223">
        <v>0</v>
      </c>
      <c r="CR9" s="223">
        <v>0</v>
      </c>
      <c r="CS9" s="223">
        <v>0</v>
      </c>
      <c r="CT9" s="223">
        <v>0</v>
      </c>
      <c r="CU9" s="223">
        <v>0</v>
      </c>
      <c r="CV9" s="223">
        <v>0</v>
      </c>
      <c r="CW9" s="223" t="s">
        <v>77</v>
      </c>
      <c r="CX9" s="223">
        <v>0</v>
      </c>
      <c r="CY9" s="223">
        <v>0</v>
      </c>
      <c r="CZ9" s="223">
        <v>0</v>
      </c>
      <c r="DA9" s="223">
        <v>0</v>
      </c>
      <c r="DB9" s="223">
        <v>0</v>
      </c>
      <c r="DC9" s="223">
        <v>0</v>
      </c>
      <c r="DD9" s="223" t="s">
        <v>77</v>
      </c>
      <c r="DE9" s="223">
        <v>0</v>
      </c>
      <c r="DF9" s="223">
        <v>0</v>
      </c>
      <c r="DG9" s="223">
        <v>0</v>
      </c>
      <c r="DH9" s="223">
        <v>0</v>
      </c>
      <c r="DI9" s="223">
        <v>0</v>
      </c>
      <c r="DJ9" s="223">
        <v>0</v>
      </c>
      <c r="DK9" s="223" t="s">
        <v>526</v>
      </c>
      <c r="DL9" s="223">
        <v>80</v>
      </c>
      <c r="DM9" s="223">
        <v>80</v>
      </c>
      <c r="DN9" s="223">
        <v>80</v>
      </c>
      <c r="DO9" s="223">
        <v>0</v>
      </c>
      <c r="DP9" s="223">
        <v>0</v>
      </c>
      <c r="DQ9" s="223">
        <v>0</v>
      </c>
      <c r="DR9" s="223" t="s">
        <v>527</v>
      </c>
      <c r="DS9" s="223">
        <v>80</v>
      </c>
      <c r="DT9" s="223" t="s">
        <v>528</v>
      </c>
      <c r="DU9" s="223">
        <v>40</v>
      </c>
      <c r="DV9" s="223">
        <v>40</v>
      </c>
      <c r="DW9" s="223">
        <v>40</v>
      </c>
      <c r="DX9" s="223">
        <v>0</v>
      </c>
      <c r="DY9" s="223">
        <v>0</v>
      </c>
      <c r="DZ9" s="223">
        <v>0</v>
      </c>
      <c r="EA9" s="223" t="s">
        <v>529</v>
      </c>
      <c r="EB9" s="223">
        <v>40</v>
      </c>
      <c r="EC9" s="223" t="s">
        <v>77</v>
      </c>
      <c r="ED9" s="223">
        <v>0</v>
      </c>
      <c r="EE9" s="223">
        <v>0</v>
      </c>
      <c r="EF9" s="223">
        <v>0</v>
      </c>
      <c r="EG9" s="223">
        <v>0</v>
      </c>
      <c r="EH9" s="223">
        <v>0</v>
      </c>
      <c r="EI9" s="223">
        <v>0</v>
      </c>
      <c r="EJ9" s="223" t="s">
        <v>77</v>
      </c>
      <c r="EK9" s="223">
        <v>0</v>
      </c>
      <c r="EL9" s="223" t="s">
        <v>77</v>
      </c>
      <c r="EM9" s="223">
        <v>0</v>
      </c>
      <c r="EN9" s="223">
        <v>0</v>
      </c>
      <c r="EO9" s="223">
        <v>0</v>
      </c>
      <c r="EP9" s="223">
        <v>0</v>
      </c>
      <c r="EQ9" s="223">
        <v>0</v>
      </c>
      <c r="ER9" s="223">
        <v>0</v>
      </c>
      <c r="ES9" s="223" t="s">
        <v>77</v>
      </c>
      <c r="ET9" s="223">
        <v>0</v>
      </c>
      <c r="EU9" s="223" t="s">
        <v>77</v>
      </c>
      <c r="EV9" s="223">
        <v>0</v>
      </c>
      <c r="EW9" s="223">
        <v>0</v>
      </c>
      <c r="EX9" s="223">
        <v>0</v>
      </c>
      <c r="EY9" s="223">
        <v>0</v>
      </c>
      <c r="EZ9" s="223">
        <v>0</v>
      </c>
      <c r="FA9" s="223">
        <v>0</v>
      </c>
      <c r="FB9" s="223" t="s">
        <v>77</v>
      </c>
      <c r="FC9" s="223">
        <v>0</v>
      </c>
      <c r="FD9" s="223" t="s">
        <v>77</v>
      </c>
      <c r="FE9" s="223">
        <v>0</v>
      </c>
      <c r="FF9" s="223">
        <v>0</v>
      </c>
      <c r="FG9" s="223">
        <v>0</v>
      </c>
      <c r="FH9" s="223">
        <v>0</v>
      </c>
      <c r="FI9" s="223">
        <v>0</v>
      </c>
      <c r="FJ9" s="223">
        <v>0</v>
      </c>
      <c r="FK9" s="223" t="s">
        <v>77</v>
      </c>
      <c r="FL9" s="223">
        <v>0</v>
      </c>
      <c r="FM9" s="223">
        <v>80</v>
      </c>
      <c r="FN9" s="223" t="s">
        <v>530</v>
      </c>
      <c r="FO9" s="223" t="s">
        <v>531</v>
      </c>
      <c r="FP9" s="223" t="s">
        <v>77</v>
      </c>
      <c r="FQ9" s="223" t="s">
        <v>77</v>
      </c>
      <c r="FR9" s="223" t="s">
        <v>77</v>
      </c>
      <c r="FS9" s="223" t="s">
        <v>77</v>
      </c>
      <c r="FT9" s="223" t="s">
        <v>540</v>
      </c>
      <c r="FU9" s="223">
        <v>34</v>
      </c>
      <c r="FV9" s="223">
        <v>34</v>
      </c>
      <c r="FW9" s="223">
        <v>34</v>
      </c>
      <c r="FX9" s="223">
        <v>0</v>
      </c>
      <c r="FY9" s="223">
        <v>0</v>
      </c>
      <c r="FZ9" s="223">
        <v>0</v>
      </c>
      <c r="GA9" s="223" t="s">
        <v>540</v>
      </c>
      <c r="GB9" s="223" t="s">
        <v>541</v>
      </c>
      <c r="GC9" s="223">
        <v>30</v>
      </c>
      <c r="GD9" s="223">
        <v>30</v>
      </c>
      <c r="GE9" s="223">
        <v>30</v>
      </c>
      <c r="GF9" s="223">
        <v>0</v>
      </c>
      <c r="GG9" s="223">
        <v>0</v>
      </c>
      <c r="GH9" s="223">
        <v>0</v>
      </c>
      <c r="GI9" s="223" t="s">
        <v>541</v>
      </c>
      <c r="GJ9" s="223" t="s">
        <v>77</v>
      </c>
      <c r="GK9" s="223">
        <v>0</v>
      </c>
      <c r="GL9" s="223">
        <v>0</v>
      </c>
      <c r="GM9" s="223">
        <v>0</v>
      </c>
      <c r="GN9" s="223">
        <v>0</v>
      </c>
      <c r="GO9" s="223">
        <v>0</v>
      </c>
      <c r="GP9" s="223">
        <v>0</v>
      </c>
      <c r="GQ9" s="223" t="s">
        <v>77</v>
      </c>
      <c r="GR9" s="223" t="s">
        <v>77</v>
      </c>
      <c r="GS9" s="223">
        <v>0</v>
      </c>
      <c r="GT9" s="223">
        <v>0</v>
      </c>
      <c r="GU9" s="223">
        <v>0</v>
      </c>
      <c r="GV9" s="223">
        <v>0</v>
      </c>
      <c r="GW9" s="223">
        <v>0</v>
      </c>
      <c r="GX9" s="223">
        <v>0</v>
      </c>
      <c r="GY9" s="223" t="s">
        <v>77</v>
      </c>
      <c r="GZ9" s="223" t="s">
        <v>77</v>
      </c>
      <c r="HA9" s="223">
        <v>0</v>
      </c>
      <c r="HB9" s="223">
        <v>0</v>
      </c>
      <c r="HC9" s="223">
        <v>0</v>
      </c>
      <c r="HD9" s="223">
        <v>0</v>
      </c>
      <c r="HE9" s="223">
        <v>0</v>
      </c>
      <c r="HF9" s="223">
        <v>0</v>
      </c>
      <c r="HG9" s="223" t="s">
        <v>77</v>
      </c>
      <c r="HH9" s="223" t="s">
        <v>77</v>
      </c>
      <c r="HI9" s="223">
        <v>0</v>
      </c>
      <c r="HJ9" s="223">
        <v>0</v>
      </c>
      <c r="HK9" s="223">
        <v>0</v>
      </c>
      <c r="HL9" s="223">
        <v>0</v>
      </c>
      <c r="HM9" s="223">
        <v>0</v>
      </c>
      <c r="HN9" s="223">
        <v>0</v>
      </c>
      <c r="HO9" s="223" t="s">
        <v>77</v>
      </c>
      <c r="HP9" s="223" t="s">
        <v>84</v>
      </c>
      <c r="HQ9" s="223">
        <v>34</v>
      </c>
      <c r="HR9" s="223">
        <v>30</v>
      </c>
      <c r="HS9" s="223">
        <v>0</v>
      </c>
      <c r="HT9" s="223">
        <v>0</v>
      </c>
      <c r="HU9" s="223">
        <v>0</v>
      </c>
      <c r="HV9" s="223">
        <v>0</v>
      </c>
      <c r="HW9" s="222">
        <v>30</v>
      </c>
      <c r="HX9" s="222">
        <v>26</v>
      </c>
      <c r="HY9" s="223">
        <v>13</v>
      </c>
    </row>
    <row r="10" ht="102">
      <c r="A10" s="222">
        <v>9</v>
      </c>
      <c r="B10" s="222" t="s">
        <v>196</v>
      </c>
      <c r="C10" s="222" t="s">
        <v>197</v>
      </c>
      <c r="D10" s="222" t="s">
        <v>562</v>
      </c>
      <c r="E10" s="222" t="s">
        <v>254</v>
      </c>
      <c r="F10" s="222" t="s">
        <v>46</v>
      </c>
      <c r="G10" s="222" t="s">
        <v>255</v>
      </c>
      <c r="H10" s="222" t="s">
        <v>256</v>
      </c>
      <c r="I10" s="222">
        <v>2</v>
      </c>
      <c r="J10" s="222" t="s">
        <v>257</v>
      </c>
      <c r="K10" s="224" t="s">
        <v>513</v>
      </c>
      <c r="L10" s="224" t="s">
        <v>563</v>
      </c>
      <c r="M10" s="222" t="s">
        <v>202</v>
      </c>
      <c r="N10" s="222" t="s">
        <v>258</v>
      </c>
      <c r="O10" s="222" t="s">
        <v>204</v>
      </c>
      <c r="P10" s="222" t="s">
        <v>205</v>
      </c>
      <c r="Q10" s="222" t="s">
        <v>206</v>
      </c>
      <c r="R10" s="222" t="s">
        <v>207</v>
      </c>
      <c r="S10" s="222" t="s">
        <v>208</v>
      </c>
      <c r="T10" s="222" t="s">
        <v>259</v>
      </c>
      <c r="U10" s="222">
        <v>1</v>
      </c>
      <c r="V10" s="222" t="s">
        <v>210</v>
      </c>
      <c r="W10" s="222" t="b">
        <v>0</v>
      </c>
      <c r="X10" s="222" t="b">
        <v>0</v>
      </c>
      <c r="Y10" s="222">
        <v>0</v>
      </c>
      <c r="Z10" s="222" t="b">
        <v>1</v>
      </c>
      <c r="AA10" s="222">
        <v>11</v>
      </c>
      <c r="AB10" s="222" t="b">
        <v>0</v>
      </c>
      <c r="AC10" s="222" t="b">
        <v>1</v>
      </c>
      <c r="AD10" s="222">
        <v>0</v>
      </c>
      <c r="AE10" s="222">
        <v>0</v>
      </c>
      <c r="AF10" s="222" t="s">
        <v>83</v>
      </c>
      <c r="AG10" s="222">
        <v>0</v>
      </c>
      <c r="AH10" s="223"/>
      <c r="AI10" s="223" t="s">
        <v>515</v>
      </c>
      <c r="AJ10" s="223" t="s">
        <v>516</v>
      </c>
      <c r="AK10" s="222">
        <v>4</v>
      </c>
      <c r="AL10" s="331" t="s">
        <v>517</v>
      </c>
      <c r="AM10" s="331" t="s">
        <v>560</v>
      </c>
      <c r="AN10" s="331" t="s">
        <v>564</v>
      </c>
      <c r="AO10" s="222" t="s">
        <v>45</v>
      </c>
      <c r="AP10" s="223" t="s">
        <v>520</v>
      </c>
      <c r="AQ10" s="223" t="s">
        <v>520</v>
      </c>
      <c r="AR10" s="223" t="s">
        <v>77</v>
      </c>
      <c r="AS10" s="223" t="s">
        <v>77</v>
      </c>
      <c r="AT10" s="223" t="s">
        <v>77</v>
      </c>
      <c r="AU10" s="223" t="s">
        <v>77</v>
      </c>
      <c r="AV10" s="223" t="s">
        <v>521</v>
      </c>
      <c r="AW10" s="223" t="s">
        <v>521</v>
      </c>
      <c r="AX10" s="223" t="s">
        <v>77</v>
      </c>
      <c r="AY10" s="223" t="s">
        <v>77</v>
      </c>
      <c r="AZ10" s="223" t="s">
        <v>77</v>
      </c>
      <c r="BA10" s="223" t="s">
        <v>77</v>
      </c>
      <c r="BB10" s="223" t="s">
        <v>522</v>
      </c>
      <c r="BC10" s="223" t="s">
        <v>562</v>
      </c>
      <c r="BD10" s="223" t="s">
        <v>562</v>
      </c>
      <c r="BE10" s="223" t="s">
        <v>77</v>
      </c>
      <c r="BF10" s="223" t="s">
        <v>77</v>
      </c>
      <c r="BG10" s="223" t="s">
        <v>77</v>
      </c>
      <c r="BH10" s="223" t="s">
        <v>77</v>
      </c>
      <c r="BI10" s="223" t="s">
        <v>523</v>
      </c>
      <c r="BJ10" s="223" t="s">
        <v>523</v>
      </c>
      <c r="BK10" s="223" t="s">
        <v>77</v>
      </c>
      <c r="BL10" s="223" t="s">
        <v>77</v>
      </c>
      <c r="BM10" s="223" t="s">
        <v>77</v>
      </c>
      <c r="BN10" s="223" t="s">
        <v>77</v>
      </c>
      <c r="BO10" s="223">
        <v>3</v>
      </c>
      <c r="BP10" s="223">
        <v>3</v>
      </c>
      <c r="BQ10" s="223">
        <v>0</v>
      </c>
      <c r="BR10" s="223">
        <v>0</v>
      </c>
      <c r="BS10" s="223">
        <v>0</v>
      </c>
      <c r="BT10" s="223">
        <v>0</v>
      </c>
      <c r="BU10" s="223" t="s">
        <v>524</v>
      </c>
      <c r="BV10" s="223">
        <v>2</v>
      </c>
      <c r="BW10" s="223">
        <v>2</v>
      </c>
      <c r="BX10" s="223">
        <v>2</v>
      </c>
      <c r="BY10" s="223">
        <v>0</v>
      </c>
      <c r="BZ10" s="223">
        <v>0</v>
      </c>
      <c r="CA10" s="223">
        <v>0</v>
      </c>
      <c r="CB10" s="223" t="s">
        <v>525</v>
      </c>
      <c r="CC10" s="223">
        <v>1</v>
      </c>
      <c r="CD10" s="223">
        <v>1</v>
      </c>
      <c r="CE10" s="223">
        <v>1</v>
      </c>
      <c r="CF10" s="223">
        <v>0</v>
      </c>
      <c r="CG10" s="223">
        <v>0</v>
      </c>
      <c r="CH10" s="223">
        <v>0</v>
      </c>
      <c r="CI10" s="223" t="s">
        <v>77</v>
      </c>
      <c r="CJ10" s="223">
        <v>0</v>
      </c>
      <c r="CK10" s="223">
        <v>0</v>
      </c>
      <c r="CL10" s="223">
        <v>0</v>
      </c>
      <c r="CM10" s="223">
        <v>0</v>
      </c>
      <c r="CN10" s="223">
        <v>0</v>
      </c>
      <c r="CO10" s="223">
        <v>0</v>
      </c>
      <c r="CP10" s="223" t="s">
        <v>77</v>
      </c>
      <c r="CQ10" s="223">
        <v>0</v>
      </c>
      <c r="CR10" s="223">
        <v>0</v>
      </c>
      <c r="CS10" s="223">
        <v>0</v>
      </c>
      <c r="CT10" s="223">
        <v>0</v>
      </c>
      <c r="CU10" s="223">
        <v>0</v>
      </c>
      <c r="CV10" s="223">
        <v>0</v>
      </c>
      <c r="CW10" s="223" t="s">
        <v>77</v>
      </c>
      <c r="CX10" s="223">
        <v>0</v>
      </c>
      <c r="CY10" s="223">
        <v>0</v>
      </c>
      <c r="CZ10" s="223">
        <v>0</v>
      </c>
      <c r="DA10" s="223">
        <v>0</v>
      </c>
      <c r="DB10" s="223">
        <v>0</v>
      </c>
      <c r="DC10" s="223">
        <v>0</v>
      </c>
      <c r="DD10" s="223" t="s">
        <v>77</v>
      </c>
      <c r="DE10" s="223">
        <v>0</v>
      </c>
      <c r="DF10" s="223">
        <v>0</v>
      </c>
      <c r="DG10" s="223">
        <v>0</v>
      </c>
      <c r="DH10" s="223">
        <v>0</v>
      </c>
      <c r="DI10" s="223">
        <v>0</v>
      </c>
      <c r="DJ10" s="223">
        <v>0</v>
      </c>
      <c r="DK10" s="223" t="s">
        <v>526</v>
      </c>
      <c r="DL10" s="223">
        <v>80</v>
      </c>
      <c r="DM10" s="223">
        <v>80</v>
      </c>
      <c r="DN10" s="223">
        <v>80</v>
      </c>
      <c r="DO10" s="223">
        <v>0</v>
      </c>
      <c r="DP10" s="223">
        <v>0</v>
      </c>
      <c r="DQ10" s="223">
        <v>0</v>
      </c>
      <c r="DR10" s="223" t="s">
        <v>527</v>
      </c>
      <c r="DS10" s="223">
        <v>80</v>
      </c>
      <c r="DT10" s="223" t="s">
        <v>528</v>
      </c>
      <c r="DU10" s="223">
        <v>40</v>
      </c>
      <c r="DV10" s="223">
        <v>40</v>
      </c>
      <c r="DW10" s="223">
        <v>40</v>
      </c>
      <c r="DX10" s="223">
        <v>0</v>
      </c>
      <c r="DY10" s="223">
        <v>0</v>
      </c>
      <c r="DZ10" s="223">
        <v>0</v>
      </c>
      <c r="EA10" s="223" t="s">
        <v>529</v>
      </c>
      <c r="EB10" s="223">
        <v>40</v>
      </c>
      <c r="EC10" s="223" t="s">
        <v>77</v>
      </c>
      <c r="ED10" s="223">
        <v>0</v>
      </c>
      <c r="EE10" s="223">
        <v>0</v>
      </c>
      <c r="EF10" s="223">
        <v>0</v>
      </c>
      <c r="EG10" s="223">
        <v>0</v>
      </c>
      <c r="EH10" s="223">
        <v>0</v>
      </c>
      <c r="EI10" s="223">
        <v>0</v>
      </c>
      <c r="EJ10" s="223" t="s">
        <v>77</v>
      </c>
      <c r="EK10" s="223">
        <v>0</v>
      </c>
      <c r="EL10" s="223" t="s">
        <v>77</v>
      </c>
      <c r="EM10" s="223">
        <v>0</v>
      </c>
      <c r="EN10" s="223">
        <v>0</v>
      </c>
      <c r="EO10" s="223">
        <v>0</v>
      </c>
      <c r="EP10" s="223">
        <v>0</v>
      </c>
      <c r="EQ10" s="223">
        <v>0</v>
      </c>
      <c r="ER10" s="223">
        <v>0</v>
      </c>
      <c r="ES10" s="223" t="s">
        <v>77</v>
      </c>
      <c r="ET10" s="223">
        <v>0</v>
      </c>
      <c r="EU10" s="223" t="s">
        <v>77</v>
      </c>
      <c r="EV10" s="223">
        <v>0</v>
      </c>
      <c r="EW10" s="223">
        <v>0</v>
      </c>
      <c r="EX10" s="223">
        <v>0</v>
      </c>
      <c r="EY10" s="223">
        <v>0</v>
      </c>
      <c r="EZ10" s="223">
        <v>0</v>
      </c>
      <c r="FA10" s="223">
        <v>0</v>
      </c>
      <c r="FB10" s="223" t="s">
        <v>77</v>
      </c>
      <c r="FC10" s="223">
        <v>0</v>
      </c>
      <c r="FD10" s="223" t="s">
        <v>77</v>
      </c>
      <c r="FE10" s="223">
        <v>0</v>
      </c>
      <c r="FF10" s="223">
        <v>0</v>
      </c>
      <c r="FG10" s="223">
        <v>0</v>
      </c>
      <c r="FH10" s="223">
        <v>0</v>
      </c>
      <c r="FI10" s="223">
        <v>0</v>
      </c>
      <c r="FJ10" s="223">
        <v>0</v>
      </c>
      <c r="FK10" s="223" t="s">
        <v>77</v>
      </c>
      <c r="FL10" s="223">
        <v>0</v>
      </c>
      <c r="FM10" s="223">
        <v>80</v>
      </c>
      <c r="FN10" s="223" t="s">
        <v>530</v>
      </c>
      <c r="FO10" s="223" t="s">
        <v>531</v>
      </c>
      <c r="FP10" s="223" t="s">
        <v>77</v>
      </c>
      <c r="FQ10" s="223" t="s">
        <v>77</v>
      </c>
      <c r="FR10" s="223" t="s">
        <v>77</v>
      </c>
      <c r="FS10" s="223" t="s">
        <v>77</v>
      </c>
      <c r="FT10" s="223" t="s">
        <v>541</v>
      </c>
      <c r="FU10" s="223">
        <v>30</v>
      </c>
      <c r="FV10" s="223">
        <v>30</v>
      </c>
      <c r="FW10" s="223">
        <v>30</v>
      </c>
      <c r="FX10" s="223">
        <v>0</v>
      </c>
      <c r="FY10" s="223">
        <v>0</v>
      </c>
      <c r="FZ10" s="223">
        <v>0</v>
      </c>
      <c r="GA10" s="223" t="s">
        <v>541</v>
      </c>
      <c r="GB10" s="223" t="s">
        <v>565</v>
      </c>
      <c r="GC10" s="223">
        <v>26</v>
      </c>
      <c r="GD10" s="223">
        <v>26</v>
      </c>
      <c r="GE10" s="223">
        <v>26</v>
      </c>
      <c r="GF10" s="223">
        <v>0</v>
      </c>
      <c r="GG10" s="223">
        <v>0</v>
      </c>
      <c r="GH10" s="223">
        <v>0</v>
      </c>
      <c r="GI10" s="223" t="s">
        <v>565</v>
      </c>
      <c r="GJ10" s="223" t="s">
        <v>77</v>
      </c>
      <c r="GK10" s="223">
        <v>0</v>
      </c>
      <c r="GL10" s="223">
        <v>0</v>
      </c>
      <c r="GM10" s="223">
        <v>0</v>
      </c>
      <c r="GN10" s="223">
        <v>0</v>
      </c>
      <c r="GO10" s="223">
        <v>0</v>
      </c>
      <c r="GP10" s="223">
        <v>0</v>
      </c>
      <c r="GQ10" s="223" t="s">
        <v>77</v>
      </c>
      <c r="GR10" s="223" t="s">
        <v>77</v>
      </c>
      <c r="GS10" s="223">
        <v>0</v>
      </c>
      <c r="GT10" s="223">
        <v>0</v>
      </c>
      <c r="GU10" s="223">
        <v>0</v>
      </c>
      <c r="GV10" s="223">
        <v>0</v>
      </c>
      <c r="GW10" s="223">
        <v>0</v>
      </c>
      <c r="GX10" s="223">
        <v>0</v>
      </c>
      <c r="GY10" s="223" t="s">
        <v>77</v>
      </c>
      <c r="GZ10" s="223" t="s">
        <v>77</v>
      </c>
      <c r="HA10" s="223">
        <v>0</v>
      </c>
      <c r="HB10" s="223">
        <v>0</v>
      </c>
      <c r="HC10" s="223">
        <v>0</v>
      </c>
      <c r="HD10" s="223">
        <v>0</v>
      </c>
      <c r="HE10" s="223">
        <v>0</v>
      </c>
      <c r="HF10" s="223">
        <v>0</v>
      </c>
      <c r="HG10" s="223" t="s">
        <v>77</v>
      </c>
      <c r="HH10" s="223" t="s">
        <v>77</v>
      </c>
      <c r="HI10" s="223">
        <v>0</v>
      </c>
      <c r="HJ10" s="223">
        <v>0</v>
      </c>
      <c r="HK10" s="223">
        <v>0</v>
      </c>
      <c r="HL10" s="223">
        <v>0</v>
      </c>
      <c r="HM10" s="223">
        <v>0</v>
      </c>
      <c r="HN10" s="223">
        <v>0</v>
      </c>
      <c r="HO10" s="223" t="s">
        <v>77</v>
      </c>
      <c r="HP10" s="223" t="s">
        <v>84</v>
      </c>
      <c r="HQ10" s="223">
        <v>30</v>
      </c>
      <c r="HR10" s="223">
        <v>26</v>
      </c>
      <c r="HS10" s="223">
        <v>0</v>
      </c>
      <c r="HT10" s="223">
        <v>0</v>
      </c>
      <c r="HU10" s="223">
        <v>0</v>
      </c>
      <c r="HV10" s="223">
        <v>0</v>
      </c>
      <c r="HW10" s="222">
        <v>26</v>
      </c>
      <c r="HX10" s="222">
        <v>15</v>
      </c>
      <c r="HY10" s="223">
        <v>13</v>
      </c>
    </row>
    <row r="11" ht="102">
      <c r="A11" s="222">
        <v>10</v>
      </c>
      <c r="B11" s="222" t="s">
        <v>196</v>
      </c>
      <c r="C11" s="222" t="s">
        <v>197</v>
      </c>
      <c r="D11" s="222" t="s">
        <v>566</v>
      </c>
      <c r="E11" s="222" t="s">
        <v>261</v>
      </c>
      <c r="F11" s="222" t="s">
        <v>46</v>
      </c>
      <c r="G11" s="222" t="s">
        <v>262</v>
      </c>
      <c r="H11" s="222" t="s">
        <v>263</v>
      </c>
      <c r="I11" s="222">
        <v>2</v>
      </c>
      <c r="J11" s="222" t="s">
        <v>264</v>
      </c>
      <c r="K11" s="224" t="s">
        <v>513</v>
      </c>
      <c r="L11" s="224" t="s">
        <v>567</v>
      </c>
      <c r="M11" s="222" t="s">
        <v>202</v>
      </c>
      <c r="N11" s="222" t="s">
        <v>265</v>
      </c>
      <c r="O11" s="222" t="s">
        <v>204</v>
      </c>
      <c r="P11" s="222" t="s">
        <v>205</v>
      </c>
      <c r="Q11" s="222" t="s">
        <v>206</v>
      </c>
      <c r="R11" s="222" t="s">
        <v>207</v>
      </c>
      <c r="S11" s="222" t="s">
        <v>208</v>
      </c>
      <c r="T11" s="222" t="s">
        <v>219</v>
      </c>
      <c r="U11" s="222">
        <v>1</v>
      </c>
      <c r="V11" s="222" t="s">
        <v>210</v>
      </c>
      <c r="W11" s="222" t="b">
        <v>1</v>
      </c>
      <c r="X11" s="222" t="b">
        <v>0</v>
      </c>
      <c r="Y11" s="222">
        <v>0</v>
      </c>
      <c r="Z11" s="222" t="b">
        <v>1</v>
      </c>
      <c r="AA11" s="222">
        <v>4</v>
      </c>
      <c r="AB11" s="222" t="b">
        <v>0</v>
      </c>
      <c r="AC11" s="222" t="b">
        <v>1</v>
      </c>
      <c r="AD11" s="222">
        <v>0</v>
      </c>
      <c r="AE11" s="222">
        <v>0</v>
      </c>
      <c r="AF11" s="222" t="s">
        <v>83</v>
      </c>
      <c r="AG11" s="222">
        <v>0</v>
      </c>
      <c r="AH11" s="223"/>
      <c r="AI11" s="223" t="s">
        <v>515</v>
      </c>
      <c r="AJ11" s="223" t="s">
        <v>516</v>
      </c>
      <c r="AK11" s="222">
        <v>4</v>
      </c>
      <c r="AL11" s="331" t="s">
        <v>517</v>
      </c>
      <c r="AM11" s="331" t="s">
        <v>560</v>
      </c>
      <c r="AN11" s="331" t="s">
        <v>568</v>
      </c>
      <c r="AO11" s="222" t="s">
        <v>45</v>
      </c>
      <c r="AP11" s="223" t="s">
        <v>520</v>
      </c>
      <c r="AQ11" s="223" t="s">
        <v>520</v>
      </c>
      <c r="AR11" s="223" t="s">
        <v>77</v>
      </c>
      <c r="AS11" s="223" t="s">
        <v>77</v>
      </c>
      <c r="AT11" s="223" t="s">
        <v>77</v>
      </c>
      <c r="AU11" s="223" t="s">
        <v>77</v>
      </c>
      <c r="AV11" s="223" t="s">
        <v>521</v>
      </c>
      <c r="AW11" s="223" t="s">
        <v>521</v>
      </c>
      <c r="AX11" s="223" t="s">
        <v>77</v>
      </c>
      <c r="AY11" s="223" t="s">
        <v>77</v>
      </c>
      <c r="AZ11" s="223" t="s">
        <v>77</v>
      </c>
      <c r="BA11" s="223" t="s">
        <v>77</v>
      </c>
      <c r="BB11" s="223" t="s">
        <v>522</v>
      </c>
      <c r="BC11" s="223" t="s">
        <v>566</v>
      </c>
      <c r="BD11" s="223" t="s">
        <v>566</v>
      </c>
      <c r="BE11" s="223" t="s">
        <v>77</v>
      </c>
      <c r="BF11" s="223" t="s">
        <v>77</v>
      </c>
      <c r="BG11" s="223" t="s">
        <v>77</v>
      </c>
      <c r="BH11" s="223" t="s">
        <v>77</v>
      </c>
      <c r="BI11" s="223" t="s">
        <v>523</v>
      </c>
      <c r="BJ11" s="223" t="s">
        <v>523</v>
      </c>
      <c r="BK11" s="223" t="s">
        <v>77</v>
      </c>
      <c r="BL11" s="223" t="s">
        <v>77</v>
      </c>
      <c r="BM11" s="223" t="s">
        <v>77</v>
      </c>
      <c r="BN11" s="223" t="s">
        <v>77</v>
      </c>
      <c r="BO11" s="223">
        <v>3</v>
      </c>
      <c r="BP11" s="223">
        <v>3</v>
      </c>
      <c r="BQ11" s="223">
        <v>0</v>
      </c>
      <c r="BR11" s="223">
        <v>0</v>
      </c>
      <c r="BS11" s="223">
        <v>0</v>
      </c>
      <c r="BT11" s="223">
        <v>0</v>
      </c>
      <c r="BU11" s="223" t="s">
        <v>524</v>
      </c>
      <c r="BV11" s="223">
        <v>2</v>
      </c>
      <c r="BW11" s="223">
        <v>2</v>
      </c>
      <c r="BX11" s="223">
        <v>2</v>
      </c>
      <c r="BY11" s="223">
        <v>0</v>
      </c>
      <c r="BZ11" s="223">
        <v>0</v>
      </c>
      <c r="CA11" s="223">
        <v>0</v>
      </c>
      <c r="CB11" s="223" t="s">
        <v>525</v>
      </c>
      <c r="CC11" s="223">
        <v>1</v>
      </c>
      <c r="CD11" s="223">
        <v>1</v>
      </c>
      <c r="CE11" s="223">
        <v>1</v>
      </c>
      <c r="CF11" s="223">
        <v>0</v>
      </c>
      <c r="CG11" s="223">
        <v>0</v>
      </c>
      <c r="CH11" s="223">
        <v>0</v>
      </c>
      <c r="CI11" s="223" t="s">
        <v>77</v>
      </c>
      <c r="CJ11" s="223">
        <v>0</v>
      </c>
      <c r="CK11" s="223">
        <v>0</v>
      </c>
      <c r="CL11" s="223">
        <v>0</v>
      </c>
      <c r="CM11" s="223">
        <v>0</v>
      </c>
      <c r="CN11" s="223">
        <v>0</v>
      </c>
      <c r="CO11" s="223">
        <v>0</v>
      </c>
      <c r="CP11" s="223" t="s">
        <v>77</v>
      </c>
      <c r="CQ11" s="223">
        <v>0</v>
      </c>
      <c r="CR11" s="223">
        <v>0</v>
      </c>
      <c r="CS11" s="223">
        <v>0</v>
      </c>
      <c r="CT11" s="223">
        <v>0</v>
      </c>
      <c r="CU11" s="223">
        <v>0</v>
      </c>
      <c r="CV11" s="223">
        <v>0</v>
      </c>
      <c r="CW11" s="223" t="s">
        <v>77</v>
      </c>
      <c r="CX11" s="223">
        <v>0</v>
      </c>
      <c r="CY11" s="223">
        <v>0</v>
      </c>
      <c r="CZ11" s="223">
        <v>0</v>
      </c>
      <c r="DA11" s="223">
        <v>0</v>
      </c>
      <c r="DB11" s="223">
        <v>0</v>
      </c>
      <c r="DC11" s="223">
        <v>0</v>
      </c>
      <c r="DD11" s="223" t="s">
        <v>77</v>
      </c>
      <c r="DE11" s="223">
        <v>0</v>
      </c>
      <c r="DF11" s="223">
        <v>0</v>
      </c>
      <c r="DG11" s="223">
        <v>0</v>
      </c>
      <c r="DH11" s="223">
        <v>0</v>
      </c>
      <c r="DI11" s="223">
        <v>0</v>
      </c>
      <c r="DJ11" s="223">
        <v>0</v>
      </c>
      <c r="DK11" s="223" t="s">
        <v>526</v>
      </c>
      <c r="DL11" s="223">
        <v>80</v>
      </c>
      <c r="DM11" s="223">
        <v>80</v>
      </c>
      <c r="DN11" s="223">
        <v>80</v>
      </c>
      <c r="DO11" s="223">
        <v>0</v>
      </c>
      <c r="DP11" s="223">
        <v>0</v>
      </c>
      <c r="DQ11" s="223">
        <v>0</v>
      </c>
      <c r="DR11" s="223" t="s">
        <v>527</v>
      </c>
      <c r="DS11" s="223">
        <v>80</v>
      </c>
      <c r="DT11" s="223" t="s">
        <v>528</v>
      </c>
      <c r="DU11" s="223">
        <v>40</v>
      </c>
      <c r="DV11" s="223">
        <v>40</v>
      </c>
      <c r="DW11" s="223">
        <v>40</v>
      </c>
      <c r="DX11" s="223">
        <v>0</v>
      </c>
      <c r="DY11" s="223">
        <v>0</v>
      </c>
      <c r="DZ11" s="223">
        <v>0</v>
      </c>
      <c r="EA11" s="223" t="s">
        <v>529</v>
      </c>
      <c r="EB11" s="223">
        <v>40</v>
      </c>
      <c r="EC11" s="223" t="s">
        <v>77</v>
      </c>
      <c r="ED11" s="223">
        <v>0</v>
      </c>
      <c r="EE11" s="223">
        <v>0</v>
      </c>
      <c r="EF11" s="223">
        <v>0</v>
      </c>
      <c r="EG11" s="223">
        <v>0</v>
      </c>
      <c r="EH11" s="223">
        <v>0</v>
      </c>
      <c r="EI11" s="223">
        <v>0</v>
      </c>
      <c r="EJ11" s="223" t="s">
        <v>77</v>
      </c>
      <c r="EK11" s="223">
        <v>0</v>
      </c>
      <c r="EL11" s="223" t="s">
        <v>77</v>
      </c>
      <c r="EM11" s="223">
        <v>0</v>
      </c>
      <c r="EN11" s="223">
        <v>0</v>
      </c>
      <c r="EO11" s="223">
        <v>0</v>
      </c>
      <c r="EP11" s="223">
        <v>0</v>
      </c>
      <c r="EQ11" s="223">
        <v>0</v>
      </c>
      <c r="ER11" s="223">
        <v>0</v>
      </c>
      <c r="ES11" s="223" t="s">
        <v>77</v>
      </c>
      <c r="ET11" s="223">
        <v>0</v>
      </c>
      <c r="EU11" s="223" t="s">
        <v>77</v>
      </c>
      <c r="EV11" s="223">
        <v>0</v>
      </c>
      <c r="EW11" s="223">
        <v>0</v>
      </c>
      <c r="EX11" s="223">
        <v>0</v>
      </c>
      <c r="EY11" s="223">
        <v>0</v>
      </c>
      <c r="EZ11" s="223">
        <v>0</v>
      </c>
      <c r="FA11" s="223">
        <v>0</v>
      </c>
      <c r="FB11" s="223" t="s">
        <v>77</v>
      </c>
      <c r="FC11" s="223">
        <v>0</v>
      </c>
      <c r="FD11" s="223" t="s">
        <v>77</v>
      </c>
      <c r="FE11" s="223">
        <v>0</v>
      </c>
      <c r="FF11" s="223">
        <v>0</v>
      </c>
      <c r="FG11" s="223">
        <v>0</v>
      </c>
      <c r="FH11" s="223">
        <v>0</v>
      </c>
      <c r="FI11" s="223">
        <v>0</v>
      </c>
      <c r="FJ11" s="223">
        <v>0</v>
      </c>
      <c r="FK11" s="223" t="s">
        <v>77</v>
      </c>
      <c r="FL11" s="223">
        <v>0</v>
      </c>
      <c r="FM11" s="223">
        <v>80</v>
      </c>
      <c r="FN11" s="223" t="s">
        <v>530</v>
      </c>
      <c r="FO11" s="223" t="s">
        <v>531</v>
      </c>
      <c r="FP11" s="223" t="s">
        <v>77</v>
      </c>
      <c r="FQ11" s="223" t="s">
        <v>77</v>
      </c>
      <c r="FR11" s="223" t="s">
        <v>77</v>
      </c>
      <c r="FS11" s="223" t="s">
        <v>77</v>
      </c>
      <c r="FT11" s="223" t="s">
        <v>540</v>
      </c>
      <c r="FU11" s="223">
        <v>34</v>
      </c>
      <c r="FV11" s="223">
        <v>34</v>
      </c>
      <c r="FW11" s="223">
        <v>34</v>
      </c>
      <c r="FX11" s="223">
        <v>0</v>
      </c>
      <c r="FY11" s="223">
        <v>0</v>
      </c>
      <c r="FZ11" s="223">
        <v>0</v>
      </c>
      <c r="GA11" s="223" t="s">
        <v>540</v>
      </c>
      <c r="GB11" s="223" t="s">
        <v>541</v>
      </c>
      <c r="GC11" s="223">
        <v>30</v>
      </c>
      <c r="GD11" s="223">
        <v>30</v>
      </c>
      <c r="GE11" s="223">
        <v>30</v>
      </c>
      <c r="GF11" s="223">
        <v>0</v>
      </c>
      <c r="GG11" s="223">
        <v>0</v>
      </c>
      <c r="GH11" s="223">
        <v>0</v>
      </c>
      <c r="GI11" s="223" t="s">
        <v>541</v>
      </c>
      <c r="GJ11" s="223" t="s">
        <v>77</v>
      </c>
      <c r="GK11" s="223">
        <v>0</v>
      </c>
      <c r="GL11" s="223">
        <v>0</v>
      </c>
      <c r="GM11" s="223">
        <v>0</v>
      </c>
      <c r="GN11" s="223">
        <v>0</v>
      </c>
      <c r="GO11" s="223">
        <v>0</v>
      </c>
      <c r="GP11" s="223">
        <v>0</v>
      </c>
      <c r="GQ11" s="223" t="s">
        <v>77</v>
      </c>
      <c r="GR11" s="223" t="s">
        <v>77</v>
      </c>
      <c r="GS11" s="223">
        <v>0</v>
      </c>
      <c r="GT11" s="223">
        <v>0</v>
      </c>
      <c r="GU11" s="223">
        <v>0</v>
      </c>
      <c r="GV11" s="223">
        <v>0</v>
      </c>
      <c r="GW11" s="223">
        <v>0</v>
      </c>
      <c r="GX11" s="223">
        <v>0</v>
      </c>
      <c r="GY11" s="223" t="s">
        <v>77</v>
      </c>
      <c r="GZ11" s="223" t="s">
        <v>77</v>
      </c>
      <c r="HA11" s="223">
        <v>0</v>
      </c>
      <c r="HB11" s="223">
        <v>0</v>
      </c>
      <c r="HC11" s="223">
        <v>0</v>
      </c>
      <c r="HD11" s="223">
        <v>0</v>
      </c>
      <c r="HE11" s="223">
        <v>0</v>
      </c>
      <c r="HF11" s="223">
        <v>0</v>
      </c>
      <c r="HG11" s="223" t="s">
        <v>77</v>
      </c>
      <c r="HH11" s="223" t="s">
        <v>77</v>
      </c>
      <c r="HI11" s="223">
        <v>0</v>
      </c>
      <c r="HJ11" s="223">
        <v>0</v>
      </c>
      <c r="HK11" s="223">
        <v>0</v>
      </c>
      <c r="HL11" s="223">
        <v>0</v>
      </c>
      <c r="HM11" s="223">
        <v>0</v>
      </c>
      <c r="HN11" s="223">
        <v>0</v>
      </c>
      <c r="HO11" s="223" t="s">
        <v>77</v>
      </c>
      <c r="HP11" s="223" t="s">
        <v>84</v>
      </c>
      <c r="HQ11" s="223">
        <v>34</v>
      </c>
      <c r="HR11" s="223">
        <v>30</v>
      </c>
      <c r="HS11" s="223">
        <v>0</v>
      </c>
      <c r="HT11" s="223">
        <v>0</v>
      </c>
      <c r="HU11" s="223">
        <v>0</v>
      </c>
      <c r="HV11" s="223">
        <v>0</v>
      </c>
      <c r="HW11" s="222">
        <v>30</v>
      </c>
      <c r="HX11" s="222">
        <v>26</v>
      </c>
      <c r="HY11" s="223">
        <v>13</v>
      </c>
    </row>
    <row r="12" ht="102">
      <c r="A12" s="222">
        <v>11</v>
      </c>
      <c r="B12" s="222" t="s">
        <v>196</v>
      </c>
      <c r="C12" s="222" t="s">
        <v>197</v>
      </c>
      <c r="D12" s="222" t="s">
        <v>569</v>
      </c>
      <c r="E12" s="222" t="s">
        <v>266</v>
      </c>
      <c r="F12" s="222" t="s">
        <v>46</v>
      </c>
      <c r="G12" s="222" t="s">
        <v>267</v>
      </c>
      <c r="H12" s="222" t="s">
        <v>268</v>
      </c>
      <c r="I12" s="222">
        <v>2</v>
      </c>
      <c r="J12" s="222" t="s">
        <v>269</v>
      </c>
      <c r="K12" s="224" t="s">
        <v>513</v>
      </c>
      <c r="L12" s="224" t="s">
        <v>567</v>
      </c>
      <c r="M12" s="222" t="s">
        <v>202</v>
      </c>
      <c r="N12" s="222" t="s">
        <v>270</v>
      </c>
      <c r="O12" s="222" t="s">
        <v>204</v>
      </c>
      <c r="P12" s="222" t="s">
        <v>205</v>
      </c>
      <c r="Q12" s="222" t="s">
        <v>206</v>
      </c>
      <c r="R12" s="222" t="s">
        <v>207</v>
      </c>
      <c r="S12" s="222" t="s">
        <v>208</v>
      </c>
      <c r="T12" s="222" t="s">
        <v>271</v>
      </c>
      <c r="U12" s="222">
        <v>1</v>
      </c>
      <c r="V12" s="222" t="s">
        <v>248</v>
      </c>
      <c r="W12" s="222" t="b">
        <v>1</v>
      </c>
      <c r="X12" s="222" t="b">
        <v>0</v>
      </c>
      <c r="Y12" s="222">
        <v>0</v>
      </c>
      <c r="Z12" s="222" t="b">
        <v>1</v>
      </c>
      <c r="AA12" s="222">
        <v>7</v>
      </c>
      <c r="AB12" s="222" t="b">
        <v>0</v>
      </c>
      <c r="AC12" s="222" t="b">
        <v>1</v>
      </c>
      <c r="AD12" s="222">
        <v>0</v>
      </c>
      <c r="AE12" s="222">
        <v>0</v>
      </c>
      <c r="AF12" s="222" t="s">
        <v>83</v>
      </c>
      <c r="AG12" s="222">
        <v>0</v>
      </c>
      <c r="AH12" s="223"/>
      <c r="AI12" s="223" t="s">
        <v>515</v>
      </c>
      <c r="AJ12" s="223" t="s">
        <v>516</v>
      </c>
      <c r="AK12" s="222">
        <v>6</v>
      </c>
      <c r="AL12" s="331" t="s">
        <v>517</v>
      </c>
      <c r="AM12" s="331" t="s">
        <v>570</v>
      </c>
      <c r="AN12" s="331" t="s">
        <v>571</v>
      </c>
      <c r="AO12" s="222" t="s">
        <v>45</v>
      </c>
      <c r="AP12" s="223" t="s">
        <v>520</v>
      </c>
      <c r="AQ12" s="223" t="s">
        <v>520</v>
      </c>
      <c r="AR12" s="223" t="s">
        <v>77</v>
      </c>
      <c r="AS12" s="223" t="s">
        <v>77</v>
      </c>
      <c r="AT12" s="223" t="s">
        <v>77</v>
      </c>
      <c r="AU12" s="223" t="s">
        <v>77</v>
      </c>
      <c r="AV12" s="223" t="s">
        <v>521</v>
      </c>
      <c r="AW12" s="223" t="s">
        <v>521</v>
      </c>
      <c r="AX12" s="223" t="s">
        <v>77</v>
      </c>
      <c r="AY12" s="223" t="s">
        <v>77</v>
      </c>
      <c r="AZ12" s="223" t="s">
        <v>77</v>
      </c>
      <c r="BA12" s="223" t="s">
        <v>77</v>
      </c>
      <c r="BB12" s="223" t="s">
        <v>522</v>
      </c>
      <c r="BC12" s="223" t="s">
        <v>569</v>
      </c>
      <c r="BD12" s="223" t="s">
        <v>569</v>
      </c>
      <c r="BE12" s="223" t="s">
        <v>77</v>
      </c>
      <c r="BF12" s="223" t="s">
        <v>77</v>
      </c>
      <c r="BG12" s="223" t="s">
        <v>77</v>
      </c>
      <c r="BH12" s="223" t="s">
        <v>77</v>
      </c>
      <c r="BI12" s="223" t="s">
        <v>523</v>
      </c>
      <c r="BJ12" s="223" t="s">
        <v>523</v>
      </c>
      <c r="BK12" s="223" t="s">
        <v>77</v>
      </c>
      <c r="BL12" s="223" t="s">
        <v>77</v>
      </c>
      <c r="BM12" s="223" t="s">
        <v>77</v>
      </c>
      <c r="BN12" s="223" t="s">
        <v>77</v>
      </c>
      <c r="BO12" s="223">
        <v>3</v>
      </c>
      <c r="BP12" s="223">
        <v>3</v>
      </c>
      <c r="BQ12" s="223">
        <v>0</v>
      </c>
      <c r="BR12" s="223">
        <v>0</v>
      </c>
      <c r="BS12" s="223">
        <v>0</v>
      </c>
      <c r="BT12" s="223">
        <v>0</v>
      </c>
      <c r="BU12" s="223" t="s">
        <v>524</v>
      </c>
      <c r="BV12" s="223">
        <v>2</v>
      </c>
      <c r="BW12" s="223">
        <v>2</v>
      </c>
      <c r="BX12" s="223">
        <v>2</v>
      </c>
      <c r="BY12" s="223">
        <v>0</v>
      </c>
      <c r="BZ12" s="223">
        <v>0</v>
      </c>
      <c r="CA12" s="223">
        <v>0</v>
      </c>
      <c r="CB12" s="223" t="s">
        <v>525</v>
      </c>
      <c r="CC12" s="223">
        <v>1</v>
      </c>
      <c r="CD12" s="223">
        <v>1</v>
      </c>
      <c r="CE12" s="223">
        <v>1</v>
      </c>
      <c r="CF12" s="223">
        <v>0</v>
      </c>
      <c r="CG12" s="223">
        <v>0</v>
      </c>
      <c r="CH12" s="223">
        <v>0</v>
      </c>
      <c r="CI12" s="223" t="s">
        <v>77</v>
      </c>
      <c r="CJ12" s="223">
        <v>0</v>
      </c>
      <c r="CK12" s="223">
        <v>0</v>
      </c>
      <c r="CL12" s="223">
        <v>0</v>
      </c>
      <c r="CM12" s="223">
        <v>0</v>
      </c>
      <c r="CN12" s="223">
        <v>0</v>
      </c>
      <c r="CO12" s="223">
        <v>0</v>
      </c>
      <c r="CP12" s="223" t="s">
        <v>77</v>
      </c>
      <c r="CQ12" s="223">
        <v>0</v>
      </c>
      <c r="CR12" s="223">
        <v>0</v>
      </c>
      <c r="CS12" s="223">
        <v>0</v>
      </c>
      <c r="CT12" s="223">
        <v>0</v>
      </c>
      <c r="CU12" s="223">
        <v>0</v>
      </c>
      <c r="CV12" s="223">
        <v>0</v>
      </c>
      <c r="CW12" s="223" t="s">
        <v>77</v>
      </c>
      <c r="CX12" s="223">
        <v>0</v>
      </c>
      <c r="CY12" s="223">
        <v>0</v>
      </c>
      <c r="CZ12" s="223">
        <v>0</v>
      </c>
      <c r="DA12" s="223">
        <v>0</v>
      </c>
      <c r="DB12" s="223">
        <v>0</v>
      </c>
      <c r="DC12" s="223">
        <v>0</v>
      </c>
      <c r="DD12" s="223" t="s">
        <v>77</v>
      </c>
      <c r="DE12" s="223">
        <v>0</v>
      </c>
      <c r="DF12" s="223">
        <v>0</v>
      </c>
      <c r="DG12" s="223">
        <v>0</v>
      </c>
      <c r="DH12" s="223">
        <v>0</v>
      </c>
      <c r="DI12" s="223">
        <v>0</v>
      </c>
      <c r="DJ12" s="223">
        <v>0</v>
      </c>
      <c r="DK12" s="223" t="s">
        <v>526</v>
      </c>
      <c r="DL12" s="223">
        <v>80</v>
      </c>
      <c r="DM12" s="223">
        <v>80</v>
      </c>
      <c r="DN12" s="223">
        <v>80</v>
      </c>
      <c r="DO12" s="223">
        <v>0</v>
      </c>
      <c r="DP12" s="223">
        <v>0</v>
      </c>
      <c r="DQ12" s="223">
        <v>0</v>
      </c>
      <c r="DR12" s="223" t="s">
        <v>527</v>
      </c>
      <c r="DS12" s="223">
        <v>80</v>
      </c>
      <c r="DT12" s="223" t="s">
        <v>528</v>
      </c>
      <c r="DU12" s="223">
        <v>40</v>
      </c>
      <c r="DV12" s="223">
        <v>40</v>
      </c>
      <c r="DW12" s="223">
        <v>40</v>
      </c>
      <c r="DX12" s="223">
        <v>0</v>
      </c>
      <c r="DY12" s="223">
        <v>0</v>
      </c>
      <c r="DZ12" s="223">
        <v>0</v>
      </c>
      <c r="EA12" s="223" t="s">
        <v>529</v>
      </c>
      <c r="EB12" s="223">
        <v>40</v>
      </c>
      <c r="EC12" s="223" t="s">
        <v>77</v>
      </c>
      <c r="ED12" s="223">
        <v>0</v>
      </c>
      <c r="EE12" s="223">
        <v>0</v>
      </c>
      <c r="EF12" s="223">
        <v>0</v>
      </c>
      <c r="EG12" s="223">
        <v>0</v>
      </c>
      <c r="EH12" s="223">
        <v>0</v>
      </c>
      <c r="EI12" s="223">
        <v>0</v>
      </c>
      <c r="EJ12" s="223" t="s">
        <v>77</v>
      </c>
      <c r="EK12" s="223">
        <v>0</v>
      </c>
      <c r="EL12" s="223" t="s">
        <v>77</v>
      </c>
      <c r="EM12" s="223">
        <v>0</v>
      </c>
      <c r="EN12" s="223">
        <v>0</v>
      </c>
      <c r="EO12" s="223">
        <v>0</v>
      </c>
      <c r="EP12" s="223">
        <v>0</v>
      </c>
      <c r="EQ12" s="223">
        <v>0</v>
      </c>
      <c r="ER12" s="223">
        <v>0</v>
      </c>
      <c r="ES12" s="223" t="s">
        <v>77</v>
      </c>
      <c r="ET12" s="223">
        <v>0</v>
      </c>
      <c r="EU12" s="223" t="s">
        <v>77</v>
      </c>
      <c r="EV12" s="223">
        <v>0</v>
      </c>
      <c r="EW12" s="223">
        <v>0</v>
      </c>
      <c r="EX12" s="223">
        <v>0</v>
      </c>
      <c r="EY12" s="223">
        <v>0</v>
      </c>
      <c r="EZ12" s="223">
        <v>0</v>
      </c>
      <c r="FA12" s="223">
        <v>0</v>
      </c>
      <c r="FB12" s="223" t="s">
        <v>77</v>
      </c>
      <c r="FC12" s="223">
        <v>0</v>
      </c>
      <c r="FD12" s="223" t="s">
        <v>77</v>
      </c>
      <c r="FE12" s="223">
        <v>0</v>
      </c>
      <c r="FF12" s="223">
        <v>0</v>
      </c>
      <c r="FG12" s="223">
        <v>0</v>
      </c>
      <c r="FH12" s="223">
        <v>0</v>
      </c>
      <c r="FI12" s="223">
        <v>0</v>
      </c>
      <c r="FJ12" s="223">
        <v>0</v>
      </c>
      <c r="FK12" s="223" t="s">
        <v>77</v>
      </c>
      <c r="FL12" s="223">
        <v>0</v>
      </c>
      <c r="FM12" s="223">
        <v>80</v>
      </c>
      <c r="FN12" s="223" t="s">
        <v>530</v>
      </c>
      <c r="FO12" s="223" t="s">
        <v>531</v>
      </c>
      <c r="FP12" s="223" t="s">
        <v>77</v>
      </c>
      <c r="FQ12" s="223" t="s">
        <v>77</v>
      </c>
      <c r="FR12" s="223" t="s">
        <v>77</v>
      </c>
      <c r="FS12" s="223" t="s">
        <v>77</v>
      </c>
      <c r="FT12" s="223" t="s">
        <v>572</v>
      </c>
      <c r="FU12" s="223">
        <v>27</v>
      </c>
      <c r="FV12" s="223">
        <v>27</v>
      </c>
      <c r="FW12" s="223">
        <v>27</v>
      </c>
      <c r="FX12" s="223">
        <v>0</v>
      </c>
      <c r="FY12" s="223">
        <v>0</v>
      </c>
      <c r="FZ12" s="223">
        <v>0</v>
      </c>
      <c r="GA12" s="223" t="s">
        <v>572</v>
      </c>
      <c r="GB12" s="223" t="s">
        <v>572</v>
      </c>
      <c r="GC12" s="223">
        <v>27</v>
      </c>
      <c r="GD12" s="223">
        <v>27</v>
      </c>
      <c r="GE12" s="223">
        <v>27</v>
      </c>
      <c r="GF12" s="223">
        <v>0</v>
      </c>
      <c r="GG12" s="223">
        <v>0</v>
      </c>
      <c r="GH12" s="223">
        <v>0</v>
      </c>
      <c r="GI12" s="223" t="s">
        <v>572</v>
      </c>
      <c r="GJ12" s="223" t="s">
        <v>77</v>
      </c>
      <c r="GK12" s="223">
        <v>0</v>
      </c>
      <c r="GL12" s="223">
        <v>0</v>
      </c>
      <c r="GM12" s="223">
        <v>0</v>
      </c>
      <c r="GN12" s="223">
        <v>0</v>
      </c>
      <c r="GO12" s="223">
        <v>0</v>
      </c>
      <c r="GP12" s="223">
        <v>0</v>
      </c>
      <c r="GQ12" s="223" t="s">
        <v>77</v>
      </c>
      <c r="GR12" s="223" t="s">
        <v>77</v>
      </c>
      <c r="GS12" s="223">
        <v>0</v>
      </c>
      <c r="GT12" s="223">
        <v>0</v>
      </c>
      <c r="GU12" s="223">
        <v>0</v>
      </c>
      <c r="GV12" s="223">
        <v>0</v>
      </c>
      <c r="GW12" s="223">
        <v>0</v>
      </c>
      <c r="GX12" s="223">
        <v>0</v>
      </c>
      <c r="GY12" s="223" t="s">
        <v>77</v>
      </c>
      <c r="GZ12" s="223" t="s">
        <v>77</v>
      </c>
      <c r="HA12" s="223">
        <v>0</v>
      </c>
      <c r="HB12" s="223">
        <v>0</v>
      </c>
      <c r="HC12" s="223">
        <v>0</v>
      </c>
      <c r="HD12" s="223">
        <v>0</v>
      </c>
      <c r="HE12" s="223">
        <v>0</v>
      </c>
      <c r="HF12" s="223">
        <v>0</v>
      </c>
      <c r="HG12" s="223" t="s">
        <v>77</v>
      </c>
      <c r="HH12" s="223" t="s">
        <v>77</v>
      </c>
      <c r="HI12" s="223">
        <v>0</v>
      </c>
      <c r="HJ12" s="223">
        <v>0</v>
      </c>
      <c r="HK12" s="223">
        <v>0</v>
      </c>
      <c r="HL12" s="223">
        <v>0</v>
      </c>
      <c r="HM12" s="223">
        <v>0</v>
      </c>
      <c r="HN12" s="223">
        <v>0</v>
      </c>
      <c r="HO12" s="223" t="s">
        <v>77</v>
      </c>
      <c r="HP12" s="223" t="s">
        <v>84</v>
      </c>
      <c r="HQ12" s="223">
        <v>27</v>
      </c>
      <c r="HR12" s="223">
        <v>27</v>
      </c>
      <c r="HS12" s="223">
        <v>0</v>
      </c>
      <c r="HT12" s="223">
        <v>0</v>
      </c>
      <c r="HU12" s="223">
        <v>0</v>
      </c>
      <c r="HV12" s="223">
        <v>0</v>
      </c>
      <c r="HW12" s="222">
        <v>27</v>
      </c>
      <c r="HX12" s="222">
        <v>20</v>
      </c>
      <c r="HY12" s="223">
        <v>13</v>
      </c>
    </row>
    <row r="13" ht="102">
      <c r="A13" s="222">
        <v>12</v>
      </c>
      <c r="B13" s="222" t="s">
        <v>196</v>
      </c>
      <c r="C13" s="222" t="s">
        <v>197</v>
      </c>
      <c r="D13" s="222" t="s">
        <v>573</v>
      </c>
      <c r="E13" s="222" t="s">
        <v>272</v>
      </c>
      <c r="F13" s="222" t="s">
        <v>46</v>
      </c>
      <c r="G13" s="222" t="s">
        <v>273</v>
      </c>
      <c r="H13" s="222" t="s">
        <v>274</v>
      </c>
      <c r="I13" s="222">
        <v>2</v>
      </c>
      <c r="J13" s="222" t="s">
        <v>275</v>
      </c>
      <c r="K13" s="224" t="s">
        <v>513</v>
      </c>
      <c r="L13" s="224" t="s">
        <v>574</v>
      </c>
      <c r="M13" s="222" t="s">
        <v>202</v>
      </c>
      <c r="N13" s="222" t="s">
        <v>276</v>
      </c>
      <c r="O13" s="222" t="s">
        <v>204</v>
      </c>
      <c r="P13" s="222" t="s">
        <v>205</v>
      </c>
      <c r="Q13" s="222" t="s">
        <v>206</v>
      </c>
      <c r="R13" s="222" t="s">
        <v>207</v>
      </c>
      <c r="S13" s="222" t="s">
        <v>208</v>
      </c>
      <c r="T13" s="222" t="s">
        <v>277</v>
      </c>
      <c r="U13" s="222">
        <v>1</v>
      </c>
      <c r="V13" s="222" t="s">
        <v>210</v>
      </c>
      <c r="W13" s="222" t="b">
        <v>1</v>
      </c>
      <c r="X13" s="222" t="b">
        <v>0</v>
      </c>
      <c r="Y13" s="222">
        <v>0</v>
      </c>
      <c r="Z13" s="222" t="b">
        <v>1</v>
      </c>
      <c r="AA13" s="222">
        <v>7</v>
      </c>
      <c r="AB13" s="222" t="b">
        <v>0</v>
      </c>
      <c r="AC13" s="222" t="b">
        <v>1</v>
      </c>
      <c r="AD13" s="222">
        <v>0</v>
      </c>
      <c r="AE13" s="222">
        <v>0</v>
      </c>
      <c r="AF13" s="222" t="s">
        <v>83</v>
      </c>
      <c r="AG13" s="222">
        <v>0</v>
      </c>
      <c r="AH13" s="223"/>
      <c r="AI13" s="223" t="s">
        <v>515</v>
      </c>
      <c r="AJ13" s="223" t="s">
        <v>516</v>
      </c>
      <c r="AK13" s="222">
        <v>4</v>
      </c>
      <c r="AL13" s="331" t="s">
        <v>517</v>
      </c>
      <c r="AM13" s="331" t="s">
        <v>570</v>
      </c>
      <c r="AN13" s="331" t="s">
        <v>575</v>
      </c>
      <c r="AO13" s="222" t="s">
        <v>45</v>
      </c>
      <c r="AP13" s="223" t="s">
        <v>520</v>
      </c>
      <c r="AQ13" s="223" t="s">
        <v>520</v>
      </c>
      <c r="AR13" s="223" t="s">
        <v>77</v>
      </c>
      <c r="AS13" s="223" t="s">
        <v>77</v>
      </c>
      <c r="AT13" s="223" t="s">
        <v>77</v>
      </c>
      <c r="AU13" s="223" t="s">
        <v>77</v>
      </c>
      <c r="AV13" s="223" t="s">
        <v>521</v>
      </c>
      <c r="AW13" s="223" t="s">
        <v>521</v>
      </c>
      <c r="AX13" s="223" t="s">
        <v>77</v>
      </c>
      <c r="AY13" s="223" t="s">
        <v>77</v>
      </c>
      <c r="AZ13" s="223" t="s">
        <v>77</v>
      </c>
      <c r="BA13" s="223" t="s">
        <v>77</v>
      </c>
      <c r="BB13" s="223" t="s">
        <v>522</v>
      </c>
      <c r="BC13" s="223" t="s">
        <v>573</v>
      </c>
      <c r="BD13" s="223" t="s">
        <v>573</v>
      </c>
      <c r="BE13" s="223" t="s">
        <v>77</v>
      </c>
      <c r="BF13" s="223" t="s">
        <v>77</v>
      </c>
      <c r="BG13" s="223" t="s">
        <v>77</v>
      </c>
      <c r="BH13" s="223" t="s">
        <v>77</v>
      </c>
      <c r="BI13" s="223" t="s">
        <v>523</v>
      </c>
      <c r="BJ13" s="223" t="s">
        <v>523</v>
      </c>
      <c r="BK13" s="223" t="s">
        <v>77</v>
      </c>
      <c r="BL13" s="223" t="s">
        <v>77</v>
      </c>
      <c r="BM13" s="223" t="s">
        <v>77</v>
      </c>
      <c r="BN13" s="223" t="s">
        <v>77</v>
      </c>
      <c r="BO13" s="223">
        <v>3</v>
      </c>
      <c r="BP13" s="223">
        <v>3</v>
      </c>
      <c r="BQ13" s="223">
        <v>0</v>
      </c>
      <c r="BR13" s="223">
        <v>0</v>
      </c>
      <c r="BS13" s="223">
        <v>0</v>
      </c>
      <c r="BT13" s="223">
        <v>0</v>
      </c>
      <c r="BU13" s="223" t="s">
        <v>524</v>
      </c>
      <c r="BV13" s="223">
        <v>2</v>
      </c>
      <c r="BW13" s="223">
        <v>2</v>
      </c>
      <c r="BX13" s="223">
        <v>2</v>
      </c>
      <c r="BY13" s="223">
        <v>0</v>
      </c>
      <c r="BZ13" s="223">
        <v>0</v>
      </c>
      <c r="CA13" s="223">
        <v>0</v>
      </c>
      <c r="CB13" s="223" t="s">
        <v>525</v>
      </c>
      <c r="CC13" s="223">
        <v>1</v>
      </c>
      <c r="CD13" s="223">
        <v>1</v>
      </c>
      <c r="CE13" s="223">
        <v>1</v>
      </c>
      <c r="CF13" s="223">
        <v>0</v>
      </c>
      <c r="CG13" s="223">
        <v>0</v>
      </c>
      <c r="CH13" s="223">
        <v>0</v>
      </c>
      <c r="CI13" s="223" t="s">
        <v>77</v>
      </c>
      <c r="CJ13" s="223">
        <v>0</v>
      </c>
      <c r="CK13" s="223">
        <v>0</v>
      </c>
      <c r="CL13" s="223">
        <v>0</v>
      </c>
      <c r="CM13" s="223">
        <v>0</v>
      </c>
      <c r="CN13" s="223">
        <v>0</v>
      </c>
      <c r="CO13" s="223">
        <v>0</v>
      </c>
      <c r="CP13" s="223" t="s">
        <v>77</v>
      </c>
      <c r="CQ13" s="223">
        <v>0</v>
      </c>
      <c r="CR13" s="223">
        <v>0</v>
      </c>
      <c r="CS13" s="223">
        <v>0</v>
      </c>
      <c r="CT13" s="223">
        <v>0</v>
      </c>
      <c r="CU13" s="223">
        <v>0</v>
      </c>
      <c r="CV13" s="223">
        <v>0</v>
      </c>
      <c r="CW13" s="223" t="s">
        <v>77</v>
      </c>
      <c r="CX13" s="223">
        <v>0</v>
      </c>
      <c r="CY13" s="223">
        <v>0</v>
      </c>
      <c r="CZ13" s="223">
        <v>0</v>
      </c>
      <c r="DA13" s="223">
        <v>0</v>
      </c>
      <c r="DB13" s="223">
        <v>0</v>
      </c>
      <c r="DC13" s="223">
        <v>0</v>
      </c>
      <c r="DD13" s="223" t="s">
        <v>77</v>
      </c>
      <c r="DE13" s="223">
        <v>0</v>
      </c>
      <c r="DF13" s="223">
        <v>0</v>
      </c>
      <c r="DG13" s="223">
        <v>0</v>
      </c>
      <c r="DH13" s="223">
        <v>0</v>
      </c>
      <c r="DI13" s="223">
        <v>0</v>
      </c>
      <c r="DJ13" s="223">
        <v>0</v>
      </c>
      <c r="DK13" s="223" t="s">
        <v>526</v>
      </c>
      <c r="DL13" s="223">
        <v>80</v>
      </c>
      <c r="DM13" s="223">
        <v>80</v>
      </c>
      <c r="DN13" s="223">
        <v>80</v>
      </c>
      <c r="DO13" s="223">
        <v>0</v>
      </c>
      <c r="DP13" s="223">
        <v>0</v>
      </c>
      <c r="DQ13" s="223">
        <v>0</v>
      </c>
      <c r="DR13" s="223" t="s">
        <v>527</v>
      </c>
      <c r="DS13" s="223">
        <v>80</v>
      </c>
      <c r="DT13" s="223" t="s">
        <v>528</v>
      </c>
      <c r="DU13" s="223">
        <v>40</v>
      </c>
      <c r="DV13" s="223">
        <v>40</v>
      </c>
      <c r="DW13" s="223">
        <v>40</v>
      </c>
      <c r="DX13" s="223">
        <v>0</v>
      </c>
      <c r="DY13" s="223">
        <v>0</v>
      </c>
      <c r="DZ13" s="223">
        <v>0</v>
      </c>
      <c r="EA13" s="223" t="s">
        <v>529</v>
      </c>
      <c r="EB13" s="223">
        <v>40</v>
      </c>
      <c r="EC13" s="223" t="s">
        <v>77</v>
      </c>
      <c r="ED13" s="223">
        <v>0</v>
      </c>
      <c r="EE13" s="223">
        <v>0</v>
      </c>
      <c r="EF13" s="223">
        <v>0</v>
      </c>
      <c r="EG13" s="223">
        <v>0</v>
      </c>
      <c r="EH13" s="223">
        <v>0</v>
      </c>
      <c r="EI13" s="223">
        <v>0</v>
      </c>
      <c r="EJ13" s="223" t="s">
        <v>77</v>
      </c>
      <c r="EK13" s="223">
        <v>0</v>
      </c>
      <c r="EL13" s="223" t="s">
        <v>77</v>
      </c>
      <c r="EM13" s="223">
        <v>0</v>
      </c>
      <c r="EN13" s="223">
        <v>0</v>
      </c>
      <c r="EO13" s="223">
        <v>0</v>
      </c>
      <c r="EP13" s="223">
        <v>0</v>
      </c>
      <c r="EQ13" s="223">
        <v>0</v>
      </c>
      <c r="ER13" s="223">
        <v>0</v>
      </c>
      <c r="ES13" s="223" t="s">
        <v>77</v>
      </c>
      <c r="ET13" s="223">
        <v>0</v>
      </c>
      <c r="EU13" s="223" t="s">
        <v>77</v>
      </c>
      <c r="EV13" s="223">
        <v>0</v>
      </c>
      <c r="EW13" s="223">
        <v>0</v>
      </c>
      <c r="EX13" s="223">
        <v>0</v>
      </c>
      <c r="EY13" s="223">
        <v>0</v>
      </c>
      <c r="EZ13" s="223">
        <v>0</v>
      </c>
      <c r="FA13" s="223">
        <v>0</v>
      </c>
      <c r="FB13" s="223" t="s">
        <v>77</v>
      </c>
      <c r="FC13" s="223">
        <v>0</v>
      </c>
      <c r="FD13" s="223" t="s">
        <v>77</v>
      </c>
      <c r="FE13" s="223">
        <v>0</v>
      </c>
      <c r="FF13" s="223">
        <v>0</v>
      </c>
      <c r="FG13" s="223">
        <v>0</v>
      </c>
      <c r="FH13" s="223">
        <v>0</v>
      </c>
      <c r="FI13" s="223">
        <v>0</v>
      </c>
      <c r="FJ13" s="223">
        <v>0</v>
      </c>
      <c r="FK13" s="223" t="s">
        <v>77</v>
      </c>
      <c r="FL13" s="223">
        <v>0</v>
      </c>
      <c r="FM13" s="223">
        <v>80</v>
      </c>
      <c r="FN13" s="223" t="s">
        <v>530</v>
      </c>
      <c r="FO13" s="223" t="s">
        <v>531</v>
      </c>
      <c r="FP13" s="223" t="s">
        <v>77</v>
      </c>
      <c r="FQ13" s="223" t="s">
        <v>77</v>
      </c>
      <c r="FR13" s="223" t="s">
        <v>77</v>
      </c>
      <c r="FS13" s="223" t="s">
        <v>77</v>
      </c>
      <c r="FT13" s="223" t="s">
        <v>532</v>
      </c>
      <c r="FU13" s="223">
        <v>43</v>
      </c>
      <c r="FV13" s="223">
        <v>43</v>
      </c>
      <c r="FW13" s="223">
        <v>43</v>
      </c>
      <c r="FX13" s="223">
        <v>0</v>
      </c>
      <c r="FY13" s="223">
        <v>0</v>
      </c>
      <c r="FZ13" s="223">
        <v>0</v>
      </c>
      <c r="GA13" s="223" t="s">
        <v>532</v>
      </c>
      <c r="GB13" s="223" t="s">
        <v>576</v>
      </c>
      <c r="GC13" s="223">
        <v>33</v>
      </c>
      <c r="GD13" s="223">
        <v>33</v>
      </c>
      <c r="GE13" s="223">
        <v>33</v>
      </c>
      <c r="GF13" s="223">
        <v>0</v>
      </c>
      <c r="GG13" s="223">
        <v>0</v>
      </c>
      <c r="GH13" s="223">
        <v>0</v>
      </c>
      <c r="GI13" s="223" t="s">
        <v>576</v>
      </c>
      <c r="GJ13" s="223" t="s">
        <v>77</v>
      </c>
      <c r="GK13" s="223">
        <v>0</v>
      </c>
      <c r="GL13" s="223">
        <v>0</v>
      </c>
      <c r="GM13" s="223">
        <v>0</v>
      </c>
      <c r="GN13" s="223">
        <v>0</v>
      </c>
      <c r="GO13" s="223">
        <v>0</v>
      </c>
      <c r="GP13" s="223">
        <v>0</v>
      </c>
      <c r="GQ13" s="223" t="s">
        <v>77</v>
      </c>
      <c r="GR13" s="223" t="s">
        <v>77</v>
      </c>
      <c r="GS13" s="223">
        <v>0</v>
      </c>
      <c r="GT13" s="223">
        <v>0</v>
      </c>
      <c r="GU13" s="223">
        <v>0</v>
      </c>
      <c r="GV13" s="223">
        <v>0</v>
      </c>
      <c r="GW13" s="223">
        <v>0</v>
      </c>
      <c r="GX13" s="223">
        <v>0</v>
      </c>
      <c r="GY13" s="223" t="s">
        <v>77</v>
      </c>
      <c r="GZ13" s="223" t="s">
        <v>77</v>
      </c>
      <c r="HA13" s="223">
        <v>0</v>
      </c>
      <c r="HB13" s="223">
        <v>0</v>
      </c>
      <c r="HC13" s="223">
        <v>0</v>
      </c>
      <c r="HD13" s="223">
        <v>0</v>
      </c>
      <c r="HE13" s="223">
        <v>0</v>
      </c>
      <c r="HF13" s="223">
        <v>0</v>
      </c>
      <c r="HG13" s="223" t="s">
        <v>77</v>
      </c>
      <c r="HH13" s="223" t="s">
        <v>77</v>
      </c>
      <c r="HI13" s="223">
        <v>0</v>
      </c>
      <c r="HJ13" s="223">
        <v>0</v>
      </c>
      <c r="HK13" s="223">
        <v>0</v>
      </c>
      <c r="HL13" s="223">
        <v>0</v>
      </c>
      <c r="HM13" s="223">
        <v>0</v>
      </c>
      <c r="HN13" s="223">
        <v>0</v>
      </c>
      <c r="HO13" s="223" t="s">
        <v>77</v>
      </c>
      <c r="HP13" s="223" t="s">
        <v>84</v>
      </c>
      <c r="HQ13" s="223">
        <v>43</v>
      </c>
      <c r="HR13" s="223">
        <v>33</v>
      </c>
      <c r="HS13" s="223">
        <v>0</v>
      </c>
      <c r="HT13" s="223">
        <v>0</v>
      </c>
      <c r="HU13" s="223">
        <v>0</v>
      </c>
      <c r="HV13" s="223">
        <v>0</v>
      </c>
      <c r="HW13" s="222">
        <v>33</v>
      </c>
      <c r="HX13" s="222">
        <v>26</v>
      </c>
      <c r="HY13" s="223">
        <v>13</v>
      </c>
    </row>
    <row r="14" ht="102">
      <c r="A14" s="222">
        <v>13</v>
      </c>
      <c r="B14" s="222" t="s">
        <v>196</v>
      </c>
      <c r="C14" s="222" t="s">
        <v>197</v>
      </c>
      <c r="D14" s="222" t="s">
        <v>577</v>
      </c>
      <c r="E14" s="222" t="s">
        <v>278</v>
      </c>
      <c r="F14" s="222" t="s">
        <v>46</v>
      </c>
      <c r="G14" s="222" t="s">
        <v>279</v>
      </c>
      <c r="H14" s="222" t="s">
        <v>280</v>
      </c>
      <c r="I14" s="222">
        <v>2</v>
      </c>
      <c r="J14" s="222" t="s">
        <v>281</v>
      </c>
      <c r="K14" s="224" t="s">
        <v>513</v>
      </c>
      <c r="L14" s="224" t="s">
        <v>578</v>
      </c>
      <c r="M14" s="222" t="s">
        <v>202</v>
      </c>
      <c r="N14" s="222" t="s">
        <v>282</v>
      </c>
      <c r="O14" s="222" t="s">
        <v>204</v>
      </c>
      <c r="P14" s="222" t="s">
        <v>205</v>
      </c>
      <c r="Q14" s="222" t="s">
        <v>206</v>
      </c>
      <c r="R14" s="222" t="s">
        <v>207</v>
      </c>
      <c r="S14" s="222" t="s">
        <v>208</v>
      </c>
      <c r="T14" s="222" t="s">
        <v>283</v>
      </c>
      <c r="U14" s="222">
        <v>1</v>
      </c>
      <c r="V14" s="222" t="s">
        <v>210</v>
      </c>
      <c r="W14" s="222" t="b">
        <v>0</v>
      </c>
      <c r="X14" s="222" t="b">
        <v>0</v>
      </c>
      <c r="Y14" s="222">
        <v>0</v>
      </c>
      <c r="Z14" s="222" t="b">
        <v>1</v>
      </c>
      <c r="AA14" s="222">
        <v>11</v>
      </c>
      <c r="AB14" s="222" t="b">
        <v>0</v>
      </c>
      <c r="AC14" s="222" t="b">
        <v>1</v>
      </c>
      <c r="AD14" s="222">
        <v>0</v>
      </c>
      <c r="AE14" s="222">
        <v>0</v>
      </c>
      <c r="AF14" s="222" t="s">
        <v>83</v>
      </c>
      <c r="AG14" s="222">
        <v>0</v>
      </c>
      <c r="AH14" s="223"/>
      <c r="AI14" s="223" t="s">
        <v>515</v>
      </c>
      <c r="AJ14" s="223" t="s">
        <v>516</v>
      </c>
      <c r="AK14" s="222">
        <v>4</v>
      </c>
      <c r="AL14" s="331" t="s">
        <v>517</v>
      </c>
      <c r="AM14" s="331" t="s">
        <v>570</v>
      </c>
      <c r="AN14" s="331" t="s">
        <v>579</v>
      </c>
      <c r="AO14" s="222" t="s">
        <v>45</v>
      </c>
      <c r="AP14" s="223" t="s">
        <v>520</v>
      </c>
      <c r="AQ14" s="223" t="s">
        <v>520</v>
      </c>
      <c r="AR14" s="223" t="s">
        <v>77</v>
      </c>
      <c r="AS14" s="223" t="s">
        <v>77</v>
      </c>
      <c r="AT14" s="223" t="s">
        <v>77</v>
      </c>
      <c r="AU14" s="223" t="s">
        <v>77</v>
      </c>
      <c r="AV14" s="223" t="s">
        <v>521</v>
      </c>
      <c r="AW14" s="223" t="s">
        <v>521</v>
      </c>
      <c r="AX14" s="223" t="s">
        <v>77</v>
      </c>
      <c r="AY14" s="223" t="s">
        <v>77</v>
      </c>
      <c r="AZ14" s="223" t="s">
        <v>77</v>
      </c>
      <c r="BA14" s="223" t="s">
        <v>77</v>
      </c>
      <c r="BB14" s="223" t="s">
        <v>522</v>
      </c>
      <c r="BC14" s="223" t="s">
        <v>577</v>
      </c>
      <c r="BD14" s="223" t="s">
        <v>577</v>
      </c>
      <c r="BE14" s="223" t="s">
        <v>77</v>
      </c>
      <c r="BF14" s="223" t="s">
        <v>77</v>
      </c>
      <c r="BG14" s="223" t="s">
        <v>77</v>
      </c>
      <c r="BH14" s="223" t="s">
        <v>77</v>
      </c>
      <c r="BI14" s="223" t="s">
        <v>523</v>
      </c>
      <c r="BJ14" s="223" t="s">
        <v>523</v>
      </c>
      <c r="BK14" s="223" t="s">
        <v>77</v>
      </c>
      <c r="BL14" s="223" t="s">
        <v>77</v>
      </c>
      <c r="BM14" s="223" t="s">
        <v>77</v>
      </c>
      <c r="BN14" s="223" t="s">
        <v>77</v>
      </c>
      <c r="BO14" s="223">
        <v>3</v>
      </c>
      <c r="BP14" s="223">
        <v>3</v>
      </c>
      <c r="BQ14" s="223">
        <v>0</v>
      </c>
      <c r="BR14" s="223">
        <v>0</v>
      </c>
      <c r="BS14" s="223">
        <v>0</v>
      </c>
      <c r="BT14" s="223">
        <v>0</v>
      </c>
      <c r="BU14" s="223" t="s">
        <v>524</v>
      </c>
      <c r="BV14" s="223">
        <v>2</v>
      </c>
      <c r="BW14" s="223">
        <v>2</v>
      </c>
      <c r="BX14" s="223">
        <v>2</v>
      </c>
      <c r="BY14" s="223">
        <v>0</v>
      </c>
      <c r="BZ14" s="223">
        <v>0</v>
      </c>
      <c r="CA14" s="223">
        <v>0</v>
      </c>
      <c r="CB14" s="223" t="s">
        <v>525</v>
      </c>
      <c r="CC14" s="223">
        <v>1</v>
      </c>
      <c r="CD14" s="223">
        <v>1</v>
      </c>
      <c r="CE14" s="223">
        <v>1</v>
      </c>
      <c r="CF14" s="223">
        <v>0</v>
      </c>
      <c r="CG14" s="223">
        <v>0</v>
      </c>
      <c r="CH14" s="223">
        <v>0</v>
      </c>
      <c r="CI14" s="223" t="s">
        <v>77</v>
      </c>
      <c r="CJ14" s="223">
        <v>0</v>
      </c>
      <c r="CK14" s="223">
        <v>0</v>
      </c>
      <c r="CL14" s="223">
        <v>0</v>
      </c>
      <c r="CM14" s="223">
        <v>0</v>
      </c>
      <c r="CN14" s="223">
        <v>0</v>
      </c>
      <c r="CO14" s="223">
        <v>0</v>
      </c>
      <c r="CP14" s="223" t="s">
        <v>77</v>
      </c>
      <c r="CQ14" s="223">
        <v>0</v>
      </c>
      <c r="CR14" s="223">
        <v>0</v>
      </c>
      <c r="CS14" s="223">
        <v>0</v>
      </c>
      <c r="CT14" s="223">
        <v>0</v>
      </c>
      <c r="CU14" s="223">
        <v>0</v>
      </c>
      <c r="CV14" s="223">
        <v>0</v>
      </c>
      <c r="CW14" s="223" t="s">
        <v>77</v>
      </c>
      <c r="CX14" s="223">
        <v>0</v>
      </c>
      <c r="CY14" s="223">
        <v>0</v>
      </c>
      <c r="CZ14" s="223">
        <v>0</v>
      </c>
      <c r="DA14" s="223">
        <v>0</v>
      </c>
      <c r="DB14" s="223">
        <v>0</v>
      </c>
      <c r="DC14" s="223">
        <v>0</v>
      </c>
      <c r="DD14" s="223" t="s">
        <v>77</v>
      </c>
      <c r="DE14" s="223">
        <v>0</v>
      </c>
      <c r="DF14" s="223">
        <v>0</v>
      </c>
      <c r="DG14" s="223">
        <v>0</v>
      </c>
      <c r="DH14" s="223">
        <v>0</v>
      </c>
      <c r="DI14" s="223">
        <v>0</v>
      </c>
      <c r="DJ14" s="223">
        <v>0</v>
      </c>
      <c r="DK14" s="223" t="s">
        <v>526</v>
      </c>
      <c r="DL14" s="223">
        <v>80</v>
      </c>
      <c r="DM14" s="223">
        <v>80</v>
      </c>
      <c r="DN14" s="223">
        <v>80</v>
      </c>
      <c r="DO14" s="223">
        <v>0</v>
      </c>
      <c r="DP14" s="223">
        <v>0</v>
      </c>
      <c r="DQ14" s="223">
        <v>0</v>
      </c>
      <c r="DR14" s="223" t="s">
        <v>527</v>
      </c>
      <c r="DS14" s="223">
        <v>80</v>
      </c>
      <c r="DT14" s="223" t="s">
        <v>528</v>
      </c>
      <c r="DU14" s="223">
        <v>40</v>
      </c>
      <c r="DV14" s="223">
        <v>40</v>
      </c>
      <c r="DW14" s="223">
        <v>40</v>
      </c>
      <c r="DX14" s="223">
        <v>0</v>
      </c>
      <c r="DY14" s="223">
        <v>0</v>
      </c>
      <c r="DZ14" s="223">
        <v>0</v>
      </c>
      <c r="EA14" s="223" t="s">
        <v>529</v>
      </c>
      <c r="EB14" s="223">
        <v>40</v>
      </c>
      <c r="EC14" s="223" t="s">
        <v>77</v>
      </c>
      <c r="ED14" s="223">
        <v>0</v>
      </c>
      <c r="EE14" s="223">
        <v>0</v>
      </c>
      <c r="EF14" s="223">
        <v>0</v>
      </c>
      <c r="EG14" s="223">
        <v>0</v>
      </c>
      <c r="EH14" s="223">
        <v>0</v>
      </c>
      <c r="EI14" s="223">
        <v>0</v>
      </c>
      <c r="EJ14" s="223" t="s">
        <v>77</v>
      </c>
      <c r="EK14" s="223">
        <v>0</v>
      </c>
      <c r="EL14" s="223" t="s">
        <v>77</v>
      </c>
      <c r="EM14" s="223">
        <v>0</v>
      </c>
      <c r="EN14" s="223">
        <v>0</v>
      </c>
      <c r="EO14" s="223">
        <v>0</v>
      </c>
      <c r="EP14" s="223">
        <v>0</v>
      </c>
      <c r="EQ14" s="223">
        <v>0</v>
      </c>
      <c r="ER14" s="223">
        <v>0</v>
      </c>
      <c r="ES14" s="223" t="s">
        <v>77</v>
      </c>
      <c r="ET14" s="223">
        <v>0</v>
      </c>
      <c r="EU14" s="223" t="s">
        <v>77</v>
      </c>
      <c r="EV14" s="223">
        <v>0</v>
      </c>
      <c r="EW14" s="223">
        <v>0</v>
      </c>
      <c r="EX14" s="223">
        <v>0</v>
      </c>
      <c r="EY14" s="223">
        <v>0</v>
      </c>
      <c r="EZ14" s="223">
        <v>0</v>
      </c>
      <c r="FA14" s="223">
        <v>0</v>
      </c>
      <c r="FB14" s="223" t="s">
        <v>77</v>
      </c>
      <c r="FC14" s="223">
        <v>0</v>
      </c>
      <c r="FD14" s="223" t="s">
        <v>77</v>
      </c>
      <c r="FE14" s="223">
        <v>0</v>
      </c>
      <c r="FF14" s="223">
        <v>0</v>
      </c>
      <c r="FG14" s="223">
        <v>0</v>
      </c>
      <c r="FH14" s="223">
        <v>0</v>
      </c>
      <c r="FI14" s="223">
        <v>0</v>
      </c>
      <c r="FJ14" s="223">
        <v>0</v>
      </c>
      <c r="FK14" s="223" t="s">
        <v>77</v>
      </c>
      <c r="FL14" s="223">
        <v>0</v>
      </c>
      <c r="FM14" s="223">
        <v>80</v>
      </c>
      <c r="FN14" s="223" t="s">
        <v>530</v>
      </c>
      <c r="FO14" s="223" t="s">
        <v>531</v>
      </c>
      <c r="FP14" s="223" t="s">
        <v>77</v>
      </c>
      <c r="FQ14" s="223" t="s">
        <v>77</v>
      </c>
      <c r="FR14" s="223" t="s">
        <v>77</v>
      </c>
      <c r="FS14" s="223" t="s">
        <v>77</v>
      </c>
      <c r="FT14" s="223" t="s">
        <v>580</v>
      </c>
      <c r="FU14" s="223">
        <v>25</v>
      </c>
      <c r="FV14" s="223">
        <v>25</v>
      </c>
      <c r="FW14" s="223">
        <v>25</v>
      </c>
      <c r="FX14" s="223">
        <v>0</v>
      </c>
      <c r="FY14" s="223">
        <v>0</v>
      </c>
      <c r="FZ14" s="223">
        <v>0</v>
      </c>
      <c r="GA14" s="223" t="s">
        <v>580</v>
      </c>
      <c r="GB14" s="223" t="s">
        <v>581</v>
      </c>
      <c r="GC14" s="223">
        <v>28</v>
      </c>
      <c r="GD14" s="223">
        <v>28</v>
      </c>
      <c r="GE14" s="223">
        <v>28</v>
      </c>
      <c r="GF14" s="223">
        <v>0</v>
      </c>
      <c r="GG14" s="223">
        <v>0</v>
      </c>
      <c r="GH14" s="223">
        <v>0</v>
      </c>
      <c r="GI14" s="223" t="s">
        <v>581</v>
      </c>
      <c r="GJ14" s="223" t="s">
        <v>77</v>
      </c>
      <c r="GK14" s="223">
        <v>0</v>
      </c>
      <c r="GL14" s="223">
        <v>0</v>
      </c>
      <c r="GM14" s="223">
        <v>0</v>
      </c>
      <c r="GN14" s="223">
        <v>0</v>
      </c>
      <c r="GO14" s="223">
        <v>0</v>
      </c>
      <c r="GP14" s="223">
        <v>0</v>
      </c>
      <c r="GQ14" s="223" t="s">
        <v>77</v>
      </c>
      <c r="GR14" s="223" t="s">
        <v>77</v>
      </c>
      <c r="GS14" s="223">
        <v>0</v>
      </c>
      <c r="GT14" s="223">
        <v>0</v>
      </c>
      <c r="GU14" s="223">
        <v>0</v>
      </c>
      <c r="GV14" s="223">
        <v>0</v>
      </c>
      <c r="GW14" s="223">
        <v>0</v>
      </c>
      <c r="GX14" s="223">
        <v>0</v>
      </c>
      <c r="GY14" s="223" t="s">
        <v>77</v>
      </c>
      <c r="GZ14" s="223" t="s">
        <v>77</v>
      </c>
      <c r="HA14" s="223">
        <v>0</v>
      </c>
      <c r="HB14" s="223">
        <v>0</v>
      </c>
      <c r="HC14" s="223">
        <v>0</v>
      </c>
      <c r="HD14" s="223">
        <v>0</v>
      </c>
      <c r="HE14" s="223">
        <v>0</v>
      </c>
      <c r="HF14" s="223">
        <v>0</v>
      </c>
      <c r="HG14" s="223" t="s">
        <v>77</v>
      </c>
      <c r="HH14" s="223" t="s">
        <v>77</v>
      </c>
      <c r="HI14" s="223">
        <v>0</v>
      </c>
      <c r="HJ14" s="223">
        <v>0</v>
      </c>
      <c r="HK14" s="223">
        <v>0</v>
      </c>
      <c r="HL14" s="223">
        <v>0</v>
      </c>
      <c r="HM14" s="223">
        <v>0</v>
      </c>
      <c r="HN14" s="223">
        <v>0</v>
      </c>
      <c r="HO14" s="223" t="s">
        <v>77</v>
      </c>
      <c r="HP14" s="223" t="s">
        <v>84</v>
      </c>
      <c r="HQ14" s="223">
        <v>25</v>
      </c>
      <c r="HR14" s="223">
        <v>28</v>
      </c>
      <c r="HS14" s="223">
        <v>0</v>
      </c>
      <c r="HT14" s="223">
        <v>0</v>
      </c>
      <c r="HU14" s="223">
        <v>0</v>
      </c>
      <c r="HV14" s="223">
        <v>0</v>
      </c>
      <c r="HW14" s="222">
        <v>25</v>
      </c>
      <c r="HX14" s="222">
        <v>14</v>
      </c>
      <c r="HY14" s="223">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8" width="9.140625" customWidth="1" style="207"/>
    <col min="19" max="16384" width="9.140625" customWidth="1" style="207"/>
  </cols>
  <sheetData>
    <row r="1" ht="28.5">
      <c r="A1" s="391" t="s">
        <v>135</v>
      </c>
      <c r="B1" s="391" t="s">
        <v>582</v>
      </c>
      <c r="C1" s="391" t="s">
        <v>583</v>
      </c>
      <c r="D1" s="391" t="s">
        <v>584</v>
      </c>
      <c r="E1" s="391" t="s">
        <v>585</v>
      </c>
      <c r="F1" s="387" t="s">
        <v>586</v>
      </c>
      <c r="G1" s="387" t="s">
        <v>587</v>
      </c>
      <c r="H1" s="391" t="s">
        <v>588</v>
      </c>
      <c r="I1" s="391" t="s">
        <v>589</v>
      </c>
    </row>
    <row r="2" ht="34.5" customHeight="1">
      <c r="A2" s="392"/>
      <c r="B2" s="392"/>
      <c r="C2" s="392"/>
      <c r="D2" s="392"/>
      <c r="E2" s="392"/>
      <c r="F2" s="388">
        <v>-1</v>
      </c>
      <c r="G2" s="388">
        <v>-2</v>
      </c>
      <c r="H2" s="392"/>
      <c r="I2" s="392"/>
    </row>
    <row r="3" ht="42.75" customHeight="1">
      <c r="A3" s="207">
        <f>Certificate!A2</f>
        <v>1</v>
      </c>
      <c r="B3" s="207">
        <v>1801181</v>
      </c>
      <c r="C3" s="207" t="str">
        <f>Certificate!D2</f>
        <v>339084</v>
      </c>
      <c r="D3" s="328"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28"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28"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28"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28"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28"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28"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28"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28"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28"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28"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28"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28"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56" width="12.28515625" customWidth="1" style="312"/>
    <col min="257" max="265" width="9.140625" customWidth="1" style="312"/>
    <col min="266"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634</v>
      </c>
      <c r="IA1" s="384" t="s">
        <v>491</v>
      </c>
      <c r="IB1" s="384" t="s">
        <v>492</v>
      </c>
      <c r="IC1" s="384" t="s">
        <v>493</v>
      </c>
      <c r="ID1" s="384" t="s">
        <v>494</v>
      </c>
      <c r="IE1" s="385" t="s">
        <v>495</v>
      </c>
      <c r="IF1" s="384" t="s">
        <v>496</v>
      </c>
      <c r="IG1" s="384" t="s">
        <v>497</v>
      </c>
      <c r="IH1" s="384" t="s">
        <v>498</v>
      </c>
      <c r="II1" s="384" t="s">
        <v>499</v>
      </c>
      <c r="IJ1" s="384" t="s">
        <v>500</v>
      </c>
      <c r="IK1" s="386" t="s">
        <v>501</v>
      </c>
      <c r="IL1" s="386" t="s">
        <v>502</v>
      </c>
      <c r="IM1" s="386" t="s">
        <v>503</v>
      </c>
      <c r="IN1" s="386" t="s">
        <v>504</v>
      </c>
      <c r="IO1" s="386" t="s">
        <v>505</v>
      </c>
      <c r="IP1" s="386" t="s">
        <v>506</v>
      </c>
      <c r="IQ1" s="386" t="s">
        <v>507</v>
      </c>
      <c r="IR1" s="386" t="s">
        <v>508</v>
      </c>
      <c r="IS1" s="386" t="s">
        <v>509</v>
      </c>
      <c r="IT1" s="386" t="s">
        <v>510</v>
      </c>
      <c r="IU1" s="386" t="s">
        <v>511</v>
      </c>
    </row>
    <row r="2" ht="102" s="325" customFormat="1">
      <c r="A2" s="222">
        <v>1</v>
      </c>
      <c r="B2" s="222" t="s">
        <v>635</v>
      </c>
      <c r="C2" s="222" t="s">
        <v>636</v>
      </c>
      <c r="D2" s="222" t="s">
        <v>637</v>
      </c>
      <c r="E2" s="222" t="s">
        <v>638</v>
      </c>
      <c r="F2" s="222" t="s">
        <v>37</v>
      </c>
      <c r="G2" s="222" t="s">
        <v>639</v>
      </c>
      <c r="H2" s="222" t="s">
        <v>640</v>
      </c>
      <c r="I2" s="222">
        <v>1</v>
      </c>
      <c r="J2" s="222" t="s">
        <v>641</v>
      </c>
      <c r="K2" s="224" t="s">
        <v>642</v>
      </c>
      <c r="L2" s="224" t="s">
        <v>643</v>
      </c>
      <c r="M2" s="222" t="s">
        <v>644</v>
      </c>
      <c r="N2" s="222" t="s">
        <v>637</v>
      </c>
      <c r="O2" s="222" t="s">
        <v>645</v>
      </c>
      <c r="P2" s="222">
        <v>1</v>
      </c>
      <c r="Q2" s="222" t="s">
        <v>646</v>
      </c>
      <c r="R2" s="222" t="s">
        <v>647</v>
      </c>
      <c r="S2" s="222" t="s">
        <v>530</v>
      </c>
      <c r="T2" s="222" t="s">
        <v>648</v>
      </c>
      <c r="U2" s="222">
        <v>1</v>
      </c>
      <c r="V2" s="222" t="s">
        <v>649</v>
      </c>
      <c r="W2" s="222" t="s">
        <v>77</v>
      </c>
      <c r="X2" s="222" t="s">
        <v>213</v>
      </c>
      <c r="Y2" s="222" t="s">
        <v>77</v>
      </c>
      <c r="Z2" s="222" t="s">
        <v>211</v>
      </c>
      <c r="AA2" s="222" t="s">
        <v>650</v>
      </c>
      <c r="AB2" s="222" t="s">
        <v>213</v>
      </c>
      <c r="AC2" s="222" t="b">
        <v>1</v>
      </c>
      <c r="AD2" s="222" t="s">
        <v>77</v>
      </c>
      <c r="AE2" s="222">
        <v>0</v>
      </c>
      <c r="AF2" s="222" t="s">
        <v>83</v>
      </c>
      <c r="AG2" s="222">
        <v>0</v>
      </c>
      <c r="AH2" s="223"/>
      <c r="AI2" s="223" t="s">
        <v>651</v>
      </c>
      <c r="AJ2" s="223" t="s">
        <v>644</v>
      </c>
      <c r="AK2" s="222">
        <v>4</v>
      </c>
      <c r="AL2" s="331" t="s">
        <v>652</v>
      </c>
      <c r="AM2" s="337" t="s">
        <v>653</v>
      </c>
      <c r="AN2" s="337" t="s">
        <v>654</v>
      </c>
      <c r="AO2" s="222" t="s">
        <v>36</v>
      </c>
      <c r="AP2" s="223" t="s">
        <v>644</v>
      </c>
      <c r="AQ2" s="223" t="s">
        <v>77</v>
      </c>
      <c r="AR2" s="223" t="s">
        <v>77</v>
      </c>
      <c r="AS2" s="223" t="s">
        <v>77</v>
      </c>
      <c r="AT2" s="223" t="s">
        <v>77</v>
      </c>
      <c r="AU2" s="223" t="s">
        <v>77</v>
      </c>
      <c r="AV2" s="223" t="s">
        <v>636</v>
      </c>
      <c r="AW2" s="223" t="s">
        <v>77</v>
      </c>
      <c r="AX2" s="223" t="s">
        <v>77</v>
      </c>
      <c r="AY2" s="223" t="s">
        <v>77</v>
      </c>
      <c r="AZ2" s="223" t="s">
        <v>77</v>
      </c>
      <c r="BA2" s="223" t="s">
        <v>77</v>
      </c>
      <c r="BB2" s="223" t="s">
        <v>655</v>
      </c>
      <c r="BC2" s="223" t="s">
        <v>637</v>
      </c>
      <c r="BD2" s="223" t="s">
        <v>77</v>
      </c>
      <c r="BE2" s="223" t="s">
        <v>77</v>
      </c>
      <c r="BF2" s="223" t="s">
        <v>77</v>
      </c>
      <c r="BG2" s="223" t="s">
        <v>77</v>
      </c>
      <c r="BH2" s="223" t="s">
        <v>77</v>
      </c>
      <c r="BI2" s="223" t="s">
        <v>645</v>
      </c>
      <c r="BJ2" s="223" t="s">
        <v>77</v>
      </c>
      <c r="BK2" s="223" t="s">
        <v>77</v>
      </c>
      <c r="BL2" s="223" t="s">
        <v>77</v>
      </c>
      <c r="BM2" s="223" t="s">
        <v>77</v>
      </c>
      <c r="BN2" s="223" t="s">
        <v>77</v>
      </c>
      <c r="BO2" s="223">
        <v>1</v>
      </c>
      <c r="BP2" s="223">
        <v>0</v>
      </c>
      <c r="BQ2" s="223">
        <v>0</v>
      </c>
      <c r="BR2" s="223">
        <v>0</v>
      </c>
      <c r="BS2" s="223">
        <v>0</v>
      </c>
      <c r="BT2" s="223">
        <v>0</v>
      </c>
      <c r="BU2" s="223" t="s">
        <v>646</v>
      </c>
      <c r="BV2" s="223">
        <v>2</v>
      </c>
      <c r="BW2" s="223">
        <v>0</v>
      </c>
      <c r="BX2" s="223">
        <v>0</v>
      </c>
      <c r="BY2" s="223">
        <v>0</v>
      </c>
      <c r="BZ2" s="223">
        <v>0</v>
      </c>
      <c r="CA2" s="223">
        <v>0</v>
      </c>
      <c r="CB2" s="223" t="s">
        <v>77</v>
      </c>
      <c r="CC2" s="223">
        <v>0</v>
      </c>
      <c r="CD2" s="223">
        <v>0</v>
      </c>
      <c r="CE2" s="223">
        <v>0</v>
      </c>
      <c r="CF2" s="223">
        <v>0</v>
      </c>
      <c r="CG2" s="223">
        <v>0</v>
      </c>
      <c r="CH2" s="223">
        <v>0</v>
      </c>
      <c r="CI2" s="223" t="s">
        <v>77</v>
      </c>
      <c r="CJ2" s="223">
        <v>0</v>
      </c>
      <c r="CK2" s="223">
        <v>0</v>
      </c>
      <c r="CL2" s="223">
        <v>0</v>
      </c>
      <c r="CM2" s="223">
        <v>0</v>
      </c>
      <c r="CN2" s="223">
        <v>0</v>
      </c>
      <c r="CO2" s="223">
        <v>0</v>
      </c>
      <c r="CP2" s="223" t="s">
        <v>77</v>
      </c>
      <c r="CQ2" s="223">
        <v>0</v>
      </c>
      <c r="CR2" s="223">
        <v>0</v>
      </c>
      <c r="CS2" s="223">
        <v>0</v>
      </c>
      <c r="CT2" s="223">
        <v>0</v>
      </c>
      <c r="CU2" s="223">
        <v>0</v>
      </c>
      <c r="CV2" s="223">
        <v>0</v>
      </c>
      <c r="CW2" s="223" t="s">
        <v>77</v>
      </c>
      <c r="CX2" s="223">
        <v>0</v>
      </c>
      <c r="CY2" s="223">
        <v>0</v>
      </c>
      <c r="CZ2" s="223">
        <v>0</v>
      </c>
      <c r="DA2" s="223">
        <v>0</v>
      </c>
      <c r="DB2" s="223">
        <v>0</v>
      </c>
      <c r="DC2" s="223">
        <v>0</v>
      </c>
      <c r="DD2" s="223" t="s">
        <v>77</v>
      </c>
      <c r="DE2" s="223">
        <v>0</v>
      </c>
      <c r="DF2" s="223">
        <v>0</v>
      </c>
      <c r="DG2" s="223">
        <v>0</v>
      </c>
      <c r="DH2" s="223">
        <v>0</v>
      </c>
      <c r="DI2" s="223">
        <v>0</v>
      </c>
      <c r="DJ2" s="223">
        <v>0</v>
      </c>
      <c r="DK2" s="223" t="s">
        <v>647</v>
      </c>
      <c r="DL2" s="223">
        <v>40</v>
      </c>
      <c r="DM2" s="223">
        <v>0</v>
      </c>
      <c r="DN2" s="223">
        <v>0</v>
      </c>
      <c r="DO2" s="223">
        <v>0</v>
      </c>
      <c r="DP2" s="223">
        <v>0</v>
      </c>
      <c r="DQ2" s="223">
        <v>0</v>
      </c>
      <c r="DR2" s="223" t="s">
        <v>647</v>
      </c>
      <c r="DS2" s="223">
        <v>40</v>
      </c>
      <c r="DT2" s="223" t="s">
        <v>77</v>
      </c>
      <c r="DU2" s="223">
        <v>0</v>
      </c>
      <c r="DV2" s="223">
        <v>0</v>
      </c>
      <c r="DW2" s="223">
        <v>0</v>
      </c>
      <c r="DX2" s="223">
        <v>0</v>
      </c>
      <c r="DY2" s="223">
        <v>0</v>
      </c>
      <c r="DZ2" s="223">
        <v>0</v>
      </c>
      <c r="EA2" s="223" t="s">
        <v>77</v>
      </c>
      <c r="EB2" s="223">
        <v>0</v>
      </c>
      <c r="EC2" s="223" t="s">
        <v>77</v>
      </c>
      <c r="ED2" s="223">
        <v>0</v>
      </c>
      <c r="EE2" s="223">
        <v>0</v>
      </c>
      <c r="EF2" s="223">
        <v>0</v>
      </c>
      <c r="EG2" s="223">
        <v>0</v>
      </c>
      <c r="EH2" s="223">
        <v>0</v>
      </c>
      <c r="EI2" s="223">
        <v>0</v>
      </c>
      <c r="EJ2" s="223" t="s">
        <v>77</v>
      </c>
      <c r="EK2" s="223">
        <v>0</v>
      </c>
      <c r="EL2" s="223" t="s">
        <v>77</v>
      </c>
      <c r="EM2" s="223">
        <v>0</v>
      </c>
      <c r="EN2" s="223">
        <v>0</v>
      </c>
      <c r="EO2" s="223">
        <v>0</v>
      </c>
      <c r="EP2" s="223">
        <v>0</v>
      </c>
      <c r="EQ2" s="223">
        <v>0</v>
      </c>
      <c r="ER2" s="223">
        <v>0</v>
      </c>
      <c r="ES2" s="223" t="s">
        <v>77</v>
      </c>
      <c r="ET2" s="223">
        <v>0</v>
      </c>
      <c r="EU2" s="223" t="s">
        <v>77</v>
      </c>
      <c r="EV2" s="223">
        <v>0</v>
      </c>
      <c r="EW2" s="223">
        <v>0</v>
      </c>
      <c r="EX2" s="223">
        <v>0</v>
      </c>
      <c r="EY2" s="223">
        <v>0</v>
      </c>
      <c r="EZ2" s="223">
        <v>0</v>
      </c>
      <c r="FA2" s="223">
        <v>0</v>
      </c>
      <c r="FB2" s="223" t="s">
        <v>77</v>
      </c>
      <c r="FC2" s="223">
        <v>0</v>
      </c>
      <c r="FD2" s="223" t="s">
        <v>77</v>
      </c>
      <c r="FE2" s="223">
        <v>0</v>
      </c>
      <c r="FF2" s="223">
        <v>0</v>
      </c>
      <c r="FG2" s="223">
        <v>0</v>
      </c>
      <c r="FH2" s="223">
        <v>0</v>
      </c>
      <c r="FI2" s="223">
        <v>0</v>
      </c>
      <c r="FJ2" s="223">
        <v>0</v>
      </c>
      <c r="FK2" s="223" t="s">
        <v>77</v>
      </c>
      <c r="FL2" s="223">
        <v>0</v>
      </c>
      <c r="FM2" s="223">
        <v>40</v>
      </c>
      <c r="FN2" s="223" t="s">
        <v>530</v>
      </c>
      <c r="FO2" s="223" t="s">
        <v>77</v>
      </c>
      <c r="FP2" s="223" t="s">
        <v>77</v>
      </c>
      <c r="FQ2" s="223" t="s">
        <v>77</v>
      </c>
      <c r="FR2" s="223" t="s">
        <v>77</v>
      </c>
      <c r="FS2" s="223" t="s">
        <v>77</v>
      </c>
      <c r="FT2" s="223" t="s">
        <v>648</v>
      </c>
      <c r="FU2" s="223">
        <v>47</v>
      </c>
      <c r="FV2" s="223">
        <v>0</v>
      </c>
      <c r="FW2" s="223">
        <v>0</v>
      </c>
      <c r="FX2" s="223">
        <v>0</v>
      </c>
      <c r="FY2" s="223">
        <v>0</v>
      </c>
      <c r="FZ2" s="223">
        <v>0</v>
      </c>
      <c r="GA2" s="223" t="s">
        <v>648</v>
      </c>
      <c r="GB2" s="223" t="s">
        <v>77</v>
      </c>
      <c r="GC2" s="223">
        <v>0</v>
      </c>
      <c r="GD2" s="223">
        <v>0</v>
      </c>
      <c r="GE2" s="223">
        <v>0</v>
      </c>
      <c r="GF2" s="223">
        <v>0</v>
      </c>
      <c r="GG2" s="223">
        <v>0</v>
      </c>
      <c r="GH2" s="223">
        <v>0</v>
      </c>
      <c r="GI2" s="223" t="s">
        <v>77</v>
      </c>
      <c r="GJ2" s="223" t="s">
        <v>77</v>
      </c>
      <c r="GK2" s="223">
        <v>0</v>
      </c>
      <c r="GL2" s="223">
        <v>0</v>
      </c>
      <c r="GM2" s="223">
        <v>0</v>
      </c>
      <c r="GN2" s="223">
        <v>0</v>
      </c>
      <c r="GO2" s="223">
        <v>0</v>
      </c>
      <c r="GP2" s="223">
        <v>0</v>
      </c>
      <c r="GQ2" s="223" t="s">
        <v>77</v>
      </c>
      <c r="GR2" s="223" t="s">
        <v>77</v>
      </c>
      <c r="GS2" s="223">
        <v>0</v>
      </c>
      <c r="GT2" s="223">
        <v>0</v>
      </c>
      <c r="GU2" s="223">
        <v>0</v>
      </c>
      <c r="GV2" s="223">
        <v>0</v>
      </c>
      <c r="GW2" s="223">
        <v>0</v>
      </c>
      <c r="GX2" s="223">
        <v>0</v>
      </c>
      <c r="GY2" s="222" t="s">
        <v>77</v>
      </c>
      <c r="GZ2" s="222" t="s">
        <v>77</v>
      </c>
      <c r="HA2" s="223">
        <v>0</v>
      </c>
      <c r="HB2" s="223">
        <v>0</v>
      </c>
      <c r="HC2" s="223">
        <v>0</v>
      </c>
      <c r="HD2" s="223">
        <v>0</v>
      </c>
      <c r="HE2" s="223">
        <v>0</v>
      </c>
      <c r="HF2" s="223">
        <v>0</v>
      </c>
      <c r="HG2" s="223" t="s">
        <v>77</v>
      </c>
      <c r="HH2" s="223" t="s">
        <v>77</v>
      </c>
      <c r="HI2" s="223">
        <v>0</v>
      </c>
      <c r="HJ2" s="223">
        <v>0</v>
      </c>
      <c r="HK2" s="223">
        <v>0</v>
      </c>
      <c r="HL2" s="223">
        <v>0</v>
      </c>
      <c r="HM2" s="223">
        <v>0</v>
      </c>
      <c r="HN2" s="223">
        <v>0</v>
      </c>
      <c r="HO2" s="223" t="s">
        <v>77</v>
      </c>
      <c r="HP2" s="223" t="s">
        <v>84</v>
      </c>
      <c r="HQ2" s="223">
        <v>47</v>
      </c>
      <c r="HR2" s="223">
        <v>0</v>
      </c>
      <c r="HS2" s="223">
        <v>0</v>
      </c>
      <c r="HT2" s="223">
        <v>0</v>
      </c>
      <c r="HU2" s="223">
        <v>0</v>
      </c>
      <c r="HV2" s="223">
        <v>0</v>
      </c>
      <c r="HW2" s="223">
        <v>47</v>
      </c>
      <c r="HX2" s="223">
        <v>12</v>
      </c>
      <c r="HY2" s="223">
        <v>13</v>
      </c>
      <c r="HZ2" s="223">
        <v>0</v>
      </c>
      <c r="IA2" s="223"/>
      <c r="IB2" s="223"/>
      <c r="IC2" s="225" t="str">
        <f>IF(LEN(ID2)=4,"B0"&amp;ID2&amp;IE2&amp;IF2,IF(LEN(ID2)=3,"B00"&amp;ID2&amp;IE2&amp;IF2,IF(LEN(ID2)=2,"B000"&amp;ID2&amp;IE2&amp;IF2,IF(LEN(ID2)=1,"B0000"&amp;ID2&amp;IE2&amp;IF2,"B"&amp;ID2&amp;IE2&amp;IF2))))</f>
        <v>B00001030319TG05</v>
      </c>
      <c r="ID2" s="226">
        <v>1</v>
      </c>
      <c r="IE2" s="332" t="str">
        <f>TEXT(II2,"ddmmyy")</f>
        <v>030319</v>
      </c>
      <c r="IF2" s="225" t="s">
        <v>534</v>
      </c>
      <c r="IG2" s="332" t="str">
        <f ref="IG2:IH2" t="shared" si="0">TEXT(II2,"dd/mm/yyyy")</f>
        <v>03/03/2019</v>
      </c>
      <c r="IH2" s="332" t="str">
        <f t="shared" si="0"/>
        <v>03/03/2024</v>
      </c>
      <c r="II2" s="227" t="s">
        <v>656</v>
      </c>
      <c r="IJ2" s="332">
        <f>DATE(YEAR(II2) + 5,MONTH(II2),DAY(II2))</f>
        <v>45354</v>
      </c>
      <c r="IK2" s="333">
        <f>IFERROR(MATCH("",AP2:AU2,0)-1,6)</f>
        <v>1</v>
      </c>
      <c r="IL2" s="334" t="str">
        <f>IK2&amp;"-"&amp;IR2</f>
        <v>1-1</v>
      </c>
      <c r="IM2" s="334">
        <f>IF(AQ2&lt;&gt;"",IF(AQ2=AP2,"CHUNG","KHAC"),"")</f>
      </c>
      <c r="IN2" s="334">
        <f>IF(AR2&lt;&gt;"",IF(AR2=AP2,"CHUNG","KHAC"),"")</f>
      </c>
      <c r="IO2" s="334">
        <f>IF(AS2&lt;&gt;"",IF(AS2=AP2,"CHUNG","KHAC"),"")</f>
      </c>
      <c r="IP2" s="334">
        <f>IF(AT2&lt;&gt;"",IF(AT2=AP2,"CHUNG","KHAC"),"")</f>
      </c>
      <c r="IQ2" s="334">
        <f>IF(AU2&lt;&gt;"",IF(AU2=AP2,"CHUNG","KHAC"),"")</f>
      </c>
      <c r="IR2" s="334">
        <f>IF(COUNTIF(IM2:IQ2,"CHUNG")=0,1,COUNTIF(IM2:IQ2,"CHUNG")+1)</f>
        <v>1</v>
      </c>
      <c r="IS2" s="335">
        <f>IK2-IR2</f>
        <v>0</v>
      </c>
      <c r="IT2" s="335" t="str">
        <f>IF(IS2=0,"No","Yes")</f>
        <v>No</v>
      </c>
      <c r="IU2" s="335"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7"/>
    <col min="2" max="2" width="7.140625" customWidth="1" style="327"/>
    <col min="3" max="3" width="60.140625" customWidth="1" style="207"/>
    <col min="4" max="4" width="18.42578125" customWidth="1" style="207"/>
    <col min="5" max="13" width="9.140625" customWidth="1" style="207"/>
    <col min="14" max="16384" width="9.140625" customWidth="1" style="207"/>
  </cols>
  <sheetData>
    <row r="1" s="327" customFormat="1">
      <c r="A1" s="389" t="s">
        <v>284</v>
      </c>
      <c r="B1" s="389" t="s">
        <v>683</v>
      </c>
      <c r="C1" s="389" t="s">
        <v>684</v>
      </c>
      <c r="D1" s="389" t="s">
        <v>685</v>
      </c>
    </row>
    <row r="2">
      <c r="A2" s="228">
        <v>1</v>
      </c>
      <c r="B2" s="228">
        <v>1</v>
      </c>
      <c r="C2" s="350" t="s">
        <v>686</v>
      </c>
      <c r="D2" s="350"/>
    </row>
    <row r="3">
      <c r="A3" s="228">
        <v>2</v>
      </c>
      <c r="B3" s="228">
        <v>2</v>
      </c>
      <c r="C3" s="350" t="s">
        <v>687</v>
      </c>
      <c r="D3" s="350"/>
    </row>
    <row r="4">
      <c r="A4" s="228">
        <v>3</v>
      </c>
      <c r="B4" s="228">
        <v>3</v>
      </c>
      <c r="C4" s="350" t="s">
        <v>688</v>
      </c>
      <c r="D4" s="350"/>
    </row>
  </sheetData>
  <sheetProtection formatCells="0" formatColumns="0" formatRows="0" sort="0" autoFilter="0" pivotTables="0"/>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43" width="9.140625" customWidth="1" style="229"/>
    <col min="44" max="16384" width="9.140625" customWidth="1" style="229"/>
  </cols>
  <sheetData>
    <row r="1" ht="16.5">
      <c r="A1" s="418" t="s">
        <v>117</v>
      </c>
      <c r="B1" s="418"/>
      <c r="C1" s="418"/>
      <c r="D1" s="418"/>
      <c r="E1" s="418"/>
      <c r="F1" s="418"/>
      <c r="G1" s="418"/>
      <c r="H1" s="418"/>
      <c r="I1" s="418"/>
      <c r="J1" s="418"/>
      <c r="N1" s="394" t="s">
        <v>118</v>
      </c>
      <c r="O1" s="394"/>
      <c r="P1" s="394"/>
      <c r="Q1" s="394"/>
      <c r="R1" s="394"/>
      <c r="S1" s="394"/>
      <c r="T1" s="394"/>
      <c r="U1" s="394"/>
      <c r="V1" s="394"/>
      <c r="W1" s="394"/>
      <c r="X1" s="394"/>
      <c r="Y1" s="394"/>
      <c r="Z1" s="394"/>
      <c r="AA1" s="230"/>
    </row>
    <row r="2" ht="16.5" customHeight="1">
      <c r="A2" s="394" t="s">
        <v>119</v>
      </c>
      <c r="B2" s="394"/>
      <c r="C2" s="394"/>
      <c r="D2" s="394"/>
      <c r="E2" s="394"/>
      <c r="F2" s="394"/>
      <c r="G2" s="394"/>
      <c r="H2" s="394"/>
      <c r="I2" s="394"/>
      <c r="J2" s="394"/>
      <c r="N2" s="397" t="s">
        <v>120</v>
      </c>
      <c r="O2" s="397"/>
      <c r="P2" s="397"/>
      <c r="Q2" s="397"/>
      <c r="R2" s="397"/>
      <c r="S2" s="397"/>
      <c r="T2" s="397"/>
      <c r="U2" s="397"/>
      <c r="V2" s="397"/>
      <c r="W2" s="397"/>
      <c r="X2" s="397"/>
      <c r="Y2" s="397"/>
      <c r="Z2" s="397"/>
    </row>
    <row r="3" ht="16.5">
      <c r="A3" s="394" t="s">
        <v>121</v>
      </c>
      <c r="B3" s="394"/>
      <c r="C3" s="394"/>
      <c r="D3" s="394"/>
      <c r="E3" s="394"/>
      <c r="F3" s="394"/>
      <c r="G3" s="394"/>
      <c r="H3" s="394"/>
      <c r="I3" s="394"/>
      <c r="J3" s="394"/>
      <c r="O3" s="231"/>
      <c r="P3" s="231"/>
      <c r="Q3" s="231"/>
      <c r="R3" s="231"/>
      <c r="S3" s="231"/>
      <c r="T3" s="231"/>
      <c r="U3" s="231"/>
      <c r="V3" s="231"/>
      <c r="W3" s="231"/>
    </row>
    <row r="4" ht="21.75" customHeight="1">
      <c r="C4" s="420" t="str">
        <f>IF(LEN(AD4)=1,"Số: 0"&amp;AD4&amp;"/LPKĐ-TT2","Số: "&amp;AD4&amp;"/LPKĐ-TT2")</f>
        <v>Số: 02/LPKĐ-TT2</v>
      </c>
      <c r="D4" s="420"/>
      <c r="E4" s="420"/>
      <c r="F4" s="420"/>
      <c r="G4" s="420"/>
      <c r="H4" s="420"/>
      <c r="N4" s="423" t="str">
        <f>"TP. Hồ Chí Minh, ngày "&amp;AF4&amp;" tháng "&amp;AG4&amp;" năm "&amp;AH4</f>
        <v>TP. Hồ Chí Minh, ngày 27 tháng 2 năm 2019</v>
      </c>
      <c r="O4" s="423"/>
      <c r="P4" s="423"/>
      <c r="Q4" s="423"/>
      <c r="R4" s="423"/>
      <c r="S4" s="423"/>
      <c r="T4" s="423"/>
      <c r="U4" s="423"/>
      <c r="V4" s="423"/>
      <c r="W4" s="423"/>
      <c r="X4" s="423"/>
      <c r="Y4" s="423"/>
      <c r="Z4" s="423"/>
      <c r="AD4" s="232">
        <v>2</v>
      </c>
      <c r="AE4" s="233" t="s">
        <v>122</v>
      </c>
      <c r="AF4" s="229">
        <f>DAY(AE4)</f>
        <v>27</v>
      </c>
      <c r="AG4" s="229">
        <f>MONTH(AE4)</f>
        <v>2</v>
      </c>
      <c r="AH4" s="229">
        <f>YEAR(AE4)</f>
        <v>2019</v>
      </c>
    </row>
    <row r="6" ht="8.25" customHeight="1">
      <c r="O6" s="230"/>
    </row>
    <row r="7" ht="18.75">
      <c r="C7" s="422" t="s">
        <v>123</v>
      </c>
      <c r="D7" s="422"/>
      <c r="E7" s="422"/>
      <c r="F7" s="422"/>
      <c r="G7" s="422"/>
      <c r="H7" s="422"/>
      <c r="I7" s="422"/>
      <c r="J7" s="422"/>
      <c r="K7" s="422"/>
      <c r="L7" s="422"/>
      <c r="M7" s="422"/>
      <c r="N7" s="422"/>
      <c r="O7" s="422"/>
      <c r="P7" s="422"/>
      <c r="Q7" s="422"/>
      <c r="R7" s="422"/>
      <c r="S7" s="422"/>
      <c r="T7" s="422"/>
      <c r="U7" s="422"/>
      <c r="V7" s="422"/>
      <c r="W7" s="422"/>
      <c r="X7" s="422"/>
    </row>
    <row r="8" ht="18.75">
      <c r="C8" s="422" t="s">
        <v>124</v>
      </c>
      <c r="D8" s="422"/>
      <c r="E8" s="422"/>
      <c r="F8" s="422"/>
      <c r="G8" s="422"/>
      <c r="H8" s="422"/>
      <c r="I8" s="422"/>
      <c r="J8" s="422"/>
      <c r="K8" s="422"/>
      <c r="L8" s="422"/>
      <c r="M8" s="422"/>
      <c r="N8" s="422"/>
      <c r="O8" s="422"/>
      <c r="P8" s="422"/>
      <c r="Q8" s="422"/>
      <c r="R8" s="422"/>
      <c r="S8" s="422"/>
      <c r="T8" s="422"/>
      <c r="U8" s="422"/>
      <c r="V8" s="422"/>
      <c r="W8" s="422"/>
      <c r="X8" s="422"/>
    </row>
    <row r="10" ht="16.5">
      <c r="D10" s="418" t="str">
        <f>"Kính gửi: "&amp;AD10</f>
        <v>Kính gửi: Trung tâm Thông tin di động khu vực II</v>
      </c>
      <c r="E10" s="418"/>
      <c r="F10" s="418"/>
      <c r="G10" s="418"/>
      <c r="H10" s="418"/>
      <c r="I10" s="418"/>
      <c r="J10" s="418"/>
      <c r="K10" s="418"/>
      <c r="L10" s="418"/>
      <c r="M10" s="418"/>
      <c r="N10" s="418"/>
      <c r="O10" s="418"/>
      <c r="P10" s="418"/>
      <c r="Q10" s="418"/>
      <c r="R10" s="418"/>
      <c r="S10" s="418"/>
      <c r="T10" s="418"/>
      <c r="U10" s="418"/>
      <c r="V10" s="418"/>
      <c r="W10" s="418"/>
      <c r="AD10" s="229" t="s">
        <v>125</v>
      </c>
    </row>
    <row r="11" ht="15.75" customHeight="1">
      <c r="A11" s="234"/>
      <c r="B11" s="234"/>
      <c r="D11" s="421" t="s">
        <v>126</v>
      </c>
      <c r="E11" s="421"/>
      <c r="F11" s="421"/>
      <c r="G11" s="398" t="str">
        <f>AD11</f>
        <v>Số MM18, đường Trường Sơn, phường 14, quận 10, thành phố Hồ Chí Minh.</v>
      </c>
      <c r="H11" s="398"/>
      <c r="I11" s="398"/>
      <c r="J11" s="398"/>
      <c r="K11" s="398"/>
      <c r="L11" s="398"/>
      <c r="M11" s="398"/>
      <c r="N11" s="398"/>
      <c r="O11" s="398"/>
      <c r="P11" s="398"/>
      <c r="Q11" s="398"/>
      <c r="R11" s="398"/>
      <c r="S11" s="398"/>
      <c r="T11" s="398"/>
      <c r="U11" s="398"/>
      <c r="V11" s="398"/>
      <c r="W11" s="398"/>
      <c r="X11" s="235"/>
      <c r="Y11" s="235"/>
      <c r="Z11" s="235"/>
      <c r="AD11" s="229" t="s">
        <v>127</v>
      </c>
    </row>
    <row r="12">
      <c r="A12" s="234"/>
      <c r="B12" s="234"/>
      <c r="C12" s="234"/>
      <c r="D12" s="234"/>
      <c r="E12" s="234"/>
      <c r="F12" s="235"/>
      <c r="G12" s="398"/>
      <c r="H12" s="398"/>
      <c r="I12" s="398"/>
      <c r="J12" s="398"/>
      <c r="K12" s="398"/>
      <c r="L12" s="398"/>
      <c r="M12" s="398"/>
      <c r="N12" s="398"/>
      <c r="O12" s="398"/>
      <c r="P12" s="398"/>
      <c r="Q12" s="398"/>
      <c r="R12" s="398"/>
      <c r="S12" s="398"/>
      <c r="T12" s="398"/>
      <c r="U12" s="398"/>
      <c r="V12" s="398"/>
      <c r="W12" s="398"/>
      <c r="X12" s="235"/>
      <c r="Y12" s="235"/>
      <c r="Z12" s="235"/>
    </row>
    <row r="13" ht="20.25" customHeight="1">
      <c r="A13" s="234"/>
      <c r="B13" s="234"/>
      <c r="D13" s="234" t="s">
        <v>128</v>
      </c>
      <c r="E13" s="234"/>
      <c r="F13" s="234"/>
      <c r="G13" s="421" t="str">
        <f>AD13</f>
        <v>08 38662387</v>
      </c>
      <c r="H13" s="421"/>
      <c r="I13" s="421"/>
      <c r="J13" s="421"/>
      <c r="K13" s="421"/>
      <c r="L13" s="421"/>
      <c r="M13" s="421"/>
      <c r="N13" s="234"/>
      <c r="O13" s="234" t="s">
        <v>129</v>
      </c>
      <c r="P13" s="234"/>
      <c r="Q13" s="421" t="str">
        <f>AH13</f>
        <v>08 38662388</v>
      </c>
      <c r="R13" s="421"/>
      <c r="S13" s="421"/>
      <c r="T13" s="421"/>
      <c r="U13" s="421"/>
      <c r="V13" s="421"/>
      <c r="W13" s="421"/>
      <c r="X13" s="234"/>
      <c r="Y13" s="234"/>
      <c r="Z13" s="234"/>
      <c r="AD13" s="229" t="s">
        <v>130</v>
      </c>
      <c r="AH13" s="229" t="s">
        <v>131</v>
      </c>
    </row>
    <row r="14" ht="55.15" customHeight="1">
      <c r="A14" s="39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396"/>
      <c r="C14" s="396"/>
      <c r="D14" s="396"/>
      <c r="E14" s="396"/>
      <c r="F14" s="396"/>
      <c r="G14" s="396"/>
      <c r="H14" s="396"/>
      <c r="I14" s="396"/>
      <c r="J14" s="396"/>
      <c r="K14" s="396"/>
      <c r="L14" s="396"/>
      <c r="M14" s="396"/>
      <c r="N14" s="396"/>
      <c r="O14" s="396"/>
      <c r="P14" s="396"/>
      <c r="Q14" s="396"/>
      <c r="R14" s="396"/>
      <c r="S14" s="396"/>
      <c r="T14" s="396"/>
      <c r="U14" s="396"/>
      <c r="V14" s="396"/>
      <c r="W14" s="396"/>
      <c r="X14" s="396"/>
      <c r="Y14" s="396"/>
      <c r="Z14" s="396"/>
      <c r="AD14" s="229" t="s">
        <v>132</v>
      </c>
      <c r="AE14" s="233" t="s">
        <v>133</v>
      </c>
      <c r="AF14" s="229">
        <f>DAY(AE14)</f>
        <v>25</v>
      </c>
      <c r="AG14" s="229">
        <f>MONTH(AE14)</f>
        <v>12</v>
      </c>
      <c r="AH14" s="229">
        <f>YEAR(AE14)</f>
        <v>2013</v>
      </c>
    </row>
    <row r="15" ht="87.75" customHeight="1">
      <c r="A15" s="419" t="s">
        <v>134</v>
      </c>
      <c r="B15" s="419"/>
      <c r="C15" s="419"/>
      <c r="D15" s="419"/>
      <c r="E15" s="419"/>
      <c r="F15" s="419"/>
      <c r="G15" s="419"/>
      <c r="H15" s="419"/>
      <c r="I15" s="419"/>
      <c r="J15" s="419"/>
      <c r="K15" s="419"/>
      <c r="L15" s="419"/>
      <c r="M15" s="419"/>
      <c r="N15" s="419"/>
      <c r="O15" s="419"/>
      <c r="P15" s="419"/>
      <c r="Q15" s="419"/>
      <c r="R15" s="419"/>
      <c r="S15" s="419"/>
      <c r="T15" s="419"/>
      <c r="U15" s="419"/>
      <c r="V15" s="419"/>
      <c r="W15" s="419"/>
      <c r="X15" s="419"/>
      <c r="Y15" s="419"/>
      <c r="Z15" s="419"/>
    </row>
    <row r="16" ht="33" customHeight="1">
      <c r="B16" s="405" t="s">
        <v>135</v>
      </c>
      <c r="C16" s="407"/>
      <c r="D16" s="405" t="s">
        <v>136</v>
      </c>
      <c r="E16" s="406"/>
      <c r="F16" s="406"/>
      <c r="G16" s="406"/>
      <c r="H16" s="406"/>
      <c r="I16" s="406"/>
      <c r="J16" s="406"/>
      <c r="K16" s="406"/>
      <c r="L16" s="406"/>
      <c r="M16" s="406"/>
      <c r="N16" s="407"/>
      <c r="O16" s="404" t="s">
        <v>137</v>
      </c>
      <c r="P16" s="404"/>
      <c r="Q16" s="404"/>
      <c r="R16" s="404" t="s">
        <v>138</v>
      </c>
      <c r="S16" s="404"/>
      <c r="T16" s="404"/>
      <c r="U16" s="404" t="s">
        <v>139</v>
      </c>
      <c r="V16" s="404"/>
      <c r="W16" s="404"/>
      <c r="X16" s="404"/>
      <c r="Y16" s="404"/>
    </row>
    <row r="17" ht="18.75" customHeight="1">
      <c r="B17" s="416">
        <v>1</v>
      </c>
      <c r="C17" s="417"/>
      <c r="D17" s="408" t="s">
        <v>140</v>
      </c>
      <c r="E17" s="409"/>
      <c r="F17" s="409"/>
      <c r="G17" s="409"/>
      <c r="H17" s="409"/>
      <c r="I17" s="409"/>
      <c r="J17" s="409"/>
      <c r="K17" s="409"/>
      <c r="L17" s="409"/>
      <c r="M17" s="409"/>
      <c r="N17" s="409"/>
      <c r="O17" s="410">
        <v>50000</v>
      </c>
      <c r="P17" s="411"/>
      <c r="Q17" s="412"/>
      <c r="R17" s="401">
        <f>AD17</f>
        <v>13</v>
      </c>
      <c r="S17" s="402"/>
      <c r="T17" s="403"/>
      <c r="U17" s="410">
        <f>O17*R17</f>
        <v>650000</v>
      </c>
      <c r="V17" s="411"/>
      <c r="W17" s="411"/>
      <c r="X17" s="411"/>
      <c r="Y17" s="412"/>
      <c r="AD17" s="229">
        <v>13</v>
      </c>
    </row>
    <row r="18" ht="18.75" customHeight="1">
      <c r="B18" s="405" t="s">
        <v>141</v>
      </c>
      <c r="C18" s="406"/>
      <c r="D18" s="406"/>
      <c r="E18" s="406"/>
      <c r="F18" s="406"/>
      <c r="G18" s="406"/>
      <c r="H18" s="406"/>
      <c r="I18" s="406"/>
      <c r="J18" s="406"/>
      <c r="K18" s="406"/>
      <c r="L18" s="406"/>
      <c r="M18" s="406"/>
      <c r="N18" s="406"/>
      <c r="O18" s="406"/>
      <c r="P18" s="406"/>
      <c r="Q18" s="406"/>
      <c r="R18" s="406"/>
      <c r="S18" s="406"/>
      <c r="T18" s="407"/>
      <c r="U18" s="413">
        <f>U17</f>
        <v>650000</v>
      </c>
      <c r="V18" s="414"/>
      <c r="W18" s="414"/>
      <c r="X18" s="414"/>
      <c r="Y18" s="415"/>
      <c r="AD18" s="236">
        <f>U18</f>
        <v>650000</v>
      </c>
    </row>
    <row r="19">
      <c r="B19" s="401" t="str">
        <f>"Bằng chữ: "&amp;AD19</f>
        <v>Bằng chữ: Ba triệu năm trăm ngàn đồng chẵn.</v>
      </c>
      <c r="C19" s="402"/>
      <c r="D19" s="402"/>
      <c r="E19" s="402"/>
      <c r="F19" s="402"/>
      <c r="G19" s="402"/>
      <c r="H19" s="402"/>
      <c r="I19" s="402"/>
      <c r="J19" s="402"/>
      <c r="K19" s="402"/>
      <c r="L19" s="402"/>
      <c r="M19" s="402"/>
      <c r="N19" s="402"/>
      <c r="O19" s="402"/>
      <c r="P19" s="402"/>
      <c r="Q19" s="402"/>
      <c r="R19" s="402"/>
      <c r="S19" s="402"/>
      <c r="T19" s="402"/>
      <c r="U19" s="402"/>
      <c r="V19" s="402"/>
      <c r="W19" s="402"/>
      <c r="X19" s="402"/>
      <c r="Y19" s="403"/>
      <c r="AD19" s="229" t="s">
        <v>142</v>
      </c>
    </row>
    <row r="20" ht="7.5" customHeight="1"/>
    <row r="21" ht="18" customHeight="1">
      <c r="B21" s="395" t="s">
        <v>143</v>
      </c>
      <c r="C21" s="395"/>
      <c r="D21" s="395"/>
      <c r="E21" s="395"/>
      <c r="F21" s="395"/>
      <c r="G21" s="395"/>
      <c r="H21" s="395"/>
      <c r="I21" s="395"/>
      <c r="J21" s="395" t="s">
        <v>144</v>
      </c>
      <c r="K21" s="395"/>
      <c r="L21" s="395"/>
      <c r="M21" s="395"/>
      <c r="N21" s="395"/>
      <c r="O21" s="395"/>
      <c r="P21" s="395"/>
      <c r="Q21" s="395"/>
      <c r="R21" s="395"/>
      <c r="S21" s="395"/>
      <c r="T21" s="395"/>
      <c r="U21" s="395"/>
      <c r="V21" s="395"/>
      <c r="W21" s="395"/>
      <c r="X21" s="395"/>
      <c r="Y21" s="395"/>
    </row>
    <row r="22" ht="18.75" customHeight="1">
      <c r="B22" s="395" t="s">
        <v>145</v>
      </c>
      <c r="C22" s="395"/>
      <c r="D22" s="395"/>
      <c r="E22" s="395"/>
      <c r="F22" s="395"/>
      <c r="G22" s="395"/>
      <c r="H22" s="395"/>
      <c r="I22" s="395"/>
      <c r="J22" s="395" t="s">
        <v>84</v>
      </c>
      <c r="K22" s="395"/>
      <c r="L22" s="395"/>
      <c r="M22" s="395"/>
      <c r="N22" s="395"/>
      <c r="O22" s="395"/>
      <c r="P22" s="395"/>
      <c r="Q22" s="395"/>
      <c r="R22" s="395"/>
      <c r="S22" s="395"/>
      <c r="T22" s="395"/>
      <c r="U22" s="395"/>
      <c r="V22" s="395"/>
      <c r="W22" s="395"/>
      <c r="X22" s="395"/>
      <c r="Y22" s="395"/>
    </row>
    <row r="23" ht="18" customHeight="1">
      <c r="B23" s="400"/>
      <c r="C23" s="400"/>
      <c r="D23" s="400"/>
      <c r="E23" s="400"/>
      <c r="F23" s="400"/>
      <c r="G23" s="400"/>
      <c r="H23" s="400"/>
      <c r="I23" s="400"/>
      <c r="J23" s="395" t="s">
        <v>146</v>
      </c>
      <c r="K23" s="395"/>
      <c r="L23" s="395"/>
      <c r="M23" s="395"/>
      <c r="N23" s="395"/>
      <c r="O23" s="395"/>
      <c r="P23" s="395"/>
      <c r="Q23" s="395"/>
      <c r="R23" s="395"/>
      <c r="S23" s="395"/>
      <c r="T23" s="395"/>
      <c r="U23" s="395"/>
      <c r="V23" s="395"/>
      <c r="W23" s="395"/>
      <c r="X23" s="395"/>
      <c r="Y23" s="395"/>
    </row>
    <row r="24" ht="16.5" customHeight="1">
      <c r="B24" s="395" t="s">
        <v>147</v>
      </c>
      <c r="C24" s="395"/>
      <c r="D24" s="395"/>
      <c r="E24" s="395"/>
      <c r="F24" s="395"/>
      <c r="G24" s="395"/>
      <c r="H24" s="395"/>
      <c r="I24" s="395"/>
      <c r="J24" s="395" t="s">
        <v>148</v>
      </c>
      <c r="K24" s="395"/>
      <c r="L24" s="395"/>
      <c r="M24" s="395"/>
      <c r="N24" s="395"/>
      <c r="O24" s="395"/>
      <c r="P24" s="395"/>
      <c r="Q24" s="395"/>
      <c r="R24" s="395"/>
      <c r="S24" s="395"/>
      <c r="T24" s="395"/>
      <c r="U24" s="395"/>
      <c r="V24" s="395"/>
      <c r="W24" s="395"/>
      <c r="X24" s="395"/>
      <c r="Y24" s="395"/>
    </row>
    <row r="25" ht="17.25" customHeight="1">
      <c r="J25" s="395" t="s">
        <v>149</v>
      </c>
      <c r="K25" s="395"/>
      <c r="L25" s="395"/>
      <c r="M25" s="395"/>
      <c r="N25" s="395"/>
      <c r="O25" s="395"/>
      <c r="P25" s="395"/>
      <c r="Q25" s="395"/>
      <c r="R25" s="395"/>
      <c r="S25" s="395"/>
      <c r="T25" s="395"/>
      <c r="U25" s="395"/>
      <c r="V25" s="395"/>
      <c r="W25" s="395"/>
      <c r="X25" s="395"/>
      <c r="Y25" s="395"/>
    </row>
    <row r="26" ht="47.25" customHeight="1">
      <c r="A26" s="396" t="s">
        <v>150</v>
      </c>
      <c r="B26" s="396"/>
      <c r="C26" s="396"/>
      <c r="D26" s="396"/>
      <c r="E26" s="396"/>
      <c r="F26" s="396"/>
      <c r="G26" s="396"/>
      <c r="H26" s="396"/>
      <c r="I26" s="396"/>
      <c r="J26" s="396"/>
      <c r="K26" s="396"/>
      <c r="L26" s="396"/>
      <c r="M26" s="396"/>
      <c r="N26" s="396"/>
      <c r="O26" s="396"/>
      <c r="P26" s="396"/>
      <c r="Q26" s="396"/>
      <c r="R26" s="396"/>
      <c r="S26" s="396"/>
      <c r="T26" s="396"/>
      <c r="U26" s="396"/>
      <c r="V26" s="396"/>
      <c r="W26" s="396"/>
      <c r="X26" s="396"/>
      <c r="Y26" s="396"/>
      <c r="Z26" s="396"/>
    </row>
    <row r="27" ht="14.25" customHeight="1">
      <c r="AD27" s="237"/>
      <c r="AE27" s="237" t="s">
        <v>151</v>
      </c>
      <c r="AF27" s="237"/>
      <c r="AG27" s="229" t="s">
        <v>152</v>
      </c>
      <c r="AI27" s="237" t="s">
        <v>153</v>
      </c>
      <c r="AK27" s="237"/>
      <c r="AL27" s="237"/>
      <c r="AN27" s="237"/>
      <c r="AO27" s="237"/>
      <c r="AP27" s="237"/>
      <c r="AQ27" s="237"/>
      <c r="AR27" s="237"/>
    </row>
    <row r="28" ht="16.5">
      <c r="A28" s="399" t="s">
        <v>154</v>
      </c>
      <c r="B28" s="399"/>
      <c r="C28" s="399"/>
      <c r="D28" s="399"/>
      <c r="E28" s="399"/>
      <c r="F28" s="399"/>
      <c r="G28" s="399"/>
      <c r="H28" s="399"/>
      <c r="I28" s="399"/>
      <c r="J28" s="399"/>
      <c r="K28" s="399"/>
      <c r="L28" s="399"/>
      <c r="M28" s="399"/>
      <c r="O28" s="394" t="str">
        <f>IF(AD34=0,AG27,IF(AD34=1,AE27,AI27))</f>
        <v>KT. GIÁM ĐỐC</v>
      </c>
      <c r="P28" s="394"/>
      <c r="Q28" s="394"/>
      <c r="R28" s="394"/>
      <c r="S28" s="394"/>
      <c r="T28" s="394"/>
      <c r="U28" s="394"/>
      <c r="V28" s="394"/>
      <c r="W28" s="394"/>
      <c r="X28" s="394"/>
      <c r="Y28" s="394"/>
      <c r="Z28" s="394"/>
      <c r="AD28" s="237"/>
      <c r="AF28" s="237"/>
      <c r="AG28" s="237" t="s">
        <v>155</v>
      </c>
      <c r="AH28" s="237"/>
      <c r="AI28" s="237" t="s">
        <v>156</v>
      </c>
      <c r="AK28" s="237"/>
      <c r="AL28" s="237"/>
      <c r="AN28" s="237"/>
      <c r="AO28" s="237"/>
      <c r="AP28" s="237"/>
      <c r="AQ28" s="237"/>
      <c r="AR28" s="237"/>
    </row>
    <row r="29">
      <c r="A29" s="238" t="s">
        <v>157</v>
      </c>
      <c r="B29" s="234"/>
      <c r="C29" s="234"/>
      <c r="D29" s="234"/>
      <c r="E29" s="234"/>
      <c r="F29" s="234"/>
      <c r="O29" s="393" t="str">
        <f>IF(AD34=0,AG28,IF(AD34=1,"",AI28))</f>
        <v>PHÓ GIÁM ĐỐC</v>
      </c>
      <c r="P29" s="393"/>
      <c r="Q29" s="393"/>
      <c r="R29" s="393"/>
      <c r="S29" s="393"/>
      <c r="T29" s="393"/>
      <c r="U29" s="393"/>
      <c r="V29" s="393"/>
      <c r="W29" s="393"/>
      <c r="X29" s="393"/>
      <c r="Y29" s="393"/>
      <c r="Z29" s="393"/>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158</v>
      </c>
      <c r="AE30" s="237"/>
      <c r="AF30" s="237"/>
      <c r="AG30" s="237"/>
      <c r="AH30" s="237"/>
      <c r="AI30" s="237"/>
      <c r="AK30" s="237"/>
      <c r="AL30" s="237"/>
      <c r="AM30" s="237"/>
      <c r="AN30" s="237"/>
      <c r="AO30" s="237"/>
      <c r="AP30" s="237"/>
      <c r="AQ30" s="237"/>
      <c r="AR30" s="237"/>
    </row>
    <row r="31" ht="16.5" customHeight="1">
      <c r="A31" s="238" t="str">
        <f>IF(AD34=1,"",AD31)</f>
        <v>-    Lưu: PTH, PKĐ.</v>
      </c>
      <c r="AD31" s="238" t="s">
        <v>159</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394" t="str">
        <f>IF(AD34=0,AG34,IF(AD34=1,AE34,AI34))</f>
        <v>Trần Công Khanh</v>
      </c>
      <c r="P34" s="394"/>
      <c r="Q34" s="394"/>
      <c r="R34" s="394"/>
      <c r="S34" s="394"/>
      <c r="T34" s="394"/>
      <c r="U34" s="394"/>
      <c r="V34" s="394"/>
      <c r="W34" s="394"/>
      <c r="X34" s="394"/>
      <c r="Y34" s="394"/>
      <c r="Z34" s="394"/>
      <c r="AD34" s="237">
        <v>0</v>
      </c>
      <c r="AE34" s="237" t="s">
        <v>160</v>
      </c>
      <c r="AF34" s="237"/>
      <c r="AG34" s="237" t="s">
        <v>161</v>
      </c>
      <c r="AH34" s="237"/>
      <c r="AI34" s="237" t="s">
        <v>162</v>
      </c>
      <c r="AK34" s="237"/>
      <c r="AL34" s="237"/>
      <c r="AM34" s="237"/>
      <c r="AO34" s="237"/>
      <c r="AP34" s="237"/>
      <c r="AQ34" s="237"/>
      <c r="AR34" s="237"/>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28"/>
    <col min="2" max="2" width="13" customWidth="1" style="328"/>
    <col min="3" max="3" width="46.7109375" customWidth="1" style="328"/>
    <col min="4" max="4" width="26.28515625" customWidth="1" style="328"/>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6" width="9.140625" customWidth="1" style="207"/>
    <col min="117" max="16384" width="9.140625" customWidth="1" style="207"/>
  </cols>
  <sheetData>
    <row r="1" ht="16.5" customHeight="1">
      <c r="A1" s="424" t="s">
        <v>6208</v>
      </c>
      <c r="B1" s="424"/>
      <c r="C1" s="424"/>
      <c r="D1" s="424"/>
      <c r="E1" s="424" t="s">
        <v>6208</v>
      </c>
      <c r="F1" s="424"/>
      <c r="G1" s="424"/>
      <c r="H1" s="424"/>
      <c r="I1" s="424"/>
      <c r="J1" s="424"/>
      <c r="K1" s="424"/>
      <c r="L1" s="424"/>
      <c r="M1" s="424"/>
    </row>
    <row r="2" ht="15.75" customHeight="1">
      <c r="A2" s="425" t="s">
        <v>6209</v>
      </c>
      <c r="B2" s="425"/>
      <c r="C2" s="425"/>
      <c r="D2" s="425"/>
      <c r="E2" s="425" t="s">
        <v>6210</v>
      </c>
      <c r="F2" s="425"/>
      <c r="G2" s="425"/>
      <c r="H2" s="425"/>
      <c r="I2" s="425"/>
      <c r="J2" s="425"/>
      <c r="K2" s="425"/>
      <c r="L2" s="425"/>
      <c r="M2" s="425"/>
    </row>
    <row r="3" ht="15.75" customHeight="1" s="240" customFormat="1">
      <c r="A3" s="426"/>
      <c r="B3" s="426"/>
      <c r="C3" s="426"/>
      <c r="D3" s="426"/>
    </row>
    <row r="4" ht="52.5">
      <c r="A4" s="241" t="s">
        <v>135</v>
      </c>
      <c r="B4" s="241" t="s">
        <v>583</v>
      </c>
      <c r="C4" s="241" t="s">
        <v>584</v>
      </c>
      <c r="D4" s="304" t="s">
        <v>6211</v>
      </c>
      <c r="E4" s="242" t="s">
        <v>135</v>
      </c>
      <c r="F4" s="242" t="s">
        <v>582</v>
      </c>
      <c r="G4" s="242" t="s">
        <v>583</v>
      </c>
      <c r="H4" s="242" t="s">
        <v>584</v>
      </c>
      <c r="I4" s="242" t="s">
        <v>585</v>
      </c>
      <c r="J4" s="242" t="s">
        <v>586</v>
      </c>
      <c r="K4" s="242" t="s">
        <v>587</v>
      </c>
      <c r="L4" s="242" t="s">
        <v>588</v>
      </c>
      <c r="M4" s="242" t="s">
        <v>589</v>
      </c>
    </row>
    <row r="5" ht="63.75">
      <c r="A5" s="243">
        <v>1</v>
      </c>
      <c r="B5" s="243" t="s">
        <v>6212</v>
      </c>
      <c r="C5" s="244" t="s">
        <v>6213</v>
      </c>
      <c r="D5" s="243" t="s">
        <v>6214</v>
      </c>
      <c r="E5" s="245">
        <f>A5</f>
        <v>1</v>
      </c>
      <c r="F5" s="246"/>
      <c r="G5" s="246">
        <v>43423</v>
      </c>
      <c r="H5" s="247" t="str">
        <f>C5</f>
        <v>Số 47, đường Hoàng Văn Thụ, khu dân cư Chánh Nghĩa, phường Chánh Nghĩa, thành phố Thủ Dầu Một, tỉnh Bình Dương.</v>
      </c>
      <c r="I5" s="246" t="s">
        <v>6215</v>
      </c>
      <c r="J5" s="245">
        <v>0</v>
      </c>
      <c r="K5" s="246">
        <v>0</v>
      </c>
      <c r="L5" s="245"/>
      <c r="M5" s="246" t="str">
        <f>D5</f>
        <v>B00300040319TG05</v>
      </c>
    </row>
    <row r="6" ht="51">
      <c r="A6" s="243">
        <v>2</v>
      </c>
      <c r="B6" s="243" t="s">
        <v>6216</v>
      </c>
      <c r="C6" s="244" t="s">
        <v>6217</v>
      </c>
      <c r="D6" s="243" t="s">
        <v>6218</v>
      </c>
      <c r="E6" s="245">
        <f ref="E6:E10" t="shared" si="0">A6</f>
        <v>2</v>
      </c>
      <c r="F6" s="246"/>
      <c r="G6" s="246">
        <v>43423</v>
      </c>
      <c r="H6" s="247" t="str">
        <f ref="H6:H10" t="shared" si="1">C6</f>
        <v>Số 74, đường Bùi Quốc Khánh, phường Chánh Nghĩa, thành phố Thủ Dầu Một, tỉnh Bình Dương.</v>
      </c>
      <c r="I6" s="246" t="s">
        <v>6219</v>
      </c>
      <c r="J6" s="245">
        <v>0</v>
      </c>
      <c r="K6" s="246">
        <v>0</v>
      </c>
      <c r="L6" s="245"/>
      <c r="M6" s="246" t="str">
        <f ref="M6:M10" t="shared" si="2">D6</f>
        <v>B00301040319TG05</v>
      </c>
    </row>
    <row r="7" ht="51">
      <c r="A7" s="243">
        <v>3</v>
      </c>
      <c r="B7" s="243" t="s">
        <v>6220</v>
      </c>
      <c r="C7" s="244" t="s">
        <v>6221</v>
      </c>
      <c r="D7" s="243" t="s">
        <v>6222</v>
      </c>
      <c r="E7" s="245">
        <f t="shared" si="0"/>
        <v>3</v>
      </c>
      <c r="F7" s="246"/>
      <c r="G7" s="246">
        <v>43423</v>
      </c>
      <c r="H7" s="247" t="str">
        <f t="shared" si="1"/>
        <v>Số 104/6, đường Bàu Bàng, phường Chánh Nghĩa, thành phố Thủ Dầu Một, tỉnh Bình Dương.</v>
      </c>
      <c r="I7" s="246" t="s">
        <v>6223</v>
      </c>
      <c r="J7" s="245">
        <v>0</v>
      </c>
      <c r="K7" s="246">
        <v>0</v>
      </c>
      <c r="L7" s="245"/>
      <c r="M7" s="246" t="str">
        <f t="shared" si="2"/>
        <v>B00302040319TG05</v>
      </c>
    </row>
    <row r="8" ht="51">
      <c r="A8" s="243">
        <v>4</v>
      </c>
      <c r="B8" s="243" t="s">
        <v>6224</v>
      </c>
      <c r="C8" s="244" t="s">
        <v>6225</v>
      </c>
      <c r="D8" s="243" t="s">
        <v>6226</v>
      </c>
      <c r="E8" s="245">
        <f t="shared" si="0"/>
        <v>4</v>
      </c>
      <c r="F8" s="246"/>
      <c r="G8" s="246">
        <v>43423</v>
      </c>
      <c r="H8" s="247" t="str">
        <f t="shared" si="1"/>
        <v>Số 3, đường Chùa Hội Khánh, phường Phú Cường, thành phố Thủ Dầu Một, tỉnh Bình Dương.</v>
      </c>
      <c r="I8" s="246" t="s">
        <v>6227</v>
      </c>
      <c r="J8" s="245">
        <v>0</v>
      </c>
      <c r="K8" s="246">
        <v>0</v>
      </c>
      <c r="L8" s="245"/>
      <c r="M8" s="246" t="str">
        <f t="shared" si="2"/>
        <v>B00303040319TG05</v>
      </c>
    </row>
    <row r="9" ht="51">
      <c r="A9" s="243">
        <v>5</v>
      </c>
      <c r="B9" s="243" t="s">
        <v>6228</v>
      </c>
      <c r="C9" s="244" t="s">
        <v>6229</v>
      </c>
      <c r="D9" s="243" t="s">
        <v>6230</v>
      </c>
      <c r="E9" s="245">
        <f t="shared" si="0"/>
        <v>5</v>
      </c>
      <c r="F9" s="246"/>
      <c r="G9" s="246">
        <v>43423</v>
      </c>
      <c r="H9" s="247" t="str">
        <f t="shared" si="1"/>
        <v>Số 54-D2, khu dân cư Phú Hòa, phường Phú Hòa, thành phố Thủ Dầu Một, tỉnh Bình Dương.</v>
      </c>
      <c r="I9" s="246" t="s">
        <v>6231</v>
      </c>
      <c r="J9" s="245">
        <v>0</v>
      </c>
      <c r="K9" s="246">
        <v>0</v>
      </c>
      <c r="L9" s="245"/>
      <c r="M9" s="246" t="str">
        <f t="shared" si="2"/>
        <v>B00304040319TG05</v>
      </c>
    </row>
    <row r="10" ht="51">
      <c r="A10" s="243">
        <v>6</v>
      </c>
      <c r="B10" s="243" t="s">
        <v>6232</v>
      </c>
      <c r="C10" s="244" t="s">
        <v>6233</v>
      </c>
      <c r="D10" s="243" t="s">
        <v>6234</v>
      </c>
      <c r="E10" s="245">
        <f t="shared" si="0"/>
        <v>6</v>
      </c>
      <c r="F10" s="246"/>
      <c r="G10" s="246">
        <v>43423</v>
      </c>
      <c r="H10" s="247" t="str">
        <f t="shared" si="1"/>
        <v>Số 108/15, đường 30 Tháng 4, khu phố 2, phường Phú Hòa, thành phố Thủ Dầu Một, tỉnh Bình Dương.</v>
      </c>
      <c r="I10" s="246" t="s">
        <v>6235</v>
      </c>
      <c r="J10" s="245">
        <v>0</v>
      </c>
      <c r="K10" s="246">
        <v>0</v>
      </c>
      <c r="L10" s="245"/>
      <c r="M10" s="246"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346"/>
    <col min="10" max="18" width="9.140625" customWidth="1" style="205"/>
    <col min="19" max="16384" width="9.140625" customWidth="1" style="205"/>
  </cols>
  <sheetData>
    <row r="1" ht="7.5" customHeight="1">
      <c r="A1" s="202"/>
      <c r="B1" s="202"/>
      <c r="C1" s="203"/>
      <c r="D1" s="202"/>
      <c r="E1" s="202"/>
      <c r="F1" s="202"/>
      <c r="G1" s="248"/>
      <c r="H1" s="202"/>
    </row>
    <row r="2">
      <c r="C2" s="427" t="s">
        <v>657</v>
      </c>
      <c r="D2" s="427"/>
      <c r="E2" s="427"/>
      <c r="F2" s="427"/>
      <c r="G2" s="427"/>
    </row>
    <row r="3" ht="9.75" customHeight="1">
      <c r="A3" s="250"/>
      <c r="B3" s="250"/>
      <c r="C3" s="251"/>
      <c r="D3" s="250"/>
      <c r="E3" s="250"/>
      <c r="F3" s="250"/>
      <c r="G3" s="252"/>
      <c r="H3" s="250"/>
    </row>
    <row r="4" ht="36" customHeight="1">
      <c r="A4" s="253" t="s">
        <v>135</v>
      </c>
      <c r="B4" s="256" t="s">
        <v>658</v>
      </c>
      <c r="C4" s="254" t="s">
        <v>584</v>
      </c>
      <c r="D4" s="253" t="s">
        <v>659</v>
      </c>
      <c r="E4" s="255" t="s">
        <v>660</v>
      </c>
      <c r="F4" s="255" t="s">
        <v>661</v>
      </c>
      <c r="G4" s="256" t="s">
        <v>662</v>
      </c>
      <c r="H4" s="256" t="s">
        <v>663</v>
      </c>
      <c r="I4" s="255" t="s">
        <v>664</v>
      </c>
    </row>
    <row r="5" ht="45" s="329" customFormat="1">
      <c r="A5" s="305">
        <v>1</v>
      </c>
      <c r="B5" s="305" t="s">
        <v>665</v>
      </c>
      <c r="C5" s="306" t="s">
        <v>666</v>
      </c>
      <c r="D5" s="307" t="s">
        <v>10</v>
      </c>
      <c r="E5" s="305" t="s">
        <v>667</v>
      </c>
      <c r="F5" s="305" t="s">
        <v>668</v>
      </c>
      <c r="G5" s="308">
        <v>43423</v>
      </c>
      <c r="H5" s="305">
        <v>3</v>
      </c>
      <c r="I5" s="309" t="s">
        <v>669</v>
      </c>
    </row>
    <row r="6" ht="45" s="329" customFormat="1">
      <c r="A6" s="305">
        <v>2</v>
      </c>
      <c r="B6" s="305" t="s">
        <v>670</v>
      </c>
      <c r="C6" s="306" t="s">
        <v>671</v>
      </c>
      <c r="D6" s="307" t="s">
        <v>10</v>
      </c>
      <c r="E6" s="305" t="s">
        <v>672</v>
      </c>
      <c r="F6" s="305" t="s">
        <v>673</v>
      </c>
      <c r="G6" s="308">
        <v>43423</v>
      </c>
      <c r="H6" s="305">
        <v>4</v>
      </c>
      <c r="I6" s="309" t="s">
        <v>674</v>
      </c>
    </row>
    <row r="7" ht="45" s="329" customFormat="1">
      <c r="A7" s="305">
        <v>3</v>
      </c>
      <c r="B7" s="305" t="s">
        <v>675</v>
      </c>
      <c r="C7" s="306" t="s">
        <v>676</v>
      </c>
      <c r="D7" s="307" t="s">
        <v>10</v>
      </c>
      <c r="E7" s="305" t="s">
        <v>677</v>
      </c>
      <c r="F7" s="305" t="s">
        <v>678</v>
      </c>
      <c r="G7" s="308">
        <v>43423</v>
      </c>
      <c r="H7" s="305">
        <v>3</v>
      </c>
      <c r="I7" s="309" t="s">
        <v>669</v>
      </c>
    </row>
    <row r="8" ht="45" s="329" customFormat="1">
      <c r="A8" s="305">
        <v>4</v>
      </c>
      <c r="B8" s="305" t="s">
        <v>679</v>
      </c>
      <c r="C8" s="306" t="s">
        <v>680</v>
      </c>
      <c r="D8" s="307" t="s">
        <v>10</v>
      </c>
      <c r="E8" s="305" t="s">
        <v>681</v>
      </c>
      <c r="F8" s="305" t="s">
        <v>682</v>
      </c>
      <c r="G8" s="308">
        <v>43423</v>
      </c>
      <c r="H8" s="305">
        <v>4</v>
      </c>
      <c r="I8" s="309" t="s">
        <v>674</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54" width="3.140625" customWidth="1" style="237"/>
    <col min="55" max="16384" width="3.140625" customWidth="1" style="237"/>
  </cols>
  <sheetData>
    <row r="1" ht="19.7" customHeight="1">
      <c r="B1" s="450" t="s">
        <v>119</v>
      </c>
      <c r="C1" s="450"/>
      <c r="D1" s="450"/>
      <c r="E1" s="450"/>
      <c r="F1" s="450"/>
      <c r="G1" s="450"/>
      <c r="H1" s="450"/>
      <c r="I1" s="450"/>
      <c r="J1" s="450"/>
      <c r="K1" s="450"/>
      <c r="L1" s="450"/>
      <c r="M1" s="45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N2" s="258"/>
      <c r="P2" s="439" t="s">
        <v>120</v>
      </c>
      <c r="Q2" s="439"/>
      <c r="R2" s="439"/>
      <c r="S2" s="439"/>
      <c r="T2" s="439"/>
      <c r="U2" s="439"/>
      <c r="V2" s="439"/>
      <c r="W2" s="439"/>
      <c r="X2" s="439"/>
      <c r="Y2" s="439"/>
      <c r="Z2" s="439"/>
      <c r="AA2" s="439"/>
      <c r="AB2" s="439"/>
      <c r="AC2" s="439"/>
      <c r="AD2" s="439"/>
    </row>
    <row r="3" ht="12" customHeight="1">
      <c r="C3" s="260"/>
      <c r="D3" s="260"/>
      <c r="E3" s="261"/>
      <c r="F3" s="261"/>
      <c r="G3" s="261"/>
      <c r="H3" s="261"/>
      <c r="I3" s="261"/>
      <c r="J3" s="261"/>
      <c r="K3" s="260"/>
      <c r="L3" s="349"/>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444" t="s">
        <v>124</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40.5" customHeight="1">
      <c r="C16" s="451" t="s">
        <v>584</v>
      </c>
      <c r="D16" s="452"/>
      <c r="E16" s="452"/>
      <c r="F16" s="452"/>
      <c r="G16" s="452"/>
      <c r="H16" s="452"/>
      <c r="I16" s="452"/>
      <c r="J16" s="452"/>
      <c r="K16" s="452"/>
      <c r="L16" s="453"/>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77" t="s">
        <v>594</v>
      </c>
    </row>
    <row r="17" ht="19.5" customHeight="1">
      <c r="C17" s="451" t="s">
        <v>583</v>
      </c>
      <c r="D17" s="452"/>
      <c r="E17" s="452"/>
      <c r="F17" s="452"/>
      <c r="G17" s="452"/>
      <c r="H17" s="452"/>
      <c r="I17" s="452"/>
      <c r="J17" s="452"/>
      <c r="K17" s="452"/>
      <c r="L17" s="453"/>
      <c r="M17" s="440">
        <f>IF(AG17="","",AG17)</f>
      </c>
      <c r="N17" s="441"/>
      <c r="O17" s="441"/>
      <c r="P17" s="441"/>
      <c r="Q17" s="441"/>
      <c r="R17" s="441"/>
      <c r="S17" s="441"/>
      <c r="T17" s="441"/>
      <c r="U17" s="441"/>
      <c r="V17" s="441"/>
      <c r="W17" s="441"/>
      <c r="X17" s="441"/>
      <c r="Y17" s="441"/>
      <c r="Z17" s="441"/>
      <c r="AA17" s="441"/>
      <c r="AB17" s="441"/>
      <c r="AC17" s="441"/>
      <c r="AD17" s="442"/>
      <c r="AE17" s="275"/>
    </row>
    <row r="18" ht="33.95" customHeight="1">
      <c r="C18" s="447" t="s">
        <v>595</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596</v>
      </c>
    </row>
    <row r="19" ht="33.95" customHeight="1">
      <c r="C19" s="447" t="s">
        <v>597</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596</v>
      </c>
    </row>
    <row r="20" ht="21" customHeight="1">
      <c r="C20" s="463" t="s">
        <v>598</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599</v>
      </c>
      <c r="D21" s="457"/>
      <c r="E21" s="457"/>
      <c r="F21" s="457"/>
      <c r="G21" s="457"/>
      <c r="H21" s="457"/>
      <c r="I21" s="457"/>
      <c r="J21" s="457"/>
      <c r="K21" s="457"/>
      <c r="L21" s="457"/>
      <c r="M21" s="440" t="str">
        <f>AG21</f>
        <v>A</v>
      </c>
      <c r="N21" s="441"/>
      <c r="O21" s="441"/>
      <c r="P21" s="441"/>
      <c r="Q21" s="441"/>
      <c r="R21" s="441"/>
      <c r="S21" s="441"/>
      <c r="T21" s="441"/>
      <c r="U21" s="441"/>
      <c r="V21" s="441"/>
      <c r="W21" s="441"/>
      <c r="X21" s="441"/>
      <c r="Y21" s="441"/>
      <c r="Z21" s="441"/>
      <c r="AA21" s="441"/>
      <c r="AB21" s="441"/>
      <c r="AC21" s="441"/>
      <c r="AD21" s="442"/>
      <c r="AE21" s="275"/>
      <c r="AG21" s="271" t="s">
        <v>600</v>
      </c>
      <c r="AK21" s="271" t="s">
        <v>601</v>
      </c>
      <c r="AO21" s="271" t="s">
        <v>602</v>
      </c>
      <c r="AS21" s="271" t="s">
        <v>603</v>
      </c>
    </row>
    <row r="22" ht="19.7" customHeight="1">
      <c r="C22" s="466" t="s">
        <v>604</v>
      </c>
      <c r="D22" s="467"/>
      <c r="E22" s="467"/>
      <c r="F22" s="467"/>
      <c r="G22" s="467"/>
      <c r="H22" s="467"/>
      <c r="I22" s="467"/>
      <c r="J22" s="467"/>
      <c r="K22" s="467"/>
      <c r="L22" s="468"/>
      <c r="M22" s="440">
        <f>AG22</f>
        <v>4</v>
      </c>
      <c r="N22" s="441"/>
      <c r="O22" s="441"/>
      <c r="P22" s="441"/>
      <c r="Q22" s="441"/>
      <c r="R22" s="441"/>
      <c r="S22" s="441"/>
      <c r="T22" s="441"/>
      <c r="U22" s="441"/>
      <c r="V22" s="441"/>
      <c r="W22" s="441"/>
      <c r="X22" s="441"/>
      <c r="Y22" s="441"/>
      <c r="Z22" s="441"/>
      <c r="AA22" s="441"/>
      <c r="AB22" s="441"/>
      <c r="AC22" s="441"/>
      <c r="AD22" s="442"/>
      <c r="AE22" s="275"/>
      <c r="AG22" s="276">
        <v>4</v>
      </c>
      <c r="AH22" s="276"/>
      <c r="AI22" s="276"/>
      <c r="AJ22" s="276"/>
      <c r="AK22" s="276">
        <v>1</v>
      </c>
      <c r="AL22" s="276"/>
      <c r="AM22" s="276"/>
      <c r="AN22" s="276"/>
      <c r="AO22" s="276">
        <v>3</v>
      </c>
      <c r="AS22" s="237">
        <v>1</v>
      </c>
    </row>
    <row r="23" ht="19.7" customHeight="1">
      <c r="C23" s="457" t="s">
        <v>605</v>
      </c>
      <c r="D23" s="457"/>
      <c r="E23" s="457"/>
      <c r="F23" s="457"/>
      <c r="G23" s="457"/>
      <c r="H23" s="457"/>
      <c r="I23" s="457"/>
      <c r="J23" s="457"/>
      <c r="K23" s="457"/>
      <c r="L23" s="457"/>
      <c r="M23" s="460" t="str">
        <f>AG23</f>
        <v>4/4/4</v>
      </c>
      <c r="N23" s="461"/>
      <c r="O23" s="461"/>
      <c r="P23" s="461"/>
      <c r="Q23" s="461"/>
      <c r="R23" s="461"/>
      <c r="S23" s="461"/>
      <c r="T23" s="461"/>
      <c r="U23" s="461"/>
      <c r="V23" s="461"/>
      <c r="W23" s="461"/>
      <c r="X23" s="461"/>
      <c r="Y23" s="461"/>
      <c r="Z23" s="461"/>
      <c r="AA23" s="461"/>
      <c r="AB23" s="461"/>
      <c r="AC23" s="461"/>
      <c r="AD23" s="462"/>
      <c r="AE23" s="280"/>
      <c r="AG23" s="281" t="s">
        <v>606</v>
      </c>
      <c r="AH23" s="282"/>
      <c r="AI23" s="282"/>
      <c r="AJ23" s="282"/>
      <c r="AK23" s="281" t="s">
        <v>524</v>
      </c>
      <c r="AL23" s="282"/>
      <c r="AM23" s="282"/>
      <c r="AN23" s="282"/>
      <c r="AO23" s="281" t="s">
        <v>607</v>
      </c>
      <c r="AP23" s="282"/>
      <c r="AQ23" s="282"/>
      <c r="AR23" s="282"/>
      <c r="AS23" s="281" t="s">
        <v>608</v>
      </c>
    </row>
    <row r="24" ht="19.7" customHeight="1">
      <c r="C24" s="466" t="s">
        <v>609</v>
      </c>
      <c r="D24" s="467"/>
      <c r="E24" s="467"/>
      <c r="F24" s="467"/>
      <c r="G24" s="467"/>
      <c r="H24" s="467"/>
      <c r="I24" s="467"/>
      <c r="J24" s="467"/>
      <c r="K24" s="467"/>
      <c r="L24" s="468"/>
      <c r="M24" s="440" t="str">
        <f>IF(M22=4,AG24&amp;"W/ "&amp;AH24&amp;"W/ "&amp;AI24&amp;"W/ "&amp;AJ24&amp;"W",IF(M22=3,AG24&amp;"W/ "&amp;AH24&amp;"W/ "&amp;AI24&amp;"W",IF(M22=2,AG24&amp;"W/ "&amp;AH24&amp;"W",AG24&amp;"W")))</f>
        <v>20W/ 20W/ 20W/ 20W</v>
      </c>
      <c r="N24" s="441"/>
      <c r="O24" s="441"/>
      <c r="P24" s="441"/>
      <c r="Q24" s="441"/>
      <c r="R24" s="441"/>
      <c r="S24" s="441"/>
      <c r="T24" s="441"/>
      <c r="U24" s="441"/>
      <c r="V24" s="441"/>
      <c r="W24" s="441"/>
      <c r="X24" s="441"/>
      <c r="Y24" s="441"/>
      <c r="Z24" s="441"/>
      <c r="AA24" s="441"/>
      <c r="AB24" s="441"/>
      <c r="AC24" s="441"/>
      <c r="AD24" s="442"/>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457" t="s">
        <v>610</v>
      </c>
      <c r="D25" s="457"/>
      <c r="E25" s="457"/>
      <c r="F25" s="457"/>
      <c r="G25" s="457"/>
      <c r="H25" s="457"/>
      <c r="I25" s="457"/>
      <c r="J25" s="457"/>
      <c r="K25" s="457"/>
      <c r="L25" s="457"/>
      <c r="M25" s="440" t="str">
        <f>IF(AG25="900 &amp; 1800","900MHz &amp; 1800MHz",IF(AG25="900 &amp; 2100","900MHz &amp; 2100MHz",IF(AG25="1800 &amp; 2100","1800MHz &amp; 2100MHz",AG25&amp;"MHz")))</f>
        <v>900MHz</v>
      </c>
      <c r="N25" s="441"/>
      <c r="O25" s="441"/>
      <c r="P25" s="441"/>
      <c r="Q25" s="441"/>
      <c r="R25" s="441"/>
      <c r="S25" s="441"/>
      <c r="T25" s="441"/>
      <c r="U25" s="441"/>
      <c r="V25" s="441"/>
      <c r="W25" s="441"/>
      <c r="X25" s="441"/>
      <c r="Y25" s="441"/>
      <c r="Z25" s="441"/>
      <c r="AA25" s="441"/>
      <c r="AB25" s="441"/>
      <c r="AC25" s="441"/>
      <c r="AD25" s="442"/>
      <c r="AE25" s="275"/>
      <c r="AG25" s="237">
        <v>900</v>
      </c>
      <c r="AK25" s="237">
        <v>1800</v>
      </c>
      <c r="AO25" s="237">
        <v>2100</v>
      </c>
      <c r="AS25" s="271" t="s">
        <v>611</v>
      </c>
    </row>
    <row r="26" ht="33.95" customHeight="1">
      <c r="C26" s="457" t="s">
        <v>612</v>
      </c>
      <c r="D26" s="457"/>
      <c r="E26" s="457"/>
      <c r="F26" s="457"/>
      <c r="G26" s="457"/>
      <c r="H26" s="457"/>
      <c r="I26" s="457"/>
      <c r="J26" s="457"/>
      <c r="K26" s="457"/>
      <c r="L26" s="457"/>
      <c r="M26" s="440">
        <f>AG26</f>
        <v>15</v>
      </c>
      <c r="N26" s="441"/>
      <c r="O26" s="441"/>
      <c r="P26" s="441"/>
      <c r="Q26" s="441"/>
      <c r="R26" s="441"/>
      <c r="S26" s="441"/>
      <c r="T26" s="441"/>
      <c r="U26" s="441"/>
      <c r="V26" s="441"/>
      <c r="W26" s="441"/>
      <c r="X26" s="441"/>
      <c r="Y26" s="441"/>
      <c r="Z26" s="441"/>
      <c r="AA26" s="441"/>
      <c r="AB26" s="441"/>
      <c r="AC26" s="441"/>
      <c r="AD26" s="442"/>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IF(AI41=0,AN34,IF(AI41=1,AK34,AR34))</f>
        <v>KT. GIÁM ĐỐC</v>
      </c>
      <c r="U34" s="432"/>
      <c r="V34" s="432"/>
      <c r="W34" s="432"/>
      <c r="X34" s="432"/>
      <c r="Y34" s="432"/>
      <c r="Z34" s="432"/>
      <c r="AA34" s="432"/>
      <c r="AB34" s="432"/>
      <c r="AC34" s="432"/>
      <c r="AD34" s="432"/>
      <c r="AE34" s="432"/>
      <c r="AK34" s="237" t="s">
        <v>151</v>
      </c>
      <c r="AN34" s="237" t="s">
        <v>152</v>
      </c>
      <c r="AR34" s="237" t="s">
        <v>153</v>
      </c>
    </row>
    <row r="35" ht="17.1" customHeight="1">
      <c r="C35" s="433" t="s">
        <v>618</v>
      </c>
      <c r="D35" s="433"/>
      <c r="E35" s="433"/>
      <c r="F35" s="433"/>
      <c r="G35" s="433"/>
      <c r="H35" s="286" t="s">
        <v>619</v>
      </c>
      <c r="I35" s="435" t="s">
        <v>620</v>
      </c>
      <c r="J35" s="435"/>
      <c r="K35" s="435"/>
      <c r="L35" s="435"/>
      <c r="M35" s="435"/>
      <c r="N35" s="435"/>
      <c r="O35" s="287"/>
      <c r="P35" s="287"/>
      <c r="Q35" s="283"/>
      <c r="R35" s="283"/>
      <c r="S35" s="283"/>
      <c r="T35" s="432" t="str">
        <f>IF(AI41=0,AN35,IF(AI41=1,"",AR35))</f>
        <v>PHÓ GIÁM ĐỐC</v>
      </c>
      <c r="U35" s="432"/>
      <c r="V35" s="432"/>
      <c r="W35" s="432"/>
      <c r="X35" s="432"/>
      <c r="Y35" s="432"/>
      <c r="Z35" s="432"/>
      <c r="AA35" s="432"/>
      <c r="AB35" s="432"/>
      <c r="AC35" s="432"/>
      <c r="AD35" s="432"/>
      <c r="AE35" s="432"/>
      <c r="AN35" s="237" t="s">
        <v>155</v>
      </c>
      <c r="AR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IF(AI41=0,AO41,IF(AI41=1,AK41,AS41))</f>
        <v>Trần Công Khanh</v>
      </c>
      <c r="U41" s="431"/>
      <c r="V41" s="431"/>
      <c r="W41" s="431"/>
      <c r="X41" s="431"/>
      <c r="Y41" s="431"/>
      <c r="Z41" s="431"/>
      <c r="AA41" s="431"/>
      <c r="AB41" s="431"/>
      <c r="AC41" s="431"/>
      <c r="AD41" s="431"/>
      <c r="AE41" s="431"/>
      <c r="AI41" s="237">
        <v>0</v>
      </c>
      <c r="AK41" s="237" t="s">
        <v>160</v>
      </c>
      <c r="AO41" s="237" t="s">
        <v>161</v>
      </c>
      <c r="AS41" s="237" t="s">
        <v>162</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348"/>
    </row>
    <row r="44" ht="16.5" customHeight="1">
      <c r="A44" s="259"/>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348"/>
    </row>
    <row r="45" ht="16.5" customHeight="1">
      <c r="A45" s="259"/>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c r="AE45" s="347"/>
    </row>
    <row r="46" ht="16.5" customHeight="1">
      <c r="A46" s="259"/>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347"/>
    </row>
    <row r="47" ht="16.5" customHeight="1">
      <c r="A47" s="259"/>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347"/>
    </row>
    <row r="48" ht="16.5" customHeight="1">
      <c r="A48" s="259"/>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347"/>
      <c r="AG48" s="237">
        <v>33</v>
      </c>
      <c r="AI48" s="237">
        <v>35</v>
      </c>
      <c r="AL48" s="237">
        <v>38</v>
      </c>
      <c r="AO48" s="237">
        <v>41</v>
      </c>
      <c r="AP48" s="237">
        <v>42</v>
      </c>
      <c r="AQ48" s="237">
        <v>43</v>
      </c>
      <c r="AR48" s="237">
        <v>44</v>
      </c>
      <c r="AS48" s="237">
        <v>45</v>
      </c>
      <c r="AT48" s="237">
        <v>46</v>
      </c>
      <c r="AU48" s="237">
        <v>47</v>
      </c>
      <c r="AV48" s="237">
        <v>48</v>
      </c>
    </row>
    <row r="49" ht="18.75" customHeight="1">
      <c r="A49" s="259"/>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E49" s="347"/>
      <c r="AG49" s="271" t="s">
        <v>596</v>
      </c>
      <c r="AI49" s="271" t="s">
        <v>630</v>
      </c>
      <c r="AJ49" s="271"/>
      <c r="AL49" s="281" t="s">
        <v>606</v>
      </c>
      <c r="AO49" s="237">
        <v>20</v>
      </c>
      <c r="AP49" s="237">
        <v>30</v>
      </c>
      <c r="AQ49" s="237">
        <v>40</v>
      </c>
      <c r="AR49" s="237">
        <v>50</v>
      </c>
      <c r="AS49" s="237">
        <v>900</v>
      </c>
      <c r="AT49" s="237">
        <v>15</v>
      </c>
    </row>
    <row r="50" ht="18.75" customHeight="1">
      <c r="A50" s="259"/>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c r="AE50" s="347"/>
    </row>
    <row r="51" ht="18.75" customHeight="1">
      <c r="A51" s="259"/>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c r="AE51" s="347"/>
    </row>
    <row r="52" ht="18.75" customHeight="1">
      <c r="A52" s="259"/>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c r="AE52" s="347"/>
    </row>
    <row r="53" ht="18.75" customHeight="1">
      <c r="A53" s="259"/>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50W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E53" s="347"/>
      <c r="AG53" s="271" t="s">
        <v>596</v>
      </c>
      <c r="AI53" s="271" t="s">
        <v>630</v>
      </c>
      <c r="AJ53" s="271"/>
      <c r="AL53" s="281" t="s">
        <v>606</v>
      </c>
      <c r="AO53" s="237">
        <v>20</v>
      </c>
      <c r="AP53" s="237">
        <v>30</v>
      </c>
      <c r="AQ53" s="237">
        <v>40</v>
      </c>
      <c r="AR53" s="237">
        <v>50</v>
      </c>
      <c r="AS53" s="237">
        <v>1800</v>
      </c>
      <c r="AT53" s="237">
        <v>15</v>
      </c>
    </row>
    <row r="54" ht="18.75" customHeight="1">
      <c r="A54" s="259"/>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E54" s="347"/>
      <c r="AG54" s="271"/>
      <c r="AI54" s="271"/>
      <c r="AJ54" s="271"/>
      <c r="AL54" s="281"/>
    </row>
    <row r="55" ht="18.75" customHeight="1">
      <c r="A55" s="259"/>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c r="AE55" s="347"/>
    </row>
    <row r="56" ht="18.75" customHeight="1">
      <c r="A56" s="259"/>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c r="AE56" s="347"/>
    </row>
    <row r="57" ht="18.75" customHeight="1">
      <c r="A57" s="259"/>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E57" s="347"/>
      <c r="AG57" s="271" t="s">
        <v>596</v>
      </c>
      <c r="AI57" s="271" t="s">
        <v>630</v>
      </c>
      <c r="AJ57" s="271"/>
      <c r="AL57" s="281" t="s">
        <v>606</v>
      </c>
      <c r="AO57" s="237">
        <v>20</v>
      </c>
      <c r="AP57" s="237">
        <v>30</v>
      </c>
      <c r="AQ57" s="237">
        <v>40</v>
      </c>
      <c r="AR57" s="237">
        <v>50</v>
      </c>
      <c r="AS57" s="237" t="s">
        <v>631</v>
      </c>
      <c r="AT57" s="237">
        <v>15</v>
      </c>
    </row>
    <row r="58" ht="18.75" customHeight="1">
      <c r="A58" s="259"/>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E58" s="347"/>
      <c r="AG58" s="271"/>
      <c r="AI58" s="271"/>
      <c r="AJ58" s="271"/>
      <c r="AL58" s="281"/>
    </row>
    <row r="59" ht="18.75" customHeight="1">
      <c r="A59" s="259"/>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c r="AE59" s="347"/>
    </row>
    <row r="60" ht="18.75" customHeight="1">
      <c r="A60" s="259"/>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c r="AE60" s="347"/>
    </row>
    <row r="61" ht="18.75" customHeight="1">
      <c r="A61" s="259"/>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E61" s="347"/>
      <c r="AG61" s="271" t="s">
        <v>596</v>
      </c>
      <c r="AI61" s="271" t="s">
        <v>630</v>
      </c>
      <c r="AJ61" s="271"/>
      <c r="AL61" s="281" t="s">
        <v>606</v>
      </c>
      <c r="AO61" s="237">
        <v>20</v>
      </c>
      <c r="AP61" s="237">
        <v>30</v>
      </c>
      <c r="AQ61" s="237">
        <v>40</v>
      </c>
      <c r="AR61" s="237">
        <v>50</v>
      </c>
      <c r="AS61" s="237" t="s">
        <v>632</v>
      </c>
      <c r="AT61" s="237">
        <v>15</v>
      </c>
    </row>
    <row r="62" ht="18.75" customHeight="1">
      <c r="A62" s="259"/>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E62" s="347"/>
      <c r="AG62" s="271"/>
      <c r="AI62" s="271"/>
      <c r="AJ62" s="271"/>
      <c r="AL62" s="281"/>
    </row>
    <row r="63" ht="18.75" customHeight="1">
      <c r="A63" s="259"/>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c r="AE63" s="347"/>
    </row>
    <row r="64" ht="18.75" customHeight="1">
      <c r="A64" s="259"/>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c r="AE64" s="347"/>
    </row>
    <row r="65" ht="18.75" customHeight="1">
      <c r="A65" s="259"/>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E65" s="347"/>
      <c r="AG65" s="271" t="s">
        <v>596</v>
      </c>
      <c r="AI65" s="271" t="s">
        <v>630</v>
      </c>
      <c r="AJ65" s="271"/>
      <c r="AL65" s="281" t="s">
        <v>606</v>
      </c>
      <c r="AO65" s="237">
        <v>20</v>
      </c>
      <c r="AP65" s="237">
        <v>30</v>
      </c>
      <c r="AQ65" s="237">
        <v>40</v>
      </c>
      <c r="AR65" s="237">
        <v>50</v>
      </c>
      <c r="AS65" s="237" t="s">
        <v>633</v>
      </c>
      <c r="AT65" s="237">
        <v>15</v>
      </c>
      <c r="AU65" s="237">
        <v>16</v>
      </c>
      <c r="AV65" s="237">
        <v>17</v>
      </c>
    </row>
    <row r="66" ht="18.75" customHeight="1">
      <c r="A66" s="259"/>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c r="AE66" s="347"/>
      <c r="AG66" s="271"/>
      <c r="AI66" s="271"/>
      <c r="AJ66" s="271"/>
      <c r="AL66" s="281"/>
    </row>
    <row r="67" ht="18.75" customHeight="1">
      <c r="A67" s="259"/>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c r="AE67" s="347"/>
    </row>
    <row r="68" ht="18.75" customHeight="1">
      <c r="A68" s="259"/>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c r="AE68" s="347"/>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55" width="9.140625" customWidth="1" style="237"/>
    <col min="156" max="16384" width="9.140625" customWidth="1" style="237"/>
  </cols>
  <sheetData>
    <row r="1" ht="19.7" customHeight="1">
      <c r="B1" s="450" t="s">
        <v>119</v>
      </c>
      <c r="C1" s="450"/>
      <c r="D1" s="450"/>
      <c r="E1" s="450"/>
      <c r="F1" s="450"/>
      <c r="G1" s="450"/>
      <c r="H1" s="450"/>
      <c r="I1" s="450"/>
      <c r="J1" s="450"/>
      <c r="K1" s="450"/>
      <c r="L1" s="450"/>
      <c r="M1" s="450"/>
      <c r="N1" s="270"/>
      <c r="O1" s="27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M2" s="270"/>
      <c r="N2" s="293"/>
      <c r="O2" s="270"/>
      <c r="P2" s="450" t="s">
        <v>120</v>
      </c>
      <c r="Q2" s="450"/>
      <c r="R2" s="450"/>
      <c r="S2" s="450"/>
      <c r="T2" s="450"/>
      <c r="U2" s="450"/>
      <c r="V2" s="450"/>
      <c r="W2" s="450"/>
      <c r="X2" s="450"/>
      <c r="Y2" s="450"/>
      <c r="Z2" s="450"/>
      <c r="AA2" s="450"/>
      <c r="AB2" s="450"/>
      <c r="AC2" s="450"/>
      <c r="AD2" s="450"/>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444" t="s">
        <v>124</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38.25" customHeight="1">
      <c r="C16" s="474" t="s">
        <v>584</v>
      </c>
      <c r="D16" s="475"/>
      <c r="E16" s="475"/>
      <c r="F16" s="475"/>
      <c r="G16" s="475"/>
      <c r="H16" s="475"/>
      <c r="I16" s="475"/>
      <c r="J16" s="475"/>
      <c r="K16" s="475"/>
      <c r="L16" s="476"/>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96" t="s">
        <v>594</v>
      </c>
    </row>
    <row r="17" ht="21" customHeight="1">
      <c r="C17" s="451" t="s">
        <v>583</v>
      </c>
      <c r="D17" s="452"/>
      <c r="E17" s="452"/>
      <c r="F17" s="452"/>
      <c r="G17" s="452"/>
      <c r="H17" s="452"/>
      <c r="I17" s="452"/>
      <c r="J17" s="452"/>
      <c r="K17" s="452"/>
      <c r="L17" s="453"/>
      <c r="M17" s="444">
        <f>IF(AG17="","",AG17)</f>
      </c>
      <c r="N17" s="445"/>
      <c r="O17" s="445"/>
      <c r="P17" s="445"/>
      <c r="Q17" s="445"/>
      <c r="R17" s="445"/>
      <c r="S17" s="445"/>
      <c r="T17" s="445"/>
      <c r="U17" s="445"/>
      <c r="V17" s="445"/>
      <c r="W17" s="445"/>
      <c r="X17" s="445"/>
      <c r="Y17" s="445"/>
      <c r="Z17" s="445"/>
      <c r="AA17" s="445"/>
      <c r="AB17" s="445"/>
      <c r="AC17" s="445"/>
      <c r="AD17" s="446"/>
      <c r="AE17" s="275"/>
    </row>
    <row r="18" ht="33.95" customHeight="1">
      <c r="C18" s="447" t="s">
        <v>595</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596</v>
      </c>
    </row>
    <row r="19" ht="33.95" customHeight="1">
      <c r="C19" s="447" t="s">
        <v>597</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596</v>
      </c>
    </row>
    <row r="20" ht="21" customHeight="1">
      <c r="C20" s="463" t="s">
        <v>598</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599</v>
      </c>
      <c r="D21" s="457"/>
      <c r="E21" s="457"/>
      <c r="F21" s="457"/>
      <c r="G21" s="457"/>
      <c r="H21" s="457"/>
      <c r="I21" s="457"/>
      <c r="J21" s="457"/>
      <c r="K21" s="457"/>
      <c r="L21" s="457"/>
      <c r="M21" s="477" t="str">
        <f>AG21</f>
        <v>MOTOROLA HORIZON II MACRO</v>
      </c>
      <c r="N21" s="477"/>
      <c r="O21" s="477"/>
      <c r="P21" s="477"/>
      <c r="Q21" s="477"/>
      <c r="R21" s="477"/>
      <c r="S21" s="477"/>
      <c r="T21" s="477"/>
      <c r="U21" s="477"/>
      <c r="V21" s="477" t="str">
        <f>AK21</f>
        <v>MOTOROLA HORIZON II MACRO</v>
      </c>
      <c r="W21" s="477"/>
      <c r="X21" s="477"/>
      <c r="Y21" s="477"/>
      <c r="Z21" s="477"/>
      <c r="AA21" s="477"/>
      <c r="AB21" s="477"/>
      <c r="AC21" s="477"/>
      <c r="AD21" s="477"/>
      <c r="AE21" s="275"/>
      <c r="AG21" s="271" t="s">
        <v>689</v>
      </c>
      <c r="AK21" s="271" t="s">
        <v>689</v>
      </c>
      <c r="AO21" s="271" t="s">
        <v>602</v>
      </c>
      <c r="AS21" s="271" t="s">
        <v>603</v>
      </c>
    </row>
    <row r="22" ht="19.7" customHeight="1">
      <c r="C22" s="466" t="s">
        <v>604</v>
      </c>
      <c r="D22" s="467"/>
      <c r="E22" s="467"/>
      <c r="F22" s="467"/>
      <c r="G22" s="467"/>
      <c r="H22" s="467"/>
      <c r="I22" s="467"/>
      <c r="J22" s="467"/>
      <c r="K22" s="467"/>
      <c r="L22" s="468"/>
      <c r="M22" s="440">
        <f>AG22</f>
        <v>3</v>
      </c>
      <c r="N22" s="441"/>
      <c r="O22" s="441"/>
      <c r="P22" s="441"/>
      <c r="Q22" s="441"/>
      <c r="R22" s="441"/>
      <c r="S22" s="441"/>
      <c r="T22" s="441"/>
      <c r="U22" s="442"/>
      <c r="V22" s="440">
        <f>AK22</f>
        <v>3</v>
      </c>
      <c r="W22" s="441"/>
      <c r="X22" s="441"/>
      <c r="Y22" s="441"/>
      <c r="Z22" s="441"/>
      <c r="AA22" s="441"/>
      <c r="AB22" s="441"/>
      <c r="AC22" s="441"/>
      <c r="AD22" s="442"/>
      <c r="AE22" s="275"/>
      <c r="AG22" s="276">
        <v>3</v>
      </c>
      <c r="AH22" s="276"/>
      <c r="AI22" s="276"/>
      <c r="AJ22" s="276"/>
      <c r="AK22" s="276">
        <v>3</v>
      </c>
      <c r="AL22" s="276"/>
      <c r="AM22" s="276"/>
      <c r="AN22" s="276"/>
      <c r="AO22" s="276">
        <v>3</v>
      </c>
      <c r="AS22" s="237">
        <v>1</v>
      </c>
    </row>
    <row r="23" ht="19.7" customHeight="1">
      <c r="C23" s="457" t="s">
        <v>605</v>
      </c>
      <c r="D23" s="457"/>
      <c r="E23" s="457"/>
      <c r="F23" s="457"/>
      <c r="G23" s="457"/>
      <c r="H23" s="457"/>
      <c r="I23" s="457"/>
      <c r="J23" s="457"/>
      <c r="K23" s="457"/>
      <c r="L23" s="457"/>
      <c r="M23" s="478" t="str">
        <f>AG23</f>
        <v>4/4/4</v>
      </c>
      <c r="N23" s="477"/>
      <c r="O23" s="477"/>
      <c r="P23" s="477"/>
      <c r="Q23" s="477"/>
      <c r="R23" s="477"/>
      <c r="S23" s="477"/>
      <c r="T23" s="477"/>
      <c r="U23" s="477"/>
      <c r="V23" s="461" t="str">
        <f>AK23</f>
        <v>2/2/2</v>
      </c>
      <c r="W23" s="441"/>
      <c r="X23" s="441"/>
      <c r="Y23" s="441"/>
      <c r="Z23" s="441"/>
      <c r="AA23" s="441"/>
      <c r="AB23" s="441"/>
      <c r="AC23" s="441"/>
      <c r="AD23" s="442"/>
      <c r="AE23" s="280"/>
      <c r="AG23" s="281" t="s">
        <v>606</v>
      </c>
      <c r="AH23" s="282"/>
      <c r="AI23" s="282"/>
      <c r="AJ23" s="282"/>
      <c r="AK23" s="281" t="s">
        <v>524</v>
      </c>
      <c r="AL23" s="282"/>
      <c r="AM23" s="282"/>
      <c r="AN23" s="282"/>
      <c r="AO23" s="281" t="s">
        <v>607</v>
      </c>
      <c r="AP23" s="282"/>
      <c r="AQ23" s="282"/>
      <c r="AR23" s="282"/>
      <c r="AS23" s="281" t="s">
        <v>608</v>
      </c>
    </row>
    <row r="24" ht="18.75" customHeight="1">
      <c r="C24" s="466" t="s">
        <v>609</v>
      </c>
      <c r="D24" s="467"/>
      <c r="E24" s="467"/>
      <c r="F24" s="467"/>
      <c r="G24" s="467"/>
      <c r="H24" s="467"/>
      <c r="I24" s="467"/>
      <c r="J24" s="467"/>
      <c r="K24" s="467"/>
      <c r="L24" s="468"/>
      <c r="M24" s="440" t="str">
        <f>IF(M22=4,AG24&amp;"W/ "&amp;AH24&amp;"W/ "&amp;AI24&amp;"W/ "&amp;AJ24&amp;"W",IF(M22=3,AG24&amp;"W/ "&amp;AH24&amp;"W/ "&amp;AI24&amp;"W",IF(M22=2,AG24&amp;"W/ "&amp;AH24&amp;"W",AG24&amp;"W")))</f>
        <v>100,45W/ 100,45W/ 100,45W</v>
      </c>
      <c r="N24" s="441"/>
      <c r="O24" s="441"/>
      <c r="P24" s="441"/>
      <c r="Q24" s="441"/>
      <c r="R24" s="441"/>
      <c r="S24" s="441"/>
      <c r="T24" s="441"/>
      <c r="U24" s="442"/>
      <c r="V24" s="440" t="str">
        <f>IF(V22=4,AK24&amp;"W/ "&amp;AL24&amp;"W/ "&amp;AM24&amp;"W/ "&amp;AN24&amp;"W",IF(V22=3,AK24&amp;"W/ "&amp;AL24&amp;"W/ "&amp;AM24&amp;"W",IF(V22=2,AK24&amp;"W/"&amp;AL24&amp;"W",AK24&amp;"W")))</f>
        <v>40W/ 40W/ 40W</v>
      </c>
      <c r="W24" s="441"/>
      <c r="X24" s="441"/>
      <c r="Y24" s="441"/>
      <c r="Z24" s="441"/>
      <c r="AA24" s="441"/>
      <c r="AB24" s="441"/>
      <c r="AC24" s="441"/>
      <c r="AD24" s="442"/>
      <c r="AE24" s="278"/>
      <c r="AG24" s="237" t="s">
        <v>690</v>
      </c>
      <c r="AH24" s="237" t="s">
        <v>690</v>
      </c>
      <c r="AI24" s="237" t="s">
        <v>690</v>
      </c>
      <c r="AJ24" s="237" t="s">
        <v>690</v>
      </c>
      <c r="AK24" s="237">
        <v>40</v>
      </c>
      <c r="AL24" s="237">
        <v>40</v>
      </c>
      <c r="AM24" s="237">
        <v>40</v>
      </c>
      <c r="AN24" s="237">
        <v>40</v>
      </c>
      <c r="AO24" s="237">
        <v>60</v>
      </c>
      <c r="AP24" s="237">
        <v>60</v>
      </c>
      <c r="AQ24" s="237">
        <v>60</v>
      </c>
      <c r="AS24" s="237">
        <v>80</v>
      </c>
      <c r="AT24" s="237">
        <v>80</v>
      </c>
      <c r="AU24" s="237">
        <v>80</v>
      </c>
    </row>
    <row r="25" ht="19.7" customHeight="1">
      <c r="C25" s="457" t="s">
        <v>610</v>
      </c>
      <c r="D25" s="457"/>
      <c r="E25" s="457"/>
      <c r="F25" s="457"/>
      <c r="G25" s="457"/>
      <c r="H25" s="457"/>
      <c r="I25" s="457"/>
      <c r="J25" s="457"/>
      <c r="K25" s="457"/>
      <c r="L25" s="457"/>
      <c r="M25" s="477" t="str">
        <f>IF(AG25="900 &amp; 1800","900MHz &amp; 1800MHz",IF(AG25="900 &amp; 2100","900MHz &amp; 2100MHz",IF(AG25="1800 &amp; 2100","1800MHz &amp; 2100MHz",AG25&amp;"MHz")))</f>
        <v>1800MHz</v>
      </c>
      <c r="N25" s="477"/>
      <c r="O25" s="477"/>
      <c r="P25" s="477"/>
      <c r="Q25" s="477"/>
      <c r="R25" s="477"/>
      <c r="S25" s="477"/>
      <c r="T25" s="477"/>
      <c r="U25" s="477"/>
      <c r="V25" s="477" t="str">
        <f>IF(AK25="900 &amp; 1800","900MHz &amp; 1800MHz",IF(AK25="900 &amp; 2100","900MHz &amp; 2100MHz",AK25&amp;"MHz"))</f>
        <v>1800MHz</v>
      </c>
      <c r="W25" s="477"/>
      <c r="X25" s="477"/>
      <c r="Y25" s="477"/>
      <c r="Z25" s="477"/>
      <c r="AA25" s="477"/>
      <c r="AB25" s="477"/>
      <c r="AC25" s="477"/>
      <c r="AD25" s="477"/>
      <c r="AE25" s="275"/>
      <c r="AG25" s="237">
        <v>1800</v>
      </c>
      <c r="AK25" s="237">
        <v>1800</v>
      </c>
      <c r="AO25" s="237">
        <v>2100</v>
      </c>
      <c r="AS25" s="271" t="s">
        <v>691</v>
      </c>
    </row>
    <row r="26" ht="33.95" customHeight="1">
      <c r="C26" s="457" t="s">
        <v>692</v>
      </c>
      <c r="D26" s="457"/>
      <c r="E26" s="457"/>
      <c r="F26" s="457"/>
      <c r="G26" s="457"/>
      <c r="H26" s="457"/>
      <c r="I26" s="457"/>
      <c r="J26" s="457"/>
      <c r="K26" s="457"/>
      <c r="L26" s="457"/>
      <c r="M26" s="477">
        <f>AG26</f>
        <v>15</v>
      </c>
      <c r="N26" s="477"/>
      <c r="O26" s="477"/>
      <c r="P26" s="477"/>
      <c r="Q26" s="477"/>
      <c r="R26" s="477"/>
      <c r="S26" s="477"/>
      <c r="T26" s="477"/>
      <c r="U26" s="477"/>
      <c r="V26" s="477">
        <f>AK26</f>
        <v>16</v>
      </c>
      <c r="W26" s="477"/>
      <c r="X26" s="477"/>
      <c r="Y26" s="477"/>
      <c r="Z26" s="477"/>
      <c r="AA26" s="477"/>
      <c r="AB26" s="477"/>
      <c r="AC26" s="477"/>
      <c r="AD26" s="477"/>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151</v>
      </c>
      <c r="AO34" s="237" t="s">
        <v>152</v>
      </c>
      <c r="AS34" s="237" t="s">
        <v>153</v>
      </c>
    </row>
    <row r="35" ht="17.1" customHeight="1">
      <c r="C35" s="433" t="s">
        <v>618</v>
      </c>
      <c r="D35" s="433"/>
      <c r="E35" s="433"/>
      <c r="F35" s="433"/>
      <c r="G35" s="433"/>
      <c r="H35" s="286" t="s">
        <v>619</v>
      </c>
      <c r="I35" s="435" t="s">
        <v>620</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155</v>
      </c>
      <c r="AS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160</v>
      </c>
      <c r="AO41" s="237" t="s">
        <v>161</v>
      </c>
      <c r="AT41" s="237" t="s">
        <v>162</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596</v>
      </c>
      <c r="AI49" s="271" t="s">
        <v>630</v>
      </c>
      <c r="AJ49" s="271"/>
      <c r="AL49" s="281" t="s">
        <v>606</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596</v>
      </c>
      <c r="AI53" s="271" t="s">
        <v>630</v>
      </c>
      <c r="AJ53" s="271"/>
      <c r="AL53" s="281" t="s">
        <v>606</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900MHz &amp; 1800MHz</v>
      </c>
      <c r="W57" s="428"/>
      <c r="X57" s="428"/>
      <c r="Y57" s="428">
        <f>AT57</f>
        <v>15</v>
      </c>
      <c r="Z57" s="428"/>
      <c r="AA57" s="428"/>
      <c r="AB57" s="428"/>
      <c r="AC57" s="428"/>
      <c r="AD57" s="428"/>
      <c r="AG57" s="271" t="s">
        <v>596</v>
      </c>
      <c r="AI57" s="271" t="s">
        <v>630</v>
      </c>
      <c r="AJ57" s="271"/>
      <c r="AL57" s="281" t="s">
        <v>606</v>
      </c>
      <c r="AO57" s="237">
        <v>20</v>
      </c>
      <c r="AP57" s="237">
        <v>30</v>
      </c>
      <c r="AQ57" s="237">
        <v>40</v>
      </c>
      <c r="AS57" s="237" t="s">
        <v>611</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596</v>
      </c>
      <c r="AI61" s="271" t="s">
        <v>630</v>
      </c>
      <c r="AJ61" s="271"/>
      <c r="AL61" s="281" t="s">
        <v>606</v>
      </c>
      <c r="AO61" s="237">
        <v>20</v>
      </c>
      <c r="AP61" s="237">
        <v>30</v>
      </c>
      <c r="AQ61" s="237">
        <v>40</v>
      </c>
      <c r="AS61" s="237" t="s">
        <v>632</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596</v>
      </c>
      <c r="AI65" s="271" t="s">
        <v>630</v>
      </c>
      <c r="AJ65" s="271"/>
      <c r="AL65" s="281" t="s">
        <v>606</v>
      </c>
      <c r="AO65" s="237">
        <v>20</v>
      </c>
      <c r="AP65" s="237">
        <v>30</v>
      </c>
      <c r="AQ65" s="237">
        <v>40</v>
      </c>
      <c r="AS65" s="237" t="s">
        <v>633</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26" width="9.140625" customWidth="1" style="237"/>
    <col min="127" max="16384" width="9.140625" customWidth="1" style="237"/>
  </cols>
  <sheetData>
    <row r="1" ht="19.7" customHeight="1">
      <c r="B1" s="450" t="s">
        <v>119</v>
      </c>
      <c r="C1" s="450"/>
      <c r="D1" s="450"/>
      <c r="E1" s="450"/>
      <c r="F1" s="450"/>
      <c r="G1" s="450"/>
      <c r="H1" s="450"/>
      <c r="I1" s="450"/>
      <c r="J1" s="450"/>
      <c r="K1" s="450"/>
      <c r="L1" s="450"/>
      <c r="M1" s="450"/>
      <c r="N1" s="270"/>
      <c r="O1" s="27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M2" s="270"/>
      <c r="N2" s="293"/>
      <c r="O2" s="270"/>
      <c r="P2" s="450" t="s">
        <v>120</v>
      </c>
      <c r="Q2" s="450"/>
      <c r="R2" s="450"/>
      <c r="S2" s="450"/>
      <c r="T2" s="450"/>
      <c r="U2" s="450"/>
      <c r="V2" s="450"/>
      <c r="W2" s="450"/>
      <c r="X2" s="450"/>
      <c r="Y2" s="450"/>
      <c r="Z2" s="450"/>
      <c r="AA2" s="450"/>
      <c r="AB2" s="450"/>
      <c r="AC2" s="450"/>
      <c r="AD2" s="450"/>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497" t="s">
        <v>124</v>
      </c>
      <c r="D15" s="498"/>
      <c r="E15" s="498"/>
      <c r="F15" s="498"/>
      <c r="G15" s="498"/>
      <c r="H15" s="498"/>
      <c r="I15" s="498"/>
      <c r="J15" s="498"/>
      <c r="K15" s="498"/>
      <c r="L15" s="498"/>
      <c r="M15" s="498"/>
      <c r="N15" s="498"/>
      <c r="O15" s="498"/>
      <c r="P15" s="498"/>
      <c r="Q15" s="498"/>
      <c r="R15" s="498"/>
      <c r="S15" s="498"/>
      <c r="T15" s="498"/>
      <c r="U15" s="498"/>
      <c r="V15" s="498"/>
      <c r="W15" s="498"/>
      <c r="X15" s="498"/>
      <c r="Y15" s="498"/>
      <c r="Z15" s="498"/>
      <c r="AA15" s="498"/>
      <c r="AB15" s="498"/>
      <c r="AC15" s="498"/>
      <c r="AD15" s="499"/>
      <c r="AE15" s="275"/>
      <c r="AG15" s="276">
        <v>1</v>
      </c>
      <c r="AH15" s="276"/>
      <c r="AI15" s="276"/>
      <c r="AJ15" s="276"/>
      <c r="AK15" s="276">
        <v>2</v>
      </c>
      <c r="AL15" s="276"/>
      <c r="AM15" s="276"/>
      <c r="AN15" s="276"/>
      <c r="AO15" s="276">
        <v>3</v>
      </c>
      <c r="AS15" s="237">
        <v>4</v>
      </c>
    </row>
    <row r="16" ht="36" customHeight="1">
      <c r="C16" s="494" t="s">
        <v>584</v>
      </c>
      <c r="D16" s="495"/>
      <c r="E16" s="495"/>
      <c r="F16" s="495"/>
      <c r="G16" s="495"/>
      <c r="H16" s="495"/>
      <c r="I16" s="495"/>
      <c r="J16" s="495"/>
      <c r="K16" s="495"/>
      <c r="L16" s="496"/>
      <c r="M16" s="502" t="str">
        <f>AG16</f>
        <v>Ấp Bàu Trâu, xã Phước Thạnh, huyện Củ Chi, thành phố Hồ Chí Minh.</v>
      </c>
      <c r="N16" s="503"/>
      <c r="O16" s="503"/>
      <c r="P16" s="503"/>
      <c r="Q16" s="503"/>
      <c r="R16" s="503"/>
      <c r="S16" s="503"/>
      <c r="T16" s="503"/>
      <c r="U16" s="503"/>
      <c r="V16" s="503"/>
      <c r="W16" s="503"/>
      <c r="X16" s="503"/>
      <c r="Y16" s="503"/>
      <c r="Z16" s="503"/>
      <c r="AA16" s="503"/>
      <c r="AB16" s="503"/>
      <c r="AC16" s="503"/>
      <c r="AD16" s="504"/>
      <c r="AE16" s="275"/>
      <c r="AG16" s="479" t="s">
        <v>594</v>
      </c>
      <c r="AH16" s="479"/>
      <c r="AI16" s="479"/>
      <c r="AJ16" s="479"/>
      <c r="AK16" s="479"/>
      <c r="AL16" s="479"/>
      <c r="AM16" s="479"/>
      <c r="AN16" s="479"/>
      <c r="AO16" s="479"/>
      <c r="AP16" s="479"/>
      <c r="AQ16" s="479"/>
      <c r="AR16" s="479"/>
      <c r="AS16" s="479"/>
      <c r="AT16" s="479"/>
      <c r="AU16" s="479"/>
      <c r="AV16" s="479"/>
      <c r="AW16" s="479"/>
    </row>
    <row r="17" ht="23.25" customHeight="1">
      <c r="C17" s="494" t="s">
        <v>583</v>
      </c>
      <c r="D17" s="495"/>
      <c r="E17" s="495"/>
      <c r="F17" s="495"/>
      <c r="G17" s="495"/>
      <c r="H17" s="495"/>
      <c r="I17" s="495"/>
      <c r="J17" s="495"/>
      <c r="K17" s="495"/>
      <c r="L17" s="496"/>
      <c r="M17" s="497">
        <f>IF(AG17="","",AG17)</f>
      </c>
      <c r="N17" s="498"/>
      <c r="O17" s="498"/>
      <c r="P17" s="498"/>
      <c r="Q17" s="498"/>
      <c r="R17" s="498"/>
      <c r="S17" s="498"/>
      <c r="T17" s="498"/>
      <c r="U17" s="498"/>
      <c r="V17" s="498"/>
      <c r="W17" s="498"/>
      <c r="X17" s="498"/>
      <c r="Y17" s="498"/>
      <c r="Z17" s="498"/>
      <c r="AA17" s="498"/>
      <c r="AB17" s="498"/>
      <c r="AC17" s="498"/>
      <c r="AD17" s="499"/>
      <c r="AE17" s="275"/>
    </row>
    <row r="18" ht="31.35" customHeight="1">
      <c r="C18" s="485" t="s">
        <v>595</v>
      </c>
      <c r="D18" s="486"/>
      <c r="E18" s="486"/>
      <c r="F18" s="486"/>
      <c r="G18" s="486"/>
      <c r="H18" s="486"/>
      <c r="I18" s="486"/>
      <c r="J18" s="486"/>
      <c r="K18" s="486"/>
      <c r="L18" s="487"/>
      <c r="M18" s="488" t="str">
        <f>AG18</f>
        <v>CÔNG TY CỔ PHẦN VIỄN THÔNG DI ĐỘNG TOÀN CẦU
GTEL</v>
      </c>
      <c r="N18" s="489"/>
      <c r="O18" s="489"/>
      <c r="P18" s="489"/>
      <c r="Q18" s="489"/>
      <c r="R18" s="489"/>
      <c r="S18" s="489"/>
      <c r="T18" s="489"/>
      <c r="U18" s="489"/>
      <c r="V18" s="489"/>
      <c r="W18" s="489"/>
      <c r="X18" s="489"/>
      <c r="Y18" s="489"/>
      <c r="Z18" s="489"/>
      <c r="AA18" s="489"/>
      <c r="AB18" s="489"/>
      <c r="AC18" s="489"/>
      <c r="AD18" s="490"/>
      <c r="AE18" s="275"/>
      <c r="AG18" s="297" t="s">
        <v>6144</v>
      </c>
    </row>
    <row r="19" ht="31.35" customHeight="1">
      <c r="C19" s="485" t="s">
        <v>597</v>
      </c>
      <c r="D19" s="486"/>
      <c r="E19" s="486"/>
      <c r="F19" s="486"/>
      <c r="G19" s="486"/>
      <c r="H19" s="486"/>
      <c r="I19" s="486"/>
      <c r="J19" s="486"/>
      <c r="K19" s="486"/>
      <c r="L19" s="487"/>
      <c r="M19" s="488" t="str">
        <f>AG19</f>
        <v>CÔNG TY CỔ PHẦN VIỄN THÔNG DI ĐỘNG TOÀN CẦU</v>
      </c>
      <c r="N19" s="489"/>
      <c r="O19" s="489"/>
      <c r="P19" s="489"/>
      <c r="Q19" s="489"/>
      <c r="R19" s="489"/>
      <c r="S19" s="489"/>
      <c r="T19" s="489"/>
      <c r="U19" s="489"/>
      <c r="V19" s="489"/>
      <c r="W19" s="489"/>
      <c r="X19" s="489"/>
      <c r="Y19" s="489"/>
      <c r="Z19" s="489"/>
      <c r="AA19" s="489"/>
      <c r="AB19" s="489"/>
      <c r="AC19" s="489"/>
      <c r="AD19" s="490"/>
      <c r="AE19" s="278"/>
      <c r="AG19" s="271" t="s">
        <v>596</v>
      </c>
    </row>
    <row r="20" ht="20.25" customHeight="1">
      <c r="C20" s="491" t="s">
        <v>598</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3"/>
      <c r="AE20" s="279"/>
    </row>
    <row r="21" ht="31.5" customHeight="1">
      <c r="C21" s="484" t="s">
        <v>599</v>
      </c>
      <c r="D21" s="484"/>
      <c r="E21" s="484"/>
      <c r="F21" s="484"/>
      <c r="G21" s="484"/>
      <c r="H21" s="484"/>
      <c r="I21" s="484"/>
      <c r="J21" s="484"/>
      <c r="K21" s="484"/>
      <c r="L21" s="484"/>
      <c r="M21" s="480" t="str">
        <f>AG21</f>
        <v>MOTOROLA HORIZON II MACRO</v>
      </c>
      <c r="N21" s="480"/>
      <c r="O21" s="480"/>
      <c r="P21" s="480"/>
      <c r="Q21" s="480"/>
      <c r="R21" s="480"/>
      <c r="S21" s="480" t="str">
        <f>AK21</f>
        <v>B</v>
      </c>
      <c r="T21" s="480"/>
      <c r="U21" s="480"/>
      <c r="V21" s="480"/>
      <c r="W21" s="480"/>
      <c r="X21" s="480"/>
      <c r="Y21" s="480" t="str">
        <f>AO21</f>
        <v>C</v>
      </c>
      <c r="Z21" s="480"/>
      <c r="AA21" s="480"/>
      <c r="AB21" s="480"/>
      <c r="AC21" s="480"/>
      <c r="AD21" s="480"/>
      <c r="AE21" s="275"/>
      <c r="AG21" s="271" t="s">
        <v>689</v>
      </c>
      <c r="AK21" s="271" t="s">
        <v>601</v>
      </c>
      <c r="AO21" s="271" t="s">
        <v>602</v>
      </c>
      <c r="AS21" s="271" t="s">
        <v>603</v>
      </c>
    </row>
    <row r="22" ht="19.7" customHeight="1">
      <c r="C22" s="481" t="s">
        <v>604</v>
      </c>
      <c r="D22" s="482"/>
      <c r="E22" s="482"/>
      <c r="F22" s="482"/>
      <c r="G22" s="482"/>
      <c r="H22" s="482"/>
      <c r="I22" s="482"/>
      <c r="J22" s="482"/>
      <c r="K22" s="482"/>
      <c r="L22" s="483"/>
      <c r="M22" s="480">
        <f>AG22</f>
        <v>3</v>
      </c>
      <c r="N22" s="480"/>
      <c r="O22" s="480"/>
      <c r="P22" s="480"/>
      <c r="Q22" s="480"/>
      <c r="R22" s="480"/>
      <c r="S22" s="480">
        <f>AK22</f>
        <v>3</v>
      </c>
      <c r="T22" s="480"/>
      <c r="U22" s="480"/>
      <c r="V22" s="480"/>
      <c r="W22" s="480"/>
      <c r="X22" s="480"/>
      <c r="Y22" s="480">
        <f>AO22</f>
        <v>3</v>
      </c>
      <c r="Z22" s="480"/>
      <c r="AA22" s="480"/>
      <c r="AB22" s="480"/>
      <c r="AC22" s="480"/>
      <c r="AD22" s="480"/>
      <c r="AE22" s="275"/>
      <c r="AG22" s="276">
        <v>3</v>
      </c>
      <c r="AH22" s="276"/>
      <c r="AI22" s="276"/>
      <c r="AJ22" s="276"/>
      <c r="AK22" s="276">
        <v>3</v>
      </c>
      <c r="AL22" s="276"/>
      <c r="AM22" s="276"/>
      <c r="AN22" s="276"/>
      <c r="AO22" s="276">
        <v>3</v>
      </c>
      <c r="AS22" s="237">
        <v>1</v>
      </c>
    </row>
    <row r="23" ht="19.7" customHeight="1">
      <c r="C23" s="484" t="s">
        <v>605</v>
      </c>
      <c r="D23" s="484"/>
      <c r="E23" s="484"/>
      <c r="F23" s="484"/>
      <c r="G23" s="484"/>
      <c r="H23" s="484"/>
      <c r="I23" s="484"/>
      <c r="J23" s="484"/>
      <c r="K23" s="484"/>
      <c r="L23" s="484"/>
      <c r="M23" s="500" t="str">
        <f>AG23</f>
        <v>4/4/4</v>
      </c>
      <c r="N23" s="500"/>
      <c r="O23" s="500"/>
      <c r="P23" s="500"/>
      <c r="Q23" s="500"/>
      <c r="R23" s="500"/>
      <c r="S23" s="500" t="str">
        <f>AK23</f>
        <v>2/2/2</v>
      </c>
      <c r="T23" s="500"/>
      <c r="U23" s="500"/>
      <c r="V23" s="500"/>
      <c r="W23" s="500"/>
      <c r="X23" s="500"/>
      <c r="Y23" s="500" t="str">
        <f>AO23</f>
        <v>5/5/5</v>
      </c>
      <c r="Z23" s="480"/>
      <c r="AA23" s="480"/>
      <c r="AB23" s="480"/>
      <c r="AC23" s="480"/>
      <c r="AD23" s="480"/>
      <c r="AE23" s="280"/>
      <c r="AG23" s="281" t="s">
        <v>606</v>
      </c>
      <c r="AH23" s="282"/>
      <c r="AI23" s="282"/>
      <c r="AJ23" s="282"/>
      <c r="AK23" s="281" t="s">
        <v>524</v>
      </c>
      <c r="AL23" s="282"/>
      <c r="AM23" s="282"/>
      <c r="AN23" s="282"/>
      <c r="AO23" s="281" t="s">
        <v>607</v>
      </c>
      <c r="AP23" s="282"/>
      <c r="AQ23" s="282"/>
      <c r="AR23" s="282"/>
      <c r="AS23" s="281" t="s">
        <v>608</v>
      </c>
    </row>
    <row r="24" ht="31.35" customHeight="1">
      <c r="C24" s="481" t="s">
        <v>609</v>
      </c>
      <c r="D24" s="482"/>
      <c r="E24" s="482"/>
      <c r="F24" s="482"/>
      <c r="G24" s="482"/>
      <c r="H24" s="482"/>
      <c r="I24" s="482"/>
      <c r="J24" s="482"/>
      <c r="K24" s="482"/>
      <c r="L24" s="483"/>
      <c r="M24" s="501" t="str">
        <f>IF(M22=4,AG24&amp;"W/ "&amp;AH24&amp;"W/ "&amp;AI24&amp;"W/ "&amp;AK24&amp;"W",IF(M22=3,AG24&amp;"W/ "&amp;AH24&amp;"W/ "&amp;AI24&amp;"W",IF(M22=2,AG24&amp;"W/ "&amp;AH24&amp;"W",AG24&amp;"W")))</f>
        <v>20W/ 20W/ 20W</v>
      </c>
      <c r="N24" s="501"/>
      <c r="O24" s="501"/>
      <c r="P24" s="501"/>
      <c r="Q24" s="501"/>
      <c r="R24" s="501"/>
      <c r="S24" s="501" t="str">
        <f>IF(S22=4,AK24&amp;"W/ "&amp;AL24&amp;"W/ "&amp;AM24&amp;"W/ "&amp;AN24&amp;"W",IF(S22=3,AK24&amp;"W/ "&amp;AL24&amp;"W/ "&amp;AM24&amp;"W",IF(S22=2,AK24&amp;"W/ "&amp;AL24&amp;"W",AK24&amp;"W")))</f>
        <v>40W/ 40W/ 40W</v>
      </c>
      <c r="T24" s="501"/>
      <c r="U24" s="501"/>
      <c r="V24" s="501"/>
      <c r="W24" s="501"/>
      <c r="X24" s="501"/>
      <c r="Y24" s="501" t="str">
        <f>IF(Y22=4,AO24&amp;"W/ "&amp;AP24&amp;"W/ "&amp;AQ24&amp;"W/ "&amp;AR24&amp;"W",IF(Y22=3,AO24&amp;"W/ "&amp;AP24&amp;"W/ "&amp;AQ24&amp;"W",IF(Y22=2,AO24&amp;"W/ "&amp;AP24&amp;"W",AO24&amp;"W")))</f>
        <v>60W/ 60W/ 60W</v>
      </c>
      <c r="Z24" s="501"/>
      <c r="AA24" s="501"/>
      <c r="AB24" s="501"/>
      <c r="AC24" s="501"/>
      <c r="AD24" s="501"/>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484" t="s">
        <v>610</v>
      </c>
      <c r="D25" s="484"/>
      <c r="E25" s="484"/>
      <c r="F25" s="484"/>
      <c r="G25" s="484"/>
      <c r="H25" s="484"/>
      <c r="I25" s="484"/>
      <c r="J25" s="484"/>
      <c r="K25" s="484"/>
      <c r="L25" s="484"/>
      <c r="M25" s="480" t="str">
        <f>IF(AG25="900 &amp; 1800","900MHz &amp; 1800MHz",IF(AG25="900 &amp; 2100","900MHz &amp; 2100MHz",AG25&amp;"MHz"))</f>
        <v>900MHz</v>
      </c>
      <c r="N25" s="480"/>
      <c r="O25" s="480"/>
      <c r="P25" s="480"/>
      <c r="Q25" s="480"/>
      <c r="R25" s="480"/>
      <c r="S25" s="480" t="str">
        <f>IF(AK25="900 &amp; 1800","900MHz &amp; 1800MHz",IF(AK25="900 &amp; 2100","900MHz &amp; 2100MHz",AK25&amp;"MHz"))</f>
        <v>1800MHz</v>
      </c>
      <c r="T25" s="480"/>
      <c r="U25" s="480"/>
      <c r="V25" s="480"/>
      <c r="W25" s="480"/>
      <c r="X25" s="480"/>
      <c r="Y25" s="480" t="str">
        <f>IF(AO25="900 &amp; 1800","900MHz &amp; 1800MHz",IF(AO25="900 &amp; 2100","900MHz &amp; 2100MHz",AO25&amp;"MHz"))</f>
        <v>2100MHz</v>
      </c>
      <c r="Z25" s="480"/>
      <c r="AA25" s="480"/>
      <c r="AB25" s="480"/>
      <c r="AC25" s="480"/>
      <c r="AD25" s="480"/>
      <c r="AE25" s="275"/>
      <c r="AG25" s="237">
        <v>900</v>
      </c>
      <c r="AK25" s="237">
        <v>1800</v>
      </c>
      <c r="AO25" s="237">
        <v>2100</v>
      </c>
      <c r="AS25" s="271" t="s">
        <v>691</v>
      </c>
    </row>
    <row r="26" ht="31.35" customHeight="1">
      <c r="C26" s="484" t="s">
        <v>6145</v>
      </c>
      <c r="D26" s="484"/>
      <c r="E26" s="484"/>
      <c r="F26" s="484"/>
      <c r="G26" s="484"/>
      <c r="H26" s="484"/>
      <c r="I26" s="484"/>
      <c r="J26" s="484"/>
      <c r="K26" s="484"/>
      <c r="L26" s="484"/>
      <c r="M26" s="480">
        <f>AG26</f>
        <v>15</v>
      </c>
      <c r="N26" s="480"/>
      <c r="O26" s="480"/>
      <c r="P26" s="480"/>
      <c r="Q26" s="480"/>
      <c r="R26" s="480"/>
      <c r="S26" s="480">
        <f>AK26</f>
        <v>16</v>
      </c>
      <c r="T26" s="480"/>
      <c r="U26" s="480"/>
      <c r="V26" s="480"/>
      <c r="W26" s="480"/>
      <c r="X26" s="480"/>
      <c r="Y26" s="480">
        <f>AO26</f>
        <v>17</v>
      </c>
      <c r="Z26" s="480"/>
      <c r="AA26" s="480"/>
      <c r="AB26" s="480"/>
      <c r="AC26" s="480"/>
      <c r="AD26" s="480"/>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5.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5.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5.75" customHeight="1">
      <c r="C30" s="459" t="str">
        <f>IF(AG31=1,AO31,IF(AG31=2,AO30))</f>
        <v>Giới hạn an toàn: là khoảng chiều cao trên cột anten tính từ điểm có độ cao 20m so với mặt đất trở lên.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5.7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151</v>
      </c>
      <c r="AO34" s="237" t="s">
        <v>152</v>
      </c>
      <c r="AS34" s="237" t="s">
        <v>153</v>
      </c>
    </row>
    <row r="35" ht="17.1" customHeight="1">
      <c r="C35" s="433" t="s">
        <v>618</v>
      </c>
      <c r="D35" s="433"/>
      <c r="E35" s="433"/>
      <c r="F35" s="433"/>
      <c r="G35" s="433"/>
      <c r="H35" s="298" t="s">
        <v>619</v>
      </c>
      <c r="I35" s="435" t="s">
        <v>620</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155</v>
      </c>
      <c r="AS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160</v>
      </c>
      <c r="AO41" s="237" t="s">
        <v>161</v>
      </c>
      <c r="AT41" s="237" t="s">
        <v>162</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3</v>
      </c>
      <c r="M49" s="430"/>
      <c r="N49" s="471" t="str">
        <f>AL49</f>
        <v>4/4/4</v>
      </c>
      <c r="O49" s="471"/>
      <c r="P49" s="471"/>
      <c r="Q49" s="428" t="str">
        <f>IF(L49=3,AO49&amp;"W/ "&amp;AP49&amp;"W/ "&amp;AQ49&amp;"W",IF(L49=2,AO49&amp;"W/ "&amp;AP49&amp;"W",AO49&amp;"W"))</f>
        <v>20W/ 30W/ 40W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596</v>
      </c>
      <c r="AI49" s="271" t="s">
        <v>630</v>
      </c>
      <c r="AJ49" s="271"/>
      <c r="AL49" s="281" t="s">
        <v>606</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2</v>
      </c>
      <c r="M53" s="430"/>
      <c r="N53" s="471" t="str">
        <f>AL53</f>
        <v>4/4/4</v>
      </c>
      <c r="O53" s="471"/>
      <c r="P53" s="471"/>
      <c r="Q53" s="428" t="str">
        <f>IF(L53=3,AO53&amp;"W/ "&amp;AP53&amp;"W/ "&amp;AQ53&amp;"W",IF(L53=2,AO53&amp;"W/ "&amp;AP53&amp;"W",AO53&amp;"W"))</f>
        <v>20W/ 30W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596</v>
      </c>
      <c r="AI53" s="271" t="s">
        <v>630</v>
      </c>
      <c r="AJ53" s="271"/>
      <c r="AL53" s="281" t="s">
        <v>606</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2</v>
      </c>
      <c r="M57" s="430"/>
      <c r="N57" s="471" t="str">
        <f>AL57</f>
        <v>4/4/4</v>
      </c>
      <c r="O57" s="471"/>
      <c r="P57" s="471"/>
      <c r="Q57" s="428" t="str">
        <f>IF(L57=3,AO57&amp;"W/ "&amp;AP57&amp;"W/ "&amp;AQ57&amp;"W",IF(L57=2,AO57&amp;"W/ "&amp;AP57&amp;"W",AO57&amp;"W"))</f>
        <v>20W/ 30W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G57" s="271" t="s">
        <v>596</v>
      </c>
      <c r="AI57" s="271" t="s">
        <v>630</v>
      </c>
      <c r="AJ57" s="271"/>
      <c r="AL57" s="281" t="s">
        <v>606</v>
      </c>
      <c r="AO57" s="237">
        <v>20</v>
      </c>
      <c r="AP57" s="237">
        <v>30</v>
      </c>
      <c r="AQ57" s="237">
        <v>40</v>
      </c>
      <c r="AS57" s="237" t="s">
        <v>631</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3</v>
      </c>
      <c r="M61" s="430"/>
      <c r="N61" s="471" t="str">
        <f>AL61</f>
        <v>4/4/4</v>
      </c>
      <c r="O61" s="471"/>
      <c r="P61" s="471"/>
      <c r="Q61" s="428" t="str">
        <f>IF(L61=3,AO61&amp;"W/ "&amp;AP61&amp;"W/ "&amp;AQ61&amp;"W",IF(L61=2,AO61&amp;"W/ "&amp;AP61&amp;"W",AO61&amp;"W"))</f>
        <v>20W/ 30W/ 40W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596</v>
      </c>
      <c r="AI61" s="271" t="s">
        <v>630</v>
      </c>
      <c r="AJ61" s="271"/>
      <c r="AL61" s="281" t="s">
        <v>606</v>
      </c>
      <c r="AO61" s="237">
        <v>20</v>
      </c>
      <c r="AP61" s="237">
        <v>30</v>
      </c>
      <c r="AQ61" s="237">
        <v>40</v>
      </c>
      <c r="AS61" s="237" t="s">
        <v>632</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596</v>
      </c>
      <c r="AI65" s="271" t="s">
        <v>630</v>
      </c>
      <c r="AJ65" s="271"/>
      <c r="AL65" s="281" t="s">
        <v>606</v>
      </c>
      <c r="AO65" s="237">
        <v>20</v>
      </c>
      <c r="AP65" s="237">
        <v>30</v>
      </c>
      <c r="AQ65" s="237">
        <v>40</v>
      </c>
      <c r="AS65" s="237" t="s">
        <v>633</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Y53:AD56"/>
    <mergeCell ref="Y61:AD64"/>
    <mergeCell ref="L57:M60"/>
    <mergeCell ref="N57:P60"/>
    <mergeCell ref="Y45:AD48"/>
    <mergeCell ref="H57:K60"/>
    <mergeCell ref="C17:L17"/>
    <mergeCell ref="M17:AD17"/>
    <mergeCell ref="C7:AD7"/>
    <mergeCell ref="C9:AD9"/>
    <mergeCell ref="C11:AD11"/>
    <mergeCell ref="C26:L26"/>
    <mergeCell ref="C28:AD29"/>
    <mergeCell ref="C27:AA27"/>
    <mergeCell ref="M23:R23"/>
    <mergeCell ref="S23:X23"/>
    <mergeCell ref="S26:X26"/>
    <mergeCell ref="M24:R24"/>
    <mergeCell ref="M25:R25"/>
    <mergeCell ref="S24:X24"/>
    <mergeCell ref="Y65:AD68"/>
    <mergeCell ref="B49:G52"/>
    <mergeCell ref="B53:G56"/>
    <mergeCell ref="B57:G60"/>
    <mergeCell ref="B61:G64"/>
    <mergeCell ref="B65:G68"/>
    <mergeCell ref="H65:K68"/>
    <mergeCell ref="H61:K64"/>
    <mergeCell ref="N61:P64"/>
    <mergeCell ref="Q61:U64"/>
    <mergeCell ref="V61:X64"/>
    <mergeCell ref="L65:M68"/>
    <mergeCell ref="Y49:AD52"/>
    <mergeCell ref="L61:M64"/>
    <mergeCell ref="Q65:U68"/>
    <mergeCell ref="V65:X68"/>
    <mergeCell ref="Q57:U60"/>
    <mergeCell ref="V57:X60"/>
    <mergeCell ref="C23:L23"/>
    <mergeCell ref="B43:G48"/>
    <mergeCell ref="S25:X25"/>
    <mergeCell ref="M26:R26"/>
    <mergeCell ref="C24:L24"/>
    <mergeCell ref="H53:K56"/>
    <mergeCell ref="L53:M56"/>
    <mergeCell ref="N49:P52"/>
    <mergeCell ref="N53:P56"/>
    <mergeCell ref="N65:P68"/>
    <mergeCell ref="Y57:AD60"/>
    <mergeCell ref="H45:K48"/>
    <mergeCell ref="V45:X48"/>
    <mergeCell ref="L45:M48"/>
    <mergeCell ref="I36:M36"/>
    <mergeCell ref="N45:P48"/>
    <mergeCell ref="Q45:U48"/>
    <mergeCell ref="T39:AE39"/>
    <mergeCell ref="H43:AD44"/>
    <mergeCell ref="T41:AE41"/>
    <mergeCell ref="Q53:U56"/>
    <mergeCell ref="V53:X56"/>
    <mergeCell ref="H49:K52"/>
    <mergeCell ref="Q49:U52"/>
    <mergeCell ref="V49:X52"/>
    <mergeCell ref="L49:M52"/>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32" width="9.140625" customWidth="1" style="237"/>
    <col min="133" max="16384" width="9.140625" customWidth="1" style="237"/>
  </cols>
  <sheetData>
    <row r="1" ht="19.7" customHeight="1">
      <c r="B1" s="450" t="s">
        <v>119</v>
      </c>
      <c r="C1" s="450"/>
      <c r="D1" s="450"/>
      <c r="E1" s="450"/>
      <c r="F1" s="450"/>
      <c r="G1" s="450"/>
      <c r="H1" s="450"/>
      <c r="I1" s="450"/>
      <c r="J1" s="450"/>
      <c r="K1" s="450"/>
      <c r="L1" s="450"/>
      <c r="M1" s="450"/>
      <c r="N1" s="450"/>
      <c r="O1" s="270"/>
      <c r="P1" s="431" t="s">
        <v>6204</v>
      </c>
      <c r="Q1" s="431"/>
      <c r="R1" s="431"/>
      <c r="S1" s="431"/>
      <c r="T1" s="431"/>
      <c r="U1" s="431"/>
      <c r="V1" s="431"/>
      <c r="W1" s="431"/>
      <c r="X1" s="431"/>
      <c r="Y1" s="431"/>
      <c r="Z1" s="431"/>
      <c r="AA1" s="431"/>
      <c r="AB1" s="431"/>
      <c r="AC1" s="431"/>
      <c r="AD1" s="431"/>
      <c r="AE1" s="431"/>
    </row>
    <row r="2" ht="19.7" customHeight="1">
      <c r="C2" s="450" t="s">
        <v>121</v>
      </c>
      <c r="D2" s="450"/>
      <c r="E2" s="450"/>
      <c r="F2" s="450"/>
      <c r="G2" s="450"/>
      <c r="H2" s="450"/>
      <c r="I2" s="450"/>
      <c r="J2" s="450"/>
      <c r="K2" s="450"/>
      <c r="L2" s="450"/>
      <c r="M2" s="450"/>
      <c r="N2" s="293"/>
      <c r="O2" s="270"/>
      <c r="P2" s="450" t="s">
        <v>6205</v>
      </c>
      <c r="Q2" s="450"/>
      <c r="R2" s="450"/>
      <c r="S2" s="450"/>
      <c r="T2" s="450"/>
      <c r="U2" s="450"/>
      <c r="V2" s="450"/>
      <c r="W2" s="450"/>
      <c r="X2" s="450"/>
      <c r="Y2" s="450"/>
      <c r="Z2" s="450"/>
      <c r="AA2" s="450"/>
      <c r="AB2" s="450"/>
      <c r="AC2" s="450"/>
      <c r="AD2" s="450"/>
      <c r="AE2" s="450"/>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450" t="str">
        <f>"Số: "&amp;AI9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E9" s="450"/>
      <c r="AI9" s="271" t="s">
        <v>591</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501" t="s">
        <v>124</v>
      </c>
      <c r="D15" s="501"/>
      <c r="E15" s="501"/>
      <c r="F15" s="501"/>
      <c r="G15" s="501"/>
      <c r="H15" s="501"/>
      <c r="I15" s="501"/>
      <c r="J15" s="501"/>
      <c r="K15" s="501"/>
      <c r="L15" s="501"/>
      <c r="M15" s="501"/>
      <c r="N15" s="501"/>
      <c r="O15" s="501"/>
      <c r="P15" s="501"/>
      <c r="Q15" s="501"/>
      <c r="R15" s="501"/>
      <c r="S15" s="501"/>
      <c r="T15" s="501"/>
      <c r="U15" s="501"/>
      <c r="V15" s="501"/>
      <c r="W15" s="501"/>
      <c r="X15" s="501"/>
      <c r="Y15" s="501"/>
      <c r="Z15" s="501"/>
      <c r="AA15" s="501"/>
      <c r="AB15" s="501"/>
      <c r="AC15" s="501"/>
      <c r="AD15" s="501"/>
      <c r="AE15" s="501"/>
      <c r="AF15" s="501"/>
      <c r="AG15" s="301"/>
      <c r="AH15" s="301"/>
      <c r="AI15" s="276">
        <v>1</v>
      </c>
      <c r="AJ15" s="276"/>
      <c r="AK15" s="276"/>
      <c r="AL15" s="276"/>
      <c r="AM15" s="276">
        <v>2</v>
      </c>
      <c r="AN15" s="276"/>
      <c r="AO15" s="276"/>
      <c r="AP15" s="276"/>
      <c r="AQ15" s="276">
        <v>3</v>
      </c>
      <c r="AU15" s="237">
        <v>4</v>
      </c>
    </row>
    <row r="16" ht="38.25" customHeight="1">
      <c r="C16" s="494" t="s">
        <v>584</v>
      </c>
      <c r="D16" s="495"/>
      <c r="E16" s="495"/>
      <c r="F16" s="495"/>
      <c r="G16" s="495"/>
      <c r="H16" s="495"/>
      <c r="I16" s="495"/>
      <c r="J16" s="495"/>
      <c r="K16" s="495"/>
      <c r="L16" s="496"/>
      <c r="M16" s="502" t="str">
        <f>AI16</f>
        <v>Ấp Bàu Trâu, xã Phước Thạnh, huyện Củ Chi, thành phố Hồ Chí Minh.</v>
      </c>
      <c r="N16" s="503"/>
      <c r="O16" s="503"/>
      <c r="P16" s="503"/>
      <c r="Q16" s="503"/>
      <c r="R16" s="503"/>
      <c r="S16" s="503"/>
      <c r="T16" s="503"/>
      <c r="U16" s="503"/>
      <c r="V16" s="503"/>
      <c r="W16" s="503"/>
      <c r="X16" s="503"/>
      <c r="Y16" s="503"/>
      <c r="Z16" s="503"/>
      <c r="AA16" s="503"/>
      <c r="AB16" s="503"/>
      <c r="AC16" s="503"/>
      <c r="AD16" s="503"/>
      <c r="AE16" s="503"/>
      <c r="AF16" s="504"/>
      <c r="AG16" s="302"/>
      <c r="AH16" s="302"/>
      <c r="AI16" s="296" t="s">
        <v>594</v>
      </c>
    </row>
    <row r="17" ht="22.5" customHeight="1">
      <c r="C17" s="509" t="s">
        <v>583</v>
      </c>
      <c r="D17" s="510"/>
      <c r="E17" s="510"/>
      <c r="F17" s="510"/>
      <c r="G17" s="510"/>
      <c r="H17" s="510"/>
      <c r="I17" s="510"/>
      <c r="J17" s="510"/>
      <c r="K17" s="510"/>
      <c r="L17" s="511"/>
      <c r="M17" s="488">
        <f>IF(AG17="","",AG17)</f>
      </c>
      <c r="N17" s="489"/>
      <c r="O17" s="489"/>
      <c r="P17" s="489"/>
      <c r="Q17" s="489"/>
      <c r="R17" s="489"/>
      <c r="S17" s="489"/>
      <c r="T17" s="489"/>
      <c r="U17" s="489"/>
      <c r="V17" s="489"/>
      <c r="W17" s="489"/>
      <c r="X17" s="489"/>
      <c r="Y17" s="489"/>
      <c r="Z17" s="489"/>
      <c r="AA17" s="489"/>
      <c r="AB17" s="489"/>
      <c r="AC17" s="489"/>
      <c r="AD17" s="489"/>
      <c r="AE17" s="489"/>
      <c r="AF17" s="490"/>
      <c r="AG17" s="302"/>
      <c r="AH17" s="302"/>
    </row>
    <row r="18" ht="31.35" customHeight="1">
      <c r="C18" s="507" t="s">
        <v>595</v>
      </c>
      <c r="D18" s="508"/>
      <c r="E18" s="508"/>
      <c r="F18" s="508"/>
      <c r="G18" s="508"/>
      <c r="H18" s="508"/>
      <c r="I18" s="508"/>
      <c r="J18" s="508"/>
      <c r="K18" s="508"/>
      <c r="L18" s="508"/>
      <c r="M18" s="480" t="str">
        <f>AI18</f>
        <v>CÔNG TY CỔ PHẦN VIỄN THÔNG DI ĐỘNG TOÀN CẦU</v>
      </c>
      <c r="N18" s="480"/>
      <c r="O18" s="480"/>
      <c r="P18" s="480"/>
      <c r="Q18" s="480"/>
      <c r="R18" s="480"/>
      <c r="S18" s="480"/>
      <c r="T18" s="480"/>
      <c r="U18" s="480"/>
      <c r="V18" s="480"/>
      <c r="W18" s="480"/>
      <c r="X18" s="480"/>
      <c r="Y18" s="480"/>
      <c r="Z18" s="480"/>
      <c r="AA18" s="480"/>
      <c r="AB18" s="480"/>
      <c r="AC18" s="480"/>
      <c r="AD18" s="480"/>
      <c r="AE18" s="480"/>
      <c r="AF18" s="480"/>
      <c r="AG18" s="302"/>
      <c r="AH18" s="302"/>
      <c r="AI18" s="271" t="s">
        <v>596</v>
      </c>
    </row>
    <row r="19" ht="31.35" customHeight="1">
      <c r="C19" s="507" t="s">
        <v>597</v>
      </c>
      <c r="D19" s="508"/>
      <c r="E19" s="508"/>
      <c r="F19" s="508"/>
      <c r="G19" s="508"/>
      <c r="H19" s="508"/>
      <c r="I19" s="508"/>
      <c r="J19" s="508"/>
      <c r="K19" s="508"/>
      <c r="L19" s="508"/>
      <c r="M19" s="480" t="str">
        <f>AI19</f>
        <v>CÔNG TY CỔ PHẦN VIỄN THÔNG DI ĐỘNG TOÀN CẦU</v>
      </c>
      <c r="N19" s="480"/>
      <c r="O19" s="480"/>
      <c r="P19" s="480"/>
      <c r="Q19" s="480"/>
      <c r="R19" s="480"/>
      <c r="S19" s="480"/>
      <c r="T19" s="480"/>
      <c r="U19" s="480"/>
      <c r="V19" s="480"/>
      <c r="W19" s="480"/>
      <c r="X19" s="480"/>
      <c r="Y19" s="480"/>
      <c r="Z19" s="480"/>
      <c r="AA19" s="480"/>
      <c r="AB19" s="480"/>
      <c r="AC19" s="480"/>
      <c r="AD19" s="480"/>
      <c r="AE19" s="480"/>
      <c r="AF19" s="480"/>
      <c r="AG19" s="302"/>
      <c r="AH19" s="302"/>
      <c r="AI19" s="271" t="s">
        <v>596</v>
      </c>
    </row>
    <row r="20" ht="18.75" customHeight="1">
      <c r="C20" s="491" t="s">
        <v>598</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2"/>
      <c r="AE20" s="492"/>
      <c r="AF20" s="493"/>
      <c r="AG20" s="303"/>
      <c r="AH20" s="303"/>
    </row>
    <row r="21" ht="45.2" customHeight="1">
      <c r="C21" s="484" t="s">
        <v>599</v>
      </c>
      <c r="D21" s="484"/>
      <c r="E21" s="484"/>
      <c r="F21" s="484"/>
      <c r="G21" s="484"/>
      <c r="H21" s="484"/>
      <c r="I21" s="484"/>
      <c r="J21" s="484"/>
      <c r="K21" s="484"/>
      <c r="L21" s="484"/>
      <c r="M21" s="480" t="str">
        <f ref="M21:M23" t="shared" si="0">AI21</f>
        <v>A</v>
      </c>
      <c r="N21" s="480"/>
      <c r="O21" s="480"/>
      <c r="P21" s="480"/>
      <c r="Q21" s="480"/>
      <c r="R21" s="480" t="str">
        <f ref="R21:R23" t="shared" si="1">AM21</f>
        <v>B</v>
      </c>
      <c r="S21" s="480"/>
      <c r="T21" s="480"/>
      <c r="U21" s="480"/>
      <c r="V21" s="480"/>
      <c r="W21" s="480" t="str">
        <f>AQ21</f>
        <v>C</v>
      </c>
      <c r="X21" s="480"/>
      <c r="Y21" s="480"/>
      <c r="Z21" s="480"/>
      <c r="AA21" s="480"/>
      <c r="AB21" s="480" t="str">
        <f>AU21</f>
        <v>D</v>
      </c>
      <c r="AC21" s="480"/>
      <c r="AD21" s="480"/>
      <c r="AE21" s="480"/>
      <c r="AF21" s="480"/>
      <c r="AG21" s="301"/>
      <c r="AH21" s="301"/>
      <c r="AI21" s="271" t="s">
        <v>600</v>
      </c>
      <c r="AM21" s="271" t="s">
        <v>601</v>
      </c>
      <c r="AQ21" s="271" t="s">
        <v>602</v>
      </c>
      <c r="AU21" s="271" t="s">
        <v>603</v>
      </c>
    </row>
    <row r="22" ht="17.1" customHeight="1">
      <c r="C22" s="484" t="s">
        <v>604</v>
      </c>
      <c r="D22" s="484"/>
      <c r="E22" s="484"/>
      <c r="F22" s="484"/>
      <c r="G22" s="484"/>
      <c r="H22" s="484"/>
      <c r="I22" s="484"/>
      <c r="J22" s="484"/>
      <c r="K22" s="484"/>
      <c r="L22" s="484"/>
      <c r="M22" s="480">
        <f>AI22</f>
        <v>3</v>
      </c>
      <c r="N22" s="480"/>
      <c r="O22" s="480"/>
      <c r="P22" s="480"/>
      <c r="Q22" s="480"/>
      <c r="R22" s="480">
        <f>AM22</f>
        <v>3</v>
      </c>
      <c r="S22" s="480"/>
      <c r="T22" s="480"/>
      <c r="U22" s="480"/>
      <c r="V22" s="480"/>
      <c r="W22" s="480">
        <f>AQ22</f>
        <v>3</v>
      </c>
      <c r="X22" s="480"/>
      <c r="Y22" s="480"/>
      <c r="Z22" s="480"/>
      <c r="AA22" s="480"/>
      <c r="AB22" s="480">
        <f>AU22</f>
        <v>1</v>
      </c>
      <c r="AC22" s="480"/>
      <c r="AD22" s="480"/>
      <c r="AE22" s="480"/>
      <c r="AF22" s="480"/>
      <c r="AG22" s="301"/>
      <c r="AH22" s="301"/>
      <c r="AI22" s="276">
        <v>3</v>
      </c>
      <c r="AJ22" s="276"/>
      <c r="AK22" s="276"/>
      <c r="AL22" s="276"/>
      <c r="AM22" s="276">
        <v>3</v>
      </c>
      <c r="AN22" s="276"/>
      <c r="AO22" s="276"/>
      <c r="AP22" s="276"/>
      <c r="AQ22" s="276">
        <v>3</v>
      </c>
      <c r="AU22" s="237">
        <v>1</v>
      </c>
    </row>
    <row r="23" ht="17.1" customHeight="1">
      <c r="C23" s="484" t="s">
        <v>605</v>
      </c>
      <c r="D23" s="484"/>
      <c r="E23" s="484"/>
      <c r="F23" s="484"/>
      <c r="G23" s="484"/>
      <c r="H23" s="484"/>
      <c r="I23" s="484"/>
      <c r="J23" s="484"/>
      <c r="K23" s="484"/>
      <c r="L23" s="484"/>
      <c r="M23" s="505" t="str">
        <f t="shared" si="0"/>
        <v>4/4/4</v>
      </c>
      <c r="N23" s="505"/>
      <c r="O23" s="505"/>
      <c r="P23" s="505"/>
      <c r="Q23" s="505"/>
      <c r="R23" s="505" t="str">
        <f t="shared" si="1"/>
        <v>2/2/2</v>
      </c>
      <c r="S23" s="505"/>
      <c r="T23" s="505"/>
      <c r="U23" s="505"/>
      <c r="V23" s="505"/>
      <c r="W23" s="512" t="str">
        <f>AQ23</f>
        <v>5/5/5</v>
      </c>
      <c r="X23" s="505"/>
      <c r="Y23" s="505"/>
      <c r="Z23" s="505"/>
      <c r="AA23" s="505"/>
      <c r="AB23" s="512" t="str">
        <f>AU23</f>
        <v>4/2/4</v>
      </c>
      <c r="AC23" s="505"/>
      <c r="AD23" s="505"/>
      <c r="AE23" s="505"/>
      <c r="AF23" s="505"/>
      <c r="AI23" s="281" t="s">
        <v>606</v>
      </c>
      <c r="AJ23" s="282"/>
      <c r="AK23" s="282"/>
      <c r="AL23" s="282"/>
      <c r="AM23" s="281" t="s">
        <v>524</v>
      </c>
      <c r="AN23" s="282"/>
      <c r="AO23" s="282"/>
      <c r="AP23" s="282"/>
      <c r="AQ23" s="281" t="s">
        <v>607</v>
      </c>
      <c r="AR23" s="282"/>
      <c r="AS23" s="282"/>
      <c r="AT23" s="282"/>
      <c r="AU23" s="281" t="s">
        <v>608</v>
      </c>
    </row>
    <row r="24" ht="31.35" customHeight="1">
      <c r="C24" s="484" t="s">
        <v>609</v>
      </c>
      <c r="D24" s="484"/>
      <c r="E24" s="484"/>
      <c r="F24" s="484"/>
      <c r="G24" s="484"/>
      <c r="H24" s="484"/>
      <c r="I24" s="484"/>
      <c r="J24" s="484"/>
      <c r="K24" s="484"/>
      <c r="L24" s="484"/>
      <c r="M24" s="505" t="str">
        <f>IF(M22=4,AI24&amp;"W/ "&amp;AJ24&amp;"W/ "&amp;AK24&amp;"W/ "&amp;AL24&amp;"W",IF(M22=3,AI24&amp;"W/ "&amp;AJ24&amp;"W/ "&amp;AK24&amp;"W",IF(M22=2,AI24&amp;"W/ "&amp;AJ24&amp;"W",AI24&amp;"W")))</f>
        <v>100,45W/ 100,69W/ 100,69W</v>
      </c>
      <c r="N24" s="505"/>
      <c r="O24" s="505"/>
      <c r="P24" s="505"/>
      <c r="Q24" s="505"/>
      <c r="R24" s="505" t="str">
        <f>IF(R22=4,AM24&amp;"W/ "&amp;AN24&amp;"W/ "&amp;AO24&amp;"W/ "&amp;AP24&amp;"W",IF(R22=3,AM24&amp;"W/ "&amp;AN24&amp;"W/ "&amp;AO24&amp;"W",IF(R22=2,AM24&amp;"W/ "&amp;AN24&amp;"W",AM24&amp;"W")))</f>
        <v>40W/ 40W/ 40W</v>
      </c>
      <c r="S24" s="505"/>
      <c r="T24" s="505"/>
      <c r="U24" s="505"/>
      <c r="V24" s="505"/>
      <c r="W24" s="505" t="str">
        <f>IF(W22=4,AQ24&amp;"W/ "&amp;AR24&amp;"W/ "&amp;AS24&amp;"W/ "&amp;AT24&amp;"W",IF(W22=3,AQ24&amp;"W/ "&amp;AR24&amp;"W/ "&amp;AS24&amp;"W",IF(W22=2,AQ24&amp;"W/ "&amp;AR24&amp;"W",AQ24&amp;"W")))</f>
        <v>60W/ 60W/ 60W</v>
      </c>
      <c r="X24" s="505"/>
      <c r="Y24" s="505"/>
      <c r="Z24" s="505"/>
      <c r="AA24" s="505"/>
      <c r="AB24" s="505" t="str">
        <f>IF(AB22=3,AU24&amp;"W/ "&amp;AV24&amp;"W/ "&amp;AW24&amp;"W",IF(AB22=2,AU24&amp;"W/ "&amp;AV24&amp;"W",AW24&amp;"W"))</f>
        <v>80W</v>
      </c>
      <c r="AC24" s="505"/>
      <c r="AD24" s="505"/>
      <c r="AE24" s="505"/>
      <c r="AF24" s="505"/>
      <c r="AI24" s="237" t="s">
        <v>690</v>
      </c>
      <c r="AJ24" s="237" t="s">
        <v>6206</v>
      </c>
      <c r="AK24" s="237">
        <v>100.69</v>
      </c>
      <c r="AM24" s="237">
        <v>40</v>
      </c>
      <c r="AN24" s="237">
        <v>40</v>
      </c>
      <c r="AO24" s="237">
        <v>40</v>
      </c>
      <c r="AQ24" s="237">
        <v>60</v>
      </c>
      <c r="AR24" s="237">
        <v>60</v>
      </c>
      <c r="AS24" s="237">
        <v>60</v>
      </c>
      <c r="AU24" s="237">
        <v>80</v>
      </c>
      <c r="AV24" s="237">
        <v>80</v>
      </c>
      <c r="AW24" s="237">
        <v>80</v>
      </c>
    </row>
    <row r="25" ht="31.35" customHeight="1">
      <c r="C25" s="484" t="s">
        <v>610</v>
      </c>
      <c r="D25" s="484"/>
      <c r="E25" s="484"/>
      <c r="F25" s="484"/>
      <c r="G25" s="484"/>
      <c r="H25" s="484"/>
      <c r="I25" s="484"/>
      <c r="J25" s="484"/>
      <c r="K25" s="484"/>
      <c r="L25" s="484"/>
      <c r="M25" s="505" t="str">
        <f>IF(AI25="900 &amp; 1800","900MHz &amp; 1800MHz",IF(AI25="900 &amp; 2100","900MHz &amp; 2100MHz",AI25&amp;"MHz"))</f>
        <v>900MHz</v>
      </c>
      <c r="N25" s="505"/>
      <c r="O25" s="505"/>
      <c r="P25" s="505"/>
      <c r="Q25" s="505"/>
      <c r="R25" s="505" t="str">
        <f>IF(AM25="900 &amp; 1800","900MHz &amp; 1800MHz",IF(AM25="900 &amp; 2100","900MHz &amp; 2100MHz",AM25&amp;"MHz"))</f>
        <v>1800MHz</v>
      </c>
      <c r="S25" s="505"/>
      <c r="T25" s="505"/>
      <c r="U25" s="505"/>
      <c r="V25" s="505"/>
      <c r="W25" s="505" t="str">
        <f>IF(AQ25="900 &amp; 1800","900MHz &amp; 1800MHz",IF(AQ25="900 &amp; 2100","900MHz &amp; 2100MHz",AQ25&amp;"MHz"))</f>
        <v>2100MHz</v>
      </c>
      <c r="X25" s="505"/>
      <c r="Y25" s="505"/>
      <c r="Z25" s="505"/>
      <c r="AA25" s="505"/>
      <c r="AB25" s="505" t="str">
        <f>IF(AU25="900 &amp; 1800","900MHz &amp; 1800MHz",IF(AU25="900 &amp; 2100","900MHz &amp; 2100MHz",AU25&amp;"MHz"))</f>
        <v>900;1800MHz</v>
      </c>
      <c r="AC25" s="505"/>
      <c r="AD25" s="505"/>
      <c r="AE25" s="505"/>
      <c r="AF25" s="505"/>
      <c r="AI25" s="237">
        <v>900</v>
      </c>
      <c r="AM25" s="237">
        <v>1800</v>
      </c>
      <c r="AQ25" s="237">
        <v>2100</v>
      </c>
      <c r="AU25" s="271" t="s">
        <v>691</v>
      </c>
    </row>
    <row r="26" ht="31.35" customHeight="1">
      <c r="C26" s="484" t="s">
        <v>612</v>
      </c>
      <c r="D26" s="484"/>
      <c r="E26" s="484"/>
      <c r="F26" s="484"/>
      <c r="G26" s="484"/>
      <c r="H26" s="484"/>
      <c r="I26" s="484"/>
      <c r="J26" s="484"/>
      <c r="K26" s="484"/>
      <c r="L26" s="484"/>
      <c r="M26" s="505">
        <f>AI26</f>
        <v>15</v>
      </c>
      <c r="N26" s="505"/>
      <c r="O26" s="505"/>
      <c r="P26" s="505"/>
      <c r="Q26" s="505"/>
      <c r="R26" s="505">
        <f>AM26</f>
        <v>16</v>
      </c>
      <c r="S26" s="505"/>
      <c r="T26" s="505"/>
      <c r="U26" s="505"/>
      <c r="V26" s="505"/>
      <c r="W26" s="505">
        <f>AQ26</f>
        <v>17</v>
      </c>
      <c r="X26" s="505"/>
      <c r="Y26" s="505"/>
      <c r="Z26" s="505"/>
      <c r="AA26" s="505"/>
      <c r="AB26" s="505">
        <f>AU26</f>
        <v>18</v>
      </c>
      <c r="AC26" s="505"/>
      <c r="AD26" s="505"/>
      <c r="AE26" s="505"/>
      <c r="AF26" s="505"/>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506" t="s">
        <v>613</v>
      </c>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283"/>
      <c r="AC27" s="283"/>
      <c r="AD27" s="283"/>
    </row>
    <row r="28" ht="27" customHeight="1">
      <c r="C28" s="469"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E28" s="469"/>
      <c r="AF28" s="469"/>
      <c r="AI28" s="237">
        <v>20</v>
      </c>
      <c r="AQ28" s="237" t="s">
        <v>614</v>
      </c>
    </row>
    <row r="29" ht="27"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E29" s="469"/>
      <c r="AF29" s="469"/>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615</v>
      </c>
      <c r="AS29" s="237" t="str">
        <f>IF(AI28&gt;=0," cao hơn "," thấp hơn ")</f>
        <v> cao hơn </v>
      </c>
      <c r="AT29" s="237" t="s">
        <v>616</v>
      </c>
    </row>
    <row r="30" ht="16.5" customHeight="1">
      <c r="C30" s="459" t="str">
        <f>IF(AI31=1,AQ31,AQ30)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I30" s="237">
        <v>20</v>
      </c>
      <c r="AQ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E31" s="459"/>
      <c r="AF31" s="459"/>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70"/>
      <c r="AF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70"/>
      <c r="AF33" s="470"/>
    </row>
    <row r="34" ht="17.1" customHeight="1">
      <c r="C34" s="437"/>
      <c r="D34" s="437"/>
      <c r="E34" s="437"/>
      <c r="F34" s="437"/>
      <c r="G34" s="437"/>
      <c r="H34" s="283"/>
      <c r="I34" s="438"/>
      <c r="J34" s="438"/>
      <c r="K34" s="438"/>
      <c r="L34" s="438"/>
      <c r="M34" s="438"/>
      <c r="N34" s="438"/>
      <c r="O34" s="438"/>
      <c r="P34" s="257"/>
      <c r="Q34" s="257"/>
      <c r="R34" s="257"/>
      <c r="S34" s="257"/>
      <c r="T34" s="432" t="str">
        <f>IF(AI41=0,AO34,IF(AI41=1,AK34,AS34))</f>
        <v>KT. GIÁM ĐỐC</v>
      </c>
      <c r="U34" s="432"/>
      <c r="V34" s="432"/>
      <c r="W34" s="432"/>
      <c r="X34" s="432"/>
      <c r="Y34" s="432"/>
      <c r="Z34" s="432"/>
      <c r="AA34" s="432"/>
      <c r="AB34" s="432"/>
      <c r="AC34" s="432"/>
      <c r="AD34" s="432"/>
      <c r="AE34" s="432"/>
      <c r="AF34" s="432"/>
      <c r="AK34" s="237" t="s">
        <v>151</v>
      </c>
      <c r="AO34" s="237" t="s">
        <v>152</v>
      </c>
      <c r="AS34" s="237" t="s">
        <v>153</v>
      </c>
    </row>
    <row r="35" ht="17.1" customHeight="1">
      <c r="C35" s="433" t="s">
        <v>618</v>
      </c>
      <c r="D35" s="433"/>
      <c r="E35" s="433"/>
      <c r="F35" s="433"/>
      <c r="G35" s="433"/>
      <c r="H35" s="286" t="s">
        <v>619</v>
      </c>
      <c r="I35" s="435" t="s">
        <v>620</v>
      </c>
      <c r="J35" s="435"/>
      <c r="K35" s="435"/>
      <c r="L35" s="435"/>
      <c r="M35" s="435"/>
      <c r="N35" s="435"/>
      <c r="O35" s="435"/>
      <c r="P35" s="287"/>
      <c r="Q35" s="283"/>
      <c r="R35" s="283"/>
      <c r="S35" s="283"/>
      <c r="T35" s="432" t="str">
        <f>IF(AI41=0,AO35,IF(AI41=1,"",AS35))</f>
        <v>PHÓ GIÁM ĐỐC</v>
      </c>
      <c r="U35" s="432"/>
      <c r="V35" s="432"/>
      <c r="W35" s="432"/>
      <c r="X35" s="432"/>
      <c r="Y35" s="432"/>
      <c r="Z35" s="432"/>
      <c r="AA35" s="432"/>
      <c r="AB35" s="432"/>
      <c r="AC35" s="432"/>
      <c r="AD35" s="432"/>
      <c r="AE35" s="432"/>
      <c r="AF35" s="432"/>
      <c r="AO35" s="237" t="s">
        <v>155</v>
      </c>
      <c r="AS35" s="237" t="s">
        <v>156</v>
      </c>
    </row>
    <row r="36" ht="17.1" customHeight="1">
      <c r="C36" s="433" t="s">
        <v>621</v>
      </c>
      <c r="D36" s="433"/>
      <c r="E36" s="433"/>
      <c r="F36" s="433"/>
      <c r="G36" s="433"/>
      <c r="H36" s="286" t="s">
        <v>619</v>
      </c>
      <c r="I36" s="434">
        <f>AI36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433" t="s">
        <v>622</v>
      </c>
      <c r="D37" s="433"/>
      <c r="E37" s="433"/>
      <c r="F37" s="433"/>
      <c r="G37" s="433"/>
      <c r="H37" s="286" t="s">
        <v>619</v>
      </c>
      <c r="I37" s="434">
        <f>AI37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F41" s="431"/>
      <c r="AI41" s="237">
        <v>0</v>
      </c>
      <c r="AK41" s="237" t="s">
        <v>160</v>
      </c>
      <c r="AO41" s="237" t="s">
        <v>161</v>
      </c>
      <c r="AT41" s="237" t="s">
        <v>162</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473"/>
      <c r="AF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473"/>
      <c r="AF44" s="473"/>
    </row>
    <row r="45" ht="16.5" customHeight="1">
      <c r="B45" s="472"/>
      <c r="C45" s="472"/>
      <c r="D45" s="472"/>
      <c r="E45" s="472"/>
      <c r="F45" s="472"/>
      <c r="G45" s="472"/>
      <c r="H45" s="428" t="s">
        <v>624</v>
      </c>
      <c r="I45" s="428"/>
      <c r="J45" s="428"/>
      <c r="K45" s="428"/>
      <c r="L45" s="428" t="s">
        <v>625</v>
      </c>
      <c r="M45" s="428"/>
      <c r="N45" s="428"/>
      <c r="O45" s="428" t="s">
        <v>626</v>
      </c>
      <c r="P45" s="428"/>
      <c r="Q45" s="428"/>
      <c r="R45" s="428" t="s">
        <v>627</v>
      </c>
      <c r="S45" s="428"/>
      <c r="T45" s="428"/>
      <c r="U45" s="428"/>
      <c r="V45" s="428"/>
      <c r="W45" s="428" t="s">
        <v>628</v>
      </c>
      <c r="X45" s="428"/>
      <c r="Y45" s="428"/>
      <c r="Z45" s="428"/>
      <c r="AA45" s="428" t="s">
        <v>629</v>
      </c>
      <c r="AB45" s="428"/>
      <c r="AC45" s="428"/>
      <c r="AD45" s="428"/>
      <c r="AE45" s="428"/>
      <c r="AF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428"/>
      <c r="AF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428"/>
      <c r="AF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428"/>
      <c r="AF48" s="428"/>
      <c r="AI48" s="237">
        <v>35</v>
      </c>
      <c r="AK48" s="237">
        <v>37</v>
      </c>
      <c r="AN48" s="237">
        <v>40</v>
      </c>
      <c r="AQ48" s="237">
        <v>43</v>
      </c>
      <c r="AR48" s="237">
        <v>44</v>
      </c>
      <c r="AS48" s="237">
        <v>45</v>
      </c>
      <c r="AT48" s="237">
        <v>46</v>
      </c>
      <c r="AU48" s="237">
        <v>47</v>
      </c>
      <c r="AV48" s="237">
        <v>48</v>
      </c>
      <c r="AW48" s="237">
        <v>49</v>
      </c>
      <c r="AX48" s="237">
        <v>50</v>
      </c>
    </row>
    <row r="49" ht="18.75" customHeight="1">
      <c r="B49" s="428" t="str">
        <f>AI49</f>
        <v>CÔNG TY CỔ PHẦN VIỄN THÔNG DI ĐỘNG TOÀN CẦU</v>
      </c>
      <c r="C49" s="428"/>
      <c r="D49" s="428"/>
      <c r="E49" s="428"/>
      <c r="F49" s="428"/>
      <c r="G49" s="428"/>
      <c r="H49" s="429" t="str">
        <f>AK49</f>
        <v>TB1</v>
      </c>
      <c r="I49" s="429"/>
      <c r="J49" s="429"/>
      <c r="K49" s="429"/>
      <c r="L49" s="430">
        <v>1</v>
      </c>
      <c r="M49" s="430"/>
      <c r="N49" s="430"/>
      <c r="O49" s="471" t="str">
        <f>AN49</f>
        <v>4/4/4</v>
      </c>
      <c r="P49" s="428"/>
      <c r="Q49" s="428"/>
      <c r="R49" s="428" t="str">
        <f>IF(L49=3,AQ49&amp;"W/ "&amp;AR49&amp;"W/ "&amp;AS49&amp;"W",IF(L49=2,AQ49&amp;"W/ "&amp;AR49&amp;"W",AQ49&amp;"W"))</f>
        <v>20W</v>
      </c>
      <c r="S49" s="428"/>
      <c r="T49" s="428"/>
      <c r="U49" s="428"/>
      <c r="V49" s="428"/>
      <c r="W49" s="428" t="str">
        <f>IF(AU49="900 &amp; 1800","900MHz &amp; 1800MHz",IF(AU49="900 &amp; 2100","900MHz &amp; 2100MHz",IF(AU49="1800 &amp; 2100","1800MHz &amp; 2100MHz",AU49&amp;"MHz")))</f>
        <v>900MHz</v>
      </c>
      <c r="X49" s="428"/>
      <c r="Y49" s="428"/>
      <c r="Z49" s="428"/>
      <c r="AA49" s="428">
        <f>AV49</f>
        <v>15</v>
      </c>
      <c r="AB49" s="428"/>
      <c r="AC49" s="428"/>
      <c r="AD49" s="428"/>
      <c r="AE49" s="428"/>
      <c r="AF49" s="428"/>
      <c r="AI49" s="271" t="s">
        <v>596</v>
      </c>
      <c r="AK49" s="271" t="s">
        <v>630</v>
      </c>
      <c r="AL49" s="271"/>
      <c r="AN49" s="281" t="s">
        <v>606</v>
      </c>
      <c r="AQ49" s="237">
        <v>20</v>
      </c>
      <c r="AR49" s="237">
        <v>30</v>
      </c>
      <c r="AS49" s="237">
        <v>40</v>
      </c>
      <c r="AU49" s="237">
        <v>900</v>
      </c>
      <c r="AV49" s="237">
        <v>15</v>
      </c>
    </row>
    <row r="50" ht="18.75" customHeight="1">
      <c r="B50" s="428"/>
      <c r="C50" s="428"/>
      <c r="D50" s="428"/>
      <c r="E50" s="428"/>
      <c r="F50" s="428"/>
      <c r="G50" s="428"/>
      <c r="H50" s="429"/>
      <c r="I50" s="429"/>
      <c r="J50" s="429"/>
      <c r="K50" s="429"/>
      <c r="L50" s="430"/>
      <c r="M50" s="430"/>
      <c r="N50" s="430"/>
      <c r="O50" s="428"/>
      <c r="P50" s="428"/>
      <c r="Q50" s="428"/>
      <c r="R50" s="428"/>
      <c r="S50" s="428"/>
      <c r="T50" s="428"/>
      <c r="U50" s="428"/>
      <c r="V50" s="428"/>
      <c r="W50" s="428"/>
      <c r="X50" s="428"/>
      <c r="Y50" s="428"/>
      <c r="Z50" s="428"/>
      <c r="AA50" s="428"/>
      <c r="AB50" s="428"/>
      <c r="AC50" s="428"/>
      <c r="AD50" s="428"/>
      <c r="AE50" s="428"/>
      <c r="AF50" s="428"/>
    </row>
    <row r="51" ht="18.75" customHeight="1">
      <c r="B51" s="428"/>
      <c r="C51" s="428"/>
      <c r="D51" s="428"/>
      <c r="E51" s="428"/>
      <c r="F51" s="428"/>
      <c r="G51" s="428"/>
      <c r="H51" s="429"/>
      <c r="I51" s="429"/>
      <c r="J51" s="429"/>
      <c r="K51" s="429"/>
      <c r="L51" s="430"/>
      <c r="M51" s="430"/>
      <c r="N51" s="430"/>
      <c r="O51" s="428"/>
      <c r="P51" s="428"/>
      <c r="Q51" s="428"/>
      <c r="R51" s="428"/>
      <c r="S51" s="428"/>
      <c r="T51" s="428"/>
      <c r="U51" s="428"/>
      <c r="V51" s="428"/>
      <c r="W51" s="428"/>
      <c r="X51" s="428"/>
      <c r="Y51" s="428"/>
      <c r="Z51" s="428"/>
      <c r="AA51" s="428"/>
      <c r="AB51" s="428"/>
      <c r="AC51" s="428"/>
      <c r="AD51" s="428"/>
      <c r="AE51" s="428"/>
      <c r="AF51" s="428"/>
    </row>
    <row r="52" ht="18.75" customHeight="1">
      <c r="B52" s="428"/>
      <c r="C52" s="428"/>
      <c r="D52" s="428"/>
      <c r="E52" s="428"/>
      <c r="F52" s="428"/>
      <c r="G52" s="428"/>
      <c r="H52" s="429"/>
      <c r="I52" s="429"/>
      <c r="J52" s="429"/>
      <c r="K52" s="429"/>
      <c r="L52" s="430"/>
      <c r="M52" s="430"/>
      <c r="N52" s="430"/>
      <c r="O52" s="428"/>
      <c r="P52" s="428"/>
      <c r="Q52" s="428"/>
      <c r="R52" s="428"/>
      <c r="S52" s="428"/>
      <c r="T52" s="428"/>
      <c r="U52" s="428"/>
      <c r="V52" s="428"/>
      <c r="W52" s="428"/>
      <c r="X52" s="428"/>
      <c r="Y52" s="428"/>
      <c r="Z52" s="428"/>
      <c r="AA52" s="428"/>
      <c r="AB52" s="428"/>
      <c r="AC52" s="428"/>
      <c r="AD52" s="428"/>
      <c r="AE52" s="428"/>
      <c r="AF52" s="428"/>
    </row>
    <row r="53" ht="18.75" customHeight="1">
      <c r="B53" s="428" t="str">
        <f>AI53</f>
        <v>CÔNG TY CỔ PHẦN VIỄN THÔNG DI ĐỘNG TOÀN CẦU</v>
      </c>
      <c r="C53" s="428"/>
      <c r="D53" s="428"/>
      <c r="E53" s="428"/>
      <c r="F53" s="428"/>
      <c r="G53" s="428"/>
      <c r="H53" s="429" t="str">
        <f>AK53</f>
        <v>TB2</v>
      </c>
      <c r="I53" s="429"/>
      <c r="J53" s="429"/>
      <c r="K53" s="429"/>
      <c r="L53" s="430">
        <v>2</v>
      </c>
      <c r="M53" s="430"/>
      <c r="N53" s="430"/>
      <c r="O53" s="471" t="str">
        <f>AN53</f>
        <v>4/4/4</v>
      </c>
      <c r="P53" s="428"/>
      <c r="Q53" s="428"/>
      <c r="R53" s="428" t="str">
        <f>IF(L53=3,AQ53&amp;"W/ "&amp;AR53&amp;"W/ "&amp;AS53&amp;"W",IF(L53=2,AQ53&amp;"W/ "&amp;AR53&amp;"W",AQ53&amp;"W"))</f>
        <v>30W/ 40W</v>
      </c>
      <c r="S53" s="428"/>
      <c r="T53" s="428"/>
      <c r="U53" s="428"/>
      <c r="V53" s="428"/>
      <c r="W53" s="428" t="str">
        <f>IF(AU53="900 &amp; 1800","900MHz &amp; 1800MHz",IF(AU53="900 &amp; 2100","900MHz &amp; 2100MHz",IF(AU53="1800 &amp; 2100","1800MHz &amp; 2100MHz",AU53&amp;"MHz")))</f>
        <v>1800MHz</v>
      </c>
      <c r="X53" s="428"/>
      <c r="Y53" s="428"/>
      <c r="Z53" s="428"/>
      <c r="AA53" s="428">
        <f>AV53</f>
        <v>15</v>
      </c>
      <c r="AB53" s="428"/>
      <c r="AC53" s="428"/>
      <c r="AD53" s="428"/>
      <c r="AE53" s="428"/>
      <c r="AF53" s="428"/>
      <c r="AI53" s="271" t="s">
        <v>596</v>
      </c>
      <c r="AK53" s="271" t="s">
        <v>6207</v>
      </c>
      <c r="AL53" s="271"/>
      <c r="AN53" s="281" t="s">
        <v>606</v>
      </c>
      <c r="AQ53" s="237">
        <v>30</v>
      </c>
      <c r="AR53" s="237">
        <v>40</v>
      </c>
      <c r="AS53" s="237">
        <v>40</v>
      </c>
      <c r="AU53" s="237">
        <v>1800</v>
      </c>
      <c r="AV53" s="237">
        <v>15</v>
      </c>
    </row>
    <row r="54" ht="18.75" customHeight="1">
      <c r="B54" s="428"/>
      <c r="C54" s="428"/>
      <c r="D54" s="428"/>
      <c r="E54" s="428"/>
      <c r="F54" s="428"/>
      <c r="G54" s="428"/>
      <c r="H54" s="429"/>
      <c r="I54" s="429"/>
      <c r="J54" s="429"/>
      <c r="K54" s="429"/>
      <c r="L54" s="430"/>
      <c r="M54" s="430"/>
      <c r="N54" s="430"/>
      <c r="O54" s="428"/>
      <c r="P54" s="428"/>
      <c r="Q54" s="428"/>
      <c r="R54" s="428"/>
      <c r="S54" s="428"/>
      <c r="T54" s="428"/>
      <c r="U54" s="428"/>
      <c r="V54" s="428"/>
      <c r="W54" s="428"/>
      <c r="X54" s="428"/>
      <c r="Y54" s="428"/>
      <c r="Z54" s="428"/>
      <c r="AA54" s="428"/>
      <c r="AB54" s="428"/>
      <c r="AC54" s="428"/>
      <c r="AD54" s="428"/>
      <c r="AE54" s="428"/>
      <c r="AF54" s="428"/>
    </row>
    <row r="55" ht="18.75" customHeight="1">
      <c r="B55" s="428"/>
      <c r="C55" s="428"/>
      <c r="D55" s="428"/>
      <c r="E55" s="428"/>
      <c r="F55" s="428"/>
      <c r="G55" s="428"/>
      <c r="H55" s="429"/>
      <c r="I55" s="429"/>
      <c r="J55" s="429"/>
      <c r="K55" s="429"/>
      <c r="L55" s="430"/>
      <c r="M55" s="430"/>
      <c r="N55" s="430"/>
      <c r="O55" s="428"/>
      <c r="P55" s="428"/>
      <c r="Q55" s="428"/>
      <c r="R55" s="428"/>
      <c r="S55" s="428"/>
      <c r="T55" s="428"/>
      <c r="U55" s="428"/>
      <c r="V55" s="428"/>
      <c r="W55" s="428"/>
      <c r="X55" s="428"/>
      <c r="Y55" s="428"/>
      <c r="Z55" s="428"/>
      <c r="AA55" s="428"/>
      <c r="AB55" s="428"/>
      <c r="AC55" s="428"/>
      <c r="AD55" s="428"/>
      <c r="AE55" s="428"/>
      <c r="AF55" s="428"/>
    </row>
    <row r="56" ht="18.75" customHeight="1">
      <c r="B56" s="428"/>
      <c r="C56" s="428"/>
      <c r="D56" s="428"/>
      <c r="E56" s="428"/>
      <c r="F56" s="428"/>
      <c r="G56" s="428"/>
      <c r="H56" s="429"/>
      <c r="I56" s="429"/>
      <c r="J56" s="429"/>
      <c r="K56" s="429"/>
      <c r="L56" s="430"/>
      <c r="M56" s="430"/>
      <c r="N56" s="430"/>
      <c r="O56" s="428"/>
      <c r="P56" s="428"/>
      <c r="Q56" s="428"/>
      <c r="R56" s="428"/>
      <c r="S56" s="428"/>
      <c r="T56" s="428"/>
      <c r="U56" s="428"/>
      <c r="V56" s="428"/>
      <c r="W56" s="428"/>
      <c r="X56" s="428"/>
      <c r="Y56" s="428"/>
      <c r="Z56" s="428"/>
      <c r="AA56" s="428"/>
      <c r="AB56" s="428"/>
      <c r="AC56" s="428"/>
      <c r="AD56" s="428"/>
      <c r="AE56" s="428"/>
      <c r="AF56" s="428"/>
    </row>
    <row r="57" ht="18.75" customHeight="1">
      <c r="B57" s="428" t="str">
        <f>AI57</f>
        <v>CÔNG TY CỔ PHẦN VIỄN THÔNG DI ĐỘNG TOÀN CẦU</v>
      </c>
      <c r="C57" s="428"/>
      <c r="D57" s="428"/>
      <c r="E57" s="428"/>
      <c r="F57" s="428"/>
      <c r="G57" s="428"/>
      <c r="H57" s="429" t="str">
        <f>AK57</f>
        <v>TB2</v>
      </c>
      <c r="I57" s="429"/>
      <c r="J57" s="429"/>
      <c r="K57" s="429"/>
      <c r="L57" s="430">
        <v>3</v>
      </c>
      <c r="M57" s="430"/>
      <c r="N57" s="430"/>
      <c r="O57" s="471" t="str">
        <f>AN57</f>
        <v>4/4/4</v>
      </c>
      <c r="P57" s="428"/>
      <c r="Q57" s="428"/>
      <c r="R57" s="428" t="str">
        <f>IF(L57=3,AQ57&amp;"W/ "&amp;AR57&amp;"W/ "&amp;AS57&amp;"W",IF(L57=2,AQ57&amp;"W/ "&amp;AR57&amp;"W",AQ57&amp;"W"))</f>
        <v>30W/ 40W/ 40W</v>
      </c>
      <c r="S57" s="428"/>
      <c r="T57" s="428"/>
      <c r="U57" s="428"/>
      <c r="V57" s="428"/>
      <c r="W57" s="428" t="str">
        <f>IF(AU57="900 &amp; 1800","900MHz &amp; 1800MHz",IF(AU57="900 &amp; 2100","900MHz &amp; 2100MHz",IF(AU57="1800 &amp; 2100","1800MHz &amp; 2100MHz",AU57&amp;"MHz")))</f>
        <v>9000 &amp; 1800MHz</v>
      </c>
      <c r="X57" s="428"/>
      <c r="Y57" s="428"/>
      <c r="Z57" s="428"/>
      <c r="AA57" s="428">
        <f>AV57</f>
        <v>15</v>
      </c>
      <c r="AB57" s="428"/>
      <c r="AC57" s="428"/>
      <c r="AD57" s="428"/>
      <c r="AE57" s="428"/>
      <c r="AF57" s="428"/>
      <c r="AI57" s="271" t="s">
        <v>596</v>
      </c>
      <c r="AK57" s="271" t="s">
        <v>6207</v>
      </c>
      <c r="AL57" s="271"/>
      <c r="AN57" s="281" t="s">
        <v>606</v>
      </c>
      <c r="AQ57" s="237">
        <v>30</v>
      </c>
      <c r="AR57" s="237">
        <v>40</v>
      </c>
      <c r="AS57" s="237">
        <v>40</v>
      </c>
      <c r="AU57" s="237" t="s">
        <v>631</v>
      </c>
      <c r="AV57" s="237">
        <v>15</v>
      </c>
    </row>
    <row r="58" ht="18.75" customHeight="1">
      <c r="B58" s="428"/>
      <c r="C58" s="428"/>
      <c r="D58" s="428"/>
      <c r="E58" s="428"/>
      <c r="F58" s="428"/>
      <c r="G58" s="428"/>
      <c r="H58" s="429"/>
      <c r="I58" s="429"/>
      <c r="J58" s="429"/>
      <c r="K58" s="429"/>
      <c r="L58" s="430"/>
      <c r="M58" s="430"/>
      <c r="N58" s="430"/>
      <c r="O58" s="428"/>
      <c r="P58" s="428"/>
      <c r="Q58" s="428"/>
      <c r="R58" s="428"/>
      <c r="S58" s="428"/>
      <c r="T58" s="428"/>
      <c r="U58" s="428"/>
      <c r="V58" s="428"/>
      <c r="W58" s="428"/>
      <c r="X58" s="428"/>
      <c r="Y58" s="428"/>
      <c r="Z58" s="428"/>
      <c r="AA58" s="428"/>
      <c r="AB58" s="428"/>
      <c r="AC58" s="428"/>
      <c r="AD58" s="428"/>
      <c r="AE58" s="428"/>
      <c r="AF58" s="428"/>
    </row>
    <row r="59" ht="18.75" customHeight="1">
      <c r="B59" s="428"/>
      <c r="C59" s="428"/>
      <c r="D59" s="428"/>
      <c r="E59" s="428"/>
      <c r="F59" s="428"/>
      <c r="G59" s="428"/>
      <c r="H59" s="429"/>
      <c r="I59" s="429"/>
      <c r="J59" s="429"/>
      <c r="K59" s="429"/>
      <c r="L59" s="430"/>
      <c r="M59" s="430"/>
      <c r="N59" s="430"/>
      <c r="O59" s="428"/>
      <c r="P59" s="428"/>
      <c r="Q59" s="428"/>
      <c r="R59" s="428"/>
      <c r="S59" s="428"/>
      <c r="T59" s="428"/>
      <c r="U59" s="428"/>
      <c r="V59" s="428"/>
      <c r="W59" s="428"/>
      <c r="X59" s="428"/>
      <c r="Y59" s="428"/>
      <c r="Z59" s="428"/>
      <c r="AA59" s="428"/>
      <c r="AB59" s="428"/>
      <c r="AC59" s="428"/>
      <c r="AD59" s="428"/>
      <c r="AE59" s="428"/>
      <c r="AF59" s="428"/>
    </row>
    <row r="60" ht="18.75" customHeight="1">
      <c r="B60" s="428"/>
      <c r="C60" s="428"/>
      <c r="D60" s="428"/>
      <c r="E60" s="428"/>
      <c r="F60" s="428"/>
      <c r="G60" s="428"/>
      <c r="H60" s="429"/>
      <c r="I60" s="429"/>
      <c r="J60" s="429"/>
      <c r="K60" s="429"/>
      <c r="L60" s="430"/>
      <c r="M60" s="430"/>
      <c r="N60" s="430"/>
      <c r="O60" s="428"/>
      <c r="P60" s="428"/>
      <c r="Q60" s="428"/>
      <c r="R60" s="428"/>
      <c r="S60" s="428"/>
      <c r="T60" s="428"/>
      <c r="U60" s="428"/>
      <c r="V60" s="428"/>
      <c r="W60" s="428"/>
      <c r="X60" s="428"/>
      <c r="Y60" s="428"/>
      <c r="Z60" s="428"/>
      <c r="AA60" s="428"/>
      <c r="AB60" s="428"/>
      <c r="AC60" s="428"/>
      <c r="AD60" s="428"/>
      <c r="AE60" s="428"/>
      <c r="AF60" s="428"/>
    </row>
    <row r="61" ht="18.75" customHeight="1">
      <c r="B61" s="428" t="str">
        <f>AI61</f>
        <v>CÔNG TY CỔ PHẦN VIỄN THÔNG DI ĐỘNG TOÀN CẦU</v>
      </c>
      <c r="C61" s="428"/>
      <c r="D61" s="428"/>
      <c r="E61" s="428"/>
      <c r="F61" s="428"/>
      <c r="G61" s="428"/>
      <c r="H61" s="429" t="str">
        <f>AK61</f>
        <v>TB2</v>
      </c>
      <c r="I61" s="429"/>
      <c r="J61" s="429"/>
      <c r="K61" s="429"/>
      <c r="L61" s="430">
        <v>2</v>
      </c>
      <c r="M61" s="430"/>
      <c r="N61" s="430"/>
      <c r="O61" s="471" t="str">
        <f>AN61</f>
        <v>4/4/4</v>
      </c>
      <c r="P61" s="428"/>
      <c r="Q61" s="428"/>
      <c r="R61" s="428" t="str">
        <f>IF(L61=3,AQ61&amp;"W/ "&amp;AR61&amp;"W/ "&amp;AS61&amp;"W",IF(L61=2,AQ61&amp;"W/ "&amp;AR61&amp;"W",AQ61&amp;"W"))</f>
        <v>30W/ 40W</v>
      </c>
      <c r="S61" s="428"/>
      <c r="T61" s="428"/>
      <c r="U61" s="428"/>
      <c r="V61" s="428"/>
      <c r="W61" s="428" t="str">
        <f>IF(AU61="900 &amp; 1800","900MHz &amp; 1800MHz",IF(AU61="900 &amp; 2100","900MHz &amp; 2100MHz",IF(AU61="1800 &amp; 2100","1800MHz &amp; 2100MHz",AU61&amp;"MHz")))</f>
        <v>9000 &amp; 2100MHz</v>
      </c>
      <c r="X61" s="428"/>
      <c r="Y61" s="428"/>
      <c r="Z61" s="428"/>
      <c r="AA61" s="428">
        <f>AV61</f>
        <v>15</v>
      </c>
      <c r="AB61" s="428"/>
      <c r="AC61" s="428"/>
      <c r="AD61" s="428"/>
      <c r="AE61" s="428"/>
      <c r="AF61" s="428"/>
      <c r="AI61" s="271" t="s">
        <v>596</v>
      </c>
      <c r="AK61" s="271" t="s">
        <v>6207</v>
      </c>
      <c r="AL61" s="271"/>
      <c r="AN61" s="281" t="s">
        <v>606</v>
      </c>
      <c r="AQ61" s="237">
        <v>30</v>
      </c>
      <c r="AR61" s="237">
        <v>40</v>
      </c>
      <c r="AS61" s="237">
        <v>40</v>
      </c>
      <c r="AU61" s="237" t="s">
        <v>632</v>
      </c>
      <c r="AV61" s="237">
        <v>15</v>
      </c>
    </row>
    <row r="62" ht="18.75" customHeight="1">
      <c r="B62" s="428"/>
      <c r="C62" s="428"/>
      <c r="D62" s="428"/>
      <c r="E62" s="428"/>
      <c r="F62" s="428"/>
      <c r="G62" s="428"/>
      <c r="H62" s="429"/>
      <c r="I62" s="429"/>
      <c r="J62" s="429"/>
      <c r="K62" s="429"/>
      <c r="L62" s="430"/>
      <c r="M62" s="430"/>
      <c r="N62" s="430"/>
      <c r="O62" s="428"/>
      <c r="P62" s="428"/>
      <c r="Q62" s="428"/>
      <c r="R62" s="428"/>
      <c r="S62" s="428"/>
      <c r="T62" s="428"/>
      <c r="U62" s="428"/>
      <c r="V62" s="428"/>
      <c r="W62" s="428"/>
      <c r="X62" s="428"/>
      <c r="Y62" s="428"/>
      <c r="Z62" s="428"/>
      <c r="AA62" s="428"/>
      <c r="AB62" s="428"/>
      <c r="AC62" s="428"/>
      <c r="AD62" s="428"/>
      <c r="AE62" s="428"/>
      <c r="AF62" s="428"/>
    </row>
    <row r="63" ht="18.75" customHeight="1">
      <c r="B63" s="428"/>
      <c r="C63" s="428"/>
      <c r="D63" s="428"/>
      <c r="E63" s="428"/>
      <c r="F63" s="428"/>
      <c r="G63" s="428"/>
      <c r="H63" s="429"/>
      <c r="I63" s="429"/>
      <c r="J63" s="429"/>
      <c r="K63" s="429"/>
      <c r="L63" s="430"/>
      <c r="M63" s="430"/>
      <c r="N63" s="430"/>
      <c r="O63" s="428"/>
      <c r="P63" s="428"/>
      <c r="Q63" s="428"/>
      <c r="R63" s="428"/>
      <c r="S63" s="428"/>
      <c r="T63" s="428"/>
      <c r="U63" s="428"/>
      <c r="V63" s="428"/>
      <c r="W63" s="428"/>
      <c r="X63" s="428"/>
      <c r="Y63" s="428"/>
      <c r="Z63" s="428"/>
      <c r="AA63" s="428"/>
      <c r="AB63" s="428"/>
      <c r="AC63" s="428"/>
      <c r="AD63" s="428"/>
      <c r="AE63" s="428"/>
      <c r="AF63" s="428"/>
    </row>
    <row r="64" ht="18.75" customHeight="1">
      <c r="B64" s="428"/>
      <c r="C64" s="428"/>
      <c r="D64" s="428"/>
      <c r="E64" s="428"/>
      <c r="F64" s="428"/>
      <c r="G64" s="428"/>
      <c r="H64" s="429"/>
      <c r="I64" s="429"/>
      <c r="J64" s="429"/>
      <c r="K64" s="429"/>
      <c r="L64" s="430"/>
      <c r="M64" s="430"/>
      <c r="N64" s="430"/>
      <c r="O64" s="428"/>
      <c r="P64" s="428"/>
      <c r="Q64" s="428"/>
      <c r="R64" s="428"/>
      <c r="S64" s="428"/>
      <c r="T64" s="428"/>
      <c r="U64" s="428"/>
      <c r="V64" s="428"/>
      <c r="W64" s="428"/>
      <c r="X64" s="428"/>
      <c r="Y64" s="428"/>
      <c r="Z64" s="428"/>
      <c r="AA64" s="428"/>
      <c r="AB64" s="428"/>
      <c r="AC64" s="428"/>
      <c r="AD64" s="428"/>
      <c r="AE64" s="428"/>
      <c r="AF64" s="428"/>
    </row>
    <row r="65" ht="18.75" customHeight="1">
      <c r="B65" s="428" t="str">
        <f>AI65</f>
        <v>CÔNG TY CỔ PHẦN VIỄN THÔNG DI ĐỘNG TOÀN CẦU</v>
      </c>
      <c r="C65" s="428"/>
      <c r="D65" s="428"/>
      <c r="E65" s="428"/>
      <c r="F65" s="428"/>
      <c r="G65" s="428"/>
      <c r="H65" s="429" t="str">
        <f>AK65</f>
        <v>TB2</v>
      </c>
      <c r="I65" s="429"/>
      <c r="J65" s="429"/>
      <c r="K65" s="429"/>
      <c r="L65" s="430">
        <v>1</v>
      </c>
      <c r="M65" s="430"/>
      <c r="N65" s="430"/>
      <c r="O65" s="471" t="str">
        <f>AN65</f>
        <v>4/4/4</v>
      </c>
      <c r="P65" s="428"/>
      <c r="Q65" s="428"/>
      <c r="R65" s="428" t="str">
        <f>IF(L65=3,AQ65&amp;"W/ "&amp;AR65&amp;"W/ "&amp;AS65&amp;"W",IF(L65=2,AQ65&amp;"W/ "&amp;AR65&amp;"W",AQ65&amp;"W"))</f>
        <v>30W</v>
      </c>
      <c r="S65" s="428"/>
      <c r="T65" s="428"/>
      <c r="U65" s="428"/>
      <c r="V65" s="428"/>
      <c r="W65" s="428" t="str">
        <f>IF(AU65="900 &amp; 1800","900MHz &amp; 1800MHz",IF(AU65="900 &amp; 2100","900MHz &amp; 2100MHz",IF(AU65="1800 &amp; 2100","1800MHz &amp; 2100MHz",AU65&amp;"MHz")))</f>
        <v>1800MHz &amp; 2100MHz</v>
      </c>
      <c r="X65" s="428"/>
      <c r="Y65" s="428"/>
      <c r="Z65" s="428"/>
      <c r="AA65" s="428">
        <f>AV65</f>
        <v>15</v>
      </c>
      <c r="AB65" s="428"/>
      <c r="AC65" s="428"/>
      <c r="AD65" s="428"/>
      <c r="AE65" s="428"/>
      <c r="AF65" s="428"/>
      <c r="AI65" s="271" t="s">
        <v>596</v>
      </c>
      <c r="AK65" s="271" t="s">
        <v>6207</v>
      </c>
      <c r="AL65" s="271"/>
      <c r="AN65" s="281" t="s">
        <v>606</v>
      </c>
      <c r="AQ65" s="237">
        <v>30</v>
      </c>
      <c r="AR65" s="237">
        <v>40</v>
      </c>
      <c r="AS65" s="237">
        <v>40</v>
      </c>
      <c r="AU65" s="237" t="s">
        <v>633</v>
      </c>
      <c r="AV65" s="237">
        <v>15</v>
      </c>
      <c r="AW65" s="237">
        <v>16</v>
      </c>
      <c r="AX65" s="237">
        <v>17</v>
      </c>
    </row>
    <row r="66" ht="18.75" customHeight="1">
      <c r="B66" s="428"/>
      <c r="C66" s="428"/>
      <c r="D66" s="428"/>
      <c r="E66" s="428"/>
      <c r="F66" s="428"/>
      <c r="G66" s="428"/>
      <c r="H66" s="429"/>
      <c r="I66" s="429"/>
      <c r="J66" s="429"/>
      <c r="K66" s="429"/>
      <c r="L66" s="430"/>
      <c r="M66" s="430"/>
      <c r="N66" s="430"/>
      <c r="O66" s="428"/>
      <c r="P66" s="428"/>
      <c r="Q66" s="428"/>
      <c r="R66" s="428"/>
      <c r="S66" s="428"/>
      <c r="T66" s="428"/>
      <c r="U66" s="428"/>
      <c r="V66" s="428"/>
      <c r="W66" s="428"/>
      <c r="X66" s="428"/>
      <c r="Y66" s="428"/>
      <c r="Z66" s="428"/>
      <c r="AA66" s="428"/>
      <c r="AB66" s="428"/>
      <c r="AC66" s="428"/>
      <c r="AD66" s="428"/>
      <c r="AE66" s="428"/>
      <c r="AF66" s="428"/>
    </row>
    <row r="67" ht="18.75" customHeight="1">
      <c r="B67" s="428"/>
      <c r="C67" s="428"/>
      <c r="D67" s="428"/>
      <c r="E67" s="428"/>
      <c r="F67" s="428"/>
      <c r="G67" s="428"/>
      <c r="H67" s="429"/>
      <c r="I67" s="429"/>
      <c r="J67" s="429"/>
      <c r="K67" s="429"/>
      <c r="L67" s="430"/>
      <c r="M67" s="430"/>
      <c r="N67" s="430"/>
      <c r="O67" s="428"/>
      <c r="P67" s="428"/>
      <c r="Q67" s="428"/>
      <c r="R67" s="428"/>
      <c r="S67" s="428"/>
      <c r="T67" s="428"/>
      <c r="U67" s="428"/>
      <c r="V67" s="428"/>
      <c r="W67" s="428"/>
      <c r="X67" s="428"/>
      <c r="Y67" s="428"/>
      <c r="Z67" s="428"/>
      <c r="AA67" s="428"/>
      <c r="AB67" s="428"/>
      <c r="AC67" s="428"/>
      <c r="AD67" s="428"/>
      <c r="AE67" s="428"/>
      <c r="AF67" s="428"/>
    </row>
    <row r="68" ht="18.75" customHeight="1">
      <c r="B68" s="428"/>
      <c r="C68" s="428"/>
      <c r="D68" s="428"/>
      <c r="E68" s="428"/>
      <c r="F68" s="428"/>
      <c r="G68" s="428"/>
      <c r="H68" s="429"/>
      <c r="I68" s="429"/>
      <c r="J68" s="429"/>
      <c r="K68" s="429"/>
      <c r="L68" s="430"/>
      <c r="M68" s="430"/>
      <c r="N68" s="430"/>
      <c r="O68" s="428"/>
      <c r="P68" s="428"/>
      <c r="Q68" s="428"/>
      <c r="R68" s="428"/>
      <c r="S68" s="428"/>
      <c r="T68" s="428"/>
      <c r="U68" s="428"/>
      <c r="V68" s="428"/>
      <c r="W68" s="428"/>
      <c r="X68" s="428"/>
      <c r="Y68" s="428"/>
      <c r="Z68" s="428"/>
      <c r="AA68" s="428"/>
      <c r="AB68" s="428"/>
      <c r="AC68" s="428"/>
      <c r="AD68" s="428"/>
      <c r="AE68" s="428"/>
      <c r="AF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AB22:AF22"/>
    <mergeCell ref="C18:L18"/>
    <mergeCell ref="AB23:AF23"/>
    <mergeCell ref="C15:AF15"/>
    <mergeCell ref="C7:AE7"/>
    <mergeCell ref="C24:L24"/>
    <mergeCell ref="W21:AA21"/>
    <mergeCell ref="M19:AF19"/>
    <mergeCell ref="C9:AE9"/>
    <mergeCell ref="C11:AE11"/>
    <mergeCell ref="C12:AE12"/>
    <mergeCell ref="AB21:AF21"/>
    <mergeCell ref="M22:Q22"/>
    <mergeCell ref="R22:V22"/>
    <mergeCell ref="W22:AA22"/>
    <mergeCell ref="M18:AF18"/>
    <mergeCell ref="R24:V24"/>
    <mergeCell ref="W24:AA24"/>
    <mergeCell ref="B1:N1"/>
    <mergeCell ref="P1:AE1"/>
    <mergeCell ref="P2:AE2"/>
    <mergeCell ref="C6:AE6"/>
    <mergeCell ref="C25:L25"/>
    <mergeCell ref="C22:L22"/>
    <mergeCell ref="C23:L23"/>
    <mergeCell ref="C19:L19"/>
    <mergeCell ref="C21:L21"/>
    <mergeCell ref="C20:AF20"/>
    <mergeCell ref="AB25:AF25"/>
    <mergeCell ref="AB24:AF24"/>
    <mergeCell ref="M16:AF16"/>
    <mergeCell ref="C17:L17"/>
    <mergeCell ref="M17:AF17"/>
    <mergeCell ref="W23:AA23"/>
    <mergeCell ref="R23:V23"/>
    <mergeCell ref="R25:V25"/>
    <mergeCell ref="R26:V26"/>
    <mergeCell ref="C37:G37"/>
    <mergeCell ref="C2:M2"/>
    <mergeCell ref="C35:G35"/>
    <mergeCell ref="C36:G36"/>
    <mergeCell ref="C34:G34"/>
    <mergeCell ref="C16:L16"/>
    <mergeCell ref="W25:AA25"/>
    <mergeCell ref="M21:Q21"/>
    <mergeCell ref="R21:V21"/>
    <mergeCell ref="I34:O34"/>
    <mergeCell ref="M23:Q23"/>
    <mergeCell ref="M24:Q24"/>
    <mergeCell ref="C32:AF33"/>
    <mergeCell ref="C26:L26"/>
    <mergeCell ref="C27:AA27"/>
    <mergeCell ref="C30:AF31"/>
    <mergeCell ref="W26:AA26"/>
    <mergeCell ref="AB26:AF26"/>
    <mergeCell ref="M25:Q25"/>
    <mergeCell ref="M26:Q26"/>
    <mergeCell ref="T34:AF34"/>
    <mergeCell ref="C28:AF29"/>
    <mergeCell ref="I37:M37"/>
    <mergeCell ref="T35:AF35"/>
    <mergeCell ref="I35:O35"/>
    <mergeCell ref="T40:AE40"/>
    <mergeCell ref="T41:AF41"/>
    <mergeCell ref="I36:M36"/>
    <mergeCell ref="B49:G52"/>
    <mergeCell ref="H49:K52"/>
    <mergeCell ref="H45:K48"/>
    <mergeCell ref="AA45:AF48"/>
    <mergeCell ref="L49:N52"/>
    <mergeCell ref="O49:Q52"/>
    <mergeCell ref="L45:N48"/>
    <mergeCell ref="O45:Q48"/>
    <mergeCell ref="R45:V48"/>
    <mergeCell ref="W45:Z48"/>
    <mergeCell ref="B43:G48"/>
    <mergeCell ref="H43:AF4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11</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2020-03-25T09:30:33Z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